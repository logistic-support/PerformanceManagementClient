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8.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ml.chartshap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0.xml" ContentType="application/vnd.openxmlformats-officedocument.drawingml.chartshapes+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1.xml" ContentType="application/vnd.openxmlformats-officedocument.drawingml.chartshape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2.xml" ContentType="application/vnd.openxmlformats-officedocument.drawingml.chartshapes+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3.xml" ContentType="application/vnd.openxmlformats-officedocument.drawingml.chartshapes+xml"/>
  <Override PartName="/xl/charts/chart13.xml" ContentType="application/vnd.openxmlformats-officedocument.drawingml.chart+xml"/>
  <Override PartName="/xl/drawings/drawing14.xml" ContentType="application/vnd.openxmlformats-officedocument.drawingml.chartshapes+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5.xml" ContentType="application/vnd.openxmlformats-officedocument.drawingml.chartshapes+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6.xml" ContentType="application/vnd.openxmlformats-officedocument.drawingml.chartshapes+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charts/chart21.xml" ContentType="application/vnd.openxmlformats-officedocument.drawingml.chart+xml"/>
  <Override PartName="/xl/charts/style20.xml" ContentType="application/vnd.ms-office.chartstyle+xml"/>
  <Override PartName="/xl/charts/colors20.xml" ContentType="application/vnd.ms-office.chartcolorstyle+xml"/>
  <Override PartName="/xl/charts/chart22.xml" ContentType="application/vnd.openxmlformats-officedocument.drawingml.chart+xml"/>
  <Override PartName="/xl/charts/style21.xml" ContentType="application/vnd.ms-office.chartstyle+xml"/>
  <Override PartName="/xl/charts/colors21.xml" ContentType="application/vnd.ms-office.chartcolorstyle+xml"/>
  <Override PartName="/xl/charts/chart23.xml" ContentType="application/vnd.openxmlformats-officedocument.drawingml.chart+xml"/>
  <Override PartName="/xl/charts/style22.xml" ContentType="application/vnd.ms-office.chartstyle+xml"/>
  <Override PartName="/xl/charts/colors22.xml" ContentType="application/vnd.ms-office.chartcolorstyle+xml"/>
  <Override PartName="/xl/charts/chart24.xml" ContentType="application/vnd.openxmlformats-officedocument.drawingml.chart+xml"/>
  <Override PartName="/xl/charts/style23.xml" ContentType="application/vnd.ms-office.chartstyle+xml"/>
  <Override PartName="/xl/charts/colors23.xml" ContentType="application/vnd.ms-office.chartcolorstyle+xml"/>
  <Override PartName="/xl/charts/chart25.xml" ContentType="application/vnd.openxmlformats-officedocument.drawingml.chart+xml"/>
  <Override PartName="/xl/drawings/drawing17.xml" ContentType="application/vnd.openxmlformats-officedocument.drawingml.chartshapes+xml"/>
  <Override PartName="/xl/charts/chart26.xml" ContentType="application/vnd.openxmlformats-officedocument.drawingml.chart+xml"/>
  <Override PartName="/xl/charts/style24.xml" ContentType="application/vnd.ms-office.chartstyle+xml"/>
  <Override PartName="/xl/charts/colors24.xml" ContentType="application/vnd.ms-office.chartcolorstyle+xml"/>
  <Override PartName="/xl/charts/chart27.xml" ContentType="application/vnd.openxmlformats-officedocument.drawingml.chart+xml"/>
  <Override PartName="/xl/charts/style25.xml" ContentType="application/vnd.ms-office.chartstyle+xml"/>
  <Override PartName="/xl/charts/colors25.xml" ContentType="application/vnd.ms-office.chartcolorstyle+xml"/>
  <Override PartName="/xl/charts/chart28.xml" ContentType="application/vnd.openxmlformats-officedocument.drawingml.chart+xml"/>
  <Override PartName="/xl/charts/style26.xml" ContentType="application/vnd.ms-office.chartstyle+xml"/>
  <Override PartName="/xl/charts/colors26.xml" ContentType="application/vnd.ms-office.chartcolorstyle+xml"/>
  <Override PartName="/xl/charts/chart29.xml" ContentType="application/vnd.openxmlformats-officedocument.drawingml.chart+xml"/>
  <Override PartName="/xl/drawings/drawing18.xml" ContentType="application/vnd.openxmlformats-officedocument.drawingml.chartshapes+xml"/>
  <Override PartName="/xl/charts/chart30.xml" ContentType="application/vnd.openxmlformats-officedocument.drawingml.chart+xml"/>
  <Override PartName="/xl/charts/style27.xml" ContentType="application/vnd.ms-office.chartstyle+xml"/>
  <Override PartName="/xl/charts/colors27.xml" ContentType="application/vnd.ms-office.chartcolorstyle+xml"/>
  <Override PartName="/xl/charts/chart31.xml" ContentType="application/vnd.openxmlformats-officedocument.drawingml.chart+xml"/>
  <Override PartName="/xl/charts/style28.xml" ContentType="application/vnd.ms-office.chartstyle+xml"/>
  <Override PartName="/xl/charts/colors28.xml" ContentType="application/vnd.ms-office.chartcolorstyle+xml"/>
  <Override PartName="/xl/charts/chart32.xml" ContentType="application/vnd.openxmlformats-officedocument.drawingml.chart+xml"/>
  <Override PartName="/xl/charts/style29.xml" ContentType="application/vnd.ms-office.chartstyle+xml"/>
  <Override PartName="/xl/charts/colors29.xml" ContentType="application/vnd.ms-office.chartcolorstyle+xml"/>
  <Override PartName="/xl/charts/chart33.xml" ContentType="application/vnd.openxmlformats-officedocument.drawingml.chart+xml"/>
  <Override PartName="/xl/charts/style30.xml" ContentType="application/vnd.ms-office.chartstyle+xml"/>
  <Override PartName="/xl/charts/colors30.xml" ContentType="application/vnd.ms-office.chartcolorstyle+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style31.xml" ContentType="application/vnd.ms-office.chartstyle+xml"/>
  <Override PartName="/xl/charts/colors31.xml" ContentType="application/vnd.ms-office.chartcolorstyle+xml"/>
  <Override PartName="/xl/charts/chart43.xml" ContentType="application/vnd.openxmlformats-officedocument.drawingml.chart+xml"/>
  <Override PartName="/xl/charts/style32.xml" ContentType="application/vnd.ms-office.chartstyle+xml"/>
  <Override PartName="/xl/charts/colors32.xml" ContentType="application/vnd.ms-office.chartcolorstyle+xml"/>
  <Override PartName="/xl/charts/chart44.xml" ContentType="application/vnd.openxmlformats-officedocument.drawingml.chart+xml"/>
  <Override PartName="/xl/charts/style33.xml" ContentType="application/vnd.ms-office.chartstyle+xml"/>
  <Override PartName="/xl/charts/colors33.xml" ContentType="application/vnd.ms-office.chartcolorstyle+xml"/>
  <Override PartName="/xl/charts/chart45.xml" ContentType="application/vnd.openxmlformats-officedocument.drawingml.chart+xml"/>
  <Override PartName="/xl/charts/style34.xml" ContentType="application/vnd.ms-office.chartstyle+xml"/>
  <Override PartName="/xl/charts/colors34.xml" ContentType="application/vnd.ms-office.chartcolorstyle+xml"/>
  <Override PartName="/xl/charts/chart46.xml" ContentType="application/vnd.openxmlformats-officedocument.drawingml.chart+xml"/>
  <Override PartName="/xl/charts/style35.xml" ContentType="application/vnd.ms-office.chartstyle+xml"/>
  <Override PartName="/xl/charts/colors35.xml" ContentType="application/vnd.ms-office.chartcolorstyle+xml"/>
  <Override PartName="/xl/charts/chart47.xml" ContentType="application/vnd.openxmlformats-officedocument.drawingml.chart+xml"/>
  <Override PartName="/xl/charts/style36.xml" ContentType="application/vnd.ms-office.chartstyle+xml"/>
  <Override PartName="/xl/charts/colors36.xml" ContentType="application/vnd.ms-office.chartcolorstyle+xml"/>
  <Override PartName="/xl/charts/chart48.xml" ContentType="application/vnd.openxmlformats-officedocument.drawingml.chart+xml"/>
  <Override PartName="/xl/charts/style37.xml" ContentType="application/vnd.ms-office.chartstyle+xml"/>
  <Override PartName="/xl/charts/colors37.xml" ContentType="application/vnd.ms-office.chartcolorstyle+xml"/>
  <Override PartName="/xl/charts/chart49.xml" ContentType="application/vnd.openxmlformats-officedocument.drawingml.chart+xml"/>
  <Override PartName="/xl/charts/style38.xml" ContentType="application/vnd.ms-office.chartstyle+xml"/>
  <Override PartName="/xl/charts/colors38.xml" ContentType="application/vnd.ms-office.chartcolorstyle+xml"/>
  <Override PartName="/xl/charts/chart50.xml" ContentType="application/vnd.openxmlformats-officedocument.drawingml.chart+xml"/>
  <Override PartName="/xl/charts/style39.xml" ContentType="application/vnd.ms-office.chartstyle+xml"/>
  <Override PartName="/xl/charts/colors39.xml" ContentType="application/vnd.ms-office.chartcolorstyle+xml"/>
  <Override PartName="/xl/charts/chart51.xml" ContentType="application/vnd.openxmlformats-officedocument.drawingml.chart+xml"/>
  <Override PartName="/xl/charts/style40.xml" ContentType="application/vnd.ms-office.chartstyle+xml"/>
  <Override PartName="/xl/charts/colors40.xml" ContentType="application/vnd.ms-office.chartcolorstyle+xml"/>
  <Override PartName="/xl/charts/chart52.xml" ContentType="application/vnd.openxmlformats-officedocument.drawingml.chart+xml"/>
  <Override PartName="/xl/charts/style41.xml" ContentType="application/vnd.ms-office.chartstyle+xml"/>
  <Override PartName="/xl/charts/colors41.xml" ContentType="application/vnd.ms-office.chartcolorstyle+xml"/>
  <Override PartName="/xl/charts/chart53.xml" ContentType="application/vnd.openxmlformats-officedocument.drawingml.chart+xml"/>
  <Override PartName="/xl/charts/style42.xml" ContentType="application/vnd.ms-office.chartstyle+xml"/>
  <Override PartName="/xl/charts/colors42.xml" ContentType="application/vnd.ms-office.chartcolorstyle+xml"/>
  <Override PartName="/xl/charts/chart54.xml" ContentType="application/vnd.openxmlformats-officedocument.drawingml.chart+xml"/>
  <Override PartName="/xl/charts/style43.xml" ContentType="application/vnd.ms-office.chartstyle+xml"/>
  <Override PartName="/xl/charts/colors43.xml" ContentType="application/vnd.ms-office.chartcolorstyle+xml"/>
  <Override PartName="/xl/charts/chart55.xml" ContentType="application/vnd.openxmlformats-officedocument.drawingml.chart+xml"/>
  <Override PartName="/xl/charts/style44.xml" ContentType="application/vnd.ms-office.chartstyle+xml"/>
  <Override PartName="/xl/charts/colors44.xml" ContentType="application/vnd.ms-office.chartcolorstyle+xml"/>
  <Override PartName="/xl/charts/chart56.xml" ContentType="application/vnd.openxmlformats-officedocument.drawingml.chart+xml"/>
  <Override PartName="/xl/charts/style45.xml" ContentType="application/vnd.ms-office.chartstyle+xml"/>
  <Override PartName="/xl/charts/colors45.xml" ContentType="application/vnd.ms-office.chartcolorstyle+xml"/>
  <Override PartName="/xl/charts/chart57.xml" ContentType="application/vnd.openxmlformats-officedocument.drawingml.chart+xml"/>
  <Override PartName="/xl/charts/style46.xml" ContentType="application/vnd.ms-office.chartstyle+xml"/>
  <Override PartName="/xl/charts/colors46.xml" ContentType="application/vnd.ms-office.chartcolorstyle+xml"/>
  <Override PartName="/xl/charts/chart58.xml" ContentType="application/vnd.openxmlformats-officedocument.drawingml.chart+xml"/>
  <Override PartName="/xl/charts/style47.xml" ContentType="application/vnd.ms-office.chartstyle+xml"/>
  <Override PartName="/xl/charts/colors47.xml" ContentType="application/vnd.ms-office.chartcolorstyle+xml"/>
  <Override PartName="/xl/charts/chart59.xml" ContentType="application/vnd.openxmlformats-officedocument.drawingml.chart+xml"/>
  <Override PartName="/xl/charts/style48.xml" ContentType="application/vnd.ms-office.chartstyle+xml"/>
  <Override PartName="/xl/charts/colors48.xml" ContentType="application/vnd.ms-office.chartcolorstyle+xml"/>
  <Override PartName="/xl/charts/chart60.xml" ContentType="application/vnd.openxmlformats-officedocument.drawingml.chart+xml"/>
  <Override PartName="/xl/charts/style49.xml" ContentType="application/vnd.ms-office.chartstyle+xml"/>
  <Override PartName="/xl/charts/colors49.xml" ContentType="application/vnd.ms-office.chartcolorstyle+xml"/>
  <Override PartName="/xl/charts/chart61.xml" ContentType="application/vnd.openxmlformats-officedocument.drawingml.chart+xml"/>
  <Override PartName="/xl/charts/style50.xml" ContentType="application/vnd.ms-office.chartstyle+xml"/>
  <Override PartName="/xl/charts/colors50.xml" ContentType="application/vnd.ms-office.chartcolorstyle+xml"/>
  <Override PartName="/xl/charts/chart62.xml" ContentType="application/vnd.openxmlformats-officedocument.drawingml.chart+xml"/>
  <Override PartName="/xl/charts/style51.xml" ContentType="application/vnd.ms-office.chartstyle+xml"/>
  <Override PartName="/xl/charts/colors51.xml" ContentType="application/vnd.ms-office.chartcolorstyle+xml"/>
  <Override PartName="/xl/charts/chart63.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19.xml" ContentType="application/vnd.openxmlformats-officedocument.drawingml.chartshap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625" codeName="{EAAD5824-E589-9196-6FC8-2F1B51211585}"/>
  <workbookPr filterPrivacy="1" codeName="ThisWorkbook" defaultThemeVersion="124226"/>
  <bookViews>
    <workbookView xWindow="240" yWindow="105" windowWidth="10845" windowHeight="7515" tabRatio="793" xr2:uid="{00000000-000D-0000-FFFF-FFFF00000000}"/>
  </bookViews>
  <sheets>
    <sheet name="dashboard" sheetId="8" r:id="rId1"/>
    <sheet name="data.chart" sheetId="17" state="veryHidden" r:id="rId2"/>
    <sheet name="legend_chart" sheetId="59" state="veryHidden" r:id="rId3"/>
    <sheet name="pt.number_of_tasks" sheetId="58" state="veryHidden" r:id="rId4"/>
    <sheet name="pt.inbound_ppot_lvl1" sheetId="13" state="veryHidden" r:id="rId5"/>
    <sheet name="pt.inbound_ppot_lvl2" sheetId="14" state="veryHidden" r:id="rId6"/>
    <sheet name="pt.lvl3_generic_1" sheetId="15" state="veryHidden" r:id="rId7"/>
    <sheet name="pt.lvl3_generic_2" sheetId="16" state="veryHidden" r:id="rId8"/>
    <sheet name="pt.lvl3_generic_3" sheetId="50" state="veryHidden" r:id="rId9"/>
    <sheet name="pt.lvl3_generic_4" sheetId="51" state="veryHidden" r:id="rId10"/>
    <sheet name="pt.lvl3_generic_5" sheetId="52" state="veryHidden" r:id="rId11"/>
    <sheet name="pt.lvl3_generic_6" sheetId="53" state="veryHidden" r:id="rId12"/>
    <sheet name="pt.lvl3_generic_7" sheetId="54" state="veryHidden" r:id="rId13"/>
    <sheet name="pt.lvl3_generic_8" sheetId="55" state="veryHidden" r:id="rId14"/>
    <sheet name="pt.lvl3_generic_9" sheetId="56" state="veryHidden" r:id="rId15"/>
    <sheet name="pt.lvl3_generic_10" sheetId="57" state="veryHidden" r:id="rId16"/>
    <sheet name="pt.generic_add_data1" sheetId="19" state="veryHidden" r:id="rId17"/>
    <sheet name="pt.generic_add_data2" sheetId="23" state="veryHidden" r:id="rId18"/>
    <sheet name="pt.generic_add_data3" sheetId="22" state="veryHidden" r:id="rId19"/>
    <sheet name="pt.generic_add_data4" sheetId="24" state="veryHidden" r:id="rId20"/>
    <sheet name="pt.generic_add_data5" sheetId="25" state="veryHidden" r:id="rId21"/>
    <sheet name="pt.generic_add_data6" sheetId="26" state="veryHidden" r:id="rId22"/>
    <sheet name="pt.generic_add_data7" sheetId="27" state="veryHidden" r:id="rId23"/>
    <sheet name="pt.generic_add_data8" sheetId="28" state="veryHidden" r:id="rId24"/>
    <sheet name="pt.generic_add_data9" sheetId="29" state="veryHidden" r:id="rId25"/>
    <sheet name="pt.generic_add_data10" sheetId="30" state="veryHidden" r:id="rId26"/>
    <sheet name="pt.generic_add_data11" sheetId="31" state="veryHidden" r:id="rId27"/>
    <sheet name="pt.generic_add_data12" sheetId="32" state="veryHidden" r:id="rId28"/>
    <sheet name="pt.generic_add_data13" sheetId="33" state="veryHidden" r:id="rId29"/>
    <sheet name="pt.generic_add_data14" sheetId="34" state="veryHidden" r:id="rId30"/>
    <sheet name="pt.generic_add_data15" sheetId="35" state="veryHidden" r:id="rId31"/>
    <sheet name="pt.generic_add_data16" sheetId="36" state="veryHidden" r:id="rId32"/>
    <sheet name="pt.generic_add_data17" sheetId="37" state="veryHidden" r:id="rId33"/>
    <sheet name="pt.generic_add_data18" sheetId="38" state="veryHidden" r:id="rId34"/>
    <sheet name="pt.generic_add_data19" sheetId="39" state="veryHidden" r:id="rId35"/>
    <sheet name="pt.generic_add_data20" sheetId="40" state="veryHidden" r:id="rId36"/>
    <sheet name="pt.generic_add_data21" sheetId="21" state="veryHidden" r:id="rId37"/>
    <sheet name="pt.generic_add_data22" sheetId="41" state="veryHidden" r:id="rId38"/>
    <sheet name="pt.generic_add_data23" sheetId="42" state="veryHidden" r:id="rId39"/>
    <sheet name="pt.generic_add_data24" sheetId="43" state="veryHidden" r:id="rId40"/>
    <sheet name="pt.generic_add_data25" sheetId="44" state="veryHidden" r:id="rId41"/>
    <sheet name="pt.generic_add_data26" sheetId="45" state="veryHidden" r:id="rId42"/>
    <sheet name="pt.generic_add_data27" sheetId="46" state="veryHidden" r:id="rId43"/>
    <sheet name="pt.generic_add_data28" sheetId="47" state="veryHidden" r:id="rId44"/>
    <sheet name="pt.generic_add_data29" sheetId="48" state="veryHidden" r:id="rId45"/>
    <sheet name="pt.generic_add_data30" sheetId="49" state="veryHidden" r:id="rId46"/>
  </sheets>
  <functionGroups builtInGroupCount="19"/>
  <definedNames>
    <definedName name="Slicer_Datum_D_N">#N/A</definedName>
    <definedName name="Slicer_Směna">#N/A</definedName>
  </definedNames>
  <calcPr calcId="171027" calcMode="manual" calcOnSave="0"/>
  <pivotCaches>
    <pivotCache cacheId="0" r:id="rId47"/>
    <pivotCache cacheId="1" r:id="rId48"/>
    <pivotCache cacheId="2" r:id="rId49"/>
  </pivotCaches>
  <extLst>
    <ext xmlns:x14="http://schemas.microsoft.com/office/spreadsheetml/2009/9/main" uri="{BBE1A952-AA13-448e-AADC-164F8A28A991}">
      <x14:slicerCaches>
        <x14:slicerCache r:id="rId50"/>
        <x14:slicerCache r:id="rId51"/>
      </x14:slicerCaches>
    </ext>
    <ext xmlns:x14="http://schemas.microsoft.com/office/spreadsheetml/2009/9/main" uri="{79F54976-1DA5-4618-B147-4CDE4B953A38}">
      <x14:workbookPr/>
    </ext>
  </extLst>
</workbook>
</file>

<file path=xl/calcChain.xml><?xml version="1.0" encoding="utf-8"?>
<calcChain xmlns="http://schemas.openxmlformats.org/spreadsheetml/2006/main">
  <c r="C9" i="17" l="1"/>
  <c r="C10" i="17"/>
  <c r="D9" i="17"/>
  <c r="G3" i="13"/>
  <c r="E3" i="13"/>
  <c r="D10" i="17"/>
  <c r="J5" i="17"/>
  <c r="J7" i="17"/>
  <c r="J6" i="17"/>
  <c r="G7" i="17"/>
  <c r="G5" i="17"/>
  <c r="D6" i="17"/>
  <c r="D7" i="17"/>
  <c r="G6" i="17"/>
  <c r="D5" i="17"/>
  <c r="E6" i="17" l="1"/>
  <c r="K6" i="17" s="1"/>
  <c r="I7" i="17"/>
  <c r="H10" i="17"/>
  <c r="E10" i="17"/>
  <c r="F10" i="17"/>
  <c r="J10" i="17"/>
  <c r="I5" i="17"/>
  <c r="F3" i="13"/>
  <c r="H3" i="13"/>
  <c r="J9" i="17"/>
  <c r="F9" i="17"/>
  <c r="H9" i="17"/>
  <c r="E9" i="17"/>
  <c r="I9" i="17" s="1"/>
  <c r="I6" i="17"/>
  <c r="E5" i="17"/>
  <c r="K5" i="17" s="1"/>
  <c r="K10" i="17"/>
  <c r="K9" i="17"/>
  <c r="E7" i="17"/>
  <c r="K7" i="17" s="1"/>
  <c r="I10" i="17"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sourceFile="C:\Users\czjirost\Desktop\Performance_data.xlsx" name="Performance_data db#additional_data$" type="5" refreshedVersion="6" saveData="1">
    <dbPr connection="Provider=Microsoft.ACE.OLEDB.12.0;User ID=Admin;Data Source=F:\CrossOrg\KLD_Internal_Logistics\Logistická_podpora\WH_ANALYST\czJIROST\Performance_data.xlsx;Mode=Read;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db#additional_data$" commandType="3"/>
  </connection>
  <connection id="2" xr16:uid="{00000000-0015-0000-FFFF-FFFF01000000}" sourceFile="C:\Users\czjirost\Desktop\Performance_data.xlsx" name="Performance_data db#raw_data$" type="5" refreshedVersion="6" saveData="1">
    <dbPr connection="Provider=Microsoft.ACE.OLEDB.12.0;User ID=Admin;Data Source=F:\CrossOrg\KLD_Internal_Logistics\Logistická_podpora\WH_ANALYST\czJIROST\Performance_data.xlsx;Mode=Read;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db#raw_data$" commandType="3"/>
  </connection>
</connections>
</file>

<file path=xl/sharedStrings.xml><?xml version="1.0" encoding="utf-8"?>
<sst xmlns="http://schemas.openxmlformats.org/spreadsheetml/2006/main" count="874" uniqueCount="83">
  <si>
    <t>Datum</t>
  </si>
  <si>
    <t>Směna</t>
  </si>
  <si>
    <t>Čas</t>
  </si>
  <si>
    <t>Target</t>
  </si>
  <si>
    <t>KPI</t>
  </si>
  <si>
    <t>Column Labels</t>
  </si>
  <si>
    <t>Proces</t>
  </si>
  <si>
    <t>Krok Procesu</t>
  </si>
  <si>
    <t>Budova</t>
  </si>
  <si>
    <t>Inbound</t>
  </si>
  <si>
    <t>ALL</t>
  </si>
  <si>
    <t>PPOT</t>
  </si>
  <si>
    <t>B</t>
  </si>
  <si>
    <t>Result</t>
  </si>
  <si>
    <t>100 - Result</t>
  </si>
  <si>
    <t>100-Target</t>
  </si>
  <si>
    <t>Average of Skutečnost %</t>
  </si>
  <si>
    <t>Average of Cíl %</t>
  </si>
  <si>
    <t>Grand Total</t>
  </si>
  <si>
    <t>Average of Skutečnost Úkol/Člověk</t>
  </si>
  <si>
    <t>TARGET</t>
  </si>
  <si>
    <t>RESULT</t>
  </si>
  <si>
    <t>BASE_VALUE</t>
  </si>
  <si>
    <t>TO_TARGET</t>
  </si>
  <si>
    <t>POINTER</t>
  </si>
  <si>
    <t>OVER_TARGET</t>
  </si>
  <si>
    <t>REST</t>
  </si>
  <si>
    <t>LABEL_VAL</t>
  </si>
  <si>
    <t>LABEL_TARGET</t>
  </si>
  <si>
    <t>START</t>
  </si>
  <si>
    <t>TARGET_RED</t>
  </si>
  <si>
    <t>TARGET_GREEN</t>
  </si>
  <si>
    <t>POINTER_VALUE</t>
  </si>
  <si>
    <t>POINTER_STOP</t>
  </si>
  <si>
    <t>LVL2_A</t>
  </si>
  <si>
    <t>LVL2_B</t>
  </si>
  <si>
    <t>LVL2_C</t>
  </si>
  <si>
    <t>Hodina</t>
  </si>
  <si>
    <t>Area</t>
  </si>
  <si>
    <t>Process status</t>
  </si>
  <si>
    <t>Time status</t>
  </si>
  <si>
    <t>Task status</t>
  </si>
  <si>
    <t>Příjezd</t>
  </si>
  <si>
    <t>Nad 90 min</t>
  </si>
  <si>
    <t>Total</t>
  </si>
  <si>
    <t>Vykládá se</t>
  </si>
  <si>
    <t>Zátěž cíl</t>
  </si>
  <si>
    <t>Zátěž</t>
  </si>
  <si>
    <t>Vyskladněno</t>
  </si>
  <si>
    <t>Uloženo</t>
  </si>
  <si>
    <t>Do 90 min</t>
  </si>
  <si>
    <t>Done</t>
  </si>
  <si>
    <t>Done - %</t>
  </si>
  <si>
    <t>(Multiple Items)</t>
  </si>
  <si>
    <t>Sum of Hodnota</t>
  </si>
  <si>
    <t>(All)</t>
  </si>
  <si>
    <t>PA_AISLE</t>
  </si>
  <si>
    <t>AISLE_RACK</t>
  </si>
  <si>
    <t>Sum of Počet úkolů</t>
  </si>
  <si>
    <t>Do 60 min</t>
  </si>
  <si>
    <t>(blank)</t>
  </si>
  <si>
    <t>Odvezeno</t>
  </si>
  <si>
    <t>Hour</t>
  </si>
  <si>
    <t>Do 60 min zprac</t>
  </si>
  <si>
    <t>Do 90 min zprac</t>
  </si>
  <si>
    <t>Nad 90 min zprac</t>
  </si>
  <si>
    <t>KPI Budova A</t>
  </si>
  <si>
    <t>Úkol/Lidi</t>
  </si>
  <si>
    <t>Pickování</t>
  </si>
  <si>
    <t>Uklízení</t>
  </si>
  <si>
    <t>Úkoly</t>
  </si>
  <si>
    <t>Zprac. úkoly</t>
  </si>
  <si>
    <t>Červená</t>
  </si>
  <si>
    <t>Datum D/N</t>
  </si>
  <si>
    <t>Values</t>
  </si>
  <si>
    <t>Sum of KPI Budova A</t>
  </si>
  <si>
    <t>Sum of Target</t>
  </si>
  <si>
    <t>Sum of Úkol/Lidi</t>
  </si>
  <si>
    <t>PDOT</t>
  </si>
  <si>
    <t>Row Labels</t>
  </si>
  <si>
    <t>Average of Cíl Úkol/Člověk</t>
  </si>
  <si>
    <t>Supply-Autopick</t>
  </si>
  <si>
    <t>14.3.2017 - 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</si>
</sst>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
  </numFmts>
  <fonts count="18" x14ac:knownFonts="1">
    <font>
      <sz val="11"/>
      <color theme="1"/>
      <name val="Calibri"/>
      <family val="2"/>
      <scheme val="minor"/>
    </font>
    <font>
      <sz val="11"/>
      <color theme="1"/>
      <name val="Calibri"/>
      <family val="2"/>
      <charset val="238"/>
      <scheme val="minor"/>
    </font>
    <font>
      <sz val="11"/>
      <color theme="1"/>
      <name val="Calibri"/>
      <family val="2"/>
      <scheme val="minor"/>
    </font>
    <font>
      <b/>
      <sz val="8"/>
      <color rgb="FF1F497D"/>
      <name val="Verdana"/>
      <family val="2"/>
      <charset val="238"/>
    </font>
    <font>
      <sz val="8"/>
      <color rgb="FF1F497D"/>
      <name val="Verdana"/>
      <family val="2"/>
      <charset val="238"/>
    </font>
    <font>
      <sz val="8"/>
      <color rgb="FF000000"/>
      <name val="Verdana"/>
      <family val="2"/>
      <charset val="238"/>
    </font>
    <font>
      <b/>
      <sz val="8"/>
      <color rgb="FF00CC00"/>
      <name val="Verdana"/>
      <family val="2"/>
      <charset val="238"/>
    </font>
    <font>
      <b/>
      <sz val="8"/>
      <color rgb="FF33CC33"/>
      <name val="Verdana"/>
      <family val="2"/>
      <charset val="238"/>
    </font>
    <font>
      <b/>
      <sz val="8"/>
      <color rgb="FFFF9900"/>
      <name val="Verdana"/>
      <family val="2"/>
      <charset val="238"/>
    </font>
    <font>
      <b/>
      <sz val="8"/>
      <color rgb="FFFF0000"/>
      <name val="Verdana"/>
      <family val="2"/>
      <charset val="238"/>
    </font>
    <font>
      <sz val="8"/>
      <color rgb="FF000000"/>
      <name val="Arial"/>
      <family val="2"/>
      <charset val="238"/>
    </font>
    <font>
      <i/>
      <sz val="8"/>
      <color rgb="FF000000"/>
      <name val="Verdana"/>
      <family val="2"/>
      <charset val="238"/>
    </font>
    <font>
      <b/>
      <i/>
      <sz val="8"/>
      <color rgb="FF000000"/>
      <name val="Verdana"/>
      <family val="2"/>
      <charset val="238"/>
    </font>
    <font>
      <b/>
      <i/>
      <sz val="8"/>
      <color rgb="FF1F497D"/>
      <name val="Verdana"/>
      <family val="2"/>
      <charset val="238"/>
    </font>
    <font>
      <i/>
      <sz val="8"/>
      <color rgb="FF1F497D"/>
      <name val="Verdana"/>
      <family val="2"/>
      <charset val="238"/>
    </font>
    <font>
      <sz val="11"/>
      <color theme="1"/>
      <name val="Calibri"/>
      <family val="2"/>
      <scheme val="minor"/>
    </font>
    <font>
      <sz val="11"/>
      <color theme="0"/>
      <name val="Calibri"/>
      <family val="2"/>
      <scheme val="minor"/>
    </font>
    <font>
      <b/>
      <sz val="20"/>
      <color theme="1"/>
      <name val="Calibri"/>
      <family val="2"/>
      <charset val="238"/>
      <scheme val="minor"/>
    </font>
  </fonts>
  <fills count="20">
    <fill>
      <patternFill patternType="none"/>
    </fill>
    <fill>
      <patternFill patternType="gray125"/>
    </fill>
    <fill>
      <patternFill patternType="solid">
        <fgColor theme="3" tint="0.79998168889431442"/>
        <bgColor indexed="64"/>
      </patternFill>
    </fill>
    <fill>
      <patternFill patternType="solid">
        <fgColor rgb="FFDBE5F1"/>
        <bgColor rgb="FF000000"/>
      </patternFill>
    </fill>
    <fill>
      <patternFill patternType="solid">
        <fgColor rgb="FFFFFFFF"/>
        <bgColor rgb="FF000000"/>
      </patternFill>
    </fill>
    <fill>
      <patternFill patternType="solid">
        <fgColor rgb="FFF1F5FB"/>
        <bgColor rgb="FF000000"/>
      </patternFill>
    </fill>
    <fill>
      <patternFill patternType="solid">
        <fgColor rgb="FFE9EFF7"/>
        <bgColor rgb="FF000000"/>
      </patternFill>
    </fill>
    <fill>
      <patternFill patternType="solid">
        <fgColor rgb="FFC6F9C1"/>
        <bgColor rgb="FF000000"/>
      </patternFill>
    </fill>
    <fill>
      <patternFill patternType="solid">
        <fgColor rgb="FFABEDA5"/>
        <bgColor rgb="FF000000"/>
      </patternFill>
    </fill>
    <fill>
      <patternFill patternType="solid">
        <fgColor rgb="FF94D88F"/>
        <bgColor rgb="FF000000"/>
      </patternFill>
    </fill>
    <fill>
      <patternFill patternType="solid">
        <fgColor rgb="FFFFFDBF"/>
        <bgColor rgb="FF000000"/>
      </patternFill>
    </fill>
    <fill>
      <patternFill patternType="solid">
        <fgColor rgb="FFFFFB8C"/>
        <bgColor rgb="FF000000"/>
      </patternFill>
    </fill>
    <fill>
      <patternFill patternType="solid">
        <fgColor rgb="FFFFF843"/>
        <bgColor rgb="FF000000"/>
      </patternFill>
    </fill>
    <fill>
      <patternFill patternType="solid">
        <fgColor rgb="FFFFC7CE"/>
        <bgColor rgb="FF000000"/>
      </patternFill>
    </fill>
    <fill>
      <patternFill patternType="solid">
        <fgColor rgb="FFFF988C"/>
        <bgColor rgb="FF000000"/>
      </patternFill>
    </fill>
    <fill>
      <patternFill patternType="solid">
        <fgColor rgb="FFFF6758"/>
        <bgColor rgb="FF000000"/>
      </patternFill>
    </fill>
    <fill>
      <patternFill patternType="solid">
        <fgColor rgb="FFDBE5F1"/>
        <bgColor rgb="FFFFFFFF"/>
      </patternFill>
    </fill>
    <fill>
      <patternFill patternType="solid">
        <fgColor rgb="FFB7CFE8"/>
        <bgColor rgb="FF000000"/>
      </patternFill>
    </fill>
    <fill>
      <patternFill patternType="solid">
        <fgColor rgb="FFC3D6EB"/>
        <bgColor rgb="FF000000"/>
      </patternFill>
    </fill>
    <fill>
      <patternFill patternType="solid">
        <fgColor rgb="FFDBE5F2"/>
        <bgColor rgb="FF000000"/>
      </patternFill>
    </fill>
  </fills>
  <borders count="14">
    <border>
      <left/>
      <right/>
      <top/>
      <bottom/>
      <diagonal/>
    </border>
    <border>
      <left style="thin">
        <color theme="3" tint="-0.24994659260841701"/>
      </left>
      <right style="thin">
        <color theme="3" tint="-0.24994659260841701"/>
      </right>
      <top style="thin">
        <color theme="3" tint="-0.24994659260841701"/>
      </top>
      <bottom style="thin">
        <color theme="3" tint="-0.24994659260841701"/>
      </bottom>
      <diagonal/>
    </border>
    <border>
      <left style="thin">
        <color theme="3" tint="0.59996337778862885"/>
      </left>
      <right style="thin">
        <color theme="3" tint="0.59996337778862885"/>
      </right>
      <top style="thin">
        <color theme="3" tint="0.59996337778862885"/>
      </top>
      <bottom style="thin">
        <color theme="3" tint="0.59996337778862885"/>
      </bottom>
      <diagonal/>
    </border>
    <border>
      <left style="thin">
        <color rgb="FF808080"/>
      </left>
      <right style="thin">
        <color rgb="FF808080"/>
      </right>
      <top style="thin">
        <color rgb="FF808080"/>
      </top>
      <bottom style="thin">
        <color rgb="FF808080"/>
      </bottom>
      <diagonal/>
    </border>
    <border>
      <left style="hair">
        <color rgb="FFC0C0C0"/>
      </left>
      <right style="hair">
        <color rgb="FFC0C0C0"/>
      </right>
      <top style="thin">
        <color rgb="FF808080"/>
      </top>
      <bottom style="thin">
        <color rgb="FF808080"/>
      </bottom>
      <diagonal/>
    </border>
    <border>
      <left style="thin">
        <color rgb="FF000000"/>
      </left>
      <right style="thin">
        <color rgb="FF000000"/>
      </right>
      <top style="thin">
        <color rgb="FF000000"/>
      </top>
      <bottom style="thin">
        <color rgb="FF000000"/>
      </bottom>
      <diagonal/>
    </border>
    <border>
      <left/>
      <right/>
      <top/>
      <bottom style="mediumDashed">
        <color auto="1"/>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37">
    <xf numFmtId="0" fontId="0" fillId="0" borderId="0"/>
    <xf numFmtId="9" fontId="2" fillId="0" borderId="0" applyFont="0" applyFill="0" applyBorder="0" applyAlignment="0" applyProtection="0"/>
    <xf numFmtId="0" fontId="3" fillId="3" borderId="1" applyNumberFormat="0" applyAlignment="0" applyProtection="0">
      <alignment horizontal="left" vertical="center" indent="1"/>
    </xf>
    <xf numFmtId="164" fontId="4" fillId="0" borderId="2" applyNumberFormat="0" applyProtection="0">
      <alignment horizontal="right" vertical="center"/>
    </xf>
    <xf numFmtId="164" fontId="3" fillId="0" borderId="3" applyNumberFormat="0" applyProtection="0">
      <alignment horizontal="right" vertical="center"/>
    </xf>
    <xf numFmtId="0" fontId="5" fillId="4" borderId="3" applyNumberFormat="0" applyAlignment="0" applyProtection="0">
      <alignment horizontal="left" vertical="center" indent="1"/>
    </xf>
    <xf numFmtId="0" fontId="5" fillId="5" borderId="3" applyNumberFormat="0" applyAlignment="0" applyProtection="0">
      <alignment horizontal="left" vertical="center" indent="1"/>
    </xf>
    <xf numFmtId="164" fontId="4" fillId="6" borderId="2" applyNumberFormat="0" applyBorder="0" applyProtection="0">
      <alignment horizontal="right" vertical="center"/>
    </xf>
    <xf numFmtId="0" fontId="5" fillId="4" borderId="3" applyNumberFormat="0" applyAlignment="0" applyProtection="0">
      <alignment horizontal="left" vertical="center" indent="1"/>
    </xf>
    <xf numFmtId="164" fontId="3" fillId="5" borderId="3" applyNumberFormat="0" applyProtection="0">
      <alignment horizontal="right" vertical="center"/>
    </xf>
    <xf numFmtId="164" fontId="3" fillId="6" borderId="3" applyNumberFormat="0" applyBorder="0" applyProtection="0">
      <alignment horizontal="right" vertical="center"/>
    </xf>
    <xf numFmtId="164" fontId="6" fillId="7" borderId="4" applyNumberFormat="0" applyBorder="0" applyAlignment="0" applyProtection="0">
      <alignment horizontal="right" vertical="center" indent="1"/>
    </xf>
    <xf numFmtId="164" fontId="7" fillId="8" borderId="4" applyNumberFormat="0" applyBorder="0" applyAlignment="0" applyProtection="0">
      <alignment horizontal="right" vertical="center" indent="1"/>
    </xf>
    <xf numFmtId="164" fontId="7" fillId="9" borderId="4" applyNumberFormat="0" applyBorder="0" applyAlignment="0" applyProtection="0">
      <alignment horizontal="right" vertical="center" indent="1"/>
    </xf>
    <xf numFmtId="164" fontId="8" fillId="10" borderId="4" applyNumberFormat="0" applyBorder="0" applyAlignment="0" applyProtection="0">
      <alignment horizontal="right" vertical="center" indent="1"/>
    </xf>
    <xf numFmtId="164" fontId="8" fillId="11" borderId="4" applyNumberFormat="0" applyBorder="0" applyAlignment="0" applyProtection="0">
      <alignment horizontal="right" vertical="center" indent="1"/>
    </xf>
    <xf numFmtId="164" fontId="8" fillId="12" borderId="4" applyNumberFormat="0" applyBorder="0" applyAlignment="0" applyProtection="0">
      <alignment horizontal="right" vertical="center" indent="1"/>
    </xf>
    <xf numFmtId="164" fontId="9" fillId="13" borderId="4" applyNumberFormat="0" applyBorder="0" applyAlignment="0" applyProtection="0">
      <alignment horizontal="right" vertical="center" indent="1"/>
    </xf>
    <xf numFmtId="164" fontId="9" fillId="14" borderId="4" applyNumberFormat="0" applyBorder="0" applyAlignment="0" applyProtection="0">
      <alignment horizontal="right" vertical="center" indent="1"/>
    </xf>
    <xf numFmtId="164" fontId="9" fillId="15" borderId="4" applyNumberFormat="0" applyBorder="0" applyAlignment="0" applyProtection="0">
      <alignment horizontal="right" vertical="center" indent="1"/>
    </xf>
    <xf numFmtId="0" fontId="10" fillId="0" borderId="1" applyNumberFormat="0" applyFont="0" applyFill="0" applyAlignment="0" applyProtection="0"/>
    <xf numFmtId="164" fontId="4" fillId="16" borderId="1" applyNumberFormat="0" applyAlignment="0" applyProtection="0">
      <alignment horizontal="left" vertical="center" indent="1"/>
    </xf>
    <xf numFmtId="0" fontId="3" fillId="3" borderId="3" applyNumberFormat="0" applyAlignment="0" applyProtection="0">
      <alignment horizontal="left" vertical="center" indent="1"/>
    </xf>
    <xf numFmtId="0" fontId="5" fillId="17" borderId="1" applyNumberFormat="0" applyAlignment="0" applyProtection="0">
      <alignment horizontal="left" vertical="center" indent="1"/>
    </xf>
    <xf numFmtId="0" fontId="5" fillId="18" borderId="1" applyNumberFormat="0" applyAlignment="0" applyProtection="0">
      <alignment horizontal="left" vertical="center" indent="1"/>
    </xf>
    <xf numFmtId="0" fontId="5" fillId="19" borderId="1" applyNumberFormat="0" applyAlignment="0" applyProtection="0">
      <alignment horizontal="left" vertical="center" indent="1"/>
    </xf>
    <xf numFmtId="0" fontId="5" fillId="6" borderId="1" applyNumberFormat="0" applyAlignment="0" applyProtection="0">
      <alignment horizontal="left" vertical="center" indent="1"/>
    </xf>
    <xf numFmtId="0" fontId="5" fillId="5" borderId="3" applyNumberFormat="0" applyAlignment="0" applyProtection="0">
      <alignment horizontal="left" vertical="center" indent="1"/>
    </xf>
    <xf numFmtId="0" fontId="11" fillId="0" borderId="5" applyNumberFormat="0" applyFill="0" applyBorder="0" applyAlignment="0" applyProtection="0"/>
    <xf numFmtId="0" fontId="12" fillId="0" borderId="5" applyBorder="0" applyAlignment="0" applyProtection="0"/>
    <xf numFmtId="0" fontId="11" fillId="4" borderId="3" applyNumberFormat="0" applyAlignment="0" applyProtection="0">
      <alignment horizontal="left" vertical="center" indent="1"/>
    </xf>
    <xf numFmtId="0" fontId="11" fillId="4" borderId="3" applyNumberFormat="0" applyAlignment="0" applyProtection="0">
      <alignment horizontal="left" vertical="center" indent="1"/>
    </xf>
    <xf numFmtId="0" fontId="11" fillId="5" borderId="3" applyNumberFormat="0" applyAlignment="0" applyProtection="0">
      <alignment horizontal="left" vertical="center" indent="1"/>
    </xf>
    <xf numFmtId="164" fontId="13" fillId="5" borderId="3" applyNumberFormat="0" applyProtection="0">
      <alignment horizontal="right" vertical="center"/>
    </xf>
    <xf numFmtId="164" fontId="14" fillId="6" borderId="2" applyNumberFormat="0" applyBorder="0" applyProtection="0">
      <alignment horizontal="right" vertical="center"/>
    </xf>
    <xf numFmtId="164" fontId="13" fillId="6" borderId="3" applyNumberFormat="0" applyBorder="0" applyProtection="0">
      <alignment horizontal="right" vertical="center"/>
    </xf>
    <xf numFmtId="0" fontId="1" fillId="0" borderId="0"/>
  </cellStyleXfs>
  <cellXfs count="31">
    <xf numFmtId="0" fontId="0" fillId="0" borderId="0" xfId="0"/>
    <xf numFmtId="14" fontId="0" fillId="0" borderId="0" xfId="0" applyNumberFormat="1"/>
    <xf numFmtId="9" fontId="0" fillId="0" borderId="0" xfId="0" applyNumberFormat="1"/>
    <xf numFmtId="0" fontId="0" fillId="0" borderId="0" xfId="0" pivotButton="1"/>
    <xf numFmtId="0" fontId="0" fillId="0" borderId="7" xfId="0" applyBorder="1"/>
    <xf numFmtId="0" fontId="0" fillId="0" borderId="8" xfId="0" applyBorder="1"/>
    <xf numFmtId="0" fontId="0" fillId="0" borderId="9" xfId="0" applyBorder="1"/>
    <xf numFmtId="9" fontId="0" fillId="0" borderId="10" xfId="1" applyFont="1" applyBorder="1"/>
    <xf numFmtId="9" fontId="0" fillId="0" borderId="11" xfId="1" applyFont="1" applyBorder="1"/>
    <xf numFmtId="9" fontId="0" fillId="0" borderId="9" xfId="1" applyFont="1" applyBorder="1"/>
    <xf numFmtId="9" fontId="0" fillId="0" borderId="9" xfId="0" applyNumberFormat="1" applyBorder="1"/>
    <xf numFmtId="0" fontId="0" fillId="0" borderId="0" xfId="0" applyNumberFormat="1"/>
    <xf numFmtId="0" fontId="0" fillId="0" borderId="12" xfId="0" applyBorder="1" applyAlignment="1"/>
    <xf numFmtId="0" fontId="0" fillId="0" borderId="13" xfId="0" applyBorder="1" applyAlignment="1"/>
    <xf numFmtId="0" fontId="0" fillId="0" borderId="9" xfId="1" applyNumberFormat="1" applyFont="1" applyBorder="1"/>
    <xf numFmtId="1" fontId="0" fillId="0" borderId="0" xfId="0" applyNumberFormat="1"/>
    <xf numFmtId="9" fontId="0" fillId="0" borderId="9" xfId="1" applyFont="1" applyBorder="1" applyAlignment="1">
      <alignment horizontal="center" vertical="center"/>
    </xf>
    <xf numFmtId="20" fontId="0" fillId="0" borderId="0" xfId="0" applyNumberFormat="1"/>
    <xf numFmtId="0" fontId="0" fillId="0" borderId="9" xfId="0" applyFill="1" applyBorder="1"/>
    <xf numFmtId="14" fontId="0" fillId="0" borderId="0" xfId="0" applyNumberFormat="1" applyAlignment="1">
      <alignment horizontal="left"/>
    </xf>
    <xf numFmtId="0" fontId="0" fillId="0" borderId="0" xfId="0" applyAlignment="1">
      <alignment horizontal="left"/>
    </xf>
    <xf numFmtId="0" fontId="0" fillId="0" borderId="0" xfId="0" applyAlignment="1">
      <alignment horizontal="left" indent="1"/>
    </xf>
    <xf numFmtId="0" fontId="15" fillId="2" borderId="0" xfId="0" applyFont="1" applyFill="1"/>
    <xf numFmtId="0" fontId="15" fillId="0" borderId="0" xfId="0" applyFont="1"/>
    <xf numFmtId="0" fontId="15" fillId="2" borderId="6" xfId="0" applyFont="1" applyFill="1" applyBorder="1"/>
    <xf numFmtId="0" fontId="16" fillId="2" borderId="0" xfId="0" applyFont="1" applyFill="1"/>
    <xf numFmtId="0" fontId="15" fillId="2" borderId="0" xfId="0" applyFont="1" applyFill="1" applyBorder="1"/>
    <xf numFmtId="0" fontId="15" fillId="2" borderId="0" xfId="0" applyFont="1" applyFill="1" applyAlignment="1"/>
    <xf numFmtId="9" fontId="15" fillId="2" borderId="0" xfId="0" applyNumberFormat="1" applyFont="1" applyFill="1"/>
    <xf numFmtId="0" fontId="15" fillId="2" borderId="0" xfId="0" applyFont="1" applyFill="1" applyAlignment="1">
      <alignment vertical="center"/>
    </xf>
    <xf numFmtId="0" fontId="17" fillId="2" borderId="0" xfId="0" applyFont="1" applyFill="1" applyAlignment="1">
      <alignment vertical="center" textRotation="90"/>
    </xf>
  </cellXfs>
  <cellStyles count="37">
    <cellStyle name="Normal" xfId="0" builtinId="0"/>
    <cellStyle name="Normal 2" xfId="36" xr:uid="{00000000-0005-0000-0000-000001000000}"/>
    <cellStyle name="Percent" xfId="1" builtinId="5"/>
    <cellStyle name="SAPBorder" xfId="20" xr:uid="{00000000-0005-0000-0000-000003000000}"/>
    <cellStyle name="SAPDataCell" xfId="3" xr:uid="{00000000-0005-0000-0000-000004000000}"/>
    <cellStyle name="SAPDataTotalCell" xfId="4" xr:uid="{00000000-0005-0000-0000-000005000000}"/>
    <cellStyle name="SAPDimensionCell" xfId="2" xr:uid="{00000000-0005-0000-0000-000006000000}"/>
    <cellStyle name="SAPEditableDataCell" xfId="5" xr:uid="{00000000-0005-0000-0000-000007000000}"/>
    <cellStyle name="SAPEditableDataTotalCell" xfId="8" xr:uid="{00000000-0005-0000-0000-000008000000}"/>
    <cellStyle name="SAPEmphasized" xfId="28" xr:uid="{00000000-0005-0000-0000-000009000000}"/>
    <cellStyle name="SAPEmphasizedEditableDataCell" xfId="30" xr:uid="{00000000-0005-0000-0000-00000A000000}"/>
    <cellStyle name="SAPEmphasizedEditableDataTotalCell" xfId="31" xr:uid="{00000000-0005-0000-0000-00000B000000}"/>
    <cellStyle name="SAPEmphasizedLockedDataCell" xfId="34" xr:uid="{00000000-0005-0000-0000-00000C000000}"/>
    <cellStyle name="SAPEmphasizedLockedDataTotalCell" xfId="35" xr:uid="{00000000-0005-0000-0000-00000D000000}"/>
    <cellStyle name="SAPEmphasizedReadonlyDataCell" xfId="32" xr:uid="{00000000-0005-0000-0000-00000E000000}"/>
    <cellStyle name="SAPEmphasizedReadonlyDataTotalCell" xfId="33" xr:uid="{00000000-0005-0000-0000-00000F000000}"/>
    <cellStyle name="SAPEmphasizedTotal" xfId="29" xr:uid="{00000000-0005-0000-0000-000010000000}"/>
    <cellStyle name="SAPExceptionLevel1" xfId="11" xr:uid="{00000000-0005-0000-0000-000011000000}"/>
    <cellStyle name="SAPExceptionLevel2" xfId="12" xr:uid="{00000000-0005-0000-0000-000012000000}"/>
    <cellStyle name="SAPExceptionLevel3" xfId="13" xr:uid="{00000000-0005-0000-0000-000013000000}"/>
    <cellStyle name="SAPExceptionLevel4" xfId="14" xr:uid="{00000000-0005-0000-0000-000014000000}"/>
    <cellStyle name="SAPExceptionLevel5" xfId="15" xr:uid="{00000000-0005-0000-0000-000015000000}"/>
    <cellStyle name="SAPExceptionLevel6" xfId="16" xr:uid="{00000000-0005-0000-0000-000016000000}"/>
    <cellStyle name="SAPExceptionLevel7" xfId="17" xr:uid="{00000000-0005-0000-0000-000017000000}"/>
    <cellStyle name="SAPExceptionLevel8" xfId="18" xr:uid="{00000000-0005-0000-0000-000018000000}"/>
    <cellStyle name="SAPExceptionLevel9" xfId="19" xr:uid="{00000000-0005-0000-0000-000019000000}"/>
    <cellStyle name="SAPHierarchyCell0" xfId="23" xr:uid="{00000000-0005-0000-0000-00001A000000}"/>
    <cellStyle name="SAPHierarchyCell1" xfId="24" xr:uid="{00000000-0005-0000-0000-00001B000000}"/>
    <cellStyle name="SAPHierarchyCell2" xfId="25" xr:uid="{00000000-0005-0000-0000-00001C000000}"/>
    <cellStyle name="SAPHierarchyCell3" xfId="26" xr:uid="{00000000-0005-0000-0000-00001D000000}"/>
    <cellStyle name="SAPHierarchyCell4" xfId="27" xr:uid="{00000000-0005-0000-0000-00001E000000}"/>
    <cellStyle name="SAPLockedDataCell" xfId="7" xr:uid="{00000000-0005-0000-0000-00001F000000}"/>
    <cellStyle name="SAPLockedDataTotalCell" xfId="10" xr:uid="{00000000-0005-0000-0000-000020000000}"/>
    <cellStyle name="SAPMemberCell" xfId="21" xr:uid="{00000000-0005-0000-0000-000021000000}"/>
    <cellStyle name="SAPMemberTotalCell" xfId="22" xr:uid="{00000000-0005-0000-0000-000022000000}"/>
    <cellStyle name="SAPReadonlyDataCell" xfId="6" xr:uid="{00000000-0005-0000-0000-000023000000}"/>
    <cellStyle name="SAPReadonlyDataTotalCell" xfId="9" xr:uid="{00000000-0005-0000-0000-000024000000}"/>
  </cellStyles>
  <dxfs count="2">
    <dxf>
      <font>
        <color theme="9"/>
      </font>
    </dxf>
    <dxf>
      <border diagonalUp="0" diagonalDown="0">
        <left/>
        <right/>
        <top/>
        <bottom/>
        <vertical/>
        <horizontal/>
      </border>
    </dxf>
  </dxfs>
  <tableStyles count="2" defaultTableStyle="TableStyleMedium2" defaultPivotStyle="PivotStyleMedium9">
    <tableStyle name="Styl průřezu 1" pivot="0" table="0" count="1" xr9:uid="{00000000-0011-0000-FFFF-FFFF00000000}">
      <tableStyleElement type="wholeTable" dxfId="1"/>
    </tableStyle>
    <tableStyle name="Styl průřezu 2" pivot="0" table="0" count="1" xr9:uid="{00000000-0011-0000-FFFF-FFFF01000000}">
      <tableStyleElement type="wholeTable" dxfId="0"/>
    </tableStyle>
  </tableStyles>
  <colors>
    <mruColors>
      <color rgb="FFFF3300"/>
      <color rgb="FF43741E"/>
      <color rgb="FF3E9937"/>
      <color rgb="FFCC0000"/>
      <color rgb="FFFFC000"/>
      <color rgb="FF9BBB59"/>
      <color rgb="FFFAF004"/>
      <color rgb="FFFCF004"/>
      <color rgb="FFFFFF00"/>
      <color rgb="FFFFFF66"/>
    </mruColors>
  </colors>
  <extLst>
    <ext xmlns:x14="http://schemas.microsoft.com/office/spreadsheetml/2009/9/main" uri="{EB79DEF2-80B8-43e5-95BD-54CBDDF9020C}">
      <x14:slicerStyles defaultSlicerStyle="SlicerStyleLight1">
        <x14:slicerStyle name="Styl průřezu 1"/>
        <x14:slicerStyle name="Styl průřezu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pivotCacheDefinition" Target="pivotCache/pivotCacheDefinition1.xml"/><Relationship Id="rId50" Type="http://schemas.microsoft.com/office/2007/relationships/slicerCache" Target="slicerCaches/slicerCache1.xml"/><Relationship Id="rId55"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onnections" Target="connections.xml"/><Relationship Id="rId58"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3.xml"/><Relationship Id="rId57"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theme" Target="theme/theme1.xml"/><Relationship Id="rId6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pivotCacheDefinition" Target="pivotCache/pivotCacheDefinition2.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07/relationships/slicerCache" Target="slicerCaches/slicerCache2.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13.xml"/><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3" Type="http://schemas.openxmlformats.org/officeDocument/2006/relationships/chartUserShapes" Target="../drawings/drawing16.xml"/><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1.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2.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3.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4.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5.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26.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7.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9.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30.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1.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2.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3.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42.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43.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44.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45.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46.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47.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48.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49.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50.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51.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52.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53.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54.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55.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56.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57.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58.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59.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60.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61.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62.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63.xml.rels><?xml version="1.0" encoding="UTF-8" standalone="yes"?>
<Relationships xmlns="http://schemas.openxmlformats.org/package/2006/relationships"><Relationship Id="rId3" Type="http://schemas.openxmlformats.org/officeDocument/2006/relationships/chartUserShapes" Target="../drawings/drawing19.xml"/><Relationship Id="rId2" Type="http://schemas.microsoft.com/office/2011/relationships/chartColorStyle" Target="colors52.xml"/><Relationship Id="rId1" Type="http://schemas.microsoft.com/office/2011/relationships/chartStyle" Target="style5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BE17-45D5-B82E-770D8751735F}"/>
              </c:ext>
            </c:extLst>
          </c:dPt>
          <c:dPt>
            <c:idx val="1"/>
            <c:bubble3D val="0"/>
            <c:spPr>
              <a:solidFill>
                <a:srgbClr val="FF0000"/>
              </a:solidFill>
              <a:ln w="19050">
                <a:noFill/>
              </a:ln>
              <a:effectLst/>
            </c:spPr>
            <c:extLst>
              <c:ext xmlns:c16="http://schemas.microsoft.com/office/drawing/2014/chart" uri="{C3380CC4-5D6E-409C-BE32-E72D297353CC}">
                <c16:uniqueId val="{00000003-BE17-45D5-B82E-770D8751735F}"/>
              </c:ext>
            </c:extLst>
          </c:dPt>
          <c:val>
            <c:numRef>
              <c:f>#REF!</c:f>
              <c:numCache>
                <c:formatCode>General</c:formatCode>
                <c:ptCount val="1"/>
                <c:pt idx="0">
                  <c:v>1</c:v>
                </c:pt>
              </c:numCache>
            </c:numRef>
          </c:val>
          <c:extLst>
            <c:ext xmlns:c16="http://schemas.microsoft.com/office/drawing/2014/chart" uri="{C3380CC4-5D6E-409C-BE32-E72D297353CC}">
              <c16:uniqueId val="{00000004-BE17-45D5-B82E-770D8751735F}"/>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E4CF-414D-83A8-996B55B6FEFF}"/>
              </c:ext>
            </c:extLst>
          </c:dPt>
          <c:dPt>
            <c:idx val="1"/>
            <c:bubble3D val="0"/>
            <c:spPr>
              <a:solidFill>
                <a:srgbClr val="FF0000"/>
              </a:solidFill>
              <a:ln w="19050">
                <a:noFill/>
              </a:ln>
              <a:effectLst/>
            </c:spPr>
            <c:extLst>
              <c:ext xmlns:c16="http://schemas.microsoft.com/office/drawing/2014/chart" uri="{C3380CC4-5D6E-409C-BE32-E72D297353CC}">
                <c16:uniqueId val="{00000003-E4CF-414D-83A8-996B55B6FEFF}"/>
              </c:ext>
            </c:extLst>
          </c:dPt>
          <c:val>
            <c:numRef>
              <c:f>#REF!</c:f>
              <c:numCache>
                <c:formatCode>General</c:formatCode>
                <c:ptCount val="1"/>
                <c:pt idx="0">
                  <c:v>1</c:v>
                </c:pt>
              </c:numCache>
            </c:numRef>
          </c:val>
          <c:extLst>
            <c:ext xmlns:c16="http://schemas.microsoft.com/office/drawing/2014/chart" uri="{C3380CC4-5D6E-409C-BE32-E72D297353CC}">
              <c16:uniqueId val="{00000004-E4CF-414D-83A8-996B55B6FEFF}"/>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9D44-4707-A8E7-E87CF0FEC4A7}"/>
              </c:ext>
            </c:extLst>
          </c:dPt>
          <c:dPt>
            <c:idx val="1"/>
            <c:bubble3D val="0"/>
            <c:spPr>
              <a:solidFill>
                <a:srgbClr val="FF0000"/>
              </a:solidFill>
              <a:ln w="19050">
                <a:noFill/>
              </a:ln>
              <a:effectLst/>
            </c:spPr>
            <c:extLst>
              <c:ext xmlns:c16="http://schemas.microsoft.com/office/drawing/2014/chart" uri="{C3380CC4-5D6E-409C-BE32-E72D297353CC}">
                <c16:uniqueId val="{00000003-9D44-4707-A8E7-E87CF0FEC4A7}"/>
              </c:ext>
            </c:extLst>
          </c:dPt>
          <c:val>
            <c:numRef>
              <c:f>#REF!</c:f>
              <c:numCache>
                <c:formatCode>General</c:formatCode>
                <c:ptCount val="1"/>
                <c:pt idx="0">
                  <c:v>1</c:v>
                </c:pt>
              </c:numCache>
            </c:numRef>
          </c:val>
          <c:extLst>
            <c:ext xmlns:c16="http://schemas.microsoft.com/office/drawing/2014/chart" uri="{C3380CC4-5D6E-409C-BE32-E72D297353CC}">
              <c16:uniqueId val="{00000004-9D44-4707-A8E7-E87CF0FEC4A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tx>
            <c:strRef>
              <c:f>data.chart!$B$10</c:f>
              <c:strCache>
                <c:ptCount val="1"/>
                <c:pt idx="0">
                  <c:v>PDOT</c:v>
                </c:pt>
              </c:strCache>
            </c:strRef>
          </c:tx>
          <c:spPr>
            <a:ln>
              <a:noFill/>
            </a:ln>
          </c:spPr>
          <c:dPt>
            <c:idx val="0"/>
            <c:bubble3D val="0"/>
            <c:spPr>
              <a:solidFill>
                <a:srgbClr val="9BC348"/>
              </a:solidFill>
              <a:ln w="19050">
                <a:noFill/>
              </a:ln>
              <a:effectLst/>
            </c:spPr>
            <c:extLst>
              <c:ext xmlns:c16="http://schemas.microsoft.com/office/drawing/2014/chart" uri="{C3380CC4-5D6E-409C-BE32-E72D297353CC}">
                <c16:uniqueId val="{00000001-4C4E-49ED-A4A6-516E9BC1FFE3}"/>
              </c:ext>
            </c:extLst>
          </c:dPt>
          <c:dPt>
            <c:idx val="1"/>
            <c:bubble3D val="0"/>
            <c:spPr>
              <a:solidFill>
                <a:srgbClr val="9BC348"/>
              </a:solidFill>
              <a:ln w="19050">
                <a:noFill/>
              </a:ln>
              <a:effectLst/>
            </c:spPr>
            <c:extLst>
              <c:ext xmlns:c16="http://schemas.microsoft.com/office/drawing/2014/chart" uri="{C3380CC4-5D6E-409C-BE32-E72D297353CC}">
                <c16:uniqueId val="{00000003-4C4E-49ED-A4A6-516E9BC1FFE3}"/>
              </c:ext>
            </c:extLst>
          </c:dPt>
          <c:dPt>
            <c:idx val="2"/>
            <c:bubble3D val="0"/>
            <c:spPr>
              <a:solidFill>
                <a:srgbClr val="000000"/>
              </a:solidFill>
              <a:ln w="19050">
                <a:noFill/>
              </a:ln>
              <a:effectLst/>
            </c:spPr>
            <c:extLst>
              <c:ext xmlns:c16="http://schemas.microsoft.com/office/drawing/2014/chart" uri="{C3380CC4-5D6E-409C-BE32-E72D297353CC}">
                <c16:uniqueId val="{00000005-4C4E-49ED-A4A6-516E9BC1FFE3}"/>
              </c:ext>
            </c:extLst>
          </c:dPt>
          <c:dPt>
            <c:idx val="3"/>
            <c:bubble3D val="0"/>
            <c:spPr>
              <a:solidFill>
                <a:srgbClr val="9BC348"/>
              </a:solidFill>
              <a:ln w="19050">
                <a:noFill/>
              </a:ln>
              <a:effectLst/>
            </c:spPr>
            <c:extLst>
              <c:ext xmlns:c16="http://schemas.microsoft.com/office/drawing/2014/chart" uri="{C3380CC4-5D6E-409C-BE32-E72D297353CC}">
                <c16:uniqueId val="{00000007-4C4E-49ED-A4A6-516E9BC1FFE3}"/>
              </c:ext>
            </c:extLst>
          </c:dPt>
          <c:dPt>
            <c:idx val="4"/>
            <c:bubble3D val="0"/>
            <c:spPr>
              <a:solidFill>
                <a:srgbClr val="F2F2F2"/>
              </a:solidFill>
              <a:ln w="19050">
                <a:noFill/>
              </a:ln>
              <a:effectLst/>
            </c:spPr>
            <c:extLst>
              <c:ext xmlns:c16="http://schemas.microsoft.com/office/drawing/2014/chart" uri="{C3380CC4-5D6E-409C-BE32-E72D297353CC}">
                <c16:uniqueId val="{00000009-4C4E-49ED-A4A6-516E9BC1FFE3}"/>
              </c:ext>
            </c:extLst>
          </c:dPt>
          <c:val>
            <c:numRef>
              <c:f>data.chart!$E$10:$I$10</c:f>
              <c:numCache>
                <c:formatCode>General</c:formatCode>
                <c:ptCount val="5"/>
                <c:pt idx="0">
                  <c:v>0.79999999999999893</c:v>
                </c:pt>
                <c:pt idx="1">
                  <c:v>0</c:v>
                </c:pt>
                <c:pt idx="2">
                  <c:v>0.02</c:v>
                </c:pt>
                <c:pt idx="3">
                  <c:v>0.11734844671248268</c:v>
                </c:pt>
                <c:pt idx="4">
                  <c:v>6.2651553287518369E-2</c:v>
                </c:pt>
              </c:numCache>
            </c:numRef>
          </c:val>
          <c:extLst>
            <c:ext xmlns:c16="http://schemas.microsoft.com/office/drawing/2014/chart" uri="{C3380CC4-5D6E-409C-BE32-E72D297353CC}">
              <c16:uniqueId val="{0000000A-4C4E-49ED-A4A6-516E9BC1FFE3}"/>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2CCD-42C6-8CA4-27C99579944E}"/>
              </c:ext>
            </c:extLst>
          </c:dPt>
          <c:dPt>
            <c:idx val="1"/>
            <c:bubble3D val="0"/>
            <c:spPr>
              <a:solidFill>
                <a:srgbClr val="FF0000"/>
              </a:solidFill>
              <a:ln w="19050">
                <a:noFill/>
              </a:ln>
              <a:effectLst/>
            </c:spPr>
            <c:extLst>
              <c:ext xmlns:c16="http://schemas.microsoft.com/office/drawing/2014/chart" uri="{C3380CC4-5D6E-409C-BE32-E72D297353CC}">
                <c16:uniqueId val="{00000003-2CCD-42C6-8CA4-27C99579944E}"/>
              </c:ext>
            </c:extLst>
          </c:dPt>
          <c:val>
            <c:numRef>
              <c:f>#REF!</c:f>
              <c:numCache>
                <c:formatCode>General</c:formatCode>
                <c:ptCount val="1"/>
                <c:pt idx="0">
                  <c:v>1</c:v>
                </c:pt>
              </c:numCache>
            </c:numRef>
          </c:val>
          <c:extLst>
            <c:ext xmlns:c16="http://schemas.microsoft.com/office/drawing/2014/chart" uri="{C3380CC4-5D6E-409C-BE32-E72D297353CC}">
              <c16:uniqueId val="{00000004-2CCD-42C6-8CA4-27C99579944E}"/>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1C7F-4EE6-89E6-9B465D20B9C0}"/>
              </c:ext>
            </c:extLst>
          </c:dPt>
          <c:dPt>
            <c:idx val="1"/>
            <c:bubble3D val="0"/>
            <c:spPr>
              <a:solidFill>
                <a:srgbClr val="FF0000"/>
              </a:solidFill>
              <a:ln w="19050">
                <a:noFill/>
              </a:ln>
              <a:effectLst/>
            </c:spPr>
            <c:extLst>
              <c:ext xmlns:c16="http://schemas.microsoft.com/office/drawing/2014/chart" uri="{C3380CC4-5D6E-409C-BE32-E72D297353CC}">
                <c16:uniqueId val="{00000003-1C7F-4EE6-89E6-9B465D20B9C0}"/>
              </c:ext>
            </c:extLst>
          </c:dPt>
          <c:val>
            <c:numRef>
              <c:f>#REF!</c:f>
              <c:numCache>
                <c:formatCode>General</c:formatCode>
                <c:ptCount val="1"/>
                <c:pt idx="0">
                  <c:v>1</c:v>
                </c:pt>
              </c:numCache>
            </c:numRef>
          </c:val>
          <c:extLst>
            <c:ext xmlns:c16="http://schemas.microsoft.com/office/drawing/2014/chart" uri="{C3380CC4-5D6E-409C-BE32-E72D297353CC}">
              <c16:uniqueId val="{00000004-1C7F-4EE6-89E6-9B465D20B9C0}"/>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E360-4C96-83B2-4CA1AEA8CC47}"/>
              </c:ext>
            </c:extLst>
          </c:dPt>
          <c:dPt>
            <c:idx val="1"/>
            <c:bubble3D val="0"/>
            <c:spPr>
              <a:solidFill>
                <a:srgbClr val="FF0000"/>
              </a:solidFill>
              <a:ln w="19050">
                <a:noFill/>
              </a:ln>
              <a:effectLst/>
            </c:spPr>
            <c:extLst>
              <c:ext xmlns:c16="http://schemas.microsoft.com/office/drawing/2014/chart" uri="{C3380CC4-5D6E-409C-BE32-E72D297353CC}">
                <c16:uniqueId val="{00000003-E360-4C96-83B2-4CA1AEA8CC47}"/>
              </c:ext>
            </c:extLst>
          </c:dPt>
          <c:val>
            <c:numRef>
              <c:f>#REF!</c:f>
              <c:numCache>
                <c:formatCode>General</c:formatCode>
                <c:ptCount val="1"/>
                <c:pt idx="0">
                  <c:v>1</c:v>
                </c:pt>
              </c:numCache>
            </c:numRef>
          </c:val>
          <c:extLst>
            <c:ext xmlns:c16="http://schemas.microsoft.com/office/drawing/2014/chart" uri="{C3380CC4-5D6E-409C-BE32-E72D297353CC}">
              <c16:uniqueId val="{00000004-E360-4C96-83B2-4CA1AEA8CC4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135E-4196-8B20-0F2ECADF27D2}"/>
              </c:ext>
            </c:extLst>
          </c:dPt>
          <c:dPt>
            <c:idx val="1"/>
            <c:bubble3D val="0"/>
            <c:spPr>
              <a:solidFill>
                <a:srgbClr val="FF0000"/>
              </a:solidFill>
              <a:ln w="19050">
                <a:noFill/>
              </a:ln>
              <a:effectLst/>
            </c:spPr>
            <c:extLst>
              <c:ext xmlns:c16="http://schemas.microsoft.com/office/drawing/2014/chart" uri="{C3380CC4-5D6E-409C-BE32-E72D297353CC}">
                <c16:uniqueId val="{00000003-135E-4196-8B20-0F2ECADF27D2}"/>
              </c:ext>
            </c:extLst>
          </c:dPt>
          <c:val>
            <c:numRef>
              <c:f>#REF!</c:f>
              <c:numCache>
                <c:formatCode>General</c:formatCode>
                <c:ptCount val="1"/>
                <c:pt idx="0">
                  <c:v>1</c:v>
                </c:pt>
              </c:numCache>
            </c:numRef>
          </c:val>
          <c:extLst>
            <c:ext xmlns:c16="http://schemas.microsoft.com/office/drawing/2014/chart" uri="{C3380CC4-5D6E-409C-BE32-E72D297353CC}">
              <c16:uniqueId val="{00000004-135E-4196-8B20-0F2ECADF27D2}"/>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1EB9-4748-BA7C-A46360451B6B}"/>
              </c:ext>
            </c:extLst>
          </c:dPt>
          <c:dPt>
            <c:idx val="1"/>
            <c:bubble3D val="0"/>
            <c:spPr>
              <a:solidFill>
                <a:srgbClr val="FF0000"/>
              </a:solidFill>
              <a:ln w="19050">
                <a:noFill/>
              </a:ln>
              <a:effectLst/>
            </c:spPr>
            <c:extLst>
              <c:ext xmlns:c16="http://schemas.microsoft.com/office/drawing/2014/chart" uri="{C3380CC4-5D6E-409C-BE32-E72D297353CC}">
                <c16:uniqueId val="{00000003-1EB9-4748-BA7C-A46360451B6B}"/>
              </c:ext>
            </c:extLst>
          </c:dPt>
          <c:val>
            <c:numRef>
              <c:f>#REF!</c:f>
              <c:numCache>
                <c:formatCode>General</c:formatCode>
                <c:ptCount val="1"/>
                <c:pt idx="0">
                  <c:v>1</c:v>
                </c:pt>
              </c:numCache>
            </c:numRef>
          </c:val>
          <c:extLst>
            <c:ext xmlns:c16="http://schemas.microsoft.com/office/drawing/2014/chart" uri="{C3380CC4-5D6E-409C-BE32-E72D297353CC}">
              <c16:uniqueId val="{00000004-1EB9-4748-BA7C-A46360451B6B}"/>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7221-4C92-8048-28ADA1AE0D5D}"/>
              </c:ext>
            </c:extLst>
          </c:dPt>
          <c:dPt>
            <c:idx val="1"/>
            <c:bubble3D val="0"/>
            <c:spPr>
              <a:solidFill>
                <a:srgbClr val="FF0000"/>
              </a:solidFill>
              <a:ln w="19050">
                <a:noFill/>
              </a:ln>
              <a:effectLst/>
            </c:spPr>
            <c:extLst>
              <c:ext xmlns:c16="http://schemas.microsoft.com/office/drawing/2014/chart" uri="{C3380CC4-5D6E-409C-BE32-E72D297353CC}">
                <c16:uniqueId val="{00000003-7221-4C92-8048-28ADA1AE0D5D}"/>
              </c:ext>
            </c:extLst>
          </c:dPt>
          <c:val>
            <c:numRef>
              <c:f>#REF!</c:f>
              <c:numCache>
                <c:formatCode>General</c:formatCode>
                <c:ptCount val="1"/>
                <c:pt idx="0">
                  <c:v>1</c:v>
                </c:pt>
              </c:numCache>
            </c:numRef>
          </c:val>
          <c:extLst>
            <c:ext xmlns:c16="http://schemas.microsoft.com/office/drawing/2014/chart" uri="{C3380CC4-5D6E-409C-BE32-E72D297353CC}">
              <c16:uniqueId val="{00000004-7221-4C92-8048-28ADA1AE0D5D}"/>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BEB9-455A-B8A8-ED3CEBDEE63D}"/>
              </c:ext>
            </c:extLst>
          </c:dPt>
          <c:dPt>
            <c:idx val="1"/>
            <c:bubble3D val="0"/>
            <c:spPr>
              <a:solidFill>
                <a:srgbClr val="FF0000"/>
              </a:solidFill>
              <a:ln w="19050">
                <a:noFill/>
              </a:ln>
              <a:effectLst/>
            </c:spPr>
            <c:extLst>
              <c:ext xmlns:c16="http://schemas.microsoft.com/office/drawing/2014/chart" uri="{C3380CC4-5D6E-409C-BE32-E72D297353CC}">
                <c16:uniqueId val="{00000003-BEB9-455A-B8A8-ED3CEBDEE63D}"/>
              </c:ext>
            </c:extLst>
          </c:dPt>
          <c:val>
            <c:numRef>
              <c:f>#REF!</c:f>
              <c:numCache>
                <c:formatCode>General</c:formatCode>
                <c:ptCount val="1"/>
                <c:pt idx="0">
                  <c:v>1</c:v>
                </c:pt>
              </c:numCache>
            </c:numRef>
          </c:val>
          <c:extLst>
            <c:ext xmlns:c16="http://schemas.microsoft.com/office/drawing/2014/chart" uri="{C3380CC4-5D6E-409C-BE32-E72D297353CC}">
              <c16:uniqueId val="{00000004-BEB9-455A-B8A8-ED3CEBDEE63D}"/>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3DD7-4599-833E-B3C95AD5DD05}"/>
              </c:ext>
            </c:extLst>
          </c:dPt>
          <c:dPt>
            <c:idx val="1"/>
            <c:bubble3D val="0"/>
            <c:spPr>
              <a:solidFill>
                <a:srgbClr val="FF0000"/>
              </a:solidFill>
              <a:ln w="19050">
                <a:noFill/>
              </a:ln>
              <a:effectLst/>
            </c:spPr>
            <c:extLst>
              <c:ext xmlns:c16="http://schemas.microsoft.com/office/drawing/2014/chart" uri="{C3380CC4-5D6E-409C-BE32-E72D297353CC}">
                <c16:uniqueId val="{00000003-3DD7-4599-833E-B3C95AD5DD05}"/>
              </c:ext>
            </c:extLst>
          </c:dPt>
          <c:val>
            <c:numRef>
              <c:f>#REF!</c:f>
              <c:numCache>
                <c:formatCode>General</c:formatCode>
                <c:ptCount val="1"/>
                <c:pt idx="0">
                  <c:v>1</c:v>
                </c:pt>
              </c:numCache>
            </c:numRef>
          </c:val>
          <c:extLst>
            <c:ext xmlns:c16="http://schemas.microsoft.com/office/drawing/2014/chart" uri="{C3380CC4-5D6E-409C-BE32-E72D297353CC}">
              <c16:uniqueId val="{00000004-3DD7-4599-833E-B3C95AD5DD05}"/>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dk1"/>
                </a:solidFill>
                <a:effectLst>
                  <a:outerShdw blurRad="50800" dist="38100" dir="5400000" algn="t" rotWithShape="0">
                    <a:prstClr val="black">
                      <a:alpha val="40000"/>
                    </a:prstClr>
                  </a:outerShdw>
                </a:effectLst>
                <a:latin typeface="+mn-lt"/>
                <a:ea typeface="+mn-ea"/>
                <a:cs typeface="+mn-cs"/>
              </a:defRPr>
            </a:pPr>
            <a:r>
              <a:rPr lang="cs-CZ"/>
              <a:t>Budova </a:t>
            </a:r>
            <a:r>
              <a:rPr lang="en-US"/>
              <a:t>B</a:t>
            </a:r>
            <a:endParaRPr lang="cs-CZ"/>
          </a:p>
        </c:rich>
      </c:tx>
      <c:layout>
        <c:manualLayout>
          <c:xMode val="edge"/>
          <c:yMode val="edge"/>
          <c:x val="0.37073860398860398"/>
          <c:y val="0.47037037037037038"/>
        </c:manualLayout>
      </c:layout>
      <c:overlay val="0"/>
      <c:spPr>
        <a:noFill/>
        <a:ln>
          <a:noFill/>
        </a:ln>
        <a:effectLst/>
      </c:spPr>
    </c:title>
    <c:autoTitleDeleted val="0"/>
    <c:plotArea>
      <c:layout>
        <c:manualLayout>
          <c:layoutTarget val="inner"/>
          <c:xMode val="edge"/>
          <c:yMode val="edge"/>
          <c:x val="0.12476970560303891"/>
          <c:y val="7.0480769230769234E-3"/>
          <c:w val="0.70449121557454886"/>
          <c:h val="0.99295192307692304"/>
        </c:manualLayout>
      </c:layout>
      <c:doughnutChart>
        <c:varyColors val="1"/>
        <c:ser>
          <c:idx val="0"/>
          <c:order val="0"/>
          <c:tx>
            <c:v>Series1</c:v>
          </c:tx>
          <c:spPr>
            <a:ln>
              <a:noFill/>
            </a:ln>
            <a:effectLst/>
          </c:spPr>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4187-4378-9820-BE8BA2DF3468}"/>
              </c:ext>
            </c:extLst>
          </c:dPt>
          <c:dPt>
            <c:idx val="1"/>
            <c:bubble3D val="0"/>
            <c:spPr>
              <a:solidFill>
                <a:srgbClr val="C0504D"/>
              </a:solidFill>
              <a:ln>
                <a:noFill/>
              </a:ln>
              <a:effectLst/>
              <a:scene3d>
                <a:camera prst="orthographicFront"/>
                <a:lightRig rig="threePt" dir="t">
                  <a:rot lat="0" lon="0" rev="1200000"/>
                </a:lightRig>
              </a:scene3d>
              <a:sp3d/>
            </c:spPr>
            <c:extLst>
              <c:ext xmlns:c16="http://schemas.microsoft.com/office/drawing/2014/chart" uri="{C3380CC4-5D6E-409C-BE32-E72D297353CC}">
                <c16:uniqueId val="{00000003-4187-4378-9820-BE8BA2DF3468}"/>
              </c:ext>
            </c:extLst>
          </c:dPt>
          <c:dPt>
            <c:idx val="2"/>
            <c:bubble3D val="0"/>
            <c:spPr>
              <a:solidFill>
                <a:srgbClr val="9BBB59"/>
              </a:solidFill>
              <a:ln>
                <a:noFill/>
              </a:ln>
              <a:effectLst/>
              <a:scene3d>
                <a:camera prst="orthographicFront"/>
                <a:lightRig rig="threePt" dir="t">
                  <a:rot lat="0" lon="0" rev="1200000"/>
                </a:lightRig>
              </a:scene3d>
              <a:sp3d/>
            </c:spPr>
            <c:extLst>
              <c:ext xmlns:c16="http://schemas.microsoft.com/office/drawing/2014/chart" uri="{C3380CC4-5D6E-409C-BE32-E72D297353CC}">
                <c16:uniqueId val="{00000005-4187-4378-9820-BE8BA2DF3468}"/>
              </c:ext>
            </c:extLst>
          </c:dPt>
          <c:dPt>
            <c:idx val="3"/>
            <c:bubble3D val="0"/>
            <c:spPr>
              <a:solidFill>
                <a:srgbClr val="FFFFFF"/>
              </a:solidFill>
              <a:ln>
                <a:noFill/>
              </a:ln>
              <a:effectLst/>
              <a:scene3d>
                <a:camera prst="orthographicFront"/>
                <a:lightRig rig="threePt" dir="t">
                  <a:rot lat="0" lon="0" rev="1200000"/>
                </a:lightRig>
              </a:scene3d>
              <a:sp3d/>
            </c:spPr>
            <c:extLst>
              <c:ext xmlns:c16="http://schemas.microsoft.com/office/drawing/2014/chart" uri="{C3380CC4-5D6E-409C-BE32-E72D297353CC}">
                <c16:uniqueId val="{00000007-4187-4378-9820-BE8BA2DF3468}"/>
              </c:ext>
            </c:extLst>
          </c:dPt>
          <c:dPt>
            <c:idx val="4"/>
            <c:bubble3D val="0"/>
            <c:spPr>
              <a:noFill/>
              <a:ln>
                <a:noFill/>
              </a:ln>
              <a:effectLst/>
            </c:spPr>
            <c:extLst>
              <c:ext xmlns:c16="http://schemas.microsoft.com/office/drawing/2014/chart" uri="{C3380CC4-5D6E-409C-BE32-E72D297353CC}">
                <c16:uniqueId val="{00000009-4187-4378-9820-BE8BA2DF3468}"/>
              </c:ext>
            </c:extLst>
          </c:dPt>
          <c:val>
            <c:numRef>
              <c:f>data.chart!$C$6:$F$6</c:f>
              <c:numCache>
                <c:formatCode>General</c:formatCode>
                <c:ptCount val="4"/>
                <c:pt idx="0">
                  <c:v>0</c:v>
                </c:pt>
                <c:pt idx="1">
                  <c:v>0</c:v>
                </c:pt>
                <c:pt idx="2">
                  <c:v>100</c:v>
                </c:pt>
                <c:pt idx="3">
                  <c:v>100</c:v>
                </c:pt>
              </c:numCache>
            </c:numRef>
          </c:val>
          <c:extLst>
            <c:ext xmlns:c16="http://schemas.microsoft.com/office/drawing/2014/chart" uri="{C3380CC4-5D6E-409C-BE32-E72D297353CC}">
              <c16:uniqueId val="{0000000A-4187-4378-9820-BE8BA2DF3468}"/>
            </c:ext>
          </c:extLst>
        </c:ser>
        <c:dLbls>
          <c:showLegendKey val="0"/>
          <c:showVal val="0"/>
          <c:showCatName val="0"/>
          <c:showSerName val="0"/>
          <c:showPercent val="0"/>
          <c:showBubbleSize val="0"/>
          <c:showLeaderLines val="1"/>
        </c:dLbls>
        <c:firstSliceAng val="270"/>
        <c:holeSize val="75"/>
      </c:doughnutChart>
      <c:pieChart>
        <c:varyColors val="1"/>
        <c:ser>
          <c:idx val="1"/>
          <c:order val="1"/>
          <c:tx>
            <c:v>Series2</c:v>
          </c:tx>
          <c:spPr>
            <a:noFill/>
            <a:effectLst/>
            <a:scene3d>
              <a:camera prst="orthographicFront"/>
              <a:lightRig rig="threePt" dir="t"/>
            </a:scene3d>
          </c:spPr>
          <c:dPt>
            <c:idx val="0"/>
            <c:bubble3D val="0"/>
            <c:explosion val="1"/>
            <c:spPr>
              <a:noFill/>
              <a:effectLst/>
            </c:spPr>
            <c:extLst>
              <c:ext xmlns:c16="http://schemas.microsoft.com/office/drawing/2014/chart" uri="{C3380CC4-5D6E-409C-BE32-E72D297353CC}">
                <c16:uniqueId val="{0000000C-4187-4378-9820-BE8BA2DF3468}"/>
              </c:ext>
            </c:extLst>
          </c:dPt>
          <c:dPt>
            <c:idx val="1"/>
            <c:bubble3D val="0"/>
            <c:spPr>
              <a:gradFill rotWithShape="1">
                <a:gsLst>
                  <a:gs pos="0">
                    <a:schemeClr val="dk1">
                      <a:shade val="51000"/>
                      <a:satMod val="130000"/>
                    </a:schemeClr>
                  </a:gs>
                  <a:gs pos="80000">
                    <a:schemeClr val="dk1">
                      <a:shade val="93000"/>
                      <a:satMod val="130000"/>
                    </a:schemeClr>
                  </a:gs>
                  <a:gs pos="100000">
                    <a:schemeClr val="dk1">
                      <a:shade val="94000"/>
                      <a:satMod val="135000"/>
                    </a:schemeClr>
                  </a:gs>
                </a:gsLst>
                <a:lin ang="16200000" scaled="0"/>
              </a:gradFill>
              <a:effectLst/>
              <a:scene3d>
                <a:camera prst="orthographicFront"/>
                <a:lightRig rig="threePt" dir="t"/>
              </a:scene3d>
              <a:sp3d>
                <a:bevelT w="63500" h="25400"/>
              </a:sp3d>
            </c:spPr>
            <c:extLst>
              <c:ext xmlns:c16="http://schemas.microsoft.com/office/drawing/2014/chart" uri="{C3380CC4-5D6E-409C-BE32-E72D297353CC}">
                <c16:uniqueId val="{0000000E-4187-4378-9820-BE8BA2DF3468}"/>
              </c:ext>
            </c:extLst>
          </c:dPt>
          <c:dPt>
            <c:idx val="2"/>
            <c:bubble3D val="0"/>
            <c:spPr>
              <a:noFill/>
              <a:effectLst/>
            </c:spPr>
            <c:extLst>
              <c:ext xmlns:c16="http://schemas.microsoft.com/office/drawing/2014/chart" uri="{C3380CC4-5D6E-409C-BE32-E72D297353CC}">
                <c16:uniqueId val="{00000010-4187-4378-9820-BE8BA2DF3468}"/>
              </c:ext>
            </c:extLst>
          </c:dPt>
          <c:val>
            <c:numRef>
              <c:f>data.chart!$G$6:$I$6</c:f>
              <c:numCache>
                <c:formatCode>General</c:formatCode>
                <c:ptCount val="3"/>
                <c:pt idx="0">
                  <c:v>0</c:v>
                </c:pt>
                <c:pt idx="1">
                  <c:v>1.2</c:v>
                </c:pt>
                <c:pt idx="2">
                  <c:v>198.8</c:v>
                </c:pt>
              </c:numCache>
            </c:numRef>
          </c:val>
          <c:extLst>
            <c:ext xmlns:c16="http://schemas.microsoft.com/office/drawing/2014/chart" uri="{C3380CC4-5D6E-409C-BE32-E72D297353CC}">
              <c16:uniqueId val="{00000011-4187-4378-9820-BE8BA2DF3468}"/>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showDLblsOverMax val="0"/>
  </c:chart>
  <c:spPr>
    <a:solidFill>
      <a:schemeClr val="lt1"/>
    </a:solidFill>
    <a:ln w="25400" cap="flat" cmpd="sng" algn="ctr">
      <a:noFill/>
      <a:prstDash val="solid"/>
    </a:ln>
    <a:effectLst/>
  </c:spPr>
  <c:txPr>
    <a:bodyPr/>
    <a:lstStyle/>
    <a:p>
      <a:pPr>
        <a:defRPr>
          <a:solidFill>
            <a:schemeClr val="dk1"/>
          </a:solidFill>
          <a:latin typeface="+mn-lt"/>
          <a:ea typeface="+mn-ea"/>
          <a:cs typeface="+mn-cs"/>
        </a:defRPr>
      </a:pPr>
      <a:endParaRPr lang="cs-CZ"/>
    </a:p>
  </c:txPr>
  <c:printSettings>
    <c:headerFooter/>
    <c:pageMargins b="0.78740157499999996" l="0.7" r="0.7" t="0.78740157499999996" header="0.3" footer="0.3"/>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1.3_3_2.xlsm]legend_chart!PivotTable3</c:name>
    <c:fmtId val="5"/>
  </c:pivotSource>
  <c:chart>
    <c:autoTitleDeleted val="1"/>
    <c:pivotFmts>
      <c:pivotFmt>
        <c:idx val="0"/>
        <c:spPr>
          <a:solidFill>
            <a:srgbClr val="92D050"/>
          </a:solidFill>
          <a:ln>
            <a:noFill/>
          </a:ln>
          <a:effectLst/>
        </c:spPr>
        <c:marker>
          <c:symbol val="none"/>
        </c:marker>
      </c:pivotFmt>
      <c:pivotFmt>
        <c:idx val="1"/>
        <c:spPr>
          <a:ln w="28575" cap="rnd">
            <a:solidFill>
              <a:schemeClr val="tx1"/>
            </a:solidFill>
            <a:round/>
          </a:ln>
          <a:effectLst/>
        </c:spPr>
        <c:marker>
          <c:symbol val="none"/>
        </c:marker>
      </c:pivotFmt>
      <c:pivotFmt>
        <c:idx val="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3"/>
        <c:spPr>
          <a:ln w="28575" cap="rnd">
            <a:solidFill>
              <a:srgbClr val="FFC000"/>
            </a:solidFill>
            <a:round/>
          </a:ln>
          <a:effectLst/>
        </c:spPr>
        <c:marker>
          <c:symbol val="circle"/>
          <c:size val="5"/>
          <c:spPr>
            <a:solidFill>
              <a:srgbClr val="FF3300"/>
            </a:solidFill>
            <a:ln w="9525">
              <a:solidFill>
                <a:srgbClr val="FFC000"/>
              </a:solidFill>
            </a:ln>
            <a:effectLst/>
          </c:spPr>
        </c:marker>
      </c:pivotFmt>
    </c:pivotFmts>
    <c:plotArea>
      <c:layout>
        <c:manualLayout>
          <c:layoutTarget val="inner"/>
          <c:xMode val="edge"/>
          <c:yMode val="edge"/>
          <c:x val="0.11765274760214085"/>
          <c:y val="0.12191960985724845"/>
          <c:w val="0.84533278575592175"/>
          <c:h val="0.49130111874551091"/>
        </c:manualLayout>
      </c:layout>
      <c:barChart>
        <c:barDir val="col"/>
        <c:grouping val="clustered"/>
        <c:varyColors val="0"/>
        <c:ser>
          <c:idx val="0"/>
          <c:order val="0"/>
          <c:tx>
            <c:strRef>
              <c:f>legend_chart!$L$18</c:f>
              <c:strCache>
                <c:ptCount val="1"/>
                <c:pt idx="0">
                  <c:v>Sum of KPI Budova A</c:v>
                </c:pt>
              </c:strCache>
            </c:strRef>
          </c:tx>
          <c:spPr>
            <a:solidFill>
              <a:srgbClr val="92D050"/>
            </a:solidFill>
            <a:ln>
              <a:noFill/>
            </a:ln>
            <a:effectLst/>
          </c:spPr>
          <c:invertIfNegative val="0"/>
          <c:cat>
            <c:multiLvlStrRef>
              <c:f>legend_chart!$J$19:$K$32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14.08.2017</c:v>
                  </c:pt>
                </c:lvl>
              </c:multiLvlStrCache>
            </c:multiLvlStrRef>
          </c:cat>
          <c:val>
            <c:numRef>
              <c:f>legend_chart!$L$19:$L$32</c:f>
              <c:numCache>
                <c:formatCode>General</c:formatCode>
                <c:ptCount val="13"/>
                <c:pt idx="0">
                  <c:v>0.9</c:v>
                </c:pt>
                <c:pt idx="1">
                  <c:v>0.9</c:v>
                </c:pt>
                <c:pt idx="2">
                  <c:v>0.91</c:v>
                </c:pt>
                <c:pt idx="3">
                  <c:v>0.88</c:v>
                </c:pt>
                <c:pt idx="4">
                  <c:v>0.5</c:v>
                </c:pt>
                <c:pt idx="5">
                  <c:v>0.7</c:v>
                </c:pt>
                <c:pt idx="6">
                  <c:v>0.9</c:v>
                </c:pt>
                <c:pt idx="7">
                  <c:v>0.92</c:v>
                </c:pt>
                <c:pt idx="8">
                  <c:v>0.89</c:v>
                </c:pt>
                <c:pt idx="9">
                  <c:v>0.9</c:v>
                </c:pt>
                <c:pt idx="10">
                  <c:v>0.91</c:v>
                </c:pt>
                <c:pt idx="11">
                  <c:v>0.91</c:v>
                </c:pt>
                <c:pt idx="12">
                  <c:v>0.95</c:v>
                </c:pt>
              </c:numCache>
            </c:numRef>
          </c:val>
          <c:extLst>
            <c:ext xmlns:c16="http://schemas.microsoft.com/office/drawing/2014/chart" uri="{C3380CC4-5D6E-409C-BE32-E72D297353CC}">
              <c16:uniqueId val="{00000000-21F2-486C-8F90-B7BCA31F2349}"/>
            </c:ext>
          </c:extLst>
        </c:ser>
        <c:dLbls>
          <c:showLegendKey val="0"/>
          <c:showVal val="0"/>
          <c:showCatName val="0"/>
          <c:showSerName val="0"/>
          <c:showPercent val="0"/>
          <c:showBubbleSize val="0"/>
        </c:dLbls>
        <c:gapWidth val="219"/>
        <c:overlap val="-27"/>
        <c:axId val="176082168"/>
        <c:axId val="176082952"/>
      </c:barChart>
      <c:lineChart>
        <c:grouping val="standard"/>
        <c:varyColors val="0"/>
        <c:ser>
          <c:idx val="1"/>
          <c:order val="1"/>
          <c:tx>
            <c:strRef>
              <c:f>legend_chart!$M$18</c:f>
              <c:strCache>
                <c:ptCount val="1"/>
                <c:pt idx="0">
                  <c:v>Sum of Target</c:v>
                </c:pt>
              </c:strCache>
            </c:strRef>
          </c:tx>
          <c:spPr>
            <a:ln w="28575" cap="rnd">
              <a:solidFill>
                <a:schemeClr val="tx1"/>
              </a:solidFill>
              <a:round/>
            </a:ln>
            <a:effectLst/>
          </c:spPr>
          <c:marker>
            <c:symbol val="none"/>
          </c:marker>
          <c:cat>
            <c:multiLvlStrRef>
              <c:f>legend_chart!$J$19:$K$32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14.08.2017</c:v>
                  </c:pt>
                </c:lvl>
              </c:multiLvlStrCache>
            </c:multiLvlStrRef>
          </c:cat>
          <c:val>
            <c:numRef>
              <c:f>legend_chart!$M$19:$M$32</c:f>
              <c:numCache>
                <c:formatCode>General</c:formatCode>
                <c:ptCount val="13"/>
                <c:pt idx="0">
                  <c:v>0.88</c:v>
                </c:pt>
                <c:pt idx="1">
                  <c:v>0.88</c:v>
                </c:pt>
                <c:pt idx="2">
                  <c:v>0.88</c:v>
                </c:pt>
                <c:pt idx="3">
                  <c:v>0.88</c:v>
                </c:pt>
                <c:pt idx="4">
                  <c:v>0.88</c:v>
                </c:pt>
                <c:pt idx="5">
                  <c:v>0.88</c:v>
                </c:pt>
                <c:pt idx="6">
                  <c:v>0.88</c:v>
                </c:pt>
                <c:pt idx="7">
                  <c:v>0.88</c:v>
                </c:pt>
                <c:pt idx="8">
                  <c:v>0.88</c:v>
                </c:pt>
                <c:pt idx="9">
                  <c:v>0.88</c:v>
                </c:pt>
                <c:pt idx="10">
                  <c:v>0.88</c:v>
                </c:pt>
                <c:pt idx="11">
                  <c:v>0.88</c:v>
                </c:pt>
                <c:pt idx="12">
                  <c:v>0.88</c:v>
                </c:pt>
              </c:numCache>
            </c:numRef>
          </c:val>
          <c:smooth val="0"/>
          <c:extLst>
            <c:ext xmlns:c16="http://schemas.microsoft.com/office/drawing/2014/chart" uri="{C3380CC4-5D6E-409C-BE32-E72D297353CC}">
              <c16:uniqueId val="{00000001-21F2-486C-8F90-B7BCA31F2349}"/>
            </c:ext>
          </c:extLst>
        </c:ser>
        <c:ser>
          <c:idx val="2"/>
          <c:order val="2"/>
          <c:tx>
            <c:strRef>
              <c:f>legend_chart!$N$18</c:f>
              <c:strCache>
                <c:ptCount val="1"/>
                <c:pt idx="0">
                  <c:v>Sum of Úkol/Lidi</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5"/>
            <c:marker>
              <c:symbol val="circle"/>
              <c:size val="5"/>
              <c:spPr>
                <a:solidFill>
                  <a:srgbClr val="FF3300"/>
                </a:solidFill>
                <a:ln w="9525">
                  <a:solidFill>
                    <a:srgbClr val="FFC000"/>
                  </a:solidFill>
                </a:ln>
                <a:effectLst/>
              </c:spPr>
            </c:marker>
            <c:bubble3D val="0"/>
            <c:spPr>
              <a:ln w="28575" cap="rnd">
                <a:solidFill>
                  <a:srgbClr val="FFC000"/>
                </a:solidFill>
                <a:round/>
              </a:ln>
              <a:effectLst/>
            </c:spPr>
            <c:extLst>
              <c:ext xmlns:c16="http://schemas.microsoft.com/office/drawing/2014/chart" uri="{C3380CC4-5D6E-409C-BE32-E72D297353CC}">
                <c16:uniqueId val="{00000002-21F2-486C-8F90-B7BCA31F2349}"/>
              </c:ext>
            </c:extLst>
          </c:dPt>
          <c:cat>
            <c:multiLvlStrRef>
              <c:f>legend_chart!$J$19:$K$32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14.08.2017</c:v>
                  </c:pt>
                </c:lvl>
              </c:multiLvlStrCache>
            </c:multiLvlStrRef>
          </c:cat>
          <c:val>
            <c:numRef>
              <c:f>legend_chart!$N$19:$N$32</c:f>
              <c:numCache>
                <c:formatCode>General</c:formatCode>
                <c:ptCount val="13"/>
                <c:pt idx="0">
                  <c:v>0.9</c:v>
                </c:pt>
                <c:pt idx="1">
                  <c:v>0.9</c:v>
                </c:pt>
                <c:pt idx="2">
                  <c:v>0.92</c:v>
                </c:pt>
                <c:pt idx="3">
                  <c:v>0.89</c:v>
                </c:pt>
                <c:pt idx="4">
                  <c:v>0.25</c:v>
                </c:pt>
                <c:pt idx="5">
                  <c:v>0.81</c:v>
                </c:pt>
                <c:pt idx="6">
                  <c:v>1</c:v>
                </c:pt>
                <c:pt idx="7">
                  <c:v>1.1100000000000001</c:v>
                </c:pt>
                <c:pt idx="8">
                  <c:v>0.9</c:v>
                </c:pt>
                <c:pt idx="9">
                  <c:v>0.93</c:v>
                </c:pt>
                <c:pt idx="10">
                  <c:v>0.92</c:v>
                </c:pt>
                <c:pt idx="11">
                  <c:v>0.92</c:v>
                </c:pt>
                <c:pt idx="12">
                  <c:v>0.89</c:v>
                </c:pt>
              </c:numCache>
            </c:numRef>
          </c:val>
          <c:smooth val="0"/>
          <c:extLst>
            <c:ext xmlns:c16="http://schemas.microsoft.com/office/drawing/2014/chart" uri="{C3380CC4-5D6E-409C-BE32-E72D297353CC}">
              <c16:uniqueId val="{00000003-21F2-486C-8F90-B7BCA31F2349}"/>
            </c:ext>
          </c:extLst>
        </c:ser>
        <c:dLbls>
          <c:showLegendKey val="0"/>
          <c:showVal val="0"/>
          <c:showCatName val="0"/>
          <c:showSerName val="0"/>
          <c:showPercent val="0"/>
          <c:showBubbleSize val="0"/>
        </c:dLbls>
        <c:marker val="1"/>
        <c:smooth val="0"/>
        <c:axId val="176082168"/>
        <c:axId val="176082952"/>
      </c:lineChart>
      <c:catAx>
        <c:axId val="176082168"/>
        <c:scaling>
          <c:orientation val="minMax"/>
        </c:scaling>
        <c:delete val="0"/>
        <c:axPos val="b"/>
        <c:numFmt formatCode="h"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176082952"/>
        <c:crosses val="autoZero"/>
        <c:auto val="1"/>
        <c:lblAlgn val="ctr"/>
        <c:lblOffset val="100"/>
        <c:noMultiLvlLbl val="0"/>
      </c:catAx>
      <c:valAx>
        <c:axId val="176082952"/>
        <c:scaling>
          <c:orientation val="minMax"/>
          <c:max val="1.1000000000000001"/>
          <c:min val="0.5"/>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176082168"/>
        <c:crosses val="autoZero"/>
        <c:crossBetween val="between"/>
        <c:majorUnit val="0.1"/>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16F7-47F8-8BE2-2267B04D6397}"/>
              </c:ext>
            </c:extLst>
          </c:dPt>
          <c:dPt>
            <c:idx val="1"/>
            <c:bubble3D val="0"/>
            <c:spPr>
              <a:solidFill>
                <a:srgbClr val="FF0000"/>
              </a:solidFill>
              <a:ln w="19050">
                <a:noFill/>
              </a:ln>
              <a:effectLst/>
            </c:spPr>
            <c:extLst>
              <c:ext xmlns:c16="http://schemas.microsoft.com/office/drawing/2014/chart" uri="{C3380CC4-5D6E-409C-BE32-E72D297353CC}">
                <c16:uniqueId val="{00000003-16F7-47F8-8BE2-2267B04D6397}"/>
              </c:ext>
            </c:extLst>
          </c:dPt>
          <c:val>
            <c:numRef>
              <c:f>#REF!</c:f>
              <c:numCache>
                <c:formatCode>General</c:formatCode>
                <c:ptCount val="1"/>
                <c:pt idx="0">
                  <c:v>1</c:v>
                </c:pt>
              </c:numCache>
            </c:numRef>
          </c:val>
          <c:extLst>
            <c:ext xmlns:c16="http://schemas.microsoft.com/office/drawing/2014/chart" uri="{C3380CC4-5D6E-409C-BE32-E72D297353CC}">
              <c16:uniqueId val="{00000004-16F7-47F8-8BE2-2267B04D639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B51F-410A-A869-342D41267856}"/>
              </c:ext>
            </c:extLst>
          </c:dPt>
          <c:dPt>
            <c:idx val="1"/>
            <c:bubble3D val="0"/>
            <c:spPr>
              <a:solidFill>
                <a:srgbClr val="FF0000"/>
              </a:solidFill>
              <a:ln w="19050">
                <a:noFill/>
              </a:ln>
              <a:effectLst/>
            </c:spPr>
            <c:extLst>
              <c:ext xmlns:c16="http://schemas.microsoft.com/office/drawing/2014/chart" uri="{C3380CC4-5D6E-409C-BE32-E72D297353CC}">
                <c16:uniqueId val="{00000003-B51F-410A-A869-342D41267856}"/>
              </c:ext>
            </c:extLst>
          </c:dPt>
          <c:val>
            <c:numRef>
              <c:f>#REF!</c:f>
              <c:numCache>
                <c:formatCode>General</c:formatCode>
                <c:ptCount val="1"/>
                <c:pt idx="0">
                  <c:v>1</c:v>
                </c:pt>
              </c:numCache>
            </c:numRef>
          </c:val>
          <c:extLst>
            <c:ext xmlns:c16="http://schemas.microsoft.com/office/drawing/2014/chart" uri="{C3380CC4-5D6E-409C-BE32-E72D297353CC}">
              <c16:uniqueId val="{00000004-B51F-410A-A869-342D41267856}"/>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1.3_3_2.xlsm]pt.lvl3_generic_2!pt.lvl3_generic_2</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a:solidFill>
              <a:srgbClr val="9CC746"/>
            </a:solidFill>
          </a:ln>
          <a:effectLst/>
        </c:spPr>
        <c:marker>
          <c:symbol val="none"/>
        </c:marker>
      </c:pivotFmt>
      <c:pivotFmt>
        <c:idx val="4"/>
        <c:spPr>
          <a:solidFill>
            <a:schemeClr val="accent1"/>
          </a:solidFill>
          <a:ln w="28575" cap="rnd">
            <a:solidFill>
              <a:srgbClr val="000000"/>
            </a:solidFill>
            <a:round/>
          </a:ln>
          <a:effectLst/>
        </c:spPr>
        <c:marker>
          <c:symbol val="none"/>
        </c:marker>
      </c:pivotFmt>
      <c:pivotFmt>
        <c:idx val="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6"/>
        <c:spPr>
          <a:solidFill>
            <a:srgbClr val="9CC746"/>
          </a:solidFill>
          <a:ln>
            <a:solidFill>
              <a:srgbClr val="9CC746"/>
            </a:solidFill>
          </a:ln>
          <a:effectLst/>
        </c:spPr>
        <c:marker>
          <c:symbol val="circle"/>
          <c:size val="5"/>
          <c:spPr>
            <a:solidFill>
              <a:srgbClr val="9CC746"/>
            </a:solidFill>
            <a:ln w="3175">
              <a:solidFill>
                <a:srgbClr val="9CC746"/>
              </a:solidFill>
              <a:prstDash val="solid"/>
            </a:ln>
            <a:effectLst/>
          </c:spPr>
        </c:marker>
      </c:pivotFmt>
      <c:pivotFmt>
        <c:idx val="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4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4"/>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55"/>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56"/>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57"/>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58"/>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59"/>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60"/>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61"/>
        <c:spPr>
          <a:solidFill>
            <a:srgbClr val="9B2D2A"/>
          </a:solidFill>
          <a:ln>
            <a:solidFill>
              <a:srgbClr val="9CC746"/>
            </a:solidFill>
          </a:ln>
          <a:effectLst/>
        </c:spPr>
        <c:marker>
          <c:symbol val="circle"/>
          <c:size val="5"/>
          <c:spPr>
            <a:solidFill>
              <a:schemeClr val="accent1"/>
            </a:solidFill>
            <a:ln w="9525">
              <a:solidFill>
                <a:schemeClr val="accent1"/>
              </a:solidFill>
            </a:ln>
            <a:effectLst/>
          </c:spPr>
        </c:marker>
      </c:pivotFmt>
      <c:pivotFmt>
        <c:idx val="62"/>
        <c:spPr>
          <a:solidFill>
            <a:srgbClr val="9B2D2A"/>
          </a:solidFill>
          <a:ln>
            <a:solidFill>
              <a:srgbClr val="9CC746"/>
            </a:solidFill>
          </a:ln>
          <a:effectLst/>
        </c:spPr>
        <c:marker>
          <c:symbol val="circle"/>
          <c:size val="5"/>
          <c:spPr>
            <a:solidFill>
              <a:schemeClr val="accent1"/>
            </a:solidFill>
            <a:ln w="9525">
              <a:solidFill>
                <a:schemeClr val="accent1"/>
              </a:solidFill>
            </a:ln>
            <a:effectLst/>
          </c:spPr>
        </c:marker>
      </c:pivotFmt>
      <c:pivotFmt>
        <c:idx val="63"/>
        <c:spPr>
          <a:solidFill>
            <a:srgbClr val="9B2D2A"/>
          </a:solidFill>
          <a:ln>
            <a:solidFill>
              <a:srgbClr val="9CC746"/>
            </a:solidFill>
          </a:ln>
          <a:effectLst/>
        </c:spPr>
        <c:marker>
          <c:symbol val="circle"/>
          <c:size val="5"/>
          <c:spPr>
            <a:solidFill>
              <a:schemeClr val="accent1"/>
            </a:solidFill>
            <a:ln w="9525">
              <a:solidFill>
                <a:schemeClr val="accent1"/>
              </a:solidFill>
            </a:ln>
            <a:effectLst/>
          </c:spPr>
        </c:marker>
      </c:pivotFmt>
      <c:pivotFmt>
        <c:idx val="64"/>
        <c:spPr>
          <a:solidFill>
            <a:srgbClr val="9B2D2A"/>
          </a:solidFill>
          <a:ln>
            <a:solidFill>
              <a:srgbClr val="9CC746"/>
            </a:solidFill>
          </a:ln>
          <a:effectLst/>
        </c:spPr>
        <c:marker>
          <c:symbol val="circle"/>
          <c:size val="5"/>
          <c:spPr>
            <a:solidFill>
              <a:schemeClr val="accent1"/>
            </a:solidFill>
            <a:ln w="9525">
              <a:solidFill>
                <a:schemeClr val="accent1"/>
              </a:solidFill>
            </a:ln>
            <a:effectLst/>
          </c:spPr>
        </c:marker>
      </c:pivotFmt>
      <c:pivotFmt>
        <c:idx val="65"/>
        <c:spPr>
          <a:solidFill>
            <a:srgbClr val="9B2D2A"/>
          </a:solidFill>
          <a:ln>
            <a:solidFill>
              <a:srgbClr val="9CC746"/>
            </a:solidFill>
          </a:ln>
          <a:effectLst/>
        </c:spPr>
        <c:marker>
          <c:symbol val="circle"/>
          <c:size val="5"/>
          <c:spPr>
            <a:solidFill>
              <a:schemeClr val="accent1"/>
            </a:solidFill>
            <a:ln w="9525">
              <a:solidFill>
                <a:schemeClr val="accent1"/>
              </a:solidFill>
            </a:ln>
            <a:effectLst/>
          </c:spPr>
        </c:marker>
      </c:pivotFmt>
      <c:pivotFmt>
        <c:idx val="66"/>
        <c:spPr>
          <a:solidFill>
            <a:srgbClr val="9B2D2A"/>
          </a:solidFill>
          <a:ln>
            <a:solidFill>
              <a:srgbClr val="9CC746"/>
            </a:solidFill>
          </a:ln>
          <a:effectLst/>
        </c:spPr>
        <c:marker>
          <c:symbol val="circle"/>
          <c:size val="5"/>
          <c:spPr>
            <a:solidFill>
              <a:schemeClr val="accent1"/>
            </a:solidFill>
            <a:ln w="9525">
              <a:solidFill>
                <a:schemeClr val="accent1"/>
              </a:solidFill>
            </a:ln>
            <a:effectLst/>
          </c:spPr>
        </c:marker>
      </c:pivotFmt>
      <c:pivotFmt>
        <c:idx val="67"/>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68"/>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69"/>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70"/>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71"/>
      </c:pivotFmt>
      <c:pivotFmt>
        <c:idx val="72"/>
      </c:pivotFmt>
      <c:pivotFmt>
        <c:idx val="73"/>
      </c:pivotFmt>
      <c:pivotFmt>
        <c:idx val="74"/>
      </c:pivotFmt>
      <c:pivotFmt>
        <c:idx val="75"/>
      </c:pivotFmt>
      <c:pivotFmt>
        <c:idx val="76"/>
      </c:pivotFmt>
      <c:pivotFmt>
        <c:idx val="77"/>
      </c:pivotFmt>
      <c:pivotFmt>
        <c:idx val="7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7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2"/>
      </c:pivotFmt>
      <c:pivotFmt>
        <c:idx val="103"/>
      </c:pivotFmt>
      <c:pivotFmt>
        <c:idx val="10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6"/>
        <c:spPr>
          <a:solidFill>
            <a:srgbClr val="9CC746"/>
          </a:solidFill>
          <a:ln>
            <a:solidFill>
              <a:srgbClr val="9CC746"/>
            </a:solidFill>
          </a:ln>
          <a:effectLst/>
        </c:spPr>
      </c:pivotFmt>
      <c:pivotFmt>
        <c:idx val="10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08"/>
        <c:spPr>
          <a:solidFill>
            <a:schemeClr val="accent1"/>
          </a:solidFill>
          <a:ln>
            <a:noFill/>
          </a:ln>
          <a:effectLst/>
        </c:spPr>
        <c:marker>
          <c:symbol val="none"/>
        </c:marker>
      </c:pivotFmt>
      <c:pivotFmt>
        <c:idx val="109"/>
        <c:spPr>
          <a:ln w="28575" cap="rnd">
            <a:solidFill>
              <a:srgbClr val="000000"/>
            </a:solidFill>
            <a:round/>
          </a:ln>
          <a:effectLst/>
        </c:spPr>
        <c:marker>
          <c:symbol val="none"/>
        </c:marker>
      </c:pivotFmt>
      <c:pivotFmt>
        <c:idx val="11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1"/>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2"/>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3"/>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4"/>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5"/>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6"/>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7"/>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8"/>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119"/>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120"/>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121"/>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122"/>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123"/>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124"/>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5"/>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6"/>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7"/>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6"/>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s>
    <c:plotArea>
      <c:layout/>
      <c:barChart>
        <c:barDir val="col"/>
        <c:grouping val="clustered"/>
        <c:varyColors val="0"/>
        <c:ser>
          <c:idx val="0"/>
          <c:order val="0"/>
          <c:tx>
            <c:strRef>
              <c:f>pt.lvl3_generic_2!$D$7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1-6B24-4F5F-A99D-335B0A93B561}"/>
              </c:ext>
            </c:extLst>
          </c:dPt>
          <c:dPt>
            <c:idx val="1"/>
            <c:invertIfNegative val="0"/>
            <c:bubble3D val="0"/>
            <c:extLst>
              <c:ext xmlns:c16="http://schemas.microsoft.com/office/drawing/2014/chart" uri="{C3380CC4-5D6E-409C-BE32-E72D297353CC}">
                <c16:uniqueId val="{00000003-6B24-4F5F-A99D-335B0A93B561}"/>
              </c:ext>
            </c:extLst>
          </c:dPt>
          <c:dPt>
            <c:idx val="2"/>
            <c:invertIfNegative val="0"/>
            <c:bubble3D val="0"/>
            <c:extLst>
              <c:ext xmlns:c16="http://schemas.microsoft.com/office/drawing/2014/chart" uri="{C3380CC4-5D6E-409C-BE32-E72D297353CC}">
                <c16:uniqueId val="{00000005-6B24-4F5F-A99D-335B0A93B561}"/>
              </c:ext>
            </c:extLst>
          </c:dPt>
          <c:dPt>
            <c:idx val="3"/>
            <c:invertIfNegative val="0"/>
            <c:bubble3D val="0"/>
            <c:extLst>
              <c:ext xmlns:c16="http://schemas.microsoft.com/office/drawing/2014/chart" uri="{C3380CC4-5D6E-409C-BE32-E72D297353CC}">
                <c16:uniqueId val="{00000007-6B24-4F5F-A99D-335B0A93B561}"/>
              </c:ext>
            </c:extLst>
          </c:dPt>
          <c:dPt>
            <c:idx val="4"/>
            <c:invertIfNegative val="0"/>
            <c:bubble3D val="0"/>
            <c:extLst>
              <c:ext xmlns:c16="http://schemas.microsoft.com/office/drawing/2014/chart" uri="{C3380CC4-5D6E-409C-BE32-E72D297353CC}">
                <c16:uniqueId val="{00000009-6B24-4F5F-A99D-335B0A93B561}"/>
              </c:ext>
            </c:extLst>
          </c:dPt>
          <c:dPt>
            <c:idx val="5"/>
            <c:invertIfNegative val="0"/>
            <c:bubble3D val="0"/>
            <c:extLst>
              <c:ext xmlns:c16="http://schemas.microsoft.com/office/drawing/2014/chart" uri="{C3380CC4-5D6E-409C-BE32-E72D297353CC}">
                <c16:uniqueId val="{0000000B-6B24-4F5F-A99D-335B0A93B561}"/>
              </c:ext>
            </c:extLst>
          </c:dPt>
          <c:dPt>
            <c:idx val="6"/>
            <c:invertIfNegative val="0"/>
            <c:bubble3D val="0"/>
            <c:extLst>
              <c:ext xmlns:c16="http://schemas.microsoft.com/office/drawing/2014/chart" uri="{C3380CC4-5D6E-409C-BE32-E72D297353CC}">
                <c16:uniqueId val="{0000000D-6B24-4F5F-A99D-335B0A93B561}"/>
              </c:ext>
            </c:extLst>
          </c:dPt>
          <c:dPt>
            <c:idx val="7"/>
            <c:invertIfNegative val="0"/>
            <c:bubble3D val="0"/>
            <c:extLst>
              <c:ext xmlns:c16="http://schemas.microsoft.com/office/drawing/2014/chart" uri="{C3380CC4-5D6E-409C-BE32-E72D297353CC}">
                <c16:uniqueId val="{0000000F-6B24-4F5F-A99D-335B0A93B561}"/>
              </c:ext>
            </c:extLst>
          </c:dPt>
          <c:dPt>
            <c:idx val="8"/>
            <c:invertIfNegative val="0"/>
            <c:bubble3D val="0"/>
            <c:extLst>
              <c:ext xmlns:c16="http://schemas.microsoft.com/office/drawing/2014/chart" uri="{C3380CC4-5D6E-409C-BE32-E72D297353CC}">
                <c16:uniqueId val="{00000011-6B24-4F5F-A99D-335B0A93B561}"/>
              </c:ext>
            </c:extLst>
          </c:dPt>
          <c:dPt>
            <c:idx val="9"/>
            <c:invertIfNegative val="0"/>
            <c:bubble3D val="0"/>
            <c:extLst>
              <c:ext xmlns:c16="http://schemas.microsoft.com/office/drawing/2014/chart" uri="{C3380CC4-5D6E-409C-BE32-E72D297353CC}">
                <c16:uniqueId val="{00000013-6B24-4F5F-A99D-335B0A93B561}"/>
              </c:ext>
            </c:extLst>
          </c:dPt>
          <c:dPt>
            <c:idx val="10"/>
            <c:invertIfNegative val="0"/>
            <c:bubble3D val="0"/>
            <c:extLst>
              <c:ext xmlns:c16="http://schemas.microsoft.com/office/drawing/2014/chart" uri="{C3380CC4-5D6E-409C-BE32-E72D297353CC}">
                <c16:uniqueId val="{00000015-6B24-4F5F-A99D-335B0A93B561}"/>
              </c:ext>
            </c:extLst>
          </c:dPt>
          <c:dPt>
            <c:idx val="11"/>
            <c:invertIfNegative val="0"/>
            <c:bubble3D val="0"/>
            <c:extLst>
              <c:ext xmlns:c16="http://schemas.microsoft.com/office/drawing/2014/chart" uri="{C3380CC4-5D6E-409C-BE32-E72D297353CC}">
                <c16:uniqueId val="{00000017-6B24-4F5F-A99D-335B0A93B561}"/>
              </c:ext>
            </c:extLst>
          </c:dPt>
          <c:dPt>
            <c:idx val="12"/>
            <c:invertIfNegative val="0"/>
            <c:bubble3D val="0"/>
            <c:extLst>
              <c:ext xmlns:c16="http://schemas.microsoft.com/office/drawing/2014/chart" uri="{C3380CC4-5D6E-409C-BE32-E72D297353CC}">
                <c16:uniqueId val="{00000019-6B24-4F5F-A99D-335B0A93B561}"/>
              </c:ext>
            </c:extLst>
          </c:dPt>
          <c:dPt>
            <c:idx val="13"/>
            <c:invertIfNegative val="0"/>
            <c:bubble3D val="0"/>
            <c:extLst>
              <c:ext xmlns:c16="http://schemas.microsoft.com/office/drawing/2014/chart" uri="{C3380CC4-5D6E-409C-BE32-E72D297353CC}">
                <c16:uniqueId val="{0000001B-6B24-4F5F-A99D-335B0A93B561}"/>
              </c:ext>
            </c:extLst>
          </c:dPt>
          <c:dPt>
            <c:idx val="14"/>
            <c:invertIfNegative val="0"/>
            <c:bubble3D val="0"/>
            <c:extLst>
              <c:ext xmlns:c16="http://schemas.microsoft.com/office/drawing/2014/chart" uri="{C3380CC4-5D6E-409C-BE32-E72D297353CC}">
                <c16:uniqueId val="{0000001D-6B24-4F5F-A99D-335B0A93B561}"/>
              </c:ext>
            </c:extLst>
          </c:dPt>
          <c:dPt>
            <c:idx val="15"/>
            <c:invertIfNegative val="0"/>
            <c:bubble3D val="0"/>
            <c:extLst>
              <c:ext xmlns:c16="http://schemas.microsoft.com/office/drawing/2014/chart" uri="{C3380CC4-5D6E-409C-BE32-E72D297353CC}">
                <c16:uniqueId val="{0000001F-6B24-4F5F-A99D-335B0A93B561}"/>
              </c:ext>
            </c:extLst>
          </c:dPt>
          <c:dPt>
            <c:idx val="16"/>
            <c:invertIfNegative val="0"/>
            <c:bubble3D val="0"/>
            <c:extLst>
              <c:ext xmlns:c16="http://schemas.microsoft.com/office/drawing/2014/chart" uri="{C3380CC4-5D6E-409C-BE32-E72D297353CC}">
                <c16:uniqueId val="{00000021-6B24-4F5F-A99D-335B0A93B561}"/>
              </c:ext>
            </c:extLst>
          </c:dPt>
          <c:dPt>
            <c:idx val="17"/>
            <c:invertIfNegative val="0"/>
            <c:bubble3D val="0"/>
            <c:extLst>
              <c:ext xmlns:c16="http://schemas.microsoft.com/office/drawing/2014/chart" uri="{C3380CC4-5D6E-409C-BE32-E72D297353CC}">
                <c16:uniqueId val="{00000044-2881-4E89-B236-837408B48F37}"/>
              </c:ext>
            </c:extLst>
          </c:dPt>
          <c:dPt>
            <c:idx val="18"/>
            <c:invertIfNegative val="0"/>
            <c:bubble3D val="0"/>
            <c:extLst>
              <c:ext xmlns:c16="http://schemas.microsoft.com/office/drawing/2014/chart" uri="{C3380CC4-5D6E-409C-BE32-E72D297353CC}">
                <c16:uniqueId val="{00000045-2881-4E89-B236-837408B48F37}"/>
              </c:ext>
            </c:extLst>
          </c:dPt>
          <c:dPt>
            <c:idx val="19"/>
            <c:invertIfNegative val="0"/>
            <c:bubble3D val="0"/>
            <c:extLst>
              <c:ext xmlns:c16="http://schemas.microsoft.com/office/drawing/2014/chart" uri="{C3380CC4-5D6E-409C-BE32-E72D297353CC}">
                <c16:uniqueId val="{00000046-2881-4E89-B236-837408B48F37}"/>
              </c:ext>
            </c:extLst>
          </c:dPt>
          <c:dPt>
            <c:idx val="20"/>
            <c:invertIfNegative val="0"/>
            <c:bubble3D val="0"/>
            <c:extLst>
              <c:ext xmlns:c16="http://schemas.microsoft.com/office/drawing/2014/chart" uri="{C3380CC4-5D6E-409C-BE32-E72D297353CC}">
                <c16:uniqueId val="{00000047-2881-4E89-B236-837408B48F37}"/>
              </c:ext>
            </c:extLst>
          </c:dPt>
          <c:dPt>
            <c:idx val="21"/>
            <c:invertIfNegative val="0"/>
            <c:bubble3D val="0"/>
            <c:extLst>
              <c:ext xmlns:c16="http://schemas.microsoft.com/office/drawing/2014/chart" uri="{C3380CC4-5D6E-409C-BE32-E72D297353CC}">
                <c16:uniqueId val="{00000048-2881-4E89-B236-837408B48F37}"/>
              </c:ext>
            </c:extLst>
          </c:dPt>
          <c:dPt>
            <c:idx val="22"/>
            <c:invertIfNegative val="0"/>
            <c:bubble3D val="0"/>
            <c:extLst>
              <c:ext xmlns:c16="http://schemas.microsoft.com/office/drawing/2014/chart" uri="{C3380CC4-5D6E-409C-BE32-E72D297353CC}">
                <c16:uniqueId val="{00000049-2881-4E89-B236-837408B48F37}"/>
              </c:ext>
            </c:extLst>
          </c:dPt>
          <c:dPt>
            <c:idx val="23"/>
            <c:invertIfNegative val="0"/>
            <c:bubble3D val="0"/>
            <c:extLst>
              <c:ext xmlns:c16="http://schemas.microsoft.com/office/drawing/2014/chart" uri="{C3380CC4-5D6E-409C-BE32-E72D297353CC}">
                <c16:uniqueId val="{0000004A-2881-4E89-B236-837408B48F37}"/>
              </c:ext>
            </c:extLst>
          </c:dPt>
          <c:cat>
            <c:strRef>
              <c:f>pt.lvl3_generic_2!$B$8:$C$8</c:f>
              <c:strCache>
                <c:ptCount val="1"/>
                <c:pt idx="0">
                  <c:v>Grand Total</c:v>
                </c:pt>
              </c:strCache>
            </c:strRef>
          </c:cat>
          <c:val>
            <c:numRef>
              <c:f>pt.lvl3_generic_2!$D$8</c:f>
              <c:numCache>
                <c:formatCode>General</c:formatCode>
                <c:ptCount val="1"/>
              </c:numCache>
            </c:numRef>
          </c:val>
          <c:extLst>
            <c:ext xmlns:c16="http://schemas.microsoft.com/office/drawing/2014/chart" uri="{C3380CC4-5D6E-409C-BE32-E72D297353CC}">
              <c16:uniqueId val="{00000022-6B24-4F5F-A99D-335B0A93B561}"/>
            </c:ext>
          </c:extLst>
        </c:ser>
        <c:dLbls>
          <c:showLegendKey val="0"/>
          <c:showVal val="0"/>
          <c:showCatName val="0"/>
          <c:showSerName val="0"/>
          <c:showPercent val="0"/>
          <c:showBubbleSize val="0"/>
        </c:dLbls>
        <c:gapWidth val="200"/>
        <c:axId val="223617544"/>
        <c:axId val="223617936"/>
      </c:barChart>
      <c:lineChart>
        <c:grouping val="standard"/>
        <c:varyColors val="0"/>
        <c:ser>
          <c:idx val="1"/>
          <c:order val="1"/>
          <c:tx>
            <c:strRef>
              <c:f>pt.lvl3_generic_2!$E$7</c:f>
              <c:strCache>
                <c:ptCount val="1"/>
                <c:pt idx="0">
                  <c:v>Average of Cíl %</c:v>
                </c:pt>
              </c:strCache>
            </c:strRef>
          </c:tx>
          <c:spPr>
            <a:ln w="28575" cap="rnd">
              <a:solidFill>
                <a:srgbClr val="000000"/>
              </a:solidFill>
              <a:round/>
            </a:ln>
            <a:effectLst/>
          </c:spPr>
          <c:marker>
            <c:symbol val="none"/>
          </c:marker>
          <c:cat>
            <c:strRef>
              <c:f>pt.lvl3_generic_2!$B$8:$C$8</c:f>
              <c:strCache>
                <c:ptCount val="1"/>
                <c:pt idx="0">
                  <c:v>Grand Total</c:v>
                </c:pt>
              </c:strCache>
            </c:strRef>
          </c:cat>
          <c:val>
            <c:numRef>
              <c:f>pt.lvl3_generic_2!$E$8</c:f>
              <c:numCache>
                <c:formatCode>General</c:formatCode>
                <c:ptCount val="1"/>
              </c:numCache>
            </c:numRef>
          </c:val>
          <c:smooth val="0"/>
          <c:extLst>
            <c:ext xmlns:c16="http://schemas.microsoft.com/office/drawing/2014/chart" uri="{C3380CC4-5D6E-409C-BE32-E72D297353CC}">
              <c16:uniqueId val="{00000023-6B24-4F5F-A99D-335B0A93B561}"/>
            </c:ext>
          </c:extLst>
        </c:ser>
        <c:ser>
          <c:idx val="2"/>
          <c:order val="2"/>
          <c:tx>
            <c:strRef>
              <c:f>pt.lvl3_generic_2!$F$7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5-6B24-4F5F-A99D-335B0A93B561}"/>
              </c:ext>
            </c:extLst>
          </c:dPt>
          <c:dPt>
            <c:idx val="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27-6B24-4F5F-A99D-335B0A93B561}"/>
              </c:ext>
            </c:extLst>
          </c:dPt>
          <c:dPt>
            <c:idx val="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29-6B24-4F5F-A99D-335B0A93B561}"/>
              </c:ext>
            </c:extLst>
          </c:dPt>
          <c:dPt>
            <c:idx val="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2B-6B24-4F5F-A99D-335B0A93B561}"/>
              </c:ext>
            </c:extLst>
          </c:dPt>
          <c:dPt>
            <c:idx val="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2D-6B24-4F5F-A99D-335B0A93B561}"/>
              </c:ext>
            </c:extLst>
          </c:dPt>
          <c:dPt>
            <c:idx val="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2F-6B24-4F5F-A99D-335B0A93B561}"/>
              </c:ext>
            </c:extLst>
          </c:dPt>
          <c:dPt>
            <c:idx val="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31-6B24-4F5F-A99D-335B0A93B561}"/>
              </c:ext>
            </c:extLst>
          </c:dPt>
          <c:dPt>
            <c:idx val="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33-6B24-4F5F-A99D-335B0A93B561}"/>
              </c:ext>
            </c:extLst>
          </c:dPt>
          <c:dPt>
            <c:idx val="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35-6B24-4F5F-A99D-335B0A93B561}"/>
              </c:ext>
            </c:extLst>
          </c:dPt>
          <c:dPt>
            <c:idx val="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37-6B24-4F5F-A99D-335B0A93B561}"/>
              </c:ext>
            </c:extLst>
          </c:dPt>
          <c:dPt>
            <c:idx val="1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39-6B24-4F5F-A99D-335B0A93B561}"/>
              </c:ext>
            </c:extLst>
          </c:dPt>
          <c:dPt>
            <c:idx val="1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3B-6B24-4F5F-A99D-335B0A93B561}"/>
              </c:ext>
            </c:extLst>
          </c:dPt>
          <c:dPt>
            <c:idx val="1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3D-6B24-4F5F-A99D-335B0A93B561}"/>
              </c:ext>
            </c:extLst>
          </c:dPt>
          <c:dPt>
            <c:idx val="1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3F-6B24-4F5F-A99D-335B0A93B561}"/>
              </c:ext>
            </c:extLst>
          </c:dPt>
          <c:dPt>
            <c:idx val="1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41-6B24-4F5F-A99D-335B0A93B561}"/>
              </c:ext>
            </c:extLst>
          </c:dPt>
          <c:dPt>
            <c:idx val="1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43-6B24-4F5F-A99D-335B0A93B561}"/>
              </c:ext>
            </c:extLst>
          </c:dPt>
          <c:dPt>
            <c:idx val="1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45-6B24-4F5F-A99D-335B0A93B561}"/>
              </c:ext>
            </c:extLst>
          </c:dPt>
          <c:dPt>
            <c:idx val="1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4B-2881-4E89-B236-837408B48F37}"/>
              </c:ext>
            </c:extLst>
          </c:dPt>
          <c:dPt>
            <c:idx val="1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4C-2881-4E89-B236-837408B48F37}"/>
              </c:ext>
            </c:extLst>
          </c:dPt>
          <c:dPt>
            <c:idx val="1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4D-2881-4E89-B236-837408B48F37}"/>
              </c:ext>
            </c:extLst>
          </c:dPt>
          <c:dPt>
            <c:idx val="2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4E-2881-4E89-B236-837408B48F37}"/>
              </c:ext>
            </c:extLst>
          </c:dPt>
          <c:dPt>
            <c:idx val="2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4F-2881-4E89-B236-837408B48F37}"/>
              </c:ext>
            </c:extLst>
          </c:dPt>
          <c:dPt>
            <c:idx val="2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50-2881-4E89-B236-837408B48F37}"/>
              </c:ext>
            </c:extLst>
          </c:dPt>
          <c:dPt>
            <c:idx val="2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51-2881-4E89-B236-837408B48F37}"/>
              </c:ext>
            </c:extLst>
          </c:dPt>
          <c:cat>
            <c:strRef>
              <c:f>pt.lvl3_generic_2!$B$8:$C$8</c:f>
              <c:strCache>
                <c:ptCount val="1"/>
                <c:pt idx="0">
                  <c:v>Grand Total</c:v>
                </c:pt>
              </c:strCache>
            </c:strRef>
          </c:cat>
          <c:val>
            <c:numRef>
              <c:f>pt.lvl3_generic_2!$F$8</c:f>
              <c:numCache>
                <c:formatCode>General</c:formatCode>
                <c:ptCount val="1"/>
              </c:numCache>
            </c:numRef>
          </c:val>
          <c:smooth val="0"/>
          <c:extLst>
            <c:ext xmlns:c16="http://schemas.microsoft.com/office/drawing/2014/chart" uri="{C3380CC4-5D6E-409C-BE32-E72D297353CC}">
              <c16:uniqueId val="{00000046-6B24-4F5F-A99D-335B0A93B561}"/>
            </c:ext>
          </c:extLst>
        </c:ser>
        <c:dLbls>
          <c:showLegendKey val="0"/>
          <c:showVal val="0"/>
          <c:showCatName val="0"/>
          <c:showSerName val="0"/>
          <c:showPercent val="0"/>
          <c:showBubbleSize val="0"/>
        </c:dLbls>
        <c:marker val="1"/>
        <c:smooth val="0"/>
        <c:axId val="223617544"/>
        <c:axId val="223617936"/>
      </c:lineChart>
      <c:catAx>
        <c:axId val="223617544"/>
        <c:scaling>
          <c:orientation val="minMax"/>
        </c:scaling>
        <c:delete val="0"/>
        <c:axPos val="b"/>
        <c:numFmt formatCode="h" sourceLinked="0"/>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23617936"/>
        <c:crosses val="autoZero"/>
        <c:auto val="1"/>
        <c:lblAlgn val="ctr"/>
        <c:lblOffset val="100"/>
        <c:noMultiLvlLbl val="0"/>
      </c:catAx>
      <c:valAx>
        <c:axId val="223617936"/>
        <c:scaling>
          <c:orientation val="minMax"/>
          <c:max val="1.1000000000000001"/>
          <c:min val="0.5"/>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23617544"/>
        <c:crosses val="autoZero"/>
        <c:crossBetween val="between"/>
        <c:majorUnit val="0.1"/>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1.3_3_2.xlsm]pt.lvl3_generic_1!pt.lvl3_generic_1</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a:solidFill>
              <a:srgbClr val="9CC746"/>
            </a:solidFill>
          </a:ln>
          <a:effectLst/>
        </c:spPr>
        <c:marker>
          <c:symbol val="none"/>
        </c:marker>
      </c:pivotFmt>
      <c:pivotFmt>
        <c:idx val="4"/>
        <c:spPr>
          <a:solidFill>
            <a:schemeClr val="accent1"/>
          </a:solidFill>
          <a:ln w="28575" cap="rnd">
            <a:solidFill>
              <a:srgbClr val="000000"/>
            </a:solidFill>
            <a:round/>
          </a:ln>
          <a:effectLst/>
        </c:spPr>
        <c:marker>
          <c:symbol val="none"/>
        </c:marker>
      </c:pivotFmt>
      <c:pivotFmt>
        <c:idx val="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6"/>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7"/>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8"/>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9"/>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0"/>
      </c:pivotFmt>
      <c:pivotFmt>
        <c:idx val="11"/>
      </c:pivotFmt>
      <c:pivotFmt>
        <c:idx val="12"/>
      </c:pivotFmt>
      <c:pivotFmt>
        <c:idx val="13"/>
      </c:pivotFmt>
      <c:pivotFmt>
        <c:idx val="14"/>
      </c:pivotFmt>
      <c:pivotFmt>
        <c:idx val="15"/>
      </c:pivotFmt>
      <c:pivotFmt>
        <c:idx val="1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6"/>
        <c:spPr>
          <a:solidFill>
            <a:srgbClr val="9CC746"/>
          </a:solidFill>
          <a:ln>
            <a:solidFill>
              <a:srgbClr val="9CC746"/>
            </a:solidFill>
          </a:ln>
          <a:effectLst/>
        </c:spPr>
        <c:marker>
          <c:symbol val="circle"/>
          <c:size val="5"/>
          <c:spPr>
            <a:solidFill>
              <a:srgbClr val="9CC746"/>
            </a:solidFill>
            <a:ln w="3175">
              <a:solidFill>
                <a:srgbClr val="9CC746"/>
              </a:solidFill>
              <a:prstDash val="solid"/>
            </a:ln>
            <a:effectLst/>
          </c:spPr>
        </c:marker>
      </c:pivotFmt>
      <c:pivotFmt>
        <c:idx val="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8"/>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29"/>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0"/>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1"/>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2"/>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3"/>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4"/>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5"/>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6"/>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7"/>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8"/>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9"/>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40"/>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41"/>
      </c:pivotFmt>
      <c:pivotFmt>
        <c:idx val="42"/>
      </c:pivotFmt>
      <c:pivotFmt>
        <c:idx val="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8"/>
      </c:pivotFmt>
      <c:pivotFmt>
        <c:idx val="59"/>
      </c:pivotFmt>
      <c:pivotFmt>
        <c:idx val="60"/>
      </c:pivotFmt>
      <c:pivotFmt>
        <c:idx val="61"/>
      </c:pivotFmt>
      <c:pivotFmt>
        <c:idx val="62"/>
      </c:pivotFmt>
      <c:pivotFmt>
        <c:idx val="63"/>
      </c:pivotFmt>
      <c:pivotFmt>
        <c:idx val="64"/>
      </c:pivotFmt>
      <c:pivotFmt>
        <c:idx val="65"/>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pivotFmt>
      <c:pivotFmt>
        <c:idx val="76"/>
      </c:pivotFmt>
      <c:pivotFmt>
        <c:idx val="77"/>
      </c:pivotFmt>
      <c:pivotFmt>
        <c:idx val="78"/>
      </c:pivotFmt>
      <c:pivotFmt>
        <c:idx val="79"/>
      </c:pivotFmt>
      <c:pivotFmt>
        <c:idx val="80"/>
      </c:pivotFmt>
      <c:pivotFmt>
        <c:idx val="8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4"/>
        <c:spPr>
          <a:solidFill>
            <a:srgbClr val="9CC746"/>
          </a:solidFill>
          <a:ln>
            <a:solidFill>
              <a:srgbClr val="9CC746"/>
            </a:solidFill>
          </a:ln>
          <a:effectLst/>
        </c:spPr>
      </c:pivotFmt>
      <c:pivotFmt>
        <c:idx val="10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06"/>
        <c:spPr>
          <a:solidFill>
            <a:schemeClr val="accent1"/>
          </a:solidFill>
          <a:ln>
            <a:noFill/>
          </a:ln>
          <a:effectLst/>
        </c:spPr>
        <c:marker>
          <c:symbol val="none"/>
        </c:marker>
      </c:pivotFmt>
      <c:pivotFmt>
        <c:idx val="107"/>
        <c:spPr>
          <a:ln w="28575" cap="rnd">
            <a:solidFill>
              <a:srgbClr val="000000"/>
            </a:solidFill>
            <a:round/>
          </a:ln>
          <a:effectLst/>
        </c:spPr>
        <c:marker>
          <c:symbol val="none"/>
        </c:marker>
      </c:pivotFmt>
      <c:pivotFmt>
        <c:idx val="10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9"/>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0"/>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1"/>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2"/>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3"/>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4"/>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5"/>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6"/>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7"/>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8"/>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9"/>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0"/>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1"/>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2"/>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3"/>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4"/>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5"/>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4"/>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5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5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5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s>
    <c:plotArea>
      <c:layout>
        <c:manualLayout>
          <c:layoutTarget val="inner"/>
          <c:xMode val="edge"/>
          <c:yMode val="edge"/>
          <c:x val="4.5091784130387905E-2"/>
          <c:y val="0.10143026430722432"/>
          <c:w val="0.93389463315303567"/>
          <c:h val="0.53008502788450385"/>
        </c:manualLayout>
      </c:layout>
      <c:barChart>
        <c:barDir val="col"/>
        <c:grouping val="clustered"/>
        <c:varyColors val="0"/>
        <c:ser>
          <c:idx val="0"/>
          <c:order val="0"/>
          <c:tx>
            <c:strRef>
              <c:f>pt.lvl3_generic_1!$D$7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1-5750-4A32-8FA3-70A75E2E8DB9}"/>
              </c:ext>
            </c:extLst>
          </c:dPt>
          <c:dPt>
            <c:idx val="1"/>
            <c:invertIfNegative val="0"/>
            <c:bubble3D val="0"/>
            <c:extLst>
              <c:ext xmlns:c16="http://schemas.microsoft.com/office/drawing/2014/chart" uri="{C3380CC4-5D6E-409C-BE32-E72D297353CC}">
                <c16:uniqueId val="{00000003-5750-4A32-8FA3-70A75E2E8DB9}"/>
              </c:ext>
            </c:extLst>
          </c:dPt>
          <c:dPt>
            <c:idx val="2"/>
            <c:invertIfNegative val="0"/>
            <c:bubble3D val="0"/>
            <c:extLst>
              <c:ext xmlns:c16="http://schemas.microsoft.com/office/drawing/2014/chart" uri="{C3380CC4-5D6E-409C-BE32-E72D297353CC}">
                <c16:uniqueId val="{00000005-5750-4A32-8FA3-70A75E2E8DB9}"/>
              </c:ext>
            </c:extLst>
          </c:dPt>
          <c:dPt>
            <c:idx val="3"/>
            <c:invertIfNegative val="0"/>
            <c:bubble3D val="0"/>
            <c:extLst>
              <c:ext xmlns:c16="http://schemas.microsoft.com/office/drawing/2014/chart" uri="{C3380CC4-5D6E-409C-BE32-E72D297353CC}">
                <c16:uniqueId val="{00000007-5750-4A32-8FA3-70A75E2E8DB9}"/>
              </c:ext>
            </c:extLst>
          </c:dPt>
          <c:dPt>
            <c:idx val="4"/>
            <c:invertIfNegative val="0"/>
            <c:bubble3D val="0"/>
            <c:extLst>
              <c:ext xmlns:c16="http://schemas.microsoft.com/office/drawing/2014/chart" uri="{C3380CC4-5D6E-409C-BE32-E72D297353CC}">
                <c16:uniqueId val="{00000009-5750-4A32-8FA3-70A75E2E8DB9}"/>
              </c:ext>
            </c:extLst>
          </c:dPt>
          <c:dPt>
            <c:idx val="5"/>
            <c:invertIfNegative val="0"/>
            <c:bubble3D val="0"/>
            <c:extLst>
              <c:ext xmlns:c16="http://schemas.microsoft.com/office/drawing/2014/chart" uri="{C3380CC4-5D6E-409C-BE32-E72D297353CC}">
                <c16:uniqueId val="{0000000B-5750-4A32-8FA3-70A75E2E8DB9}"/>
              </c:ext>
            </c:extLst>
          </c:dPt>
          <c:dPt>
            <c:idx val="6"/>
            <c:invertIfNegative val="0"/>
            <c:bubble3D val="0"/>
            <c:extLst>
              <c:ext xmlns:c16="http://schemas.microsoft.com/office/drawing/2014/chart" uri="{C3380CC4-5D6E-409C-BE32-E72D297353CC}">
                <c16:uniqueId val="{0000000D-5750-4A32-8FA3-70A75E2E8DB9}"/>
              </c:ext>
            </c:extLst>
          </c:dPt>
          <c:dPt>
            <c:idx val="7"/>
            <c:invertIfNegative val="0"/>
            <c:bubble3D val="0"/>
            <c:extLst>
              <c:ext xmlns:c16="http://schemas.microsoft.com/office/drawing/2014/chart" uri="{C3380CC4-5D6E-409C-BE32-E72D297353CC}">
                <c16:uniqueId val="{0000000F-5750-4A32-8FA3-70A75E2E8DB9}"/>
              </c:ext>
            </c:extLst>
          </c:dPt>
          <c:dPt>
            <c:idx val="8"/>
            <c:invertIfNegative val="0"/>
            <c:bubble3D val="0"/>
            <c:extLst>
              <c:ext xmlns:c16="http://schemas.microsoft.com/office/drawing/2014/chart" uri="{C3380CC4-5D6E-409C-BE32-E72D297353CC}">
                <c16:uniqueId val="{00000011-5750-4A32-8FA3-70A75E2E8DB9}"/>
              </c:ext>
            </c:extLst>
          </c:dPt>
          <c:dPt>
            <c:idx val="9"/>
            <c:invertIfNegative val="0"/>
            <c:bubble3D val="0"/>
            <c:extLst>
              <c:ext xmlns:c16="http://schemas.microsoft.com/office/drawing/2014/chart" uri="{C3380CC4-5D6E-409C-BE32-E72D297353CC}">
                <c16:uniqueId val="{00000013-5750-4A32-8FA3-70A75E2E8DB9}"/>
              </c:ext>
            </c:extLst>
          </c:dPt>
          <c:dPt>
            <c:idx val="10"/>
            <c:invertIfNegative val="0"/>
            <c:bubble3D val="0"/>
            <c:extLst>
              <c:ext xmlns:c16="http://schemas.microsoft.com/office/drawing/2014/chart" uri="{C3380CC4-5D6E-409C-BE32-E72D297353CC}">
                <c16:uniqueId val="{00000015-5750-4A32-8FA3-70A75E2E8DB9}"/>
              </c:ext>
            </c:extLst>
          </c:dPt>
          <c:dPt>
            <c:idx val="11"/>
            <c:invertIfNegative val="0"/>
            <c:bubble3D val="0"/>
            <c:extLst>
              <c:ext xmlns:c16="http://schemas.microsoft.com/office/drawing/2014/chart" uri="{C3380CC4-5D6E-409C-BE32-E72D297353CC}">
                <c16:uniqueId val="{00000017-5750-4A32-8FA3-70A75E2E8DB9}"/>
              </c:ext>
            </c:extLst>
          </c:dPt>
          <c:dPt>
            <c:idx val="12"/>
            <c:invertIfNegative val="0"/>
            <c:bubble3D val="0"/>
            <c:extLst>
              <c:ext xmlns:c16="http://schemas.microsoft.com/office/drawing/2014/chart" uri="{C3380CC4-5D6E-409C-BE32-E72D297353CC}">
                <c16:uniqueId val="{00000019-5750-4A32-8FA3-70A75E2E8DB9}"/>
              </c:ext>
            </c:extLst>
          </c:dPt>
          <c:dPt>
            <c:idx val="13"/>
            <c:invertIfNegative val="0"/>
            <c:bubble3D val="0"/>
            <c:extLst>
              <c:ext xmlns:c16="http://schemas.microsoft.com/office/drawing/2014/chart" uri="{C3380CC4-5D6E-409C-BE32-E72D297353CC}">
                <c16:uniqueId val="{0000001B-5750-4A32-8FA3-70A75E2E8DB9}"/>
              </c:ext>
            </c:extLst>
          </c:dPt>
          <c:dPt>
            <c:idx val="14"/>
            <c:invertIfNegative val="0"/>
            <c:bubble3D val="0"/>
            <c:extLst>
              <c:ext xmlns:c16="http://schemas.microsoft.com/office/drawing/2014/chart" uri="{C3380CC4-5D6E-409C-BE32-E72D297353CC}">
                <c16:uniqueId val="{0000001D-5750-4A32-8FA3-70A75E2E8DB9}"/>
              </c:ext>
            </c:extLst>
          </c:dPt>
          <c:dPt>
            <c:idx val="15"/>
            <c:invertIfNegative val="0"/>
            <c:bubble3D val="0"/>
            <c:extLst>
              <c:ext xmlns:c16="http://schemas.microsoft.com/office/drawing/2014/chart" uri="{C3380CC4-5D6E-409C-BE32-E72D297353CC}">
                <c16:uniqueId val="{0000001F-5750-4A32-8FA3-70A75E2E8DB9}"/>
              </c:ext>
            </c:extLst>
          </c:dPt>
          <c:dPt>
            <c:idx val="16"/>
            <c:invertIfNegative val="0"/>
            <c:bubble3D val="0"/>
            <c:extLst>
              <c:ext xmlns:c16="http://schemas.microsoft.com/office/drawing/2014/chart" uri="{C3380CC4-5D6E-409C-BE32-E72D297353CC}">
                <c16:uniqueId val="{00000021-5750-4A32-8FA3-70A75E2E8DB9}"/>
              </c:ext>
            </c:extLst>
          </c:dPt>
          <c:dPt>
            <c:idx val="17"/>
            <c:invertIfNegative val="0"/>
            <c:bubble3D val="0"/>
            <c:extLst>
              <c:ext xmlns:c16="http://schemas.microsoft.com/office/drawing/2014/chart" uri="{C3380CC4-5D6E-409C-BE32-E72D297353CC}">
                <c16:uniqueId val="{00000044-C0C5-4573-B331-48114D8E6C12}"/>
              </c:ext>
            </c:extLst>
          </c:dPt>
          <c:dPt>
            <c:idx val="18"/>
            <c:invertIfNegative val="0"/>
            <c:bubble3D val="0"/>
            <c:extLst>
              <c:ext xmlns:c16="http://schemas.microsoft.com/office/drawing/2014/chart" uri="{C3380CC4-5D6E-409C-BE32-E72D297353CC}">
                <c16:uniqueId val="{00000045-C0C5-4573-B331-48114D8E6C12}"/>
              </c:ext>
            </c:extLst>
          </c:dPt>
          <c:dPt>
            <c:idx val="19"/>
            <c:invertIfNegative val="0"/>
            <c:bubble3D val="0"/>
            <c:extLst>
              <c:ext xmlns:c16="http://schemas.microsoft.com/office/drawing/2014/chart" uri="{C3380CC4-5D6E-409C-BE32-E72D297353CC}">
                <c16:uniqueId val="{00000046-C0C5-4573-B331-48114D8E6C12}"/>
              </c:ext>
            </c:extLst>
          </c:dPt>
          <c:dPt>
            <c:idx val="20"/>
            <c:invertIfNegative val="0"/>
            <c:bubble3D val="0"/>
            <c:extLst>
              <c:ext xmlns:c16="http://schemas.microsoft.com/office/drawing/2014/chart" uri="{C3380CC4-5D6E-409C-BE32-E72D297353CC}">
                <c16:uniqueId val="{00000047-C0C5-4573-B331-48114D8E6C12}"/>
              </c:ext>
            </c:extLst>
          </c:dPt>
          <c:dPt>
            <c:idx val="21"/>
            <c:invertIfNegative val="0"/>
            <c:bubble3D val="0"/>
            <c:extLst>
              <c:ext xmlns:c16="http://schemas.microsoft.com/office/drawing/2014/chart" uri="{C3380CC4-5D6E-409C-BE32-E72D297353CC}">
                <c16:uniqueId val="{00000048-C0C5-4573-B331-48114D8E6C12}"/>
              </c:ext>
            </c:extLst>
          </c:dPt>
          <c:dPt>
            <c:idx val="22"/>
            <c:invertIfNegative val="0"/>
            <c:bubble3D val="0"/>
            <c:extLst>
              <c:ext xmlns:c16="http://schemas.microsoft.com/office/drawing/2014/chart" uri="{C3380CC4-5D6E-409C-BE32-E72D297353CC}">
                <c16:uniqueId val="{00000049-C0C5-4573-B331-48114D8E6C12}"/>
              </c:ext>
            </c:extLst>
          </c:dPt>
          <c:dPt>
            <c:idx val="23"/>
            <c:invertIfNegative val="0"/>
            <c:bubble3D val="0"/>
            <c:extLst>
              <c:ext xmlns:c16="http://schemas.microsoft.com/office/drawing/2014/chart" uri="{C3380CC4-5D6E-409C-BE32-E72D297353CC}">
                <c16:uniqueId val="{0000004A-C0C5-4573-B331-48114D8E6C12}"/>
              </c:ext>
            </c:extLst>
          </c:dPt>
          <c:cat>
            <c:strRef>
              <c:f>pt.lvl3_generic_1!$B$8:$C$8</c:f>
              <c:strCache>
                <c:ptCount val="1"/>
                <c:pt idx="0">
                  <c:v>Grand Total</c:v>
                </c:pt>
              </c:strCache>
            </c:strRef>
          </c:cat>
          <c:val>
            <c:numRef>
              <c:f>pt.lvl3_generic_1!$D$8</c:f>
              <c:numCache>
                <c:formatCode>General</c:formatCode>
                <c:ptCount val="1"/>
              </c:numCache>
            </c:numRef>
          </c:val>
          <c:extLst>
            <c:ext xmlns:c16="http://schemas.microsoft.com/office/drawing/2014/chart" uri="{C3380CC4-5D6E-409C-BE32-E72D297353CC}">
              <c16:uniqueId val="{00000022-5750-4A32-8FA3-70A75E2E8DB9}"/>
            </c:ext>
          </c:extLst>
        </c:ser>
        <c:dLbls>
          <c:showLegendKey val="0"/>
          <c:showVal val="0"/>
          <c:showCatName val="0"/>
          <c:showSerName val="0"/>
          <c:showPercent val="0"/>
          <c:showBubbleSize val="0"/>
        </c:dLbls>
        <c:gapWidth val="200"/>
        <c:axId val="223618720"/>
        <c:axId val="223619112"/>
      </c:barChart>
      <c:lineChart>
        <c:grouping val="standard"/>
        <c:varyColors val="0"/>
        <c:ser>
          <c:idx val="1"/>
          <c:order val="1"/>
          <c:tx>
            <c:strRef>
              <c:f>pt.lvl3_generic_1!$E$7</c:f>
              <c:strCache>
                <c:ptCount val="1"/>
                <c:pt idx="0">
                  <c:v>Average of Cíl %</c:v>
                </c:pt>
              </c:strCache>
            </c:strRef>
          </c:tx>
          <c:spPr>
            <a:ln w="28575" cap="rnd">
              <a:solidFill>
                <a:srgbClr val="000000"/>
              </a:solidFill>
              <a:round/>
            </a:ln>
            <a:effectLst/>
          </c:spPr>
          <c:marker>
            <c:symbol val="none"/>
          </c:marker>
          <c:cat>
            <c:strRef>
              <c:f>pt.lvl3_generic_1!$B$8:$C$8</c:f>
              <c:strCache>
                <c:ptCount val="1"/>
                <c:pt idx="0">
                  <c:v>Grand Total</c:v>
                </c:pt>
              </c:strCache>
            </c:strRef>
          </c:cat>
          <c:val>
            <c:numRef>
              <c:f>pt.lvl3_generic_1!$E$8</c:f>
              <c:numCache>
                <c:formatCode>General</c:formatCode>
                <c:ptCount val="1"/>
              </c:numCache>
            </c:numRef>
          </c:val>
          <c:smooth val="0"/>
          <c:extLst>
            <c:ext xmlns:c16="http://schemas.microsoft.com/office/drawing/2014/chart" uri="{C3380CC4-5D6E-409C-BE32-E72D297353CC}">
              <c16:uniqueId val="{00000023-5750-4A32-8FA3-70A75E2E8DB9}"/>
            </c:ext>
          </c:extLst>
        </c:ser>
        <c:ser>
          <c:idx val="2"/>
          <c:order val="2"/>
          <c:tx>
            <c:strRef>
              <c:f>pt.lvl3_generic_1!$F$7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5-5750-4A32-8FA3-70A75E2E8DB9}"/>
              </c:ext>
            </c:extLst>
          </c:dPt>
          <c:dPt>
            <c:idx val="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27-5750-4A32-8FA3-70A75E2E8DB9}"/>
              </c:ext>
            </c:extLst>
          </c:dPt>
          <c:dPt>
            <c:idx val="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29-5750-4A32-8FA3-70A75E2E8DB9}"/>
              </c:ext>
            </c:extLst>
          </c:dPt>
          <c:dPt>
            <c:idx val="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2B-5750-4A32-8FA3-70A75E2E8DB9}"/>
              </c:ext>
            </c:extLst>
          </c:dPt>
          <c:dPt>
            <c:idx val="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2D-5750-4A32-8FA3-70A75E2E8DB9}"/>
              </c:ext>
            </c:extLst>
          </c:dPt>
          <c:dPt>
            <c:idx val="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2F-5750-4A32-8FA3-70A75E2E8DB9}"/>
              </c:ext>
            </c:extLst>
          </c:dPt>
          <c:dPt>
            <c:idx val="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31-5750-4A32-8FA3-70A75E2E8DB9}"/>
              </c:ext>
            </c:extLst>
          </c:dPt>
          <c:dPt>
            <c:idx val="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33-5750-4A32-8FA3-70A75E2E8DB9}"/>
              </c:ext>
            </c:extLst>
          </c:dPt>
          <c:dPt>
            <c:idx val="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35-5750-4A32-8FA3-70A75E2E8DB9}"/>
              </c:ext>
            </c:extLst>
          </c:dPt>
          <c:dPt>
            <c:idx val="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37-5750-4A32-8FA3-70A75E2E8DB9}"/>
              </c:ext>
            </c:extLst>
          </c:dPt>
          <c:dPt>
            <c:idx val="1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39-5750-4A32-8FA3-70A75E2E8DB9}"/>
              </c:ext>
            </c:extLst>
          </c:dPt>
          <c:dPt>
            <c:idx val="1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3B-5750-4A32-8FA3-70A75E2E8DB9}"/>
              </c:ext>
            </c:extLst>
          </c:dPt>
          <c:dPt>
            <c:idx val="1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3D-5750-4A32-8FA3-70A75E2E8DB9}"/>
              </c:ext>
            </c:extLst>
          </c:dPt>
          <c:dPt>
            <c:idx val="1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3F-5750-4A32-8FA3-70A75E2E8DB9}"/>
              </c:ext>
            </c:extLst>
          </c:dPt>
          <c:dPt>
            <c:idx val="1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41-5750-4A32-8FA3-70A75E2E8DB9}"/>
              </c:ext>
            </c:extLst>
          </c:dPt>
          <c:dPt>
            <c:idx val="1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43-5750-4A32-8FA3-70A75E2E8DB9}"/>
              </c:ext>
            </c:extLst>
          </c:dPt>
          <c:dPt>
            <c:idx val="1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45-5750-4A32-8FA3-70A75E2E8DB9}"/>
              </c:ext>
            </c:extLst>
          </c:dPt>
          <c:dPt>
            <c:idx val="1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4B-C0C5-4573-B331-48114D8E6C12}"/>
              </c:ext>
            </c:extLst>
          </c:dPt>
          <c:dPt>
            <c:idx val="1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4C-C0C5-4573-B331-48114D8E6C12}"/>
              </c:ext>
            </c:extLst>
          </c:dPt>
          <c:dPt>
            <c:idx val="1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4D-C0C5-4573-B331-48114D8E6C12}"/>
              </c:ext>
            </c:extLst>
          </c:dPt>
          <c:dPt>
            <c:idx val="2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4E-C0C5-4573-B331-48114D8E6C12}"/>
              </c:ext>
            </c:extLst>
          </c:dPt>
          <c:dPt>
            <c:idx val="2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4F-C0C5-4573-B331-48114D8E6C12}"/>
              </c:ext>
            </c:extLst>
          </c:dPt>
          <c:dPt>
            <c:idx val="2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50-C0C5-4573-B331-48114D8E6C12}"/>
              </c:ext>
            </c:extLst>
          </c:dPt>
          <c:dPt>
            <c:idx val="2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51-C0C5-4573-B331-48114D8E6C12}"/>
              </c:ext>
            </c:extLst>
          </c:dPt>
          <c:cat>
            <c:strRef>
              <c:f>pt.lvl3_generic_1!$B$8:$C$8</c:f>
              <c:strCache>
                <c:ptCount val="1"/>
                <c:pt idx="0">
                  <c:v>Grand Total</c:v>
                </c:pt>
              </c:strCache>
            </c:strRef>
          </c:cat>
          <c:val>
            <c:numRef>
              <c:f>pt.lvl3_generic_1!$F$8</c:f>
              <c:numCache>
                <c:formatCode>General</c:formatCode>
                <c:ptCount val="1"/>
              </c:numCache>
            </c:numRef>
          </c:val>
          <c:smooth val="0"/>
          <c:extLst>
            <c:ext xmlns:c16="http://schemas.microsoft.com/office/drawing/2014/chart" uri="{C3380CC4-5D6E-409C-BE32-E72D297353CC}">
              <c16:uniqueId val="{00000046-5750-4A32-8FA3-70A75E2E8DB9}"/>
            </c:ext>
          </c:extLst>
        </c:ser>
        <c:dLbls>
          <c:showLegendKey val="0"/>
          <c:showVal val="0"/>
          <c:showCatName val="0"/>
          <c:showSerName val="0"/>
          <c:showPercent val="0"/>
          <c:showBubbleSize val="0"/>
        </c:dLbls>
        <c:marker val="1"/>
        <c:smooth val="0"/>
        <c:axId val="223618720"/>
        <c:axId val="223619112"/>
      </c:lineChart>
      <c:catAx>
        <c:axId val="223618720"/>
        <c:scaling>
          <c:orientation val="minMax"/>
        </c:scaling>
        <c:delete val="0"/>
        <c:axPos val="b"/>
        <c:numFmt formatCode="m/d/yyyy" sourceLinked="0"/>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b"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23619112"/>
        <c:crosses val="autoZero"/>
        <c:auto val="1"/>
        <c:lblAlgn val="ctr"/>
        <c:lblOffset val="0"/>
        <c:noMultiLvlLbl val="0"/>
      </c:catAx>
      <c:valAx>
        <c:axId val="223619112"/>
        <c:scaling>
          <c:orientation val="minMax"/>
          <c:max val="1.1000000000000001"/>
          <c:min val="0.5"/>
        </c:scaling>
        <c:delete val="0"/>
        <c:axPos val="l"/>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23618720"/>
        <c:crosses val="autoZero"/>
        <c:crossBetween val="between"/>
        <c:majorUnit val="0.1"/>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1.3_3_2.xlsm]pt.lvl3_generic_7!pt.lvl3_generic_7</c:name>
    <c:fmtId val="0"/>
  </c:pivotSource>
  <c:chart>
    <c:autoTitleDeleted val="1"/>
    <c:pivotFmts>
      <c:pivotFmt>
        <c:idx val="0"/>
        <c:spPr>
          <a:solidFill>
            <a:schemeClr val="accent1"/>
          </a:solidFill>
          <a:ln>
            <a:solidFill>
              <a:srgbClr val="5B9BD5"/>
            </a:solidFill>
          </a:ln>
          <a:effectLst/>
        </c:spPr>
        <c:marker>
          <c:symbol val="none"/>
        </c:marker>
      </c:pivotFmt>
      <c:pivotFmt>
        <c:idx val="1"/>
        <c:spPr>
          <a:solidFill>
            <a:schemeClr val="accent1"/>
          </a:solidFill>
          <a:ln w="28575" cap="rnd">
            <a:solidFill>
              <a:srgbClr val="000000"/>
            </a:solidFill>
            <a:round/>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8"/>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9"/>
        <c:spPr>
          <a:solidFill>
            <a:srgbClr val="9B2D2A"/>
          </a:solidFill>
          <a:ln>
            <a:solidFill>
              <a:srgbClr val="5B9BD5"/>
            </a:solidFill>
          </a:ln>
          <a:effectLst/>
        </c:spPr>
        <c:marker>
          <c:symbol val="circle"/>
          <c:size val="5"/>
          <c:spPr>
            <a:solidFill>
              <a:schemeClr val="accent1"/>
            </a:solidFill>
            <a:ln w="9525">
              <a:solidFill>
                <a:schemeClr val="accent1"/>
              </a:solidFill>
            </a:ln>
            <a:effectLst/>
          </c:spPr>
        </c:marker>
      </c:pivotFmt>
      <c:pivotFmt>
        <c:idx val="10"/>
        <c:spPr>
          <a:solidFill>
            <a:srgbClr val="9B2D2A"/>
          </a:solidFill>
          <a:ln>
            <a:solidFill>
              <a:srgbClr val="5B9BD5"/>
            </a:solidFill>
          </a:ln>
          <a:effectLst/>
        </c:spPr>
        <c:marker>
          <c:symbol val="circle"/>
          <c:size val="5"/>
          <c:spPr>
            <a:solidFill>
              <a:schemeClr val="accent1"/>
            </a:solidFill>
            <a:ln w="9525">
              <a:solidFill>
                <a:schemeClr val="accent1"/>
              </a:solidFill>
            </a:ln>
            <a:effectLst/>
          </c:spPr>
        </c:marker>
      </c:pivotFmt>
      <c:pivotFmt>
        <c:idx val="11"/>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2"/>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7"/>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8"/>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9"/>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0"/>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1"/>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2"/>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1"/>
        <c:spPr>
          <a:solidFill>
            <a:schemeClr val="accent1"/>
          </a:solidFill>
          <a:ln>
            <a:solidFill>
              <a:srgbClr val="5B9BD5"/>
            </a:solidFill>
          </a:ln>
          <a:effectLst/>
        </c:spPr>
      </c:pivotFmt>
      <c:pivotFmt>
        <c:idx val="5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53"/>
        <c:spPr>
          <a:solidFill>
            <a:schemeClr val="accent1"/>
          </a:solidFill>
          <a:ln>
            <a:solidFill>
              <a:srgbClr val="5B9BD5"/>
            </a:solidFill>
          </a:ln>
          <a:effectLst/>
        </c:spPr>
      </c:pivotFmt>
      <c:pivotFmt>
        <c:idx val="54"/>
        <c:spPr>
          <a:solidFill>
            <a:schemeClr val="accent1"/>
          </a:solidFill>
          <a:ln>
            <a:solidFill>
              <a:srgbClr val="5B9BD5"/>
            </a:solidFill>
          </a:ln>
          <a:effectLst/>
        </c:spPr>
      </c:pivotFmt>
      <c:pivotFmt>
        <c:idx val="55"/>
        <c:spPr>
          <a:solidFill>
            <a:schemeClr val="accent1"/>
          </a:solidFill>
          <a:ln>
            <a:solidFill>
              <a:srgbClr val="5B9BD5"/>
            </a:solidFill>
          </a:ln>
          <a:effectLst/>
        </c:spPr>
      </c:pivotFmt>
      <c:pivotFmt>
        <c:idx val="56"/>
        <c:spPr>
          <a:solidFill>
            <a:schemeClr val="accent1"/>
          </a:solidFill>
          <a:ln>
            <a:solidFill>
              <a:srgbClr val="5B9BD5"/>
            </a:solidFill>
          </a:ln>
          <a:effectLst/>
        </c:spPr>
      </c:pivotFmt>
      <c:pivotFmt>
        <c:idx val="57"/>
        <c:spPr>
          <a:solidFill>
            <a:schemeClr val="accent1"/>
          </a:solidFill>
          <a:ln>
            <a:solidFill>
              <a:srgbClr val="5B9BD5"/>
            </a:solidFill>
          </a:ln>
          <a:effectLst/>
        </c:spPr>
      </c:pivotFmt>
      <c:pivotFmt>
        <c:idx val="58"/>
        <c:spPr>
          <a:solidFill>
            <a:schemeClr val="accent1"/>
          </a:solidFill>
          <a:ln>
            <a:solidFill>
              <a:srgbClr val="5B9BD5"/>
            </a:solidFill>
          </a:ln>
          <a:effectLst/>
        </c:spPr>
      </c:pivotFmt>
      <c:pivotFmt>
        <c:idx val="59"/>
        <c:spPr>
          <a:solidFill>
            <a:schemeClr val="accent1"/>
          </a:solidFill>
          <a:ln>
            <a:solidFill>
              <a:srgbClr val="5B9BD5"/>
            </a:solidFill>
          </a:ln>
          <a:effectLst/>
        </c:spPr>
      </c:pivotFmt>
      <c:pivotFmt>
        <c:idx val="60"/>
        <c:spPr>
          <a:solidFill>
            <a:schemeClr val="accent1"/>
          </a:solidFill>
          <a:ln>
            <a:solidFill>
              <a:srgbClr val="5B9BD5"/>
            </a:solidFill>
          </a:ln>
          <a:effectLst/>
        </c:spPr>
      </c:pivotFmt>
      <c:pivotFmt>
        <c:idx val="61"/>
        <c:spPr>
          <a:solidFill>
            <a:schemeClr val="accent1"/>
          </a:solidFill>
          <a:ln>
            <a:solidFill>
              <a:srgbClr val="5B9BD5"/>
            </a:solidFill>
          </a:ln>
          <a:effectLst/>
        </c:spPr>
      </c:pivotFmt>
      <c:pivotFmt>
        <c:idx val="62"/>
        <c:spPr>
          <a:solidFill>
            <a:schemeClr val="accent1"/>
          </a:solidFill>
          <a:ln>
            <a:solidFill>
              <a:srgbClr val="5B9BD5"/>
            </a:solidFill>
          </a:ln>
          <a:effectLst/>
        </c:spPr>
      </c:pivotFmt>
      <c:pivotFmt>
        <c:idx val="63"/>
        <c:spPr>
          <a:solidFill>
            <a:schemeClr val="accent1"/>
          </a:solidFill>
          <a:ln>
            <a:solidFill>
              <a:srgbClr val="5B9BD5"/>
            </a:solidFill>
          </a:ln>
          <a:effectLst/>
        </c:spPr>
      </c:pivotFmt>
      <c:pivotFmt>
        <c:idx val="64"/>
        <c:spPr>
          <a:solidFill>
            <a:schemeClr val="accent1"/>
          </a:solidFill>
          <a:ln>
            <a:solidFill>
              <a:srgbClr val="5B9BD5"/>
            </a:solidFill>
          </a:ln>
          <a:effectLst/>
        </c:spPr>
      </c:pivotFmt>
      <c:pivotFmt>
        <c:idx val="65"/>
        <c:spPr>
          <a:solidFill>
            <a:schemeClr val="accent1"/>
          </a:solidFill>
          <a:ln>
            <a:solidFill>
              <a:srgbClr val="5B9BD5"/>
            </a:solidFill>
          </a:ln>
          <a:effectLst/>
        </c:spPr>
      </c:pivotFmt>
      <c:pivotFmt>
        <c:idx val="66"/>
        <c:spPr>
          <a:solidFill>
            <a:schemeClr val="accent1"/>
          </a:solidFill>
          <a:ln>
            <a:solidFill>
              <a:srgbClr val="5B9BD5"/>
            </a:solidFill>
          </a:ln>
          <a:effectLst/>
        </c:spPr>
      </c:pivotFmt>
      <c:pivotFmt>
        <c:idx val="67"/>
        <c:spPr>
          <a:solidFill>
            <a:schemeClr val="accent1"/>
          </a:solidFill>
          <a:ln>
            <a:solidFill>
              <a:srgbClr val="5B9BD5"/>
            </a:solidFill>
          </a:ln>
          <a:effectLst/>
        </c:spPr>
      </c:pivotFmt>
      <c:pivotFmt>
        <c:idx val="68"/>
        <c:spPr>
          <a:solidFill>
            <a:schemeClr val="accent1"/>
          </a:solidFill>
          <a:ln>
            <a:solidFill>
              <a:srgbClr val="5B9BD5"/>
            </a:solidFill>
          </a:ln>
          <a:effectLst/>
        </c:spPr>
      </c:pivotFmt>
      <c:pivotFmt>
        <c:idx val="69"/>
        <c:spPr>
          <a:solidFill>
            <a:schemeClr val="accent1"/>
          </a:solidFill>
          <a:ln>
            <a:solidFill>
              <a:srgbClr val="5B9BD5"/>
            </a:solidFill>
          </a:ln>
          <a:effectLst/>
        </c:spPr>
      </c:pivotFmt>
      <c:pivotFmt>
        <c:idx val="70"/>
        <c:spPr>
          <a:solidFill>
            <a:schemeClr val="accent1"/>
          </a:solidFill>
          <a:ln>
            <a:solidFill>
              <a:srgbClr val="5B9BD5"/>
            </a:solidFill>
          </a:ln>
          <a:effectLst/>
        </c:spPr>
      </c:pivotFmt>
      <c:pivotFmt>
        <c:idx val="71"/>
        <c:spPr>
          <a:solidFill>
            <a:schemeClr val="accent1"/>
          </a:solidFill>
          <a:ln>
            <a:solidFill>
              <a:srgbClr val="5B9BD5"/>
            </a:solidFill>
          </a:ln>
          <a:effectLst/>
        </c:spPr>
      </c:pivotFmt>
      <c:pivotFmt>
        <c:idx val="72"/>
        <c:spPr>
          <a:solidFill>
            <a:schemeClr val="accent1"/>
          </a:solidFill>
          <a:ln>
            <a:solidFill>
              <a:srgbClr val="5B9BD5"/>
            </a:solidFill>
          </a:ln>
          <a:effectLst/>
        </c:spPr>
      </c:pivotFmt>
      <c:pivotFmt>
        <c:idx val="73"/>
        <c:spPr>
          <a:solidFill>
            <a:schemeClr val="accent1"/>
          </a:solidFill>
          <a:ln>
            <a:solidFill>
              <a:srgbClr val="5B9BD5"/>
            </a:solidFill>
          </a:ln>
          <a:effectLst/>
        </c:spPr>
      </c:pivotFmt>
      <c:pivotFmt>
        <c:idx val="74"/>
        <c:spPr>
          <a:solidFill>
            <a:schemeClr val="accent1"/>
          </a:solidFill>
          <a:ln>
            <a:solidFill>
              <a:srgbClr val="5B9BD5"/>
            </a:solidFill>
          </a:ln>
          <a:effectLst/>
        </c:spPr>
      </c:pivotFmt>
      <c:pivotFmt>
        <c:idx val="75"/>
        <c:spPr>
          <a:solidFill>
            <a:schemeClr val="accent1"/>
          </a:solidFill>
          <a:ln>
            <a:solidFill>
              <a:srgbClr val="5B9BD5"/>
            </a:solidFill>
          </a:ln>
          <a:effectLst/>
        </c:spPr>
      </c:pivotFmt>
      <c:pivotFmt>
        <c:idx val="76"/>
        <c:spPr>
          <a:solidFill>
            <a:schemeClr val="accent1"/>
          </a:solidFill>
          <a:ln>
            <a:solidFill>
              <a:srgbClr val="5B9BD5"/>
            </a:solidFill>
          </a:ln>
          <a:effectLst/>
        </c:spPr>
      </c:pivotFmt>
      <c:pivotFmt>
        <c:idx val="7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7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7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1"/>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3"/>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4"/>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5"/>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6"/>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1"/>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3"/>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4"/>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5"/>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6"/>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1"/>
      </c:pivotFmt>
      <c:pivotFmt>
        <c:idx val="10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3"/>
        <c:spPr>
          <a:solidFill>
            <a:schemeClr val="accent1"/>
          </a:solidFill>
          <a:ln>
            <a:noFill/>
          </a:ln>
          <a:effectLst/>
        </c:spPr>
        <c:marker>
          <c:symbol val="none"/>
        </c:marker>
      </c:pivotFmt>
      <c:pivotFmt>
        <c:idx val="104"/>
        <c:spPr>
          <a:ln w="28575" cap="rnd">
            <a:solidFill>
              <a:srgbClr val="000000"/>
            </a:solidFill>
            <a:round/>
          </a:ln>
          <a:effectLst/>
        </c:spPr>
        <c:marker>
          <c:symbol val="none"/>
        </c:marker>
      </c:pivotFmt>
      <c:pivotFmt>
        <c:idx val="10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0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2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8"/>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9"/>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0"/>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1"/>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2"/>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3"/>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4"/>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5"/>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8"/>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9"/>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0"/>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1"/>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2"/>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3"/>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4"/>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5"/>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6"/>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7"/>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8"/>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9"/>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8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s>
    <c:plotArea>
      <c:layout>
        <c:manualLayout>
          <c:layoutTarget val="inner"/>
          <c:xMode val="edge"/>
          <c:yMode val="edge"/>
          <c:x val="4.462666534517902E-2"/>
          <c:y val="0.21415934635007097"/>
          <c:w val="0.93421308220681309"/>
          <c:h val="0.67713759637884086"/>
        </c:manualLayout>
      </c:layout>
      <c:barChart>
        <c:barDir val="col"/>
        <c:grouping val="clustered"/>
        <c:varyColors val="0"/>
        <c:ser>
          <c:idx val="0"/>
          <c:order val="0"/>
          <c:tx>
            <c:strRef>
              <c:f>pt.lvl3_generic_7!$D$7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0-C5A1-4B02-B367-C2BE1BF5FFE7}"/>
              </c:ext>
            </c:extLst>
          </c:dPt>
          <c:dPt>
            <c:idx val="1"/>
            <c:invertIfNegative val="0"/>
            <c:bubble3D val="0"/>
            <c:spPr>
              <a:solidFill>
                <a:srgbClr val="9B2D2A"/>
              </a:solidFill>
              <a:ln>
                <a:noFill/>
              </a:ln>
              <a:effectLst/>
            </c:spPr>
            <c:extLst>
              <c:ext xmlns:c16="http://schemas.microsoft.com/office/drawing/2014/chart" uri="{C3380CC4-5D6E-409C-BE32-E72D297353CC}">
                <c16:uniqueId val="{00000001-C5A1-4B02-B367-C2BE1BF5FFE7}"/>
              </c:ext>
            </c:extLst>
          </c:dPt>
          <c:dPt>
            <c:idx val="2"/>
            <c:invertIfNegative val="0"/>
            <c:bubble3D val="0"/>
            <c:spPr>
              <a:solidFill>
                <a:srgbClr val="9CC746"/>
              </a:solidFill>
              <a:ln>
                <a:noFill/>
              </a:ln>
              <a:effectLst/>
            </c:spPr>
            <c:extLst>
              <c:ext xmlns:c16="http://schemas.microsoft.com/office/drawing/2014/chart" uri="{C3380CC4-5D6E-409C-BE32-E72D297353CC}">
                <c16:uniqueId val="{00000002-C5A1-4B02-B367-C2BE1BF5FFE7}"/>
              </c:ext>
            </c:extLst>
          </c:dPt>
          <c:dPt>
            <c:idx val="3"/>
            <c:invertIfNegative val="0"/>
            <c:bubble3D val="0"/>
            <c:spPr>
              <a:solidFill>
                <a:srgbClr val="9CC746"/>
              </a:solidFill>
              <a:ln>
                <a:noFill/>
              </a:ln>
              <a:effectLst/>
            </c:spPr>
            <c:extLst>
              <c:ext xmlns:c16="http://schemas.microsoft.com/office/drawing/2014/chart" uri="{C3380CC4-5D6E-409C-BE32-E72D297353CC}">
                <c16:uniqueId val="{00000003-C5A1-4B02-B367-C2BE1BF5FFE7}"/>
              </c:ext>
            </c:extLst>
          </c:dPt>
          <c:dPt>
            <c:idx val="4"/>
            <c:invertIfNegative val="0"/>
            <c:bubble3D val="0"/>
            <c:spPr>
              <a:solidFill>
                <a:srgbClr val="9CC746"/>
              </a:solidFill>
              <a:ln>
                <a:noFill/>
              </a:ln>
              <a:effectLst/>
            </c:spPr>
            <c:extLst>
              <c:ext xmlns:c16="http://schemas.microsoft.com/office/drawing/2014/chart" uri="{C3380CC4-5D6E-409C-BE32-E72D297353CC}">
                <c16:uniqueId val="{00000004-C5A1-4B02-B367-C2BE1BF5FFE7}"/>
              </c:ext>
            </c:extLst>
          </c:dPt>
          <c:dPt>
            <c:idx val="5"/>
            <c:invertIfNegative val="0"/>
            <c:bubble3D val="0"/>
            <c:spPr>
              <a:solidFill>
                <a:srgbClr val="9CC746"/>
              </a:solidFill>
              <a:ln>
                <a:noFill/>
              </a:ln>
              <a:effectLst/>
            </c:spPr>
            <c:extLst>
              <c:ext xmlns:c16="http://schemas.microsoft.com/office/drawing/2014/chart" uri="{C3380CC4-5D6E-409C-BE32-E72D297353CC}">
                <c16:uniqueId val="{00000005-C5A1-4B02-B367-C2BE1BF5FFE7}"/>
              </c:ext>
            </c:extLst>
          </c:dPt>
          <c:dPt>
            <c:idx val="6"/>
            <c:invertIfNegative val="0"/>
            <c:bubble3D val="0"/>
            <c:spPr>
              <a:solidFill>
                <a:srgbClr val="9CC746"/>
              </a:solidFill>
              <a:ln>
                <a:noFill/>
              </a:ln>
              <a:effectLst/>
            </c:spPr>
            <c:extLst>
              <c:ext xmlns:c16="http://schemas.microsoft.com/office/drawing/2014/chart" uri="{C3380CC4-5D6E-409C-BE32-E72D297353CC}">
                <c16:uniqueId val="{00000006-C5A1-4B02-B367-C2BE1BF5FFE7}"/>
              </c:ext>
            </c:extLst>
          </c:dPt>
          <c:dPt>
            <c:idx val="7"/>
            <c:invertIfNegative val="0"/>
            <c:bubble3D val="0"/>
            <c:spPr>
              <a:solidFill>
                <a:srgbClr val="9CC746"/>
              </a:solidFill>
              <a:ln>
                <a:noFill/>
              </a:ln>
              <a:effectLst/>
            </c:spPr>
            <c:extLst>
              <c:ext xmlns:c16="http://schemas.microsoft.com/office/drawing/2014/chart" uri="{C3380CC4-5D6E-409C-BE32-E72D297353CC}">
                <c16:uniqueId val="{00000007-C5A1-4B02-B367-C2BE1BF5FFE7}"/>
              </c:ext>
            </c:extLst>
          </c:dPt>
          <c:dPt>
            <c:idx val="8"/>
            <c:invertIfNegative val="0"/>
            <c:bubble3D val="0"/>
            <c:spPr>
              <a:solidFill>
                <a:srgbClr val="9CC746"/>
              </a:solidFill>
              <a:ln>
                <a:noFill/>
              </a:ln>
              <a:effectLst/>
            </c:spPr>
            <c:extLst>
              <c:ext xmlns:c16="http://schemas.microsoft.com/office/drawing/2014/chart" uri="{C3380CC4-5D6E-409C-BE32-E72D297353CC}">
                <c16:uniqueId val="{00000008-C5A1-4B02-B367-C2BE1BF5FFE7}"/>
              </c:ext>
            </c:extLst>
          </c:dPt>
          <c:dPt>
            <c:idx val="9"/>
            <c:invertIfNegative val="0"/>
            <c:bubble3D val="0"/>
            <c:spPr>
              <a:solidFill>
                <a:srgbClr val="9B2D2A"/>
              </a:solidFill>
              <a:ln>
                <a:noFill/>
              </a:ln>
              <a:effectLst/>
            </c:spPr>
            <c:extLst>
              <c:ext xmlns:c16="http://schemas.microsoft.com/office/drawing/2014/chart" uri="{C3380CC4-5D6E-409C-BE32-E72D297353CC}">
                <c16:uniqueId val="{00000009-C5A1-4B02-B367-C2BE1BF5FFE7}"/>
              </c:ext>
            </c:extLst>
          </c:dPt>
          <c:dPt>
            <c:idx val="10"/>
            <c:invertIfNegative val="0"/>
            <c:bubble3D val="0"/>
            <c:spPr>
              <a:solidFill>
                <a:srgbClr val="9CC746"/>
              </a:solidFill>
              <a:ln>
                <a:noFill/>
              </a:ln>
              <a:effectLst/>
            </c:spPr>
            <c:extLst>
              <c:ext xmlns:c16="http://schemas.microsoft.com/office/drawing/2014/chart" uri="{C3380CC4-5D6E-409C-BE32-E72D297353CC}">
                <c16:uniqueId val="{0000000A-C5A1-4B02-B367-C2BE1BF5FFE7}"/>
              </c:ext>
            </c:extLst>
          </c:dPt>
          <c:dPt>
            <c:idx val="11"/>
            <c:invertIfNegative val="0"/>
            <c:bubble3D val="0"/>
            <c:spPr>
              <a:solidFill>
                <a:srgbClr val="9CC746"/>
              </a:solidFill>
              <a:ln>
                <a:noFill/>
              </a:ln>
              <a:effectLst/>
            </c:spPr>
            <c:extLst>
              <c:ext xmlns:c16="http://schemas.microsoft.com/office/drawing/2014/chart" uri="{C3380CC4-5D6E-409C-BE32-E72D297353CC}">
                <c16:uniqueId val="{0000000B-C5A1-4B02-B367-C2BE1BF5FFE7}"/>
              </c:ext>
            </c:extLst>
          </c:dPt>
          <c:dPt>
            <c:idx val="12"/>
            <c:invertIfNegative val="0"/>
            <c:bubble3D val="0"/>
            <c:spPr>
              <a:solidFill>
                <a:srgbClr val="9CC746"/>
              </a:solidFill>
              <a:ln>
                <a:noFill/>
              </a:ln>
              <a:effectLst/>
            </c:spPr>
            <c:extLst>
              <c:ext xmlns:c16="http://schemas.microsoft.com/office/drawing/2014/chart" uri="{C3380CC4-5D6E-409C-BE32-E72D297353CC}">
                <c16:uniqueId val="{0000000C-C5A1-4B02-B367-C2BE1BF5FFE7}"/>
              </c:ext>
            </c:extLst>
          </c:dPt>
          <c:dPt>
            <c:idx val="13"/>
            <c:invertIfNegative val="0"/>
            <c:bubble3D val="0"/>
            <c:spPr>
              <a:solidFill>
                <a:srgbClr val="9CC746"/>
              </a:solidFill>
              <a:ln>
                <a:noFill/>
              </a:ln>
              <a:effectLst/>
            </c:spPr>
            <c:extLst>
              <c:ext xmlns:c16="http://schemas.microsoft.com/office/drawing/2014/chart" uri="{C3380CC4-5D6E-409C-BE32-E72D297353CC}">
                <c16:uniqueId val="{0000000D-C5A1-4B02-B367-C2BE1BF5FFE7}"/>
              </c:ext>
            </c:extLst>
          </c:dPt>
          <c:dPt>
            <c:idx val="14"/>
            <c:invertIfNegative val="0"/>
            <c:bubble3D val="0"/>
            <c:spPr>
              <a:solidFill>
                <a:srgbClr val="9CC746"/>
              </a:solidFill>
              <a:ln>
                <a:noFill/>
              </a:ln>
              <a:effectLst/>
            </c:spPr>
            <c:extLst>
              <c:ext xmlns:c16="http://schemas.microsoft.com/office/drawing/2014/chart" uri="{C3380CC4-5D6E-409C-BE32-E72D297353CC}">
                <c16:uniqueId val="{0000000E-C5A1-4B02-B367-C2BE1BF5FFE7}"/>
              </c:ext>
            </c:extLst>
          </c:dPt>
          <c:dPt>
            <c:idx val="15"/>
            <c:invertIfNegative val="0"/>
            <c:bubble3D val="0"/>
            <c:spPr>
              <a:solidFill>
                <a:srgbClr val="9CC746"/>
              </a:solidFill>
              <a:ln>
                <a:noFill/>
              </a:ln>
              <a:effectLst/>
            </c:spPr>
            <c:extLst>
              <c:ext xmlns:c16="http://schemas.microsoft.com/office/drawing/2014/chart" uri="{C3380CC4-5D6E-409C-BE32-E72D297353CC}">
                <c16:uniqueId val="{0000000F-C5A1-4B02-B367-C2BE1BF5FFE7}"/>
              </c:ext>
            </c:extLst>
          </c:dPt>
          <c:dPt>
            <c:idx val="16"/>
            <c:invertIfNegative val="0"/>
            <c:bubble3D val="0"/>
            <c:spPr>
              <a:solidFill>
                <a:srgbClr val="9CC746"/>
              </a:solidFill>
              <a:ln>
                <a:noFill/>
              </a:ln>
              <a:effectLst/>
            </c:spPr>
            <c:extLst>
              <c:ext xmlns:c16="http://schemas.microsoft.com/office/drawing/2014/chart" uri="{C3380CC4-5D6E-409C-BE32-E72D297353CC}">
                <c16:uniqueId val="{00000010-C5A1-4B02-B367-C2BE1BF5FFE7}"/>
              </c:ext>
            </c:extLst>
          </c:dPt>
          <c:dPt>
            <c:idx val="17"/>
            <c:invertIfNegative val="0"/>
            <c:bubble3D val="0"/>
            <c:spPr>
              <a:solidFill>
                <a:srgbClr val="9CC746"/>
              </a:solidFill>
              <a:ln>
                <a:noFill/>
              </a:ln>
              <a:effectLst/>
            </c:spPr>
            <c:extLst>
              <c:ext xmlns:c16="http://schemas.microsoft.com/office/drawing/2014/chart" uri="{C3380CC4-5D6E-409C-BE32-E72D297353CC}">
                <c16:uniqueId val="{00000011-C5A1-4B02-B367-C2BE1BF5FFE7}"/>
              </c:ext>
            </c:extLst>
          </c:dPt>
          <c:dPt>
            <c:idx val="18"/>
            <c:invertIfNegative val="0"/>
            <c:bubble3D val="0"/>
            <c:spPr>
              <a:solidFill>
                <a:srgbClr val="9CC746"/>
              </a:solidFill>
              <a:ln>
                <a:noFill/>
              </a:ln>
              <a:effectLst/>
            </c:spPr>
            <c:extLst>
              <c:ext xmlns:c16="http://schemas.microsoft.com/office/drawing/2014/chart" uri="{C3380CC4-5D6E-409C-BE32-E72D297353CC}">
                <c16:uniqueId val="{00000012-C5A1-4B02-B367-C2BE1BF5FFE7}"/>
              </c:ext>
            </c:extLst>
          </c:dPt>
          <c:dPt>
            <c:idx val="19"/>
            <c:invertIfNegative val="0"/>
            <c:bubble3D val="0"/>
            <c:spPr>
              <a:solidFill>
                <a:srgbClr val="9B2D2A"/>
              </a:solidFill>
              <a:ln>
                <a:noFill/>
              </a:ln>
              <a:effectLst/>
            </c:spPr>
            <c:extLst>
              <c:ext xmlns:c16="http://schemas.microsoft.com/office/drawing/2014/chart" uri="{C3380CC4-5D6E-409C-BE32-E72D297353CC}">
                <c16:uniqueId val="{00000013-C5A1-4B02-B367-C2BE1BF5FFE7}"/>
              </c:ext>
            </c:extLst>
          </c:dPt>
          <c:dPt>
            <c:idx val="20"/>
            <c:invertIfNegative val="0"/>
            <c:bubble3D val="0"/>
            <c:spPr>
              <a:solidFill>
                <a:srgbClr val="9CC746"/>
              </a:solidFill>
              <a:ln>
                <a:noFill/>
              </a:ln>
              <a:effectLst/>
            </c:spPr>
            <c:extLst>
              <c:ext xmlns:c16="http://schemas.microsoft.com/office/drawing/2014/chart" uri="{C3380CC4-5D6E-409C-BE32-E72D297353CC}">
                <c16:uniqueId val="{00000014-C5A1-4B02-B367-C2BE1BF5FFE7}"/>
              </c:ext>
            </c:extLst>
          </c:dPt>
          <c:dPt>
            <c:idx val="21"/>
            <c:invertIfNegative val="0"/>
            <c:bubble3D val="0"/>
            <c:spPr>
              <a:solidFill>
                <a:srgbClr val="9CC746"/>
              </a:solidFill>
              <a:ln>
                <a:noFill/>
              </a:ln>
              <a:effectLst/>
            </c:spPr>
            <c:extLst>
              <c:ext xmlns:c16="http://schemas.microsoft.com/office/drawing/2014/chart" uri="{C3380CC4-5D6E-409C-BE32-E72D297353CC}">
                <c16:uniqueId val="{00000015-C5A1-4B02-B367-C2BE1BF5FFE7}"/>
              </c:ext>
            </c:extLst>
          </c:dPt>
          <c:dPt>
            <c:idx val="22"/>
            <c:invertIfNegative val="0"/>
            <c:bubble3D val="0"/>
            <c:spPr>
              <a:solidFill>
                <a:srgbClr val="9CC746"/>
              </a:solidFill>
              <a:ln>
                <a:noFill/>
              </a:ln>
              <a:effectLst/>
            </c:spPr>
            <c:extLst>
              <c:ext xmlns:c16="http://schemas.microsoft.com/office/drawing/2014/chart" uri="{C3380CC4-5D6E-409C-BE32-E72D297353CC}">
                <c16:uniqueId val="{00000044-B3FA-4025-AD36-1FDB3DFC80B9}"/>
              </c:ext>
            </c:extLst>
          </c:dPt>
          <c:dPt>
            <c:idx val="23"/>
            <c:invertIfNegative val="0"/>
            <c:bubble3D val="0"/>
            <c:spPr>
              <a:solidFill>
                <a:srgbClr val="9CC746"/>
              </a:solidFill>
              <a:ln>
                <a:noFill/>
              </a:ln>
              <a:effectLst/>
            </c:spPr>
            <c:extLst>
              <c:ext xmlns:c16="http://schemas.microsoft.com/office/drawing/2014/chart" uri="{C3380CC4-5D6E-409C-BE32-E72D297353CC}">
                <c16:uniqueId val="{00000045-B3FA-4025-AD36-1FDB3DFC80B9}"/>
              </c:ext>
            </c:extLst>
          </c:dPt>
          <c:dPt>
            <c:idx val="24"/>
            <c:invertIfNegative val="0"/>
            <c:bubble3D val="0"/>
            <c:spPr>
              <a:solidFill>
                <a:srgbClr val="9CC746"/>
              </a:solidFill>
              <a:ln>
                <a:noFill/>
              </a:ln>
              <a:effectLst/>
            </c:spPr>
            <c:extLst>
              <c:ext xmlns:c16="http://schemas.microsoft.com/office/drawing/2014/chart" uri="{C3380CC4-5D6E-409C-BE32-E72D297353CC}">
                <c16:uniqueId val="{00000046-B3FA-4025-AD36-1FDB3DFC80B9}"/>
              </c:ext>
            </c:extLst>
          </c:dPt>
          <c:dPt>
            <c:idx val="25"/>
            <c:invertIfNegative val="0"/>
            <c:bubble3D val="0"/>
            <c:spPr>
              <a:solidFill>
                <a:srgbClr val="9CC746"/>
              </a:solidFill>
              <a:ln>
                <a:noFill/>
              </a:ln>
              <a:effectLst/>
            </c:spPr>
            <c:extLst>
              <c:ext xmlns:c16="http://schemas.microsoft.com/office/drawing/2014/chart" uri="{C3380CC4-5D6E-409C-BE32-E72D297353CC}">
                <c16:uniqueId val="{00000047-B3FA-4025-AD36-1FDB3DFC80B9}"/>
              </c:ext>
            </c:extLst>
          </c:dPt>
          <c:dPt>
            <c:idx val="26"/>
            <c:invertIfNegative val="0"/>
            <c:bubble3D val="0"/>
            <c:spPr>
              <a:solidFill>
                <a:srgbClr val="9CC746"/>
              </a:solidFill>
              <a:ln>
                <a:noFill/>
              </a:ln>
              <a:effectLst/>
            </c:spPr>
            <c:extLst>
              <c:ext xmlns:c16="http://schemas.microsoft.com/office/drawing/2014/chart" uri="{C3380CC4-5D6E-409C-BE32-E72D297353CC}">
                <c16:uniqueId val="{00000048-B3FA-4025-AD36-1FDB3DFC80B9}"/>
              </c:ext>
            </c:extLst>
          </c:dPt>
          <c:dPt>
            <c:idx val="27"/>
            <c:invertIfNegative val="0"/>
            <c:bubble3D val="0"/>
            <c:spPr>
              <a:solidFill>
                <a:srgbClr val="9CC746"/>
              </a:solidFill>
              <a:ln>
                <a:noFill/>
              </a:ln>
              <a:effectLst/>
            </c:spPr>
            <c:extLst>
              <c:ext xmlns:c16="http://schemas.microsoft.com/office/drawing/2014/chart" uri="{C3380CC4-5D6E-409C-BE32-E72D297353CC}">
                <c16:uniqueId val="{00000049-B3FA-4025-AD36-1FDB3DFC80B9}"/>
              </c:ext>
            </c:extLst>
          </c:dPt>
          <c:dPt>
            <c:idx val="28"/>
            <c:invertIfNegative val="0"/>
            <c:bubble3D val="0"/>
            <c:spPr>
              <a:solidFill>
                <a:srgbClr val="9CC746"/>
              </a:solidFill>
              <a:ln>
                <a:noFill/>
              </a:ln>
              <a:effectLst/>
            </c:spPr>
            <c:extLst>
              <c:ext xmlns:c16="http://schemas.microsoft.com/office/drawing/2014/chart" uri="{C3380CC4-5D6E-409C-BE32-E72D297353CC}">
                <c16:uniqueId val="{0000004A-B3FA-4025-AD36-1FDB3DFC80B9}"/>
              </c:ext>
            </c:extLst>
          </c:dPt>
          <c:dPt>
            <c:idx val="29"/>
            <c:invertIfNegative val="0"/>
            <c:bubble3D val="0"/>
            <c:spPr>
              <a:solidFill>
                <a:srgbClr val="9CC746"/>
              </a:solidFill>
              <a:ln>
                <a:noFill/>
              </a:ln>
              <a:effectLst/>
            </c:spPr>
            <c:extLst>
              <c:ext xmlns:c16="http://schemas.microsoft.com/office/drawing/2014/chart" uri="{C3380CC4-5D6E-409C-BE32-E72D297353CC}">
                <c16:uniqueId val="{0000004B-B3FA-4025-AD36-1FDB3DFC80B9}"/>
              </c:ext>
            </c:extLst>
          </c:dPt>
          <c:dPt>
            <c:idx val="30"/>
            <c:invertIfNegative val="0"/>
            <c:bubble3D val="0"/>
            <c:spPr>
              <a:solidFill>
                <a:srgbClr val="9CC746"/>
              </a:solidFill>
              <a:ln>
                <a:noFill/>
              </a:ln>
              <a:effectLst/>
            </c:spPr>
            <c:extLst>
              <c:ext xmlns:c16="http://schemas.microsoft.com/office/drawing/2014/chart" uri="{C3380CC4-5D6E-409C-BE32-E72D297353CC}">
                <c16:uniqueId val="{0000004C-B3FA-4025-AD36-1FDB3DFC80B9}"/>
              </c:ext>
            </c:extLst>
          </c:dPt>
          <c:dPt>
            <c:idx val="31"/>
            <c:invertIfNegative val="0"/>
            <c:bubble3D val="0"/>
            <c:spPr>
              <a:solidFill>
                <a:srgbClr val="9CC746"/>
              </a:solidFill>
              <a:ln>
                <a:noFill/>
              </a:ln>
              <a:effectLst/>
            </c:spPr>
            <c:extLst>
              <c:ext xmlns:c16="http://schemas.microsoft.com/office/drawing/2014/chart" uri="{C3380CC4-5D6E-409C-BE32-E72D297353CC}">
                <c16:uniqueId val="{0000004D-B3FA-4025-AD36-1FDB3DFC80B9}"/>
              </c:ext>
            </c:extLst>
          </c:dPt>
          <c:dPt>
            <c:idx val="32"/>
            <c:invertIfNegative val="0"/>
            <c:bubble3D val="0"/>
            <c:spPr>
              <a:solidFill>
                <a:srgbClr val="9CC746"/>
              </a:solidFill>
              <a:ln>
                <a:noFill/>
              </a:ln>
              <a:effectLst/>
            </c:spPr>
            <c:extLst>
              <c:ext xmlns:c16="http://schemas.microsoft.com/office/drawing/2014/chart" uri="{C3380CC4-5D6E-409C-BE32-E72D297353CC}">
                <c16:uniqueId val="{0000004E-B3FA-4025-AD36-1FDB3DFC80B9}"/>
              </c:ext>
            </c:extLst>
          </c:dPt>
          <c:dPt>
            <c:idx val="33"/>
            <c:invertIfNegative val="0"/>
            <c:bubble3D val="0"/>
            <c:spPr>
              <a:solidFill>
                <a:srgbClr val="9B2D2A"/>
              </a:solidFill>
              <a:ln>
                <a:noFill/>
              </a:ln>
              <a:effectLst/>
            </c:spPr>
            <c:extLst>
              <c:ext xmlns:c16="http://schemas.microsoft.com/office/drawing/2014/chart" uri="{C3380CC4-5D6E-409C-BE32-E72D297353CC}">
                <c16:uniqueId val="{0000004F-B3FA-4025-AD36-1FDB3DFC80B9}"/>
              </c:ext>
            </c:extLst>
          </c:dPt>
          <c:dPt>
            <c:idx val="34"/>
            <c:invertIfNegative val="0"/>
            <c:bubble3D val="0"/>
            <c:spPr>
              <a:solidFill>
                <a:srgbClr val="9CC746"/>
              </a:solidFill>
              <a:ln>
                <a:noFill/>
              </a:ln>
              <a:effectLst/>
            </c:spPr>
            <c:extLst>
              <c:ext xmlns:c16="http://schemas.microsoft.com/office/drawing/2014/chart" uri="{C3380CC4-5D6E-409C-BE32-E72D297353CC}">
                <c16:uniqueId val="{00000050-B3FA-4025-AD36-1FDB3DFC80B9}"/>
              </c:ext>
            </c:extLst>
          </c:dPt>
          <c:dPt>
            <c:idx val="35"/>
            <c:invertIfNegative val="0"/>
            <c:bubble3D val="0"/>
            <c:spPr>
              <a:solidFill>
                <a:srgbClr val="9CC746"/>
              </a:solidFill>
              <a:ln>
                <a:noFill/>
              </a:ln>
              <a:effectLst/>
            </c:spPr>
            <c:extLst>
              <c:ext xmlns:c16="http://schemas.microsoft.com/office/drawing/2014/chart" uri="{C3380CC4-5D6E-409C-BE32-E72D297353CC}">
                <c16:uniqueId val="{00000051-B3FA-4025-AD36-1FDB3DFC80B9}"/>
              </c:ext>
            </c:extLst>
          </c:dPt>
          <c:dPt>
            <c:idx val="36"/>
            <c:invertIfNegative val="0"/>
            <c:bubble3D val="0"/>
            <c:spPr>
              <a:solidFill>
                <a:srgbClr val="9CC746"/>
              </a:solidFill>
              <a:ln>
                <a:noFill/>
              </a:ln>
              <a:effectLst/>
            </c:spPr>
            <c:extLst>
              <c:ext xmlns:c16="http://schemas.microsoft.com/office/drawing/2014/chart" uri="{C3380CC4-5D6E-409C-BE32-E72D297353CC}">
                <c16:uniqueId val="{00000052-B3FA-4025-AD36-1FDB3DFC80B9}"/>
              </c:ext>
            </c:extLst>
          </c:dPt>
          <c:dPt>
            <c:idx val="37"/>
            <c:invertIfNegative val="0"/>
            <c:bubble3D val="0"/>
            <c:spPr>
              <a:solidFill>
                <a:srgbClr val="9CC746"/>
              </a:solidFill>
              <a:ln>
                <a:noFill/>
              </a:ln>
              <a:effectLst/>
            </c:spPr>
            <c:extLst>
              <c:ext xmlns:c16="http://schemas.microsoft.com/office/drawing/2014/chart" uri="{C3380CC4-5D6E-409C-BE32-E72D297353CC}">
                <c16:uniqueId val="{00000053-B3FA-4025-AD36-1FDB3DFC80B9}"/>
              </c:ext>
            </c:extLst>
          </c:dPt>
          <c:dPt>
            <c:idx val="38"/>
            <c:invertIfNegative val="0"/>
            <c:bubble3D val="0"/>
            <c:spPr>
              <a:solidFill>
                <a:srgbClr val="9CC746"/>
              </a:solidFill>
              <a:ln>
                <a:noFill/>
              </a:ln>
              <a:effectLst/>
            </c:spPr>
            <c:extLst>
              <c:ext xmlns:c16="http://schemas.microsoft.com/office/drawing/2014/chart" uri="{C3380CC4-5D6E-409C-BE32-E72D297353CC}">
                <c16:uniqueId val="{00000054-B3FA-4025-AD36-1FDB3DFC80B9}"/>
              </c:ext>
            </c:extLst>
          </c:dPt>
          <c:dPt>
            <c:idx val="39"/>
            <c:invertIfNegative val="0"/>
            <c:bubble3D val="0"/>
            <c:spPr>
              <a:solidFill>
                <a:srgbClr val="9CC746"/>
              </a:solidFill>
              <a:ln>
                <a:noFill/>
              </a:ln>
              <a:effectLst/>
            </c:spPr>
            <c:extLst>
              <c:ext xmlns:c16="http://schemas.microsoft.com/office/drawing/2014/chart" uri="{C3380CC4-5D6E-409C-BE32-E72D297353CC}">
                <c16:uniqueId val="{00000055-B3FA-4025-AD36-1FDB3DFC80B9}"/>
              </c:ext>
            </c:extLst>
          </c:dPt>
          <c:dPt>
            <c:idx val="40"/>
            <c:invertIfNegative val="0"/>
            <c:bubble3D val="0"/>
            <c:spPr>
              <a:solidFill>
                <a:srgbClr val="9CC746"/>
              </a:solidFill>
              <a:ln>
                <a:noFill/>
              </a:ln>
              <a:effectLst/>
            </c:spPr>
            <c:extLst>
              <c:ext xmlns:c16="http://schemas.microsoft.com/office/drawing/2014/chart" uri="{C3380CC4-5D6E-409C-BE32-E72D297353CC}">
                <c16:uniqueId val="{00000056-B3FA-4025-AD36-1FDB3DFC80B9}"/>
              </c:ext>
            </c:extLst>
          </c:dPt>
          <c:dPt>
            <c:idx val="41"/>
            <c:invertIfNegative val="0"/>
            <c:bubble3D val="0"/>
            <c:spPr>
              <a:solidFill>
                <a:srgbClr val="9CC746"/>
              </a:solidFill>
              <a:ln>
                <a:noFill/>
              </a:ln>
              <a:effectLst/>
            </c:spPr>
            <c:extLst>
              <c:ext xmlns:c16="http://schemas.microsoft.com/office/drawing/2014/chart" uri="{C3380CC4-5D6E-409C-BE32-E72D297353CC}">
                <c16:uniqueId val="{00000057-B3FA-4025-AD36-1FDB3DFC80B9}"/>
              </c:ext>
            </c:extLst>
          </c:dPt>
          <c:dPt>
            <c:idx val="42"/>
            <c:invertIfNegative val="0"/>
            <c:bubble3D val="0"/>
            <c:spPr>
              <a:solidFill>
                <a:srgbClr val="9B2D2A"/>
              </a:solidFill>
              <a:ln>
                <a:noFill/>
              </a:ln>
              <a:effectLst/>
            </c:spPr>
            <c:extLst>
              <c:ext xmlns:c16="http://schemas.microsoft.com/office/drawing/2014/chart" uri="{C3380CC4-5D6E-409C-BE32-E72D297353CC}">
                <c16:uniqueId val="{00000058-B3FA-4025-AD36-1FDB3DFC80B9}"/>
              </c:ext>
            </c:extLst>
          </c:dPt>
          <c:dPt>
            <c:idx val="43"/>
            <c:invertIfNegative val="0"/>
            <c:bubble3D val="0"/>
            <c:spPr>
              <a:solidFill>
                <a:srgbClr val="9CC746"/>
              </a:solidFill>
              <a:ln>
                <a:noFill/>
              </a:ln>
              <a:effectLst/>
            </c:spPr>
            <c:extLst>
              <c:ext xmlns:c16="http://schemas.microsoft.com/office/drawing/2014/chart" uri="{C3380CC4-5D6E-409C-BE32-E72D297353CC}">
                <c16:uniqueId val="{00000059-B3FA-4025-AD36-1FDB3DFC80B9}"/>
              </c:ext>
            </c:extLst>
          </c:dPt>
          <c:dPt>
            <c:idx val="44"/>
            <c:invertIfNegative val="0"/>
            <c:bubble3D val="0"/>
            <c:spPr>
              <a:solidFill>
                <a:srgbClr val="9CC746"/>
              </a:solidFill>
              <a:ln>
                <a:noFill/>
              </a:ln>
              <a:effectLst/>
            </c:spPr>
            <c:extLst>
              <c:ext xmlns:c16="http://schemas.microsoft.com/office/drawing/2014/chart" uri="{C3380CC4-5D6E-409C-BE32-E72D297353CC}">
                <c16:uniqueId val="{0000005A-B3FA-4025-AD36-1FDB3DFC80B9}"/>
              </c:ext>
            </c:extLst>
          </c:dPt>
          <c:dPt>
            <c:idx val="45"/>
            <c:invertIfNegative val="0"/>
            <c:bubble3D val="0"/>
            <c:spPr>
              <a:solidFill>
                <a:srgbClr val="9CC746"/>
              </a:solidFill>
              <a:ln>
                <a:noFill/>
              </a:ln>
              <a:effectLst/>
            </c:spPr>
            <c:extLst>
              <c:ext xmlns:c16="http://schemas.microsoft.com/office/drawing/2014/chart" uri="{C3380CC4-5D6E-409C-BE32-E72D297353CC}">
                <c16:uniqueId val="{0000005B-B3FA-4025-AD36-1FDB3DFC80B9}"/>
              </c:ext>
            </c:extLst>
          </c:dPt>
          <c:cat>
            <c:multiLvlStrRef>
              <c:f>pt.lvl3_generic_7!$B$8:$C$54</c:f>
              <c:multiLvlStrCache>
                <c:ptCount val="46"/>
                <c:lvl>
                  <c:pt idx="0">
                    <c:v>0,416666666666667</c:v>
                  </c:pt>
                  <c:pt idx="1">
                    <c:v>0,458333333333333</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0,416666666666667</c:v>
                  </c:pt>
                  <c:pt idx="20">
                    <c:v>0,875</c:v>
                  </c:pt>
                  <c:pt idx="21">
                    <c:v>(blank)</c:v>
                  </c:pt>
                  <c:pt idx="22">
                    <c:v>7</c:v>
                  </c:pt>
                  <c:pt idx="23">
                    <c:v>8</c:v>
                  </c:pt>
                  <c:pt idx="24">
                    <c:v>9</c:v>
                  </c:pt>
                  <c:pt idx="25">
                    <c:v>10</c:v>
                  </c:pt>
                  <c:pt idx="26">
                    <c:v>11</c:v>
                  </c:pt>
                  <c:pt idx="27">
                    <c:v>12</c:v>
                  </c:pt>
                  <c:pt idx="28">
                    <c:v>13</c:v>
                  </c:pt>
                  <c:pt idx="29">
                    <c:v>14</c:v>
                  </c:pt>
                  <c:pt idx="30">
                    <c:v>15</c:v>
                  </c:pt>
                  <c:pt idx="31">
                    <c:v>16</c:v>
                  </c:pt>
                  <c:pt idx="32">
                    <c:v>17</c:v>
                  </c:pt>
                  <c:pt idx="33">
                    <c:v>18</c:v>
                  </c:pt>
                  <c:pt idx="34">
                    <c:v>19</c:v>
                  </c:pt>
                  <c:pt idx="35">
                    <c:v>20</c:v>
                  </c:pt>
                  <c:pt idx="36">
                    <c:v>21</c:v>
                  </c:pt>
                  <c:pt idx="37">
                    <c:v>22</c:v>
                  </c:pt>
                  <c:pt idx="38">
                    <c:v>23</c:v>
                  </c:pt>
                  <c:pt idx="39">
                    <c:v>0</c:v>
                  </c:pt>
                  <c:pt idx="40">
                    <c:v>1</c:v>
                  </c:pt>
                  <c:pt idx="41">
                    <c:v>2</c:v>
                  </c:pt>
                  <c:pt idx="42">
                    <c:v>3</c:v>
                  </c:pt>
                  <c:pt idx="43">
                    <c:v>4</c:v>
                  </c:pt>
                  <c:pt idx="44">
                    <c:v>5</c:v>
                  </c:pt>
                  <c:pt idx="45">
                    <c:v>6</c:v>
                  </c:pt>
                </c:lvl>
                <c:lvl>
                  <c:pt idx="0">
                    <c:v>14.03.2017</c:v>
                  </c:pt>
                  <c:pt idx="19">
                    <c:v>15.03.2017</c:v>
                  </c:pt>
                  <c:pt idx="21">
                    <c:v>(blank)</c:v>
                  </c:pt>
                  <c:pt idx="22">
                    <c:v>21.08.2017</c:v>
                  </c:pt>
                </c:lvl>
              </c:multiLvlStrCache>
            </c:multiLvlStrRef>
          </c:cat>
          <c:val>
            <c:numRef>
              <c:f>pt.lvl3_generic_7!$D$8:$D$54</c:f>
              <c:numCache>
                <c:formatCode>General</c:formatCode>
                <c:ptCount val="46"/>
                <c:pt idx="0">
                  <c:v>0.86999999999999988</c:v>
                </c:pt>
                <c:pt idx="1">
                  <c:v>0.8</c:v>
                </c:pt>
                <c:pt idx="2">
                  <c:v>0.96666666666666679</c:v>
                </c:pt>
                <c:pt idx="3">
                  <c:v>0.96666666666666656</c:v>
                </c:pt>
                <c:pt idx="4">
                  <c:v>0.96666666666666679</c:v>
                </c:pt>
                <c:pt idx="5">
                  <c:v>0.96666666666666679</c:v>
                </c:pt>
                <c:pt idx="6">
                  <c:v>0.96666666666666679</c:v>
                </c:pt>
                <c:pt idx="7">
                  <c:v>0.96666666666666679</c:v>
                </c:pt>
                <c:pt idx="8">
                  <c:v>0.94222222222222229</c:v>
                </c:pt>
                <c:pt idx="9">
                  <c:v>0.84222222222222232</c:v>
                </c:pt>
                <c:pt idx="10">
                  <c:v>0.88222222222222235</c:v>
                </c:pt>
                <c:pt idx="11">
                  <c:v>0.92222222222222228</c:v>
                </c:pt>
                <c:pt idx="12">
                  <c:v>0.92222222222222228</c:v>
                </c:pt>
                <c:pt idx="13">
                  <c:v>0.92222222222222228</c:v>
                </c:pt>
                <c:pt idx="14">
                  <c:v>0.87777777777777788</c:v>
                </c:pt>
                <c:pt idx="15">
                  <c:v>0.96666666666666679</c:v>
                </c:pt>
                <c:pt idx="16">
                  <c:v>0.96666666666666679</c:v>
                </c:pt>
                <c:pt idx="17">
                  <c:v>0.96666666666666679</c:v>
                </c:pt>
                <c:pt idx="18">
                  <c:v>0.96666666666666679</c:v>
                </c:pt>
                <c:pt idx="19">
                  <c:v>0.84666666666666668</c:v>
                </c:pt>
                <c:pt idx="20">
                  <c:v>0.92</c:v>
                </c:pt>
                <c:pt idx="22">
                  <c:v>0.88296296296296306</c:v>
                </c:pt>
                <c:pt idx="23">
                  <c:v>0.92562603088918871</c:v>
                </c:pt>
                <c:pt idx="24">
                  <c:v>0.86154429283084244</c:v>
                </c:pt>
                <c:pt idx="25">
                  <c:v>0.81481481481481477</c:v>
                </c:pt>
                <c:pt idx="26">
                  <c:v>0.93307800224466897</c:v>
                </c:pt>
                <c:pt idx="27">
                  <c:v>0.93852880658436222</c:v>
                </c:pt>
                <c:pt idx="28">
                  <c:v>0.91574852163087472</c:v>
                </c:pt>
                <c:pt idx="29">
                  <c:v>0.94444444444444442</c:v>
                </c:pt>
                <c:pt idx="30">
                  <c:v>0.98559670781893005</c:v>
                </c:pt>
                <c:pt idx="31">
                  <c:v>0.92443246480982333</c:v>
                </c:pt>
                <c:pt idx="32">
                  <c:v>0.93754538852578073</c:v>
                </c:pt>
                <c:pt idx="33">
                  <c:v>0.77530864197530869</c:v>
                </c:pt>
                <c:pt idx="34">
                  <c:v>0.85058275058275057</c:v>
                </c:pt>
                <c:pt idx="35">
                  <c:v>0.94340455840455839</c:v>
                </c:pt>
                <c:pt idx="36">
                  <c:v>0.89907407407407391</c:v>
                </c:pt>
                <c:pt idx="37">
                  <c:v>1</c:v>
                </c:pt>
                <c:pt idx="38">
                  <c:v>0.90649701176016961</c:v>
                </c:pt>
                <c:pt idx="39">
                  <c:v>0.87192982456140355</c:v>
                </c:pt>
                <c:pt idx="40">
                  <c:v>0.80920314253647585</c:v>
                </c:pt>
                <c:pt idx="41">
                  <c:v>0.97964651581672868</c:v>
                </c:pt>
                <c:pt idx="42">
                  <c:v>0.75088025073577191</c:v>
                </c:pt>
                <c:pt idx="43">
                  <c:v>0.81666666666666665</c:v>
                </c:pt>
                <c:pt idx="44">
                  <c:v>0.99629629629629635</c:v>
                </c:pt>
                <c:pt idx="45">
                  <c:v>0.94685990338164239</c:v>
                </c:pt>
              </c:numCache>
            </c:numRef>
          </c:val>
          <c:extLst>
            <c:ext xmlns:c16="http://schemas.microsoft.com/office/drawing/2014/chart" uri="{C3380CC4-5D6E-409C-BE32-E72D297353CC}">
              <c16:uniqueId val="{00000031-B92A-4B85-88E5-59E14C534F94}"/>
            </c:ext>
          </c:extLst>
        </c:ser>
        <c:dLbls>
          <c:showLegendKey val="0"/>
          <c:showVal val="0"/>
          <c:showCatName val="0"/>
          <c:showSerName val="0"/>
          <c:showPercent val="0"/>
          <c:showBubbleSize val="0"/>
        </c:dLbls>
        <c:gapWidth val="200"/>
        <c:overlap val="-27"/>
        <c:axId val="225191848"/>
        <c:axId val="225192240"/>
      </c:barChart>
      <c:lineChart>
        <c:grouping val="standard"/>
        <c:varyColors val="0"/>
        <c:ser>
          <c:idx val="1"/>
          <c:order val="1"/>
          <c:tx>
            <c:strRef>
              <c:f>pt.lvl3_generic_7!$E$7</c:f>
              <c:strCache>
                <c:ptCount val="1"/>
                <c:pt idx="0">
                  <c:v>Average of Cíl %</c:v>
                </c:pt>
              </c:strCache>
            </c:strRef>
          </c:tx>
          <c:spPr>
            <a:ln w="28575" cap="rnd">
              <a:solidFill>
                <a:srgbClr val="000000"/>
              </a:solidFill>
              <a:round/>
            </a:ln>
            <a:effectLst/>
          </c:spPr>
          <c:marker>
            <c:symbol val="none"/>
          </c:marker>
          <c:cat>
            <c:multiLvlStrRef>
              <c:f>pt.lvl3_generic_7!$B$8:$C$54</c:f>
              <c:multiLvlStrCache>
                <c:ptCount val="46"/>
                <c:lvl>
                  <c:pt idx="0">
                    <c:v>0,416666666666667</c:v>
                  </c:pt>
                  <c:pt idx="1">
                    <c:v>0,458333333333333</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0,416666666666667</c:v>
                  </c:pt>
                  <c:pt idx="20">
                    <c:v>0,875</c:v>
                  </c:pt>
                  <c:pt idx="21">
                    <c:v>(blank)</c:v>
                  </c:pt>
                  <c:pt idx="22">
                    <c:v>7</c:v>
                  </c:pt>
                  <c:pt idx="23">
                    <c:v>8</c:v>
                  </c:pt>
                  <c:pt idx="24">
                    <c:v>9</c:v>
                  </c:pt>
                  <c:pt idx="25">
                    <c:v>10</c:v>
                  </c:pt>
                  <c:pt idx="26">
                    <c:v>11</c:v>
                  </c:pt>
                  <c:pt idx="27">
                    <c:v>12</c:v>
                  </c:pt>
                  <c:pt idx="28">
                    <c:v>13</c:v>
                  </c:pt>
                  <c:pt idx="29">
                    <c:v>14</c:v>
                  </c:pt>
                  <c:pt idx="30">
                    <c:v>15</c:v>
                  </c:pt>
                  <c:pt idx="31">
                    <c:v>16</c:v>
                  </c:pt>
                  <c:pt idx="32">
                    <c:v>17</c:v>
                  </c:pt>
                  <c:pt idx="33">
                    <c:v>18</c:v>
                  </c:pt>
                  <c:pt idx="34">
                    <c:v>19</c:v>
                  </c:pt>
                  <c:pt idx="35">
                    <c:v>20</c:v>
                  </c:pt>
                  <c:pt idx="36">
                    <c:v>21</c:v>
                  </c:pt>
                  <c:pt idx="37">
                    <c:v>22</c:v>
                  </c:pt>
                  <c:pt idx="38">
                    <c:v>23</c:v>
                  </c:pt>
                  <c:pt idx="39">
                    <c:v>0</c:v>
                  </c:pt>
                  <c:pt idx="40">
                    <c:v>1</c:v>
                  </c:pt>
                  <c:pt idx="41">
                    <c:v>2</c:v>
                  </c:pt>
                  <c:pt idx="42">
                    <c:v>3</c:v>
                  </c:pt>
                  <c:pt idx="43">
                    <c:v>4</c:v>
                  </c:pt>
                  <c:pt idx="44">
                    <c:v>5</c:v>
                  </c:pt>
                  <c:pt idx="45">
                    <c:v>6</c:v>
                  </c:pt>
                </c:lvl>
                <c:lvl>
                  <c:pt idx="0">
                    <c:v>14.03.2017</c:v>
                  </c:pt>
                  <c:pt idx="19">
                    <c:v>15.03.2017</c:v>
                  </c:pt>
                  <c:pt idx="21">
                    <c:v>(blank)</c:v>
                  </c:pt>
                  <c:pt idx="22">
                    <c:v>21.08.2017</c:v>
                  </c:pt>
                </c:lvl>
              </c:multiLvlStrCache>
            </c:multiLvlStrRef>
          </c:cat>
          <c:val>
            <c:numRef>
              <c:f>pt.lvl3_generic_7!$E$8:$E$54</c:f>
              <c:numCache>
                <c:formatCode>General</c:formatCode>
                <c:ptCount val="46"/>
                <c:pt idx="0">
                  <c:v>0.85</c:v>
                </c:pt>
                <c:pt idx="1">
                  <c:v>0.85</c:v>
                </c:pt>
                <c:pt idx="2">
                  <c:v>0.84999999999999976</c:v>
                </c:pt>
                <c:pt idx="3">
                  <c:v>0.84999999999999976</c:v>
                </c:pt>
                <c:pt idx="4">
                  <c:v>0.84999999999999987</c:v>
                </c:pt>
                <c:pt idx="5">
                  <c:v>0.84999999999999987</c:v>
                </c:pt>
                <c:pt idx="6">
                  <c:v>0.84999999999999987</c:v>
                </c:pt>
                <c:pt idx="7">
                  <c:v>0.84999999999999976</c:v>
                </c:pt>
                <c:pt idx="8">
                  <c:v>0.84999999999999976</c:v>
                </c:pt>
                <c:pt idx="9">
                  <c:v>0.84999999999999987</c:v>
                </c:pt>
                <c:pt idx="10">
                  <c:v>0.84999999999999987</c:v>
                </c:pt>
                <c:pt idx="11">
                  <c:v>0.84999999999999987</c:v>
                </c:pt>
                <c:pt idx="12">
                  <c:v>0.84999999999999987</c:v>
                </c:pt>
                <c:pt idx="13">
                  <c:v>0.84999999999999987</c:v>
                </c:pt>
                <c:pt idx="14">
                  <c:v>0.84999999999999987</c:v>
                </c:pt>
                <c:pt idx="15">
                  <c:v>0.84999999999999987</c:v>
                </c:pt>
                <c:pt idx="16">
                  <c:v>0.84999999999999987</c:v>
                </c:pt>
                <c:pt idx="17">
                  <c:v>0.84999999999999987</c:v>
                </c:pt>
                <c:pt idx="18">
                  <c:v>0.84999999999999987</c:v>
                </c:pt>
                <c:pt idx="19">
                  <c:v>0.85</c:v>
                </c:pt>
                <c:pt idx="20">
                  <c:v>0.85</c:v>
                </c:pt>
                <c:pt idx="22">
                  <c:v>0.79999999999999993</c:v>
                </c:pt>
                <c:pt idx="23">
                  <c:v>0.79999999999999993</c:v>
                </c:pt>
                <c:pt idx="24">
                  <c:v>0.79999999999999993</c:v>
                </c:pt>
                <c:pt idx="25">
                  <c:v>0.79999999999999993</c:v>
                </c:pt>
                <c:pt idx="26">
                  <c:v>0.79999999999999993</c:v>
                </c:pt>
                <c:pt idx="27">
                  <c:v>0.79999999999999993</c:v>
                </c:pt>
                <c:pt idx="28">
                  <c:v>0.79999999999999993</c:v>
                </c:pt>
                <c:pt idx="29">
                  <c:v>0.79999999999999993</c:v>
                </c:pt>
                <c:pt idx="30">
                  <c:v>0.79999999999999993</c:v>
                </c:pt>
                <c:pt idx="31">
                  <c:v>0.79999999999999993</c:v>
                </c:pt>
                <c:pt idx="32">
                  <c:v>0.79999999999999993</c:v>
                </c:pt>
                <c:pt idx="33">
                  <c:v>0.79999999999999993</c:v>
                </c:pt>
                <c:pt idx="34">
                  <c:v>0.79999999999999993</c:v>
                </c:pt>
                <c:pt idx="35">
                  <c:v>0.79999999999999993</c:v>
                </c:pt>
                <c:pt idx="36">
                  <c:v>0.79999999999999993</c:v>
                </c:pt>
                <c:pt idx="37">
                  <c:v>0.79999999999999993</c:v>
                </c:pt>
                <c:pt idx="38">
                  <c:v>0.79999999999999993</c:v>
                </c:pt>
                <c:pt idx="39">
                  <c:v>0.79999999999999993</c:v>
                </c:pt>
                <c:pt idx="40">
                  <c:v>0.79999999999999993</c:v>
                </c:pt>
                <c:pt idx="41">
                  <c:v>0.79999999999999993</c:v>
                </c:pt>
                <c:pt idx="42">
                  <c:v>0.79999999999999993</c:v>
                </c:pt>
                <c:pt idx="43">
                  <c:v>0.79999999999999993</c:v>
                </c:pt>
                <c:pt idx="44">
                  <c:v>0.79999999999999993</c:v>
                </c:pt>
                <c:pt idx="45">
                  <c:v>0.79999999999999993</c:v>
                </c:pt>
              </c:numCache>
            </c:numRef>
          </c:val>
          <c:smooth val="0"/>
          <c:extLst>
            <c:ext xmlns:c16="http://schemas.microsoft.com/office/drawing/2014/chart" uri="{C3380CC4-5D6E-409C-BE32-E72D297353CC}">
              <c16:uniqueId val="{00000032-B92A-4B85-88E5-59E14C534F94}"/>
            </c:ext>
          </c:extLst>
        </c:ser>
        <c:ser>
          <c:idx val="2"/>
          <c:order val="2"/>
          <c:tx>
            <c:strRef>
              <c:f>pt.lvl3_generic_7!$F$7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6-C5A1-4B02-B367-C2BE1BF5FFE7}"/>
              </c:ext>
            </c:extLst>
          </c:dPt>
          <c:dPt>
            <c:idx val="1"/>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7-C5A1-4B02-B367-C2BE1BF5FFE7}"/>
              </c:ext>
            </c:extLst>
          </c:dPt>
          <c:dPt>
            <c:idx val="2"/>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8-C5A1-4B02-B367-C2BE1BF5FFE7}"/>
              </c:ext>
            </c:extLst>
          </c:dPt>
          <c:dPt>
            <c:idx val="3"/>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9-C5A1-4B02-B367-C2BE1BF5FFE7}"/>
              </c:ext>
            </c:extLst>
          </c:dPt>
          <c:dPt>
            <c:idx val="4"/>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A-C5A1-4B02-B367-C2BE1BF5FFE7}"/>
              </c:ext>
            </c:extLst>
          </c:dPt>
          <c:dPt>
            <c:idx val="5"/>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B-C5A1-4B02-B367-C2BE1BF5FFE7}"/>
              </c:ext>
            </c:extLst>
          </c:dPt>
          <c:dPt>
            <c:idx val="6"/>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C-C5A1-4B02-B367-C2BE1BF5FFE7}"/>
              </c:ext>
            </c:extLst>
          </c:dPt>
          <c:dPt>
            <c:idx val="7"/>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D-C5A1-4B02-B367-C2BE1BF5FFE7}"/>
              </c:ext>
            </c:extLst>
          </c:dPt>
          <c:dPt>
            <c:idx val="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E-C5A1-4B02-B367-C2BE1BF5FFE7}"/>
              </c:ext>
            </c:extLst>
          </c:dPt>
          <c:dPt>
            <c:idx val="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F-C5A1-4B02-B367-C2BE1BF5FFE7}"/>
              </c:ext>
            </c:extLst>
          </c:dPt>
          <c:dPt>
            <c:idx val="10"/>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0-C5A1-4B02-B367-C2BE1BF5FFE7}"/>
              </c:ext>
            </c:extLst>
          </c:dPt>
          <c:dPt>
            <c:idx val="11"/>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1-C5A1-4B02-B367-C2BE1BF5FFE7}"/>
              </c:ext>
            </c:extLst>
          </c:dPt>
          <c:dPt>
            <c:idx val="12"/>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2-C5A1-4B02-B367-C2BE1BF5FFE7}"/>
              </c:ext>
            </c:extLst>
          </c:dPt>
          <c:dPt>
            <c:idx val="13"/>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3-C5A1-4B02-B367-C2BE1BF5FFE7}"/>
              </c:ext>
            </c:extLst>
          </c:dPt>
          <c:dPt>
            <c:idx val="14"/>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4-C5A1-4B02-B367-C2BE1BF5FFE7}"/>
              </c:ext>
            </c:extLst>
          </c:dPt>
          <c:dPt>
            <c:idx val="15"/>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5-C5A1-4B02-B367-C2BE1BF5FFE7}"/>
              </c:ext>
            </c:extLst>
          </c:dPt>
          <c:dPt>
            <c:idx val="16"/>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6-C5A1-4B02-B367-C2BE1BF5FFE7}"/>
              </c:ext>
            </c:extLst>
          </c:dPt>
          <c:dPt>
            <c:idx val="17"/>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7-C5A1-4B02-B367-C2BE1BF5FFE7}"/>
              </c:ext>
            </c:extLst>
          </c:dPt>
          <c:dPt>
            <c:idx val="18"/>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8-C5A1-4B02-B367-C2BE1BF5FFE7}"/>
              </c:ext>
            </c:extLst>
          </c:dPt>
          <c:dPt>
            <c:idx val="19"/>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9-C5A1-4B02-B367-C2BE1BF5FFE7}"/>
              </c:ext>
            </c:extLst>
          </c:dPt>
          <c:dPt>
            <c:idx val="20"/>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A-C5A1-4B02-B367-C2BE1BF5FFE7}"/>
              </c:ext>
            </c:extLst>
          </c:dPt>
          <c:dPt>
            <c:idx val="21"/>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B-C5A1-4B02-B367-C2BE1BF5FFE7}"/>
              </c:ext>
            </c:extLst>
          </c:dPt>
          <c:dPt>
            <c:idx val="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9-B022-474C-93F0-D8A225165CB5}"/>
              </c:ext>
            </c:extLst>
          </c:dPt>
          <c:dPt>
            <c:idx val="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B-B022-474C-93F0-D8A225165CB5}"/>
              </c:ext>
            </c:extLst>
          </c:dPt>
          <c:dPt>
            <c:idx val="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D-B022-474C-93F0-D8A225165CB5}"/>
              </c:ext>
            </c:extLst>
          </c:dPt>
          <c:dPt>
            <c:idx val="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F-B022-474C-93F0-D8A225165CB5}"/>
              </c:ext>
            </c:extLst>
          </c:dPt>
          <c:dPt>
            <c:idx val="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1-B022-474C-93F0-D8A225165CB5}"/>
              </c:ext>
            </c:extLst>
          </c:dPt>
          <c:dPt>
            <c:idx val="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3-B022-474C-93F0-D8A225165CB5}"/>
              </c:ext>
            </c:extLst>
          </c:dPt>
          <c:dPt>
            <c:idx val="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5-B022-474C-93F0-D8A225165CB5}"/>
              </c:ext>
            </c:extLst>
          </c:dPt>
          <c:dPt>
            <c:idx val="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7-B022-474C-93F0-D8A225165CB5}"/>
              </c:ext>
            </c:extLst>
          </c:dPt>
          <c:dPt>
            <c:idx val="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9-B022-474C-93F0-D8A225165CB5}"/>
              </c:ext>
            </c:extLst>
          </c:dPt>
          <c:dPt>
            <c:idx val="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B-B022-474C-93F0-D8A225165CB5}"/>
              </c:ext>
            </c:extLst>
          </c:dPt>
          <c:dPt>
            <c:idx val="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D-B022-474C-93F0-D8A225165CB5}"/>
              </c:ext>
            </c:extLst>
          </c:dPt>
          <c:dPt>
            <c:idx val="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F-B022-474C-93F0-D8A225165CB5}"/>
              </c:ext>
            </c:extLst>
          </c:dPt>
          <c:dPt>
            <c:idx val="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C-B3FA-4025-AD36-1FDB3DFC80B9}"/>
              </c:ext>
            </c:extLst>
          </c:dPt>
          <c:dPt>
            <c:idx val="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D-B3FA-4025-AD36-1FDB3DFC80B9}"/>
              </c:ext>
            </c:extLst>
          </c:dPt>
          <c:dPt>
            <c:idx val="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E-B3FA-4025-AD36-1FDB3DFC80B9}"/>
              </c:ext>
            </c:extLst>
          </c:dPt>
          <c:dPt>
            <c:idx val="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F-B3FA-4025-AD36-1FDB3DFC80B9}"/>
              </c:ext>
            </c:extLst>
          </c:dPt>
          <c:dPt>
            <c:idx val="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0-B3FA-4025-AD36-1FDB3DFC80B9}"/>
              </c:ext>
            </c:extLst>
          </c:dPt>
          <c:dPt>
            <c:idx val="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1-B3FA-4025-AD36-1FDB3DFC80B9}"/>
              </c:ext>
            </c:extLst>
          </c:dPt>
          <c:dPt>
            <c:idx val="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2-B3FA-4025-AD36-1FDB3DFC80B9}"/>
              </c:ext>
            </c:extLst>
          </c:dPt>
          <c:dPt>
            <c:idx val="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3-B3FA-4025-AD36-1FDB3DFC80B9}"/>
              </c:ext>
            </c:extLst>
          </c:dPt>
          <c:dPt>
            <c:idx val="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4-B3FA-4025-AD36-1FDB3DFC80B9}"/>
              </c:ext>
            </c:extLst>
          </c:dPt>
          <c:dPt>
            <c:idx val="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5-B3FA-4025-AD36-1FDB3DFC80B9}"/>
              </c:ext>
            </c:extLst>
          </c:dPt>
          <c:dPt>
            <c:idx val="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6-B3FA-4025-AD36-1FDB3DFC80B9}"/>
              </c:ext>
            </c:extLst>
          </c:dPt>
          <c:dPt>
            <c:idx val="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7-B3FA-4025-AD36-1FDB3DFC80B9}"/>
              </c:ext>
            </c:extLst>
          </c:dPt>
          <c:cat>
            <c:multiLvlStrRef>
              <c:f>pt.lvl3_generic_7!$B$8:$C$54</c:f>
              <c:multiLvlStrCache>
                <c:ptCount val="46"/>
                <c:lvl>
                  <c:pt idx="0">
                    <c:v>0,416666666666667</c:v>
                  </c:pt>
                  <c:pt idx="1">
                    <c:v>0,458333333333333</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0,416666666666667</c:v>
                  </c:pt>
                  <c:pt idx="20">
                    <c:v>0,875</c:v>
                  </c:pt>
                  <c:pt idx="21">
                    <c:v>(blank)</c:v>
                  </c:pt>
                  <c:pt idx="22">
                    <c:v>7</c:v>
                  </c:pt>
                  <c:pt idx="23">
                    <c:v>8</c:v>
                  </c:pt>
                  <c:pt idx="24">
                    <c:v>9</c:v>
                  </c:pt>
                  <c:pt idx="25">
                    <c:v>10</c:v>
                  </c:pt>
                  <c:pt idx="26">
                    <c:v>11</c:v>
                  </c:pt>
                  <c:pt idx="27">
                    <c:v>12</c:v>
                  </c:pt>
                  <c:pt idx="28">
                    <c:v>13</c:v>
                  </c:pt>
                  <c:pt idx="29">
                    <c:v>14</c:v>
                  </c:pt>
                  <c:pt idx="30">
                    <c:v>15</c:v>
                  </c:pt>
                  <c:pt idx="31">
                    <c:v>16</c:v>
                  </c:pt>
                  <c:pt idx="32">
                    <c:v>17</c:v>
                  </c:pt>
                  <c:pt idx="33">
                    <c:v>18</c:v>
                  </c:pt>
                  <c:pt idx="34">
                    <c:v>19</c:v>
                  </c:pt>
                  <c:pt idx="35">
                    <c:v>20</c:v>
                  </c:pt>
                  <c:pt idx="36">
                    <c:v>21</c:v>
                  </c:pt>
                  <c:pt idx="37">
                    <c:v>22</c:v>
                  </c:pt>
                  <c:pt idx="38">
                    <c:v>23</c:v>
                  </c:pt>
                  <c:pt idx="39">
                    <c:v>0</c:v>
                  </c:pt>
                  <c:pt idx="40">
                    <c:v>1</c:v>
                  </c:pt>
                  <c:pt idx="41">
                    <c:v>2</c:v>
                  </c:pt>
                  <c:pt idx="42">
                    <c:v>3</c:v>
                  </c:pt>
                  <c:pt idx="43">
                    <c:v>4</c:v>
                  </c:pt>
                  <c:pt idx="44">
                    <c:v>5</c:v>
                  </c:pt>
                  <c:pt idx="45">
                    <c:v>6</c:v>
                  </c:pt>
                </c:lvl>
                <c:lvl>
                  <c:pt idx="0">
                    <c:v>14.03.2017</c:v>
                  </c:pt>
                  <c:pt idx="19">
                    <c:v>15.03.2017</c:v>
                  </c:pt>
                  <c:pt idx="21">
                    <c:v>(blank)</c:v>
                  </c:pt>
                  <c:pt idx="22">
                    <c:v>21.08.2017</c:v>
                  </c:pt>
                </c:lvl>
              </c:multiLvlStrCache>
            </c:multiLvlStrRef>
          </c:cat>
          <c:val>
            <c:numRef>
              <c:f>pt.lvl3_generic_7!$F$8:$F$54</c:f>
              <c:numCache>
                <c:formatCode>General</c:formatCode>
                <c:ptCount val="46"/>
                <c:pt idx="0">
                  <c:v>0.91000000000000014</c:v>
                </c:pt>
                <c:pt idx="1">
                  <c:v>0.87</c:v>
                </c:pt>
                <c:pt idx="2">
                  <c:v>0.90000000000000024</c:v>
                </c:pt>
                <c:pt idx="3">
                  <c:v>0.90000000000000013</c:v>
                </c:pt>
                <c:pt idx="4">
                  <c:v>0.90000000000000013</c:v>
                </c:pt>
                <c:pt idx="5">
                  <c:v>0.90000000000000013</c:v>
                </c:pt>
                <c:pt idx="6">
                  <c:v>0.90000000000000013</c:v>
                </c:pt>
                <c:pt idx="7">
                  <c:v>0.86666666666666681</c:v>
                </c:pt>
                <c:pt idx="8">
                  <c:v>0.82777777777777795</c:v>
                </c:pt>
                <c:pt idx="9">
                  <c:v>0.84444444444444455</c:v>
                </c:pt>
                <c:pt idx="10">
                  <c:v>0.94444444444444464</c:v>
                </c:pt>
                <c:pt idx="11">
                  <c:v>0.90000000000000013</c:v>
                </c:pt>
                <c:pt idx="12">
                  <c:v>0.90000000000000013</c:v>
                </c:pt>
                <c:pt idx="13">
                  <c:v>0.90000000000000013</c:v>
                </c:pt>
                <c:pt idx="14">
                  <c:v>0.90000000000000013</c:v>
                </c:pt>
                <c:pt idx="15">
                  <c:v>0.90000000000000013</c:v>
                </c:pt>
                <c:pt idx="16">
                  <c:v>0.90000000000000013</c:v>
                </c:pt>
                <c:pt idx="17">
                  <c:v>0.90000000000000013</c:v>
                </c:pt>
                <c:pt idx="18">
                  <c:v>0.90000000000000013</c:v>
                </c:pt>
                <c:pt idx="19">
                  <c:v>0.91666666666666663</c:v>
                </c:pt>
                <c:pt idx="20">
                  <c:v>0.91666666666666663</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smooth val="0"/>
          <c:extLst>
            <c:ext xmlns:c16="http://schemas.microsoft.com/office/drawing/2014/chart" uri="{C3380CC4-5D6E-409C-BE32-E72D297353CC}">
              <c16:uniqueId val="{00000033-B92A-4B85-88E5-59E14C534F94}"/>
            </c:ext>
          </c:extLst>
        </c:ser>
        <c:dLbls>
          <c:showLegendKey val="0"/>
          <c:showVal val="0"/>
          <c:showCatName val="0"/>
          <c:showSerName val="0"/>
          <c:showPercent val="0"/>
          <c:showBubbleSize val="0"/>
        </c:dLbls>
        <c:marker val="1"/>
        <c:smooth val="0"/>
        <c:axId val="225191848"/>
        <c:axId val="225192240"/>
      </c:lineChart>
      <c:catAx>
        <c:axId val="225191848"/>
        <c:scaling>
          <c:orientation val="minMax"/>
        </c:scaling>
        <c:delete val="0"/>
        <c:axPos val="b"/>
        <c:numFmt formatCode="h" sourceLinked="0"/>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25192240"/>
        <c:crosses val="autoZero"/>
        <c:auto val="1"/>
        <c:lblAlgn val="ctr"/>
        <c:lblOffset val="100"/>
        <c:noMultiLvlLbl val="0"/>
      </c:catAx>
      <c:valAx>
        <c:axId val="225192240"/>
        <c:scaling>
          <c:orientation val="minMax"/>
          <c:max val="1.1000000000000001"/>
          <c:min val="0.5"/>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25191848"/>
        <c:crosses val="autoZero"/>
        <c:crossBetween val="between"/>
        <c:majorUnit val="0.1"/>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1.3_3_2.xlsm]pt.lvl3_generic_3!pt.lvl3_generic_3</c:name>
    <c:fmtId val="0"/>
  </c:pivotSource>
  <c:chart>
    <c:autoTitleDeleted val="1"/>
    <c:pivotFmts>
      <c:pivotFmt>
        <c:idx val="0"/>
        <c:spPr>
          <a:solidFill>
            <a:schemeClr val="accent1"/>
          </a:solidFill>
          <a:ln>
            <a:solidFill>
              <a:srgbClr val="9CC746"/>
            </a:solidFill>
          </a:ln>
          <a:effectLst/>
        </c:spPr>
        <c:marker>
          <c:symbol val="none"/>
        </c:marker>
      </c:pivotFmt>
      <c:pivotFmt>
        <c:idx val="1"/>
        <c:spPr>
          <a:solidFill>
            <a:schemeClr val="accent1"/>
          </a:solidFill>
          <a:ln w="28575" cap="rnd">
            <a:solidFill>
              <a:srgbClr val="000000"/>
            </a:solidFill>
            <a:round/>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4"/>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5"/>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6"/>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7"/>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8"/>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9"/>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0"/>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1"/>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2"/>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3"/>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4"/>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5"/>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6"/>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7"/>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8"/>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9"/>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20"/>
      </c:pivotFmt>
      <c:pivotFmt>
        <c:idx val="21"/>
      </c:pivotFmt>
      <c:pivotFmt>
        <c:idx val="22"/>
      </c:pivotFmt>
      <c:pivotFmt>
        <c:idx val="23"/>
      </c:pivotFmt>
      <c:pivotFmt>
        <c:idx val="24"/>
      </c:pivotFmt>
      <c:pivotFmt>
        <c:idx val="25"/>
      </c:pivotFmt>
      <c:pivotFmt>
        <c:idx val="26"/>
      </c:pivotFmt>
      <c:pivotFmt>
        <c:idx val="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1"/>
        <c:spPr>
          <a:solidFill>
            <a:srgbClr val="9CC746"/>
          </a:solidFill>
          <a:ln>
            <a:solidFill>
              <a:srgbClr val="9CC746"/>
            </a:solidFill>
          </a:ln>
          <a:effectLst/>
        </c:spPr>
        <c:marker>
          <c:symbol val="circle"/>
          <c:size val="5"/>
          <c:spPr>
            <a:solidFill>
              <a:srgbClr val="9CC746"/>
            </a:solidFill>
            <a:ln w="3175">
              <a:solidFill>
                <a:srgbClr val="9CC746"/>
              </a:solidFill>
              <a:prstDash val="solid"/>
            </a:ln>
            <a:effectLst/>
          </c:spPr>
        </c:marker>
      </c:pivotFmt>
      <c:pivotFmt>
        <c:idx val="5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pivotFmt>
      <c:pivotFmt>
        <c:idx val="63"/>
      </c:pivotFmt>
      <c:pivotFmt>
        <c:idx val="64"/>
      </c:pivotFmt>
      <c:pivotFmt>
        <c:idx val="65"/>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pivotFmt>
      <c:pivotFmt>
        <c:idx val="76"/>
      </c:pivotFmt>
      <c:pivotFmt>
        <c:idx val="7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7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7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1"/>
        <c:spPr>
          <a:solidFill>
            <a:srgbClr val="9CC746"/>
          </a:solidFill>
          <a:ln>
            <a:solidFill>
              <a:srgbClr val="9CC746"/>
            </a:solidFill>
          </a:ln>
          <a:effectLst/>
        </c:spPr>
      </c:pivotFmt>
      <c:pivotFmt>
        <c:idx val="10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03"/>
        <c:spPr>
          <a:solidFill>
            <a:schemeClr val="accent1"/>
          </a:solidFill>
          <a:ln>
            <a:noFill/>
          </a:ln>
          <a:effectLst/>
        </c:spPr>
        <c:marker>
          <c:symbol val="none"/>
        </c:marker>
      </c:pivotFmt>
      <c:pivotFmt>
        <c:idx val="104"/>
        <c:spPr>
          <a:ln w="28575" cap="rnd">
            <a:solidFill>
              <a:srgbClr val="000000"/>
            </a:solidFill>
            <a:round/>
          </a:ln>
          <a:effectLst/>
        </c:spPr>
        <c:marker>
          <c:symbol val="none"/>
        </c:marker>
      </c:pivotFmt>
      <c:pivotFmt>
        <c:idx val="105"/>
        <c:spPr>
          <a:solidFill>
            <a:schemeClr val="accent1"/>
          </a:solidFill>
          <a:ln>
            <a:noFill/>
          </a:ln>
          <a:effectLst/>
        </c:spPr>
        <c:marker>
          <c:symbol val="none"/>
        </c:marker>
      </c:pivotFmt>
      <c:pivotFmt>
        <c:idx val="106"/>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07"/>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08"/>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09"/>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0"/>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1"/>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2"/>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3"/>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4"/>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5"/>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6"/>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7"/>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8"/>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9"/>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0"/>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1"/>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2"/>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2"/>
        <c:spPr>
          <a:solidFill>
            <a:schemeClr val="accent1"/>
          </a:solidFill>
          <a:ln w="28575" cap="rnd">
            <a:solidFill>
              <a:srgbClr val="FFC000"/>
            </a:solidFill>
            <a:round/>
          </a:ln>
          <a:effectLst/>
        </c:spPr>
        <c:marker>
          <c:symbol val="circle"/>
          <c:size val="5"/>
          <c:spPr>
            <a:solidFill>
              <a:srgbClr val="9CC746"/>
            </a:solidFill>
            <a:ln w="9525">
              <a:solidFill>
                <a:srgbClr val="FFC000"/>
              </a:solidFill>
              <a:prstDash val="solid"/>
            </a:ln>
            <a:effectLst/>
          </c:spPr>
        </c:marker>
      </c:pivotFmt>
      <c:pivotFmt>
        <c:idx val="14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44"/>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s>
    <c:plotArea>
      <c:layout/>
      <c:barChart>
        <c:barDir val="col"/>
        <c:grouping val="clustered"/>
        <c:varyColors val="0"/>
        <c:ser>
          <c:idx val="0"/>
          <c:order val="0"/>
          <c:tx>
            <c:strRef>
              <c:f>pt.lvl3_generic_3!$D$7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1-BDD8-4FC3-BBB7-DA9CBCF10FDA}"/>
              </c:ext>
            </c:extLst>
          </c:dPt>
          <c:dPt>
            <c:idx val="1"/>
            <c:invertIfNegative val="0"/>
            <c:bubble3D val="0"/>
            <c:extLst>
              <c:ext xmlns:c16="http://schemas.microsoft.com/office/drawing/2014/chart" uri="{C3380CC4-5D6E-409C-BE32-E72D297353CC}">
                <c16:uniqueId val="{00000003-BDD8-4FC3-BBB7-DA9CBCF10FDA}"/>
              </c:ext>
            </c:extLst>
          </c:dPt>
          <c:dPt>
            <c:idx val="2"/>
            <c:invertIfNegative val="0"/>
            <c:bubble3D val="0"/>
            <c:extLst>
              <c:ext xmlns:c16="http://schemas.microsoft.com/office/drawing/2014/chart" uri="{C3380CC4-5D6E-409C-BE32-E72D297353CC}">
                <c16:uniqueId val="{00000005-BDD8-4FC3-BBB7-DA9CBCF10FDA}"/>
              </c:ext>
            </c:extLst>
          </c:dPt>
          <c:dPt>
            <c:idx val="3"/>
            <c:invertIfNegative val="0"/>
            <c:bubble3D val="0"/>
            <c:extLst>
              <c:ext xmlns:c16="http://schemas.microsoft.com/office/drawing/2014/chart" uri="{C3380CC4-5D6E-409C-BE32-E72D297353CC}">
                <c16:uniqueId val="{00000007-BDD8-4FC3-BBB7-DA9CBCF10FDA}"/>
              </c:ext>
            </c:extLst>
          </c:dPt>
          <c:dPt>
            <c:idx val="4"/>
            <c:invertIfNegative val="0"/>
            <c:bubble3D val="0"/>
            <c:extLst>
              <c:ext xmlns:c16="http://schemas.microsoft.com/office/drawing/2014/chart" uri="{C3380CC4-5D6E-409C-BE32-E72D297353CC}">
                <c16:uniqueId val="{00000009-BDD8-4FC3-BBB7-DA9CBCF10FDA}"/>
              </c:ext>
            </c:extLst>
          </c:dPt>
          <c:dPt>
            <c:idx val="5"/>
            <c:invertIfNegative val="0"/>
            <c:bubble3D val="0"/>
            <c:extLst>
              <c:ext xmlns:c16="http://schemas.microsoft.com/office/drawing/2014/chart" uri="{C3380CC4-5D6E-409C-BE32-E72D297353CC}">
                <c16:uniqueId val="{0000000B-BDD8-4FC3-BBB7-DA9CBCF10FDA}"/>
              </c:ext>
            </c:extLst>
          </c:dPt>
          <c:dPt>
            <c:idx val="6"/>
            <c:invertIfNegative val="0"/>
            <c:bubble3D val="0"/>
            <c:extLst>
              <c:ext xmlns:c16="http://schemas.microsoft.com/office/drawing/2014/chart" uri="{C3380CC4-5D6E-409C-BE32-E72D297353CC}">
                <c16:uniqueId val="{0000000D-BDD8-4FC3-BBB7-DA9CBCF10FDA}"/>
              </c:ext>
            </c:extLst>
          </c:dPt>
          <c:dPt>
            <c:idx val="7"/>
            <c:invertIfNegative val="0"/>
            <c:bubble3D val="0"/>
            <c:extLst>
              <c:ext xmlns:c16="http://schemas.microsoft.com/office/drawing/2014/chart" uri="{C3380CC4-5D6E-409C-BE32-E72D297353CC}">
                <c16:uniqueId val="{0000000F-BDD8-4FC3-BBB7-DA9CBCF10FDA}"/>
              </c:ext>
            </c:extLst>
          </c:dPt>
          <c:dPt>
            <c:idx val="8"/>
            <c:invertIfNegative val="0"/>
            <c:bubble3D val="0"/>
            <c:extLst>
              <c:ext xmlns:c16="http://schemas.microsoft.com/office/drawing/2014/chart" uri="{C3380CC4-5D6E-409C-BE32-E72D297353CC}">
                <c16:uniqueId val="{00000011-BDD8-4FC3-BBB7-DA9CBCF10FDA}"/>
              </c:ext>
            </c:extLst>
          </c:dPt>
          <c:dPt>
            <c:idx val="9"/>
            <c:invertIfNegative val="0"/>
            <c:bubble3D val="0"/>
            <c:extLst>
              <c:ext xmlns:c16="http://schemas.microsoft.com/office/drawing/2014/chart" uri="{C3380CC4-5D6E-409C-BE32-E72D297353CC}">
                <c16:uniqueId val="{00000013-BDD8-4FC3-BBB7-DA9CBCF10FDA}"/>
              </c:ext>
            </c:extLst>
          </c:dPt>
          <c:dPt>
            <c:idx val="10"/>
            <c:invertIfNegative val="0"/>
            <c:bubble3D val="0"/>
            <c:extLst>
              <c:ext xmlns:c16="http://schemas.microsoft.com/office/drawing/2014/chart" uri="{C3380CC4-5D6E-409C-BE32-E72D297353CC}">
                <c16:uniqueId val="{00000015-BDD8-4FC3-BBB7-DA9CBCF10FDA}"/>
              </c:ext>
            </c:extLst>
          </c:dPt>
          <c:dPt>
            <c:idx val="11"/>
            <c:invertIfNegative val="0"/>
            <c:bubble3D val="0"/>
            <c:extLst>
              <c:ext xmlns:c16="http://schemas.microsoft.com/office/drawing/2014/chart" uri="{C3380CC4-5D6E-409C-BE32-E72D297353CC}">
                <c16:uniqueId val="{00000017-BDD8-4FC3-BBB7-DA9CBCF10FDA}"/>
              </c:ext>
            </c:extLst>
          </c:dPt>
          <c:dPt>
            <c:idx val="12"/>
            <c:invertIfNegative val="0"/>
            <c:bubble3D val="0"/>
            <c:extLst>
              <c:ext xmlns:c16="http://schemas.microsoft.com/office/drawing/2014/chart" uri="{C3380CC4-5D6E-409C-BE32-E72D297353CC}">
                <c16:uniqueId val="{00000019-BDD8-4FC3-BBB7-DA9CBCF10FDA}"/>
              </c:ext>
            </c:extLst>
          </c:dPt>
          <c:dPt>
            <c:idx val="13"/>
            <c:invertIfNegative val="0"/>
            <c:bubble3D val="0"/>
            <c:extLst>
              <c:ext xmlns:c16="http://schemas.microsoft.com/office/drawing/2014/chart" uri="{C3380CC4-5D6E-409C-BE32-E72D297353CC}">
                <c16:uniqueId val="{0000001B-BDD8-4FC3-BBB7-DA9CBCF10FDA}"/>
              </c:ext>
            </c:extLst>
          </c:dPt>
          <c:dPt>
            <c:idx val="14"/>
            <c:invertIfNegative val="0"/>
            <c:bubble3D val="0"/>
            <c:extLst>
              <c:ext xmlns:c16="http://schemas.microsoft.com/office/drawing/2014/chart" uri="{C3380CC4-5D6E-409C-BE32-E72D297353CC}">
                <c16:uniqueId val="{0000001D-BDD8-4FC3-BBB7-DA9CBCF10FDA}"/>
              </c:ext>
            </c:extLst>
          </c:dPt>
          <c:dPt>
            <c:idx val="15"/>
            <c:invertIfNegative val="0"/>
            <c:bubble3D val="0"/>
            <c:extLst>
              <c:ext xmlns:c16="http://schemas.microsoft.com/office/drawing/2014/chart" uri="{C3380CC4-5D6E-409C-BE32-E72D297353CC}">
                <c16:uniqueId val="{0000001F-BDD8-4FC3-BBB7-DA9CBCF10FDA}"/>
              </c:ext>
            </c:extLst>
          </c:dPt>
          <c:dPt>
            <c:idx val="16"/>
            <c:invertIfNegative val="0"/>
            <c:bubble3D val="0"/>
            <c:extLst>
              <c:ext xmlns:c16="http://schemas.microsoft.com/office/drawing/2014/chart" uri="{C3380CC4-5D6E-409C-BE32-E72D297353CC}">
                <c16:uniqueId val="{00000021-BDD8-4FC3-BBB7-DA9CBCF10FDA}"/>
              </c:ext>
            </c:extLst>
          </c:dPt>
          <c:cat>
            <c:strRef>
              <c:f>pt.lvl3_generic_3!$B$8:$C$8</c:f>
              <c:strCache>
                <c:ptCount val="1"/>
                <c:pt idx="0">
                  <c:v>Grand Total</c:v>
                </c:pt>
              </c:strCache>
            </c:strRef>
          </c:cat>
          <c:val>
            <c:numRef>
              <c:f>pt.lvl3_generic_3!$D$8</c:f>
              <c:numCache>
                <c:formatCode>General</c:formatCode>
                <c:ptCount val="1"/>
              </c:numCache>
            </c:numRef>
          </c:val>
          <c:extLst>
            <c:ext xmlns:c16="http://schemas.microsoft.com/office/drawing/2014/chart" uri="{C3380CC4-5D6E-409C-BE32-E72D297353CC}">
              <c16:uniqueId val="{00000022-BDD8-4FC3-BBB7-DA9CBCF10FDA}"/>
            </c:ext>
          </c:extLst>
        </c:ser>
        <c:dLbls>
          <c:showLegendKey val="0"/>
          <c:showVal val="0"/>
          <c:showCatName val="0"/>
          <c:showSerName val="0"/>
          <c:showPercent val="0"/>
          <c:showBubbleSize val="0"/>
        </c:dLbls>
        <c:gapWidth val="200"/>
        <c:overlap val="-27"/>
        <c:axId val="225193024"/>
        <c:axId val="225193416"/>
      </c:barChart>
      <c:lineChart>
        <c:grouping val="standard"/>
        <c:varyColors val="0"/>
        <c:ser>
          <c:idx val="1"/>
          <c:order val="1"/>
          <c:tx>
            <c:strRef>
              <c:f>pt.lvl3_generic_3!$E$7</c:f>
              <c:strCache>
                <c:ptCount val="1"/>
                <c:pt idx="0">
                  <c:v>Average of Cíl %</c:v>
                </c:pt>
              </c:strCache>
            </c:strRef>
          </c:tx>
          <c:spPr>
            <a:ln w="28575" cap="rnd">
              <a:solidFill>
                <a:srgbClr val="000000"/>
              </a:solidFill>
              <a:round/>
            </a:ln>
            <a:effectLst/>
          </c:spPr>
          <c:marker>
            <c:symbol val="none"/>
          </c:marker>
          <c:cat>
            <c:strRef>
              <c:f>pt.lvl3_generic_3!$B$8:$C$8</c:f>
              <c:strCache>
                <c:ptCount val="1"/>
                <c:pt idx="0">
                  <c:v>Grand Total</c:v>
                </c:pt>
              </c:strCache>
            </c:strRef>
          </c:cat>
          <c:val>
            <c:numRef>
              <c:f>pt.lvl3_generic_3!$E$8</c:f>
              <c:numCache>
                <c:formatCode>General</c:formatCode>
                <c:ptCount val="1"/>
              </c:numCache>
            </c:numRef>
          </c:val>
          <c:smooth val="0"/>
          <c:extLst>
            <c:ext xmlns:c16="http://schemas.microsoft.com/office/drawing/2014/chart" uri="{C3380CC4-5D6E-409C-BE32-E72D297353CC}">
              <c16:uniqueId val="{00000024-BDD8-4FC3-BBB7-DA9CBCF10FDA}"/>
            </c:ext>
          </c:extLst>
        </c:ser>
        <c:ser>
          <c:idx val="2"/>
          <c:order val="2"/>
          <c:tx>
            <c:strRef>
              <c:f>pt.lvl3_generic_3!$F$7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3-3697-41D2-834B-AD3F8F69EF27}"/>
              </c:ext>
            </c:extLst>
          </c:dPt>
          <c:dPt>
            <c:idx val="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25-BCDC-4BA6-943D-AE67E3EA1A05}"/>
              </c:ext>
            </c:extLst>
          </c:dPt>
          <c:dPt>
            <c:idx val="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27-BCDC-4BA6-943D-AE67E3EA1A05}"/>
              </c:ext>
            </c:extLst>
          </c:dPt>
          <c:dPt>
            <c:idx val="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29-BCDC-4BA6-943D-AE67E3EA1A05}"/>
              </c:ext>
            </c:extLst>
          </c:dPt>
          <c:dPt>
            <c:idx val="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2B-BCDC-4BA6-943D-AE67E3EA1A05}"/>
              </c:ext>
            </c:extLst>
          </c:dPt>
          <c:dPt>
            <c:idx val="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2D-BCDC-4BA6-943D-AE67E3EA1A05}"/>
              </c:ext>
            </c:extLst>
          </c:dPt>
          <c:dPt>
            <c:idx val="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2F-BCDC-4BA6-943D-AE67E3EA1A05}"/>
              </c:ext>
            </c:extLst>
          </c:dPt>
          <c:dPt>
            <c:idx val="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31-BCDC-4BA6-943D-AE67E3EA1A05}"/>
              </c:ext>
            </c:extLst>
          </c:dPt>
          <c:dPt>
            <c:idx val="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33-BCDC-4BA6-943D-AE67E3EA1A05}"/>
              </c:ext>
            </c:extLst>
          </c:dPt>
          <c:dPt>
            <c:idx val="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35-BCDC-4BA6-943D-AE67E3EA1A05}"/>
              </c:ext>
            </c:extLst>
          </c:dPt>
          <c:dPt>
            <c:idx val="1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37-BCDC-4BA6-943D-AE67E3EA1A05}"/>
              </c:ext>
            </c:extLst>
          </c:dPt>
          <c:dPt>
            <c:idx val="1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39-BCDC-4BA6-943D-AE67E3EA1A05}"/>
              </c:ext>
            </c:extLst>
          </c:dPt>
          <c:dPt>
            <c:idx val="1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3B-BCDC-4BA6-943D-AE67E3EA1A05}"/>
              </c:ext>
            </c:extLst>
          </c:dPt>
          <c:dPt>
            <c:idx val="1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3D-BCDC-4BA6-943D-AE67E3EA1A05}"/>
              </c:ext>
            </c:extLst>
          </c:dPt>
          <c:dPt>
            <c:idx val="1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3F-BCDC-4BA6-943D-AE67E3EA1A05}"/>
              </c:ext>
            </c:extLst>
          </c:dPt>
          <c:dPt>
            <c:idx val="1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41-BCDC-4BA6-943D-AE67E3EA1A05}"/>
              </c:ext>
            </c:extLst>
          </c:dPt>
          <c:dPt>
            <c:idx val="1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43-BCDC-4BA6-943D-AE67E3EA1A05}"/>
              </c:ext>
            </c:extLst>
          </c:dPt>
          <c:cat>
            <c:strRef>
              <c:f>pt.lvl3_generic_3!$B$8:$C$8</c:f>
              <c:strCache>
                <c:ptCount val="1"/>
                <c:pt idx="0">
                  <c:v>Grand Total</c:v>
                </c:pt>
              </c:strCache>
            </c:strRef>
          </c:cat>
          <c:val>
            <c:numRef>
              <c:f>pt.lvl3_generic_3!$F$8</c:f>
              <c:numCache>
                <c:formatCode>General</c:formatCode>
                <c:ptCount val="1"/>
              </c:numCache>
            </c:numRef>
          </c:val>
          <c:smooth val="0"/>
          <c:extLst>
            <c:ext xmlns:c16="http://schemas.microsoft.com/office/drawing/2014/chart" uri="{C3380CC4-5D6E-409C-BE32-E72D297353CC}">
              <c16:uniqueId val="{00000012-3697-41D2-834B-AD3F8F69EF27}"/>
            </c:ext>
          </c:extLst>
        </c:ser>
        <c:dLbls>
          <c:showLegendKey val="0"/>
          <c:showVal val="0"/>
          <c:showCatName val="0"/>
          <c:showSerName val="0"/>
          <c:showPercent val="0"/>
          <c:showBubbleSize val="0"/>
        </c:dLbls>
        <c:marker val="1"/>
        <c:smooth val="0"/>
        <c:axId val="225193024"/>
        <c:axId val="225193416"/>
      </c:lineChart>
      <c:catAx>
        <c:axId val="225193024"/>
        <c:scaling>
          <c:orientation val="minMax"/>
        </c:scaling>
        <c:delete val="0"/>
        <c:axPos val="b"/>
        <c:numFmt formatCode="h" sourceLinked="0"/>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b"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25193416"/>
        <c:crosses val="autoZero"/>
        <c:auto val="1"/>
        <c:lblAlgn val="ctr"/>
        <c:lblOffset val="100"/>
        <c:noMultiLvlLbl val="0"/>
      </c:catAx>
      <c:valAx>
        <c:axId val="225193416"/>
        <c:scaling>
          <c:orientation val="minMax"/>
          <c:max val="1.1000000000000001"/>
          <c:min val="0.5"/>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25193024"/>
        <c:crosses val="autoZero"/>
        <c:crossBetween val="between"/>
        <c:majorUnit val="0.1"/>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1.3_3_2.xlsm]pt.lvl3_generic_4!pt.lvl3_generic_4</c:name>
    <c:fmtId val="0"/>
  </c:pivotSource>
  <c:chart>
    <c:autoTitleDeleted val="1"/>
    <c:pivotFmts>
      <c:pivotFmt>
        <c:idx val="0"/>
        <c:spPr>
          <a:solidFill>
            <a:schemeClr val="accent1"/>
          </a:solidFill>
          <a:ln>
            <a:solidFill>
              <a:srgbClr val="5B9BD5"/>
            </a:solidFill>
          </a:ln>
          <a:effectLst/>
        </c:spPr>
        <c:marker>
          <c:symbol val="none"/>
        </c:marker>
      </c:pivotFmt>
      <c:pivotFmt>
        <c:idx val="1"/>
        <c:spPr>
          <a:solidFill>
            <a:schemeClr val="accent1"/>
          </a:solidFill>
          <a:ln w="28575" cap="rnd">
            <a:solidFill>
              <a:srgbClr val="000000"/>
            </a:solidFill>
            <a:round/>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7"/>
        <c:spPr>
          <a:solidFill>
            <a:srgbClr val="9CC746"/>
          </a:solidFill>
          <a:ln>
            <a:solidFill>
              <a:srgbClr val="5B9BD5"/>
            </a:solidFill>
          </a:ln>
          <a:effectLst/>
        </c:spPr>
        <c:marker>
          <c:symbol val="circle"/>
          <c:size val="5"/>
          <c:spPr>
            <a:solidFill>
              <a:srgbClr val="9CC746"/>
            </a:solidFill>
            <a:ln w="3175">
              <a:solidFill>
                <a:srgbClr val="9CC746"/>
              </a:solidFill>
              <a:prstDash val="solid"/>
            </a:ln>
            <a:effectLst/>
          </c:spPr>
        </c:marker>
      </c:pivotFmt>
      <c:pivotFmt>
        <c:idx val="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0"/>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5"/>
        <c:spPr>
          <a:solidFill>
            <a:schemeClr val="accent1"/>
          </a:solidFill>
          <a:ln>
            <a:noFill/>
          </a:ln>
          <a:effectLst/>
        </c:spPr>
        <c:marker>
          <c:symbol val="none"/>
        </c:marker>
      </c:pivotFmt>
      <c:pivotFmt>
        <c:idx val="16"/>
        <c:spPr>
          <a:ln w="28575" cap="rnd">
            <a:solidFill>
              <a:srgbClr val="000000"/>
            </a:solidFill>
            <a:round/>
          </a:ln>
          <a:effectLst/>
        </c:spPr>
        <c:marker>
          <c:symbol val="none"/>
        </c:marker>
      </c:pivotFmt>
      <c:pivotFmt>
        <c:idx val="1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8"/>
        <c:spPr>
          <a:solidFill>
            <a:srgbClr val="9CC746"/>
          </a:solidFill>
          <a:ln>
            <a:noFill/>
          </a:ln>
          <a:effectLst/>
        </c:spPr>
        <c:marker>
          <c:spPr>
            <a:solidFill>
              <a:srgbClr val="9CC746"/>
            </a:solidFill>
            <a:ln w="9525">
              <a:solidFill>
                <a:srgbClr val="9CC746"/>
              </a:solidFill>
              <a:prstDash val="solid"/>
            </a:ln>
            <a:effectLst/>
          </c:spPr>
        </c:marker>
      </c:pivotFmt>
      <c:pivotFmt>
        <c:idx val="19"/>
        <c:spPr>
          <a:solidFill>
            <a:srgbClr val="9CC746"/>
          </a:solidFill>
          <a:ln>
            <a:noFill/>
          </a:ln>
          <a:effectLst/>
        </c:spPr>
        <c:marker>
          <c:spPr>
            <a:solidFill>
              <a:srgbClr val="9CC746"/>
            </a:solidFill>
            <a:ln w="9525">
              <a:solidFill>
                <a:srgbClr val="9CC746"/>
              </a:solidFill>
              <a:prstDash val="solid"/>
            </a:ln>
            <a:effectLst/>
          </c:spPr>
        </c:marker>
      </c:pivotFmt>
      <c:pivotFmt>
        <c:idx val="2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5"/>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s>
    <c:plotArea>
      <c:layout/>
      <c:barChart>
        <c:barDir val="col"/>
        <c:grouping val="clustered"/>
        <c:varyColors val="0"/>
        <c:ser>
          <c:idx val="0"/>
          <c:order val="0"/>
          <c:tx>
            <c:strRef>
              <c:f>pt.lvl3_generic_4!$D$7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D-4D84-4F41-B867-1DE59949B750}"/>
              </c:ext>
            </c:extLst>
          </c:dPt>
          <c:dPt>
            <c:idx val="1"/>
            <c:invertIfNegative val="0"/>
            <c:bubble3D val="0"/>
            <c:extLst>
              <c:ext xmlns:c16="http://schemas.microsoft.com/office/drawing/2014/chart" uri="{C3380CC4-5D6E-409C-BE32-E72D297353CC}">
                <c16:uniqueId val="{0000000E-4D84-4F41-B867-1DE59949B750}"/>
              </c:ext>
            </c:extLst>
          </c:dPt>
          <c:cat>
            <c:strRef>
              <c:f>pt.lvl3_generic_4!$B$8:$C$8</c:f>
              <c:strCache>
                <c:ptCount val="1"/>
                <c:pt idx="0">
                  <c:v>Grand Total</c:v>
                </c:pt>
              </c:strCache>
            </c:strRef>
          </c:cat>
          <c:val>
            <c:numRef>
              <c:f>pt.lvl3_generic_4!$D$8</c:f>
              <c:numCache>
                <c:formatCode>General</c:formatCode>
                <c:ptCount val="1"/>
              </c:numCache>
            </c:numRef>
          </c:val>
          <c:extLst>
            <c:ext xmlns:c16="http://schemas.microsoft.com/office/drawing/2014/chart" uri="{C3380CC4-5D6E-409C-BE32-E72D297353CC}">
              <c16:uniqueId val="{0000000A-4D84-4F41-B867-1DE59949B750}"/>
            </c:ext>
          </c:extLst>
        </c:ser>
        <c:dLbls>
          <c:showLegendKey val="0"/>
          <c:showVal val="0"/>
          <c:showCatName val="0"/>
          <c:showSerName val="0"/>
          <c:showPercent val="0"/>
          <c:showBubbleSize val="0"/>
        </c:dLbls>
        <c:gapWidth val="200"/>
        <c:overlap val="-27"/>
        <c:axId val="225194200"/>
        <c:axId val="225194592"/>
      </c:barChart>
      <c:lineChart>
        <c:grouping val="standard"/>
        <c:varyColors val="0"/>
        <c:ser>
          <c:idx val="1"/>
          <c:order val="1"/>
          <c:tx>
            <c:strRef>
              <c:f>pt.lvl3_generic_4!$E$7</c:f>
              <c:strCache>
                <c:ptCount val="1"/>
                <c:pt idx="0">
                  <c:v>Average of Cíl %</c:v>
                </c:pt>
              </c:strCache>
            </c:strRef>
          </c:tx>
          <c:spPr>
            <a:ln w="28575" cap="rnd">
              <a:solidFill>
                <a:srgbClr val="000000"/>
              </a:solidFill>
              <a:round/>
            </a:ln>
            <a:effectLst/>
          </c:spPr>
          <c:marker>
            <c:symbol val="none"/>
          </c:marker>
          <c:cat>
            <c:strRef>
              <c:f>pt.lvl3_generic_4!$B$8:$C$8</c:f>
              <c:strCache>
                <c:ptCount val="1"/>
                <c:pt idx="0">
                  <c:v>Grand Total</c:v>
                </c:pt>
              </c:strCache>
            </c:strRef>
          </c:cat>
          <c:val>
            <c:numRef>
              <c:f>pt.lvl3_generic_4!$E$8</c:f>
              <c:numCache>
                <c:formatCode>General</c:formatCode>
                <c:ptCount val="1"/>
              </c:numCache>
            </c:numRef>
          </c:val>
          <c:smooth val="0"/>
          <c:extLst>
            <c:ext xmlns:c16="http://schemas.microsoft.com/office/drawing/2014/chart" uri="{C3380CC4-5D6E-409C-BE32-E72D297353CC}">
              <c16:uniqueId val="{0000000B-4D84-4F41-B867-1DE59949B750}"/>
            </c:ext>
          </c:extLst>
        </c:ser>
        <c:ser>
          <c:idx val="2"/>
          <c:order val="2"/>
          <c:tx>
            <c:strRef>
              <c:f>pt.lvl3_generic_4!$F$7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0F-4D84-4F41-B867-1DE59949B750}"/>
              </c:ext>
            </c:extLst>
          </c:dPt>
          <c:dPt>
            <c:idx val="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10-4D84-4F41-B867-1DE59949B750}"/>
              </c:ext>
            </c:extLst>
          </c:dPt>
          <c:cat>
            <c:strRef>
              <c:f>pt.lvl3_generic_4!$B$8:$C$8</c:f>
              <c:strCache>
                <c:ptCount val="1"/>
                <c:pt idx="0">
                  <c:v>Grand Total</c:v>
                </c:pt>
              </c:strCache>
            </c:strRef>
          </c:cat>
          <c:val>
            <c:numRef>
              <c:f>pt.lvl3_generic_4!$F$8</c:f>
              <c:numCache>
                <c:formatCode>General</c:formatCode>
                <c:ptCount val="1"/>
              </c:numCache>
            </c:numRef>
          </c:val>
          <c:smooth val="0"/>
          <c:extLst>
            <c:ext xmlns:c16="http://schemas.microsoft.com/office/drawing/2014/chart" uri="{C3380CC4-5D6E-409C-BE32-E72D297353CC}">
              <c16:uniqueId val="{0000000C-4D84-4F41-B867-1DE59949B750}"/>
            </c:ext>
          </c:extLst>
        </c:ser>
        <c:dLbls>
          <c:showLegendKey val="0"/>
          <c:showVal val="0"/>
          <c:showCatName val="0"/>
          <c:showSerName val="0"/>
          <c:showPercent val="0"/>
          <c:showBubbleSize val="0"/>
        </c:dLbls>
        <c:marker val="1"/>
        <c:smooth val="0"/>
        <c:axId val="225194200"/>
        <c:axId val="225194592"/>
      </c:lineChart>
      <c:catAx>
        <c:axId val="225194200"/>
        <c:scaling>
          <c:orientation val="minMax"/>
        </c:scaling>
        <c:delete val="0"/>
        <c:axPos val="b"/>
        <c:numFmt formatCode="h" sourceLinked="0"/>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25194592"/>
        <c:crosses val="autoZero"/>
        <c:auto val="1"/>
        <c:lblAlgn val="ctr"/>
        <c:lblOffset val="100"/>
        <c:noMultiLvlLbl val="0"/>
      </c:catAx>
      <c:valAx>
        <c:axId val="225194592"/>
        <c:scaling>
          <c:orientation val="minMax"/>
          <c:max val="1.1000000000000001"/>
          <c:min val="0.5"/>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25194200"/>
        <c:crosses val="autoZero"/>
        <c:crossBetween val="between"/>
        <c:majorUnit val="0.1"/>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1.3_3_2.xlsm]pt.lvl3_generic_5!pt.lvl3_generic_5</c:name>
    <c:fmtId val="0"/>
  </c:pivotSource>
  <c:chart>
    <c:autoTitleDeleted val="1"/>
    <c:pivotFmts>
      <c:pivotFmt>
        <c:idx val="0"/>
        <c:spPr>
          <a:solidFill>
            <a:schemeClr val="accent1"/>
          </a:solidFill>
          <a:ln>
            <a:solidFill>
              <a:srgbClr val="5B9BD5"/>
            </a:solidFill>
          </a:ln>
          <a:effectLst/>
        </c:spPr>
        <c:marker>
          <c:symbol val="none"/>
        </c:marker>
      </c:pivotFmt>
      <c:pivotFmt>
        <c:idx val="1"/>
        <c:spPr>
          <a:solidFill>
            <a:schemeClr val="accent1"/>
          </a:solidFill>
          <a:ln w="28575" cap="rnd">
            <a:solidFill>
              <a:srgbClr val="000000"/>
            </a:solidFill>
            <a:round/>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7"/>
      </c:pivotFmt>
      <c:pivotFmt>
        <c:idx val="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0"/>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5"/>
        <c:spPr>
          <a:solidFill>
            <a:schemeClr val="accent1"/>
          </a:solidFill>
          <a:ln>
            <a:noFill/>
          </a:ln>
          <a:effectLst/>
        </c:spPr>
        <c:marker>
          <c:symbol val="none"/>
        </c:marker>
      </c:pivotFmt>
      <c:pivotFmt>
        <c:idx val="16"/>
        <c:spPr>
          <a:ln w="28575" cap="rnd">
            <a:solidFill>
              <a:srgbClr val="000000"/>
            </a:solidFill>
            <a:round/>
          </a:ln>
          <a:effectLst/>
        </c:spPr>
        <c:marker>
          <c:symbol val="none"/>
        </c:marker>
      </c:pivotFmt>
      <c:pivotFmt>
        <c:idx val="1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1"/>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3"/>
        <c:spPr>
          <a:solidFill>
            <a:srgbClr val="9CC746"/>
          </a:solidFill>
          <a:ln>
            <a:noFill/>
          </a:ln>
          <a:effectLst/>
        </c:spPr>
        <c:marker>
          <c:spPr>
            <a:solidFill>
              <a:srgbClr val="9CC746"/>
            </a:solidFill>
            <a:ln w="3175">
              <a:solidFill>
                <a:srgbClr val="9CC746"/>
              </a:solidFill>
              <a:prstDash val="solid"/>
            </a:ln>
            <a:effectLst/>
          </c:spPr>
        </c:marker>
      </c:pivotFmt>
    </c:pivotFmts>
    <c:plotArea>
      <c:layout/>
      <c:barChart>
        <c:barDir val="col"/>
        <c:grouping val="clustered"/>
        <c:varyColors val="0"/>
        <c:ser>
          <c:idx val="0"/>
          <c:order val="0"/>
          <c:tx>
            <c:strRef>
              <c:f>pt.lvl3_generic_5!$D$7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C-2588-44BE-A1A9-6EDED6E9C3ED}"/>
              </c:ext>
            </c:extLst>
          </c:dPt>
          <c:dPt>
            <c:idx val="1"/>
            <c:invertIfNegative val="0"/>
            <c:bubble3D val="0"/>
            <c:spPr>
              <a:solidFill>
                <a:srgbClr val="9CC746"/>
              </a:solidFill>
              <a:ln>
                <a:noFill/>
              </a:ln>
              <a:effectLst/>
            </c:spPr>
            <c:extLst>
              <c:ext xmlns:c16="http://schemas.microsoft.com/office/drawing/2014/chart" uri="{C3380CC4-5D6E-409C-BE32-E72D297353CC}">
                <c16:uniqueId val="{0000000D-2588-44BE-A1A9-6EDED6E9C3ED}"/>
              </c:ext>
            </c:extLst>
          </c:dPt>
          <c:cat>
            <c:multiLvlStrRef>
              <c:f>pt.lvl3_generic_5!$B$8:$C$10</c:f>
              <c:multiLvlStrCache>
                <c:ptCount val="2"/>
                <c:lvl>
                  <c:pt idx="0">
                    <c:v>8</c:v>
                  </c:pt>
                  <c:pt idx="1">
                    <c:v>13</c:v>
                  </c:pt>
                </c:lvl>
                <c:lvl>
                  <c:pt idx="0">
                    <c:v>14.03.2017</c:v>
                  </c:pt>
                </c:lvl>
              </c:multiLvlStrCache>
            </c:multiLvlStrRef>
          </c:cat>
          <c:val>
            <c:numRef>
              <c:f>pt.lvl3_generic_5!$D$8:$D$10</c:f>
              <c:numCache>
                <c:formatCode>General</c:formatCode>
                <c:ptCount val="2"/>
                <c:pt idx="0">
                  <c:v>0.96666666666666667</c:v>
                </c:pt>
                <c:pt idx="1">
                  <c:v>0.96666666666666667</c:v>
                </c:pt>
              </c:numCache>
            </c:numRef>
          </c:val>
          <c:extLst>
            <c:ext xmlns:c16="http://schemas.microsoft.com/office/drawing/2014/chart" uri="{C3380CC4-5D6E-409C-BE32-E72D297353CC}">
              <c16:uniqueId val="{00000009-2588-44BE-A1A9-6EDED6E9C3ED}"/>
            </c:ext>
          </c:extLst>
        </c:ser>
        <c:dLbls>
          <c:showLegendKey val="0"/>
          <c:showVal val="0"/>
          <c:showCatName val="0"/>
          <c:showSerName val="0"/>
          <c:showPercent val="0"/>
          <c:showBubbleSize val="0"/>
        </c:dLbls>
        <c:gapWidth val="200"/>
        <c:overlap val="-27"/>
        <c:axId val="226471592"/>
        <c:axId val="226471984"/>
      </c:barChart>
      <c:lineChart>
        <c:grouping val="standard"/>
        <c:varyColors val="0"/>
        <c:ser>
          <c:idx val="1"/>
          <c:order val="1"/>
          <c:tx>
            <c:strRef>
              <c:f>pt.lvl3_generic_5!$E$7</c:f>
              <c:strCache>
                <c:ptCount val="1"/>
                <c:pt idx="0">
                  <c:v>Average of Cíl %</c:v>
                </c:pt>
              </c:strCache>
            </c:strRef>
          </c:tx>
          <c:spPr>
            <a:ln w="28575" cap="rnd">
              <a:solidFill>
                <a:srgbClr val="000000"/>
              </a:solidFill>
              <a:round/>
            </a:ln>
            <a:effectLst/>
          </c:spPr>
          <c:marker>
            <c:symbol val="none"/>
          </c:marker>
          <c:cat>
            <c:multiLvlStrRef>
              <c:f>pt.lvl3_generic_5!$B$8:$C$10</c:f>
              <c:multiLvlStrCache>
                <c:ptCount val="2"/>
                <c:lvl>
                  <c:pt idx="0">
                    <c:v>8</c:v>
                  </c:pt>
                  <c:pt idx="1">
                    <c:v>13</c:v>
                  </c:pt>
                </c:lvl>
                <c:lvl>
                  <c:pt idx="0">
                    <c:v>14.03.2017</c:v>
                  </c:pt>
                </c:lvl>
              </c:multiLvlStrCache>
            </c:multiLvlStrRef>
          </c:cat>
          <c:val>
            <c:numRef>
              <c:f>pt.lvl3_generic_5!$E$8:$E$10</c:f>
              <c:numCache>
                <c:formatCode>General</c:formatCode>
                <c:ptCount val="2"/>
                <c:pt idx="0">
                  <c:v>0.85</c:v>
                </c:pt>
                <c:pt idx="1">
                  <c:v>0.85</c:v>
                </c:pt>
              </c:numCache>
            </c:numRef>
          </c:val>
          <c:smooth val="0"/>
          <c:extLst>
            <c:ext xmlns:c16="http://schemas.microsoft.com/office/drawing/2014/chart" uri="{C3380CC4-5D6E-409C-BE32-E72D297353CC}">
              <c16:uniqueId val="{0000000A-2588-44BE-A1A9-6EDED6E9C3ED}"/>
            </c:ext>
          </c:extLst>
        </c:ser>
        <c:ser>
          <c:idx val="2"/>
          <c:order val="2"/>
          <c:tx>
            <c:strRef>
              <c:f>pt.lvl3_generic_5!$F$7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0E-2588-44BE-A1A9-6EDED6E9C3ED}"/>
              </c:ext>
            </c:extLst>
          </c:dPt>
          <c:dPt>
            <c:idx val="1"/>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0F-2588-44BE-A1A9-6EDED6E9C3ED}"/>
              </c:ext>
            </c:extLst>
          </c:dPt>
          <c:cat>
            <c:multiLvlStrRef>
              <c:f>pt.lvl3_generic_5!$B$8:$C$10</c:f>
              <c:multiLvlStrCache>
                <c:ptCount val="2"/>
                <c:lvl>
                  <c:pt idx="0">
                    <c:v>8</c:v>
                  </c:pt>
                  <c:pt idx="1">
                    <c:v>13</c:v>
                  </c:pt>
                </c:lvl>
                <c:lvl>
                  <c:pt idx="0">
                    <c:v>14.03.2017</c:v>
                  </c:pt>
                </c:lvl>
              </c:multiLvlStrCache>
            </c:multiLvlStrRef>
          </c:cat>
          <c:val>
            <c:numRef>
              <c:f>pt.lvl3_generic_5!$F$8:$F$10</c:f>
              <c:numCache>
                <c:formatCode>General</c:formatCode>
                <c:ptCount val="2"/>
                <c:pt idx="0">
                  <c:v>0.9</c:v>
                </c:pt>
                <c:pt idx="1">
                  <c:v>0.9</c:v>
                </c:pt>
              </c:numCache>
            </c:numRef>
          </c:val>
          <c:smooth val="0"/>
          <c:extLst>
            <c:ext xmlns:c16="http://schemas.microsoft.com/office/drawing/2014/chart" uri="{C3380CC4-5D6E-409C-BE32-E72D297353CC}">
              <c16:uniqueId val="{0000000B-2588-44BE-A1A9-6EDED6E9C3ED}"/>
            </c:ext>
          </c:extLst>
        </c:ser>
        <c:dLbls>
          <c:showLegendKey val="0"/>
          <c:showVal val="0"/>
          <c:showCatName val="0"/>
          <c:showSerName val="0"/>
          <c:showPercent val="0"/>
          <c:showBubbleSize val="0"/>
        </c:dLbls>
        <c:marker val="1"/>
        <c:smooth val="0"/>
        <c:axId val="226471592"/>
        <c:axId val="226471984"/>
      </c:lineChart>
      <c:catAx>
        <c:axId val="226471592"/>
        <c:scaling>
          <c:orientation val="minMax"/>
        </c:scaling>
        <c:delete val="0"/>
        <c:axPos val="b"/>
        <c:numFmt formatCode="h" sourceLinked="0"/>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26471984"/>
        <c:crosses val="autoZero"/>
        <c:auto val="1"/>
        <c:lblAlgn val="ctr"/>
        <c:lblOffset val="100"/>
        <c:noMultiLvlLbl val="0"/>
      </c:catAx>
      <c:valAx>
        <c:axId val="226471984"/>
        <c:scaling>
          <c:orientation val="minMax"/>
          <c:max val="1.1000000000000001"/>
          <c:min val="0.5"/>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26471592"/>
        <c:crosses val="autoZero"/>
        <c:crossBetween val="between"/>
        <c:majorUnit val="0.1"/>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1.3_3_2.xlsm]pt.lvl3_generic_6!pt.lvl3_generic_6</c:name>
    <c:fmtId val="0"/>
  </c:pivotSource>
  <c:chart>
    <c:autoTitleDeleted val="1"/>
    <c:pivotFmts>
      <c:pivotFmt>
        <c:idx val="0"/>
        <c:spPr>
          <a:solidFill>
            <a:schemeClr val="accent1"/>
          </a:solidFill>
          <a:ln>
            <a:solidFill>
              <a:srgbClr val="5B9BD5"/>
            </a:solidFill>
          </a:ln>
          <a:effectLst/>
        </c:spPr>
        <c:marker>
          <c:symbol val="none"/>
        </c:marker>
      </c:pivotFmt>
      <c:pivotFmt>
        <c:idx val="1"/>
        <c:spPr>
          <a:solidFill>
            <a:schemeClr val="accent1"/>
          </a:solidFill>
          <a:ln w="28575" cap="rnd">
            <a:solidFill>
              <a:srgbClr val="000000"/>
            </a:solidFill>
            <a:round/>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8"/>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9"/>
        <c:spPr>
          <a:solidFill>
            <a:srgbClr val="9B2D2A"/>
          </a:solidFill>
          <a:ln>
            <a:solidFill>
              <a:srgbClr val="5B9BD5"/>
            </a:solidFill>
          </a:ln>
          <a:effectLst/>
        </c:spPr>
        <c:marker>
          <c:symbol val="circle"/>
          <c:size val="5"/>
          <c:spPr>
            <a:solidFill>
              <a:schemeClr val="accent1"/>
            </a:solidFill>
            <a:ln w="9525">
              <a:solidFill>
                <a:schemeClr val="accent1"/>
              </a:solidFill>
            </a:ln>
            <a:effectLst/>
          </c:spPr>
        </c:marker>
      </c:pivotFmt>
      <c:pivotFmt>
        <c:idx val="10"/>
        <c:spPr>
          <a:solidFill>
            <a:srgbClr val="9B2D2A"/>
          </a:solidFill>
          <a:ln>
            <a:solidFill>
              <a:srgbClr val="5B9BD5"/>
            </a:solidFill>
          </a:ln>
          <a:effectLst/>
        </c:spPr>
        <c:marker>
          <c:symbol val="circle"/>
          <c:size val="5"/>
          <c:spPr>
            <a:solidFill>
              <a:schemeClr val="accent1"/>
            </a:solidFill>
            <a:ln w="9525">
              <a:solidFill>
                <a:schemeClr val="accent1"/>
              </a:solidFill>
            </a:ln>
            <a:effectLst/>
          </c:spPr>
        </c:marker>
      </c:pivotFmt>
      <c:pivotFmt>
        <c:idx val="11"/>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2"/>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7"/>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8"/>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9"/>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0"/>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1"/>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2"/>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1"/>
      </c:pivotFmt>
      <c:pivotFmt>
        <c:idx val="5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5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5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5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57"/>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58"/>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59"/>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0"/>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1"/>
        <c:spPr>
          <a:solidFill>
            <a:srgbClr val="9B2D2A"/>
          </a:solidFill>
          <a:ln>
            <a:solidFill>
              <a:srgbClr val="5B9BD5"/>
            </a:solidFill>
          </a:ln>
          <a:effectLst/>
        </c:spPr>
        <c:marker>
          <c:symbol val="circle"/>
          <c:size val="5"/>
          <c:spPr>
            <a:solidFill>
              <a:schemeClr val="accent1"/>
            </a:solidFill>
            <a:ln w="9525">
              <a:solidFill>
                <a:schemeClr val="accent1"/>
              </a:solidFill>
            </a:ln>
            <a:effectLst/>
          </c:spPr>
        </c:marker>
      </c:pivotFmt>
      <c:pivotFmt>
        <c:idx val="62"/>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7"/>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8"/>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9"/>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0"/>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1"/>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2"/>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7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7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0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01"/>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0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03"/>
        <c:spPr>
          <a:solidFill>
            <a:schemeClr val="accent1"/>
          </a:solidFill>
          <a:ln>
            <a:noFill/>
          </a:ln>
          <a:effectLst/>
        </c:spPr>
        <c:marker>
          <c:symbol val="none"/>
        </c:marker>
      </c:pivotFmt>
      <c:pivotFmt>
        <c:idx val="104"/>
        <c:spPr>
          <a:ln w="28575" cap="rnd">
            <a:solidFill>
              <a:srgbClr val="000000"/>
            </a:solidFill>
            <a:round/>
          </a:ln>
          <a:effectLst/>
        </c:spPr>
        <c:marker>
          <c:symbol val="none"/>
        </c:marker>
      </c:pivotFmt>
      <c:pivotFmt>
        <c:idx val="10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3"/>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4"/>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5"/>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6"/>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7"/>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0"/>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1"/>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2"/>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3"/>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4"/>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5"/>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6"/>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7"/>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8"/>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9"/>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1"/>
        <c:spPr>
          <a:solidFill>
            <a:srgbClr val="9CC746"/>
          </a:solidFill>
          <a:ln>
            <a:noFill/>
          </a:ln>
          <a:effectLst/>
        </c:spPr>
        <c:marker>
          <c:spPr>
            <a:solidFill>
              <a:srgbClr val="9CC746"/>
            </a:solidFill>
            <a:ln w="3175">
              <a:solidFill>
                <a:srgbClr val="9CC746"/>
              </a:solidFill>
              <a:prstDash val="solid"/>
            </a:ln>
            <a:effectLst/>
          </c:spPr>
        </c:marker>
      </c:pivotFmt>
    </c:pivotFmts>
    <c:plotArea>
      <c:layout/>
      <c:barChart>
        <c:barDir val="col"/>
        <c:grouping val="clustered"/>
        <c:varyColors val="0"/>
        <c:ser>
          <c:idx val="0"/>
          <c:order val="0"/>
          <c:tx>
            <c:strRef>
              <c:f>pt.lvl3_generic_6!$D$7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64-DCE4-410B-8046-5BEF61FB3FC9}"/>
              </c:ext>
            </c:extLst>
          </c:dPt>
          <c:dPt>
            <c:idx val="1"/>
            <c:invertIfNegative val="0"/>
            <c:bubble3D val="0"/>
            <c:spPr>
              <a:solidFill>
                <a:srgbClr val="9CC746"/>
              </a:solidFill>
              <a:ln>
                <a:noFill/>
              </a:ln>
              <a:effectLst/>
            </c:spPr>
            <c:extLst>
              <c:ext xmlns:c16="http://schemas.microsoft.com/office/drawing/2014/chart" uri="{C3380CC4-5D6E-409C-BE32-E72D297353CC}">
                <c16:uniqueId val="{00000065-DCE4-410B-8046-5BEF61FB3FC9}"/>
              </c:ext>
            </c:extLst>
          </c:dPt>
          <c:dPt>
            <c:idx val="2"/>
            <c:invertIfNegative val="0"/>
            <c:bubble3D val="0"/>
            <c:spPr>
              <a:solidFill>
                <a:srgbClr val="9CC746"/>
              </a:solidFill>
              <a:ln>
                <a:noFill/>
              </a:ln>
              <a:effectLst/>
            </c:spPr>
            <c:extLst>
              <c:ext xmlns:c16="http://schemas.microsoft.com/office/drawing/2014/chart" uri="{C3380CC4-5D6E-409C-BE32-E72D297353CC}">
                <c16:uniqueId val="{00000066-DCE4-410B-8046-5BEF61FB3FC9}"/>
              </c:ext>
            </c:extLst>
          </c:dPt>
          <c:dPt>
            <c:idx val="3"/>
            <c:invertIfNegative val="0"/>
            <c:bubble3D val="0"/>
            <c:spPr>
              <a:solidFill>
                <a:srgbClr val="9CC746"/>
              </a:solidFill>
              <a:ln>
                <a:noFill/>
              </a:ln>
              <a:effectLst/>
            </c:spPr>
            <c:extLst>
              <c:ext xmlns:c16="http://schemas.microsoft.com/office/drawing/2014/chart" uri="{C3380CC4-5D6E-409C-BE32-E72D297353CC}">
                <c16:uniqueId val="{00000067-DCE4-410B-8046-5BEF61FB3FC9}"/>
              </c:ext>
            </c:extLst>
          </c:dPt>
          <c:dPt>
            <c:idx val="4"/>
            <c:invertIfNegative val="0"/>
            <c:bubble3D val="0"/>
            <c:spPr>
              <a:solidFill>
                <a:srgbClr val="9CC746"/>
              </a:solidFill>
              <a:ln>
                <a:noFill/>
              </a:ln>
              <a:effectLst/>
            </c:spPr>
            <c:extLst>
              <c:ext xmlns:c16="http://schemas.microsoft.com/office/drawing/2014/chart" uri="{C3380CC4-5D6E-409C-BE32-E72D297353CC}">
                <c16:uniqueId val="{00000068-DCE4-410B-8046-5BEF61FB3FC9}"/>
              </c:ext>
            </c:extLst>
          </c:dPt>
          <c:dPt>
            <c:idx val="5"/>
            <c:invertIfNegative val="0"/>
            <c:bubble3D val="0"/>
            <c:spPr>
              <a:solidFill>
                <a:srgbClr val="9CC746"/>
              </a:solidFill>
              <a:ln>
                <a:noFill/>
              </a:ln>
              <a:effectLst/>
            </c:spPr>
            <c:extLst>
              <c:ext xmlns:c16="http://schemas.microsoft.com/office/drawing/2014/chart" uri="{C3380CC4-5D6E-409C-BE32-E72D297353CC}">
                <c16:uniqueId val="{00000069-DCE4-410B-8046-5BEF61FB3FC9}"/>
              </c:ext>
            </c:extLst>
          </c:dPt>
          <c:dPt>
            <c:idx val="6"/>
            <c:invertIfNegative val="0"/>
            <c:bubble3D val="0"/>
            <c:spPr>
              <a:solidFill>
                <a:srgbClr val="9B2D2A"/>
              </a:solidFill>
              <a:ln>
                <a:noFill/>
              </a:ln>
              <a:effectLst/>
            </c:spPr>
            <c:extLst>
              <c:ext xmlns:c16="http://schemas.microsoft.com/office/drawing/2014/chart" uri="{C3380CC4-5D6E-409C-BE32-E72D297353CC}">
                <c16:uniqueId val="{0000006A-DCE4-410B-8046-5BEF61FB3FC9}"/>
              </c:ext>
            </c:extLst>
          </c:dPt>
          <c:dPt>
            <c:idx val="7"/>
            <c:invertIfNegative val="0"/>
            <c:bubble3D val="0"/>
            <c:spPr>
              <a:solidFill>
                <a:srgbClr val="9B2D2A"/>
              </a:solidFill>
              <a:ln>
                <a:noFill/>
              </a:ln>
              <a:effectLst/>
            </c:spPr>
            <c:extLst>
              <c:ext xmlns:c16="http://schemas.microsoft.com/office/drawing/2014/chart" uri="{C3380CC4-5D6E-409C-BE32-E72D297353CC}">
                <c16:uniqueId val="{0000006B-DCE4-410B-8046-5BEF61FB3FC9}"/>
              </c:ext>
            </c:extLst>
          </c:dPt>
          <c:dPt>
            <c:idx val="8"/>
            <c:invertIfNegative val="0"/>
            <c:bubble3D val="0"/>
            <c:spPr>
              <a:solidFill>
                <a:srgbClr val="9CC746"/>
              </a:solidFill>
              <a:ln>
                <a:noFill/>
              </a:ln>
              <a:effectLst/>
            </c:spPr>
            <c:extLst>
              <c:ext xmlns:c16="http://schemas.microsoft.com/office/drawing/2014/chart" uri="{C3380CC4-5D6E-409C-BE32-E72D297353CC}">
                <c16:uniqueId val="{0000006C-DCE4-410B-8046-5BEF61FB3FC9}"/>
              </c:ext>
            </c:extLst>
          </c:dPt>
          <c:dPt>
            <c:idx val="9"/>
            <c:invertIfNegative val="0"/>
            <c:bubble3D val="0"/>
            <c:spPr>
              <a:solidFill>
                <a:srgbClr val="9CC746"/>
              </a:solidFill>
              <a:ln>
                <a:noFill/>
              </a:ln>
              <a:effectLst/>
            </c:spPr>
            <c:extLst>
              <c:ext xmlns:c16="http://schemas.microsoft.com/office/drawing/2014/chart" uri="{C3380CC4-5D6E-409C-BE32-E72D297353CC}">
                <c16:uniqueId val="{0000006D-DCE4-410B-8046-5BEF61FB3FC9}"/>
              </c:ext>
            </c:extLst>
          </c:dPt>
          <c:dPt>
            <c:idx val="10"/>
            <c:invertIfNegative val="0"/>
            <c:bubble3D val="0"/>
            <c:spPr>
              <a:solidFill>
                <a:srgbClr val="9CC746"/>
              </a:solidFill>
              <a:ln>
                <a:noFill/>
              </a:ln>
              <a:effectLst/>
            </c:spPr>
            <c:extLst>
              <c:ext xmlns:c16="http://schemas.microsoft.com/office/drawing/2014/chart" uri="{C3380CC4-5D6E-409C-BE32-E72D297353CC}">
                <c16:uniqueId val="{0000006E-DCE4-410B-8046-5BEF61FB3FC9}"/>
              </c:ext>
            </c:extLst>
          </c:dPt>
          <c:dPt>
            <c:idx val="11"/>
            <c:invertIfNegative val="0"/>
            <c:bubble3D val="0"/>
            <c:spPr>
              <a:solidFill>
                <a:srgbClr val="9CC746"/>
              </a:solidFill>
              <a:ln>
                <a:noFill/>
              </a:ln>
              <a:effectLst/>
            </c:spPr>
            <c:extLst>
              <c:ext xmlns:c16="http://schemas.microsoft.com/office/drawing/2014/chart" uri="{C3380CC4-5D6E-409C-BE32-E72D297353CC}">
                <c16:uniqueId val="{0000006F-DCE4-410B-8046-5BEF61FB3FC9}"/>
              </c:ext>
            </c:extLst>
          </c:dPt>
          <c:dPt>
            <c:idx val="12"/>
            <c:invertIfNegative val="0"/>
            <c:bubble3D val="0"/>
            <c:spPr>
              <a:solidFill>
                <a:srgbClr val="9CC746"/>
              </a:solidFill>
              <a:ln>
                <a:noFill/>
              </a:ln>
              <a:effectLst/>
            </c:spPr>
            <c:extLst>
              <c:ext xmlns:c16="http://schemas.microsoft.com/office/drawing/2014/chart" uri="{C3380CC4-5D6E-409C-BE32-E72D297353CC}">
                <c16:uniqueId val="{00000070-DCE4-410B-8046-5BEF61FB3FC9}"/>
              </c:ext>
            </c:extLst>
          </c:dPt>
          <c:dPt>
            <c:idx val="13"/>
            <c:invertIfNegative val="0"/>
            <c:bubble3D val="0"/>
            <c:spPr>
              <a:solidFill>
                <a:srgbClr val="9CC746"/>
              </a:solidFill>
              <a:ln>
                <a:noFill/>
              </a:ln>
              <a:effectLst/>
            </c:spPr>
            <c:extLst>
              <c:ext xmlns:c16="http://schemas.microsoft.com/office/drawing/2014/chart" uri="{C3380CC4-5D6E-409C-BE32-E72D297353CC}">
                <c16:uniqueId val="{00000071-DCE4-410B-8046-5BEF61FB3FC9}"/>
              </c:ext>
            </c:extLst>
          </c:dPt>
          <c:dPt>
            <c:idx val="14"/>
            <c:invertIfNegative val="0"/>
            <c:bubble3D val="0"/>
            <c:spPr>
              <a:solidFill>
                <a:srgbClr val="9CC746"/>
              </a:solidFill>
              <a:ln>
                <a:noFill/>
              </a:ln>
              <a:effectLst/>
            </c:spPr>
            <c:extLst>
              <c:ext xmlns:c16="http://schemas.microsoft.com/office/drawing/2014/chart" uri="{C3380CC4-5D6E-409C-BE32-E72D297353CC}">
                <c16:uniqueId val="{00000072-DCE4-410B-8046-5BEF61FB3FC9}"/>
              </c:ext>
            </c:extLst>
          </c:dPt>
          <c:dPt>
            <c:idx val="15"/>
            <c:invertIfNegative val="0"/>
            <c:bubble3D val="0"/>
            <c:spPr>
              <a:solidFill>
                <a:srgbClr val="9CC746"/>
              </a:solidFill>
              <a:ln>
                <a:noFill/>
              </a:ln>
              <a:effectLst/>
            </c:spPr>
            <c:extLst>
              <c:ext xmlns:c16="http://schemas.microsoft.com/office/drawing/2014/chart" uri="{C3380CC4-5D6E-409C-BE32-E72D297353CC}">
                <c16:uniqueId val="{00000073-DCE4-410B-8046-5BEF61FB3FC9}"/>
              </c:ext>
            </c:extLst>
          </c:dPt>
          <c:dPt>
            <c:idx val="16"/>
            <c:invertIfNegative val="0"/>
            <c:bubble3D val="0"/>
            <c:spPr>
              <a:solidFill>
                <a:srgbClr val="9CC746"/>
              </a:solidFill>
              <a:ln>
                <a:noFill/>
              </a:ln>
              <a:effectLst/>
            </c:spPr>
            <c:extLst>
              <c:ext xmlns:c16="http://schemas.microsoft.com/office/drawing/2014/chart" uri="{C3380CC4-5D6E-409C-BE32-E72D297353CC}">
                <c16:uniqueId val="{00000074-DCE4-410B-8046-5BEF61FB3FC9}"/>
              </c:ext>
            </c:extLst>
          </c:dPt>
          <c:cat>
            <c:multiLvlStrRef>
              <c:f>pt.lvl3_generic_6!$B$8:$C$25</c:f>
              <c:multiLvlStrCache>
                <c:ptCount val="17"/>
                <c:lvl>
                  <c:pt idx="0">
                    <c:v>7</c:v>
                  </c:pt>
                  <c:pt idx="1">
                    <c:v>8</c:v>
                  </c:pt>
                  <c:pt idx="2">
                    <c:v>9</c:v>
                  </c:pt>
                  <c:pt idx="3">
                    <c:v>10</c:v>
                  </c:pt>
                  <c:pt idx="4">
                    <c:v>11</c:v>
                  </c:pt>
                  <c:pt idx="5">
                    <c:v>12</c:v>
                  </c:pt>
                  <c:pt idx="6">
                    <c:v>13</c:v>
                  </c:pt>
                  <c:pt idx="7">
                    <c:v>14</c:v>
                  </c:pt>
                  <c:pt idx="8">
                    <c:v>15</c:v>
                  </c:pt>
                  <c:pt idx="9">
                    <c:v>16</c:v>
                  </c:pt>
                  <c:pt idx="10">
                    <c:v>17</c:v>
                  </c:pt>
                  <c:pt idx="11">
                    <c:v>18</c:v>
                  </c:pt>
                  <c:pt idx="12">
                    <c:v>19</c:v>
                  </c:pt>
                  <c:pt idx="13">
                    <c:v>20</c:v>
                  </c:pt>
                  <c:pt idx="14">
                    <c:v>21</c:v>
                  </c:pt>
                  <c:pt idx="15">
                    <c:v>22</c:v>
                  </c:pt>
                  <c:pt idx="16">
                    <c:v>23</c:v>
                  </c:pt>
                </c:lvl>
                <c:lvl>
                  <c:pt idx="0">
                    <c:v>14.03.2017</c:v>
                  </c:pt>
                </c:lvl>
              </c:multiLvlStrCache>
            </c:multiLvlStrRef>
          </c:cat>
          <c:val>
            <c:numRef>
              <c:f>pt.lvl3_generic_6!$D$8:$D$25</c:f>
              <c:numCache>
                <c:formatCode>General</c:formatCode>
                <c:ptCount val="17"/>
                <c:pt idx="0">
                  <c:v>0.96666666666666667</c:v>
                </c:pt>
                <c:pt idx="1">
                  <c:v>0.96666666666666667</c:v>
                </c:pt>
                <c:pt idx="2">
                  <c:v>0.96666666666666667</c:v>
                </c:pt>
                <c:pt idx="3">
                  <c:v>0.96666666666666667</c:v>
                </c:pt>
                <c:pt idx="4">
                  <c:v>0.96666666666666667</c:v>
                </c:pt>
                <c:pt idx="5">
                  <c:v>0.96666666666666667</c:v>
                </c:pt>
                <c:pt idx="6">
                  <c:v>0.82</c:v>
                </c:pt>
                <c:pt idx="7">
                  <c:v>0.84666666666666668</c:v>
                </c:pt>
                <c:pt idx="8">
                  <c:v>0.90666666666666662</c:v>
                </c:pt>
                <c:pt idx="9">
                  <c:v>0.96666666666666667</c:v>
                </c:pt>
                <c:pt idx="10">
                  <c:v>0.96666666666666667</c:v>
                </c:pt>
                <c:pt idx="11">
                  <c:v>0.96666666666666667</c:v>
                </c:pt>
                <c:pt idx="12">
                  <c:v>0.96666666666666667</c:v>
                </c:pt>
                <c:pt idx="13">
                  <c:v>0.96666666666666667</c:v>
                </c:pt>
                <c:pt idx="14">
                  <c:v>0.96666666666666667</c:v>
                </c:pt>
                <c:pt idx="15">
                  <c:v>0.96666666666666667</c:v>
                </c:pt>
                <c:pt idx="16">
                  <c:v>0.96666666666666667</c:v>
                </c:pt>
              </c:numCache>
            </c:numRef>
          </c:val>
          <c:extLst>
            <c:ext xmlns:c16="http://schemas.microsoft.com/office/drawing/2014/chart" uri="{C3380CC4-5D6E-409C-BE32-E72D297353CC}">
              <c16:uniqueId val="{00000061-DCE4-410B-8046-5BEF61FB3FC9}"/>
            </c:ext>
          </c:extLst>
        </c:ser>
        <c:dLbls>
          <c:showLegendKey val="0"/>
          <c:showVal val="0"/>
          <c:showCatName val="0"/>
          <c:showSerName val="0"/>
          <c:showPercent val="0"/>
          <c:showBubbleSize val="0"/>
        </c:dLbls>
        <c:gapWidth val="200"/>
        <c:overlap val="-27"/>
        <c:axId val="226473160"/>
        <c:axId val="226473552"/>
      </c:barChart>
      <c:lineChart>
        <c:grouping val="standard"/>
        <c:varyColors val="0"/>
        <c:ser>
          <c:idx val="1"/>
          <c:order val="1"/>
          <c:tx>
            <c:strRef>
              <c:f>pt.lvl3_generic_6!$E$7</c:f>
              <c:strCache>
                <c:ptCount val="1"/>
                <c:pt idx="0">
                  <c:v>Average of Cíl %</c:v>
                </c:pt>
              </c:strCache>
            </c:strRef>
          </c:tx>
          <c:spPr>
            <a:ln w="28575" cap="rnd">
              <a:solidFill>
                <a:srgbClr val="000000"/>
              </a:solidFill>
              <a:round/>
            </a:ln>
            <a:effectLst/>
          </c:spPr>
          <c:marker>
            <c:symbol val="none"/>
          </c:marker>
          <c:cat>
            <c:multiLvlStrRef>
              <c:f>pt.lvl3_generic_6!$B$8:$C$25</c:f>
              <c:multiLvlStrCache>
                <c:ptCount val="17"/>
                <c:lvl>
                  <c:pt idx="0">
                    <c:v>7</c:v>
                  </c:pt>
                  <c:pt idx="1">
                    <c:v>8</c:v>
                  </c:pt>
                  <c:pt idx="2">
                    <c:v>9</c:v>
                  </c:pt>
                  <c:pt idx="3">
                    <c:v>10</c:v>
                  </c:pt>
                  <c:pt idx="4">
                    <c:v>11</c:v>
                  </c:pt>
                  <c:pt idx="5">
                    <c:v>12</c:v>
                  </c:pt>
                  <c:pt idx="6">
                    <c:v>13</c:v>
                  </c:pt>
                  <c:pt idx="7">
                    <c:v>14</c:v>
                  </c:pt>
                  <c:pt idx="8">
                    <c:v>15</c:v>
                  </c:pt>
                  <c:pt idx="9">
                    <c:v>16</c:v>
                  </c:pt>
                  <c:pt idx="10">
                    <c:v>17</c:v>
                  </c:pt>
                  <c:pt idx="11">
                    <c:v>18</c:v>
                  </c:pt>
                  <c:pt idx="12">
                    <c:v>19</c:v>
                  </c:pt>
                  <c:pt idx="13">
                    <c:v>20</c:v>
                  </c:pt>
                  <c:pt idx="14">
                    <c:v>21</c:v>
                  </c:pt>
                  <c:pt idx="15">
                    <c:v>22</c:v>
                  </c:pt>
                  <c:pt idx="16">
                    <c:v>23</c:v>
                  </c:pt>
                </c:lvl>
                <c:lvl>
                  <c:pt idx="0">
                    <c:v>14.03.2017</c:v>
                  </c:pt>
                </c:lvl>
              </c:multiLvlStrCache>
            </c:multiLvlStrRef>
          </c:cat>
          <c:val>
            <c:numRef>
              <c:f>pt.lvl3_generic_6!$E$8:$E$25</c:f>
              <c:numCache>
                <c:formatCode>General</c:formatCode>
                <c:ptCount val="17"/>
                <c:pt idx="0">
                  <c:v>0.85</c:v>
                </c:pt>
                <c:pt idx="1">
                  <c:v>0.85</c:v>
                </c:pt>
                <c:pt idx="2">
                  <c:v>0.85</c:v>
                </c:pt>
                <c:pt idx="3">
                  <c:v>0.85</c:v>
                </c:pt>
                <c:pt idx="4">
                  <c:v>0.85</c:v>
                </c:pt>
                <c:pt idx="5">
                  <c:v>0.85</c:v>
                </c:pt>
                <c:pt idx="6">
                  <c:v>0.85</c:v>
                </c:pt>
                <c:pt idx="7">
                  <c:v>0.85</c:v>
                </c:pt>
                <c:pt idx="8">
                  <c:v>0.85</c:v>
                </c:pt>
                <c:pt idx="9">
                  <c:v>0.85</c:v>
                </c:pt>
                <c:pt idx="10">
                  <c:v>0.85</c:v>
                </c:pt>
                <c:pt idx="11">
                  <c:v>0.85</c:v>
                </c:pt>
                <c:pt idx="12">
                  <c:v>0.85</c:v>
                </c:pt>
                <c:pt idx="13">
                  <c:v>0.85</c:v>
                </c:pt>
                <c:pt idx="14">
                  <c:v>0.85</c:v>
                </c:pt>
                <c:pt idx="15">
                  <c:v>0.85</c:v>
                </c:pt>
                <c:pt idx="16">
                  <c:v>0.85</c:v>
                </c:pt>
              </c:numCache>
            </c:numRef>
          </c:val>
          <c:smooth val="0"/>
          <c:extLst>
            <c:ext xmlns:c16="http://schemas.microsoft.com/office/drawing/2014/chart" uri="{C3380CC4-5D6E-409C-BE32-E72D297353CC}">
              <c16:uniqueId val="{00000062-DCE4-410B-8046-5BEF61FB3FC9}"/>
            </c:ext>
          </c:extLst>
        </c:ser>
        <c:ser>
          <c:idx val="2"/>
          <c:order val="2"/>
          <c:tx>
            <c:strRef>
              <c:f>pt.lvl3_generic_6!$F$7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5-DCE4-410B-8046-5BEF61FB3FC9}"/>
              </c:ext>
            </c:extLst>
          </c:dPt>
          <c:dPt>
            <c:idx val="1"/>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6-DCE4-410B-8046-5BEF61FB3FC9}"/>
              </c:ext>
            </c:extLst>
          </c:dPt>
          <c:dPt>
            <c:idx val="2"/>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7-DCE4-410B-8046-5BEF61FB3FC9}"/>
              </c:ext>
            </c:extLst>
          </c:dPt>
          <c:dPt>
            <c:idx val="3"/>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8-DCE4-410B-8046-5BEF61FB3FC9}"/>
              </c:ext>
            </c:extLst>
          </c:dPt>
          <c:dPt>
            <c:idx val="4"/>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9-DCE4-410B-8046-5BEF61FB3FC9}"/>
              </c:ext>
            </c:extLst>
          </c:dPt>
          <c:dPt>
            <c:idx val="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A-DCE4-410B-8046-5BEF61FB3FC9}"/>
              </c:ext>
            </c:extLst>
          </c:dPt>
          <c:dPt>
            <c:idx val="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B-DCE4-410B-8046-5BEF61FB3FC9}"/>
              </c:ext>
            </c:extLst>
          </c:dPt>
          <c:dPt>
            <c:idx val="7"/>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C-DCE4-410B-8046-5BEF61FB3FC9}"/>
              </c:ext>
            </c:extLst>
          </c:dPt>
          <c:dPt>
            <c:idx val="8"/>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D-DCE4-410B-8046-5BEF61FB3FC9}"/>
              </c:ext>
            </c:extLst>
          </c:dPt>
          <c:dPt>
            <c:idx val="9"/>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E-DCE4-410B-8046-5BEF61FB3FC9}"/>
              </c:ext>
            </c:extLst>
          </c:dPt>
          <c:dPt>
            <c:idx val="10"/>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F-DCE4-410B-8046-5BEF61FB3FC9}"/>
              </c:ext>
            </c:extLst>
          </c:dPt>
          <c:dPt>
            <c:idx val="11"/>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0-DCE4-410B-8046-5BEF61FB3FC9}"/>
              </c:ext>
            </c:extLst>
          </c:dPt>
          <c:dPt>
            <c:idx val="12"/>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1-DCE4-410B-8046-5BEF61FB3FC9}"/>
              </c:ext>
            </c:extLst>
          </c:dPt>
          <c:dPt>
            <c:idx val="13"/>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2-DCE4-410B-8046-5BEF61FB3FC9}"/>
              </c:ext>
            </c:extLst>
          </c:dPt>
          <c:dPt>
            <c:idx val="14"/>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3-DCE4-410B-8046-5BEF61FB3FC9}"/>
              </c:ext>
            </c:extLst>
          </c:dPt>
          <c:dPt>
            <c:idx val="15"/>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4-DCE4-410B-8046-5BEF61FB3FC9}"/>
              </c:ext>
            </c:extLst>
          </c:dPt>
          <c:dPt>
            <c:idx val="16"/>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5-DCE4-410B-8046-5BEF61FB3FC9}"/>
              </c:ext>
            </c:extLst>
          </c:dPt>
          <c:cat>
            <c:multiLvlStrRef>
              <c:f>pt.lvl3_generic_6!$B$8:$C$25</c:f>
              <c:multiLvlStrCache>
                <c:ptCount val="17"/>
                <c:lvl>
                  <c:pt idx="0">
                    <c:v>7</c:v>
                  </c:pt>
                  <c:pt idx="1">
                    <c:v>8</c:v>
                  </c:pt>
                  <c:pt idx="2">
                    <c:v>9</c:v>
                  </c:pt>
                  <c:pt idx="3">
                    <c:v>10</c:v>
                  </c:pt>
                  <c:pt idx="4">
                    <c:v>11</c:v>
                  </c:pt>
                  <c:pt idx="5">
                    <c:v>12</c:v>
                  </c:pt>
                  <c:pt idx="6">
                    <c:v>13</c:v>
                  </c:pt>
                  <c:pt idx="7">
                    <c:v>14</c:v>
                  </c:pt>
                  <c:pt idx="8">
                    <c:v>15</c:v>
                  </c:pt>
                  <c:pt idx="9">
                    <c:v>16</c:v>
                  </c:pt>
                  <c:pt idx="10">
                    <c:v>17</c:v>
                  </c:pt>
                  <c:pt idx="11">
                    <c:v>18</c:v>
                  </c:pt>
                  <c:pt idx="12">
                    <c:v>19</c:v>
                  </c:pt>
                  <c:pt idx="13">
                    <c:v>20</c:v>
                  </c:pt>
                  <c:pt idx="14">
                    <c:v>21</c:v>
                  </c:pt>
                  <c:pt idx="15">
                    <c:v>22</c:v>
                  </c:pt>
                  <c:pt idx="16">
                    <c:v>23</c:v>
                  </c:pt>
                </c:lvl>
                <c:lvl>
                  <c:pt idx="0">
                    <c:v>14.03.2017</c:v>
                  </c:pt>
                </c:lvl>
              </c:multiLvlStrCache>
            </c:multiLvlStrRef>
          </c:cat>
          <c:val>
            <c:numRef>
              <c:f>pt.lvl3_generic_6!$F$8:$F$25</c:f>
              <c:numCache>
                <c:formatCode>General</c:formatCode>
                <c:ptCount val="17"/>
                <c:pt idx="0">
                  <c:v>0.9</c:v>
                </c:pt>
                <c:pt idx="1">
                  <c:v>0.9</c:v>
                </c:pt>
                <c:pt idx="2">
                  <c:v>0.9</c:v>
                </c:pt>
                <c:pt idx="3">
                  <c:v>0.9</c:v>
                </c:pt>
                <c:pt idx="4">
                  <c:v>0.9</c:v>
                </c:pt>
                <c:pt idx="5">
                  <c:v>0.76666666666666661</c:v>
                </c:pt>
                <c:pt idx="6">
                  <c:v>0.6</c:v>
                </c:pt>
                <c:pt idx="7">
                  <c:v>0.96666666666666667</c:v>
                </c:pt>
                <c:pt idx="8">
                  <c:v>0.96666666666666667</c:v>
                </c:pt>
                <c:pt idx="9">
                  <c:v>0.9</c:v>
                </c:pt>
                <c:pt idx="10">
                  <c:v>0.9</c:v>
                </c:pt>
                <c:pt idx="11">
                  <c:v>0.9</c:v>
                </c:pt>
                <c:pt idx="12">
                  <c:v>0.9</c:v>
                </c:pt>
                <c:pt idx="13">
                  <c:v>0.9</c:v>
                </c:pt>
                <c:pt idx="14">
                  <c:v>0.9</c:v>
                </c:pt>
                <c:pt idx="15">
                  <c:v>0.9</c:v>
                </c:pt>
                <c:pt idx="16">
                  <c:v>0.9</c:v>
                </c:pt>
              </c:numCache>
            </c:numRef>
          </c:val>
          <c:smooth val="0"/>
          <c:extLst>
            <c:ext xmlns:c16="http://schemas.microsoft.com/office/drawing/2014/chart" uri="{C3380CC4-5D6E-409C-BE32-E72D297353CC}">
              <c16:uniqueId val="{00000063-DCE4-410B-8046-5BEF61FB3FC9}"/>
            </c:ext>
          </c:extLst>
        </c:ser>
        <c:dLbls>
          <c:showLegendKey val="0"/>
          <c:showVal val="0"/>
          <c:showCatName val="0"/>
          <c:showSerName val="0"/>
          <c:showPercent val="0"/>
          <c:showBubbleSize val="0"/>
        </c:dLbls>
        <c:marker val="1"/>
        <c:smooth val="0"/>
        <c:axId val="226473160"/>
        <c:axId val="226473552"/>
      </c:lineChart>
      <c:catAx>
        <c:axId val="226473160"/>
        <c:scaling>
          <c:orientation val="minMax"/>
        </c:scaling>
        <c:delete val="0"/>
        <c:axPos val="b"/>
        <c:numFmt formatCode="h" sourceLinked="0"/>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26473552"/>
        <c:crosses val="autoZero"/>
        <c:auto val="1"/>
        <c:lblAlgn val="ctr"/>
        <c:lblOffset val="100"/>
        <c:noMultiLvlLbl val="0"/>
      </c:catAx>
      <c:valAx>
        <c:axId val="226473552"/>
        <c:scaling>
          <c:orientation val="minMax"/>
          <c:max val="1.1000000000000001"/>
          <c:min val="0.5"/>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26473160"/>
        <c:crosses val="autoZero"/>
        <c:crossBetween val="between"/>
        <c:majorUnit val="0.1"/>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dk1"/>
                </a:solidFill>
                <a:effectLst>
                  <a:outerShdw blurRad="50800" dist="38100" dir="5400000" algn="t" rotWithShape="0">
                    <a:prstClr val="black">
                      <a:alpha val="40000"/>
                    </a:prstClr>
                  </a:outerShdw>
                </a:effectLst>
                <a:latin typeface="+mn-lt"/>
                <a:ea typeface="+mn-ea"/>
                <a:cs typeface="+mn-cs"/>
              </a:defRPr>
            </a:pPr>
            <a:r>
              <a:rPr lang="cs-CZ"/>
              <a:t>Budova A</a:t>
            </a:r>
          </a:p>
        </c:rich>
      </c:tx>
      <c:layout>
        <c:manualLayout>
          <c:xMode val="edge"/>
          <c:yMode val="edge"/>
          <c:x val="0.37073860398860398"/>
          <c:y val="0.47037037037037038"/>
        </c:manualLayout>
      </c:layout>
      <c:overlay val="0"/>
      <c:spPr>
        <a:noFill/>
        <a:ln>
          <a:noFill/>
        </a:ln>
        <a:effectLst/>
      </c:spPr>
    </c:title>
    <c:autoTitleDeleted val="0"/>
    <c:plotArea>
      <c:layout>
        <c:manualLayout>
          <c:layoutTarget val="inner"/>
          <c:xMode val="edge"/>
          <c:yMode val="edge"/>
          <c:x val="0.12476970560303891"/>
          <c:y val="7.0480769230769234E-3"/>
          <c:w val="0.70449121557454886"/>
          <c:h val="0.99295192307692304"/>
        </c:manualLayout>
      </c:layout>
      <c:doughnutChart>
        <c:varyColors val="1"/>
        <c:ser>
          <c:idx val="0"/>
          <c:order val="1"/>
          <c:tx>
            <c:v>Scale</c:v>
          </c:tx>
          <c:spPr>
            <a:effectLst/>
            <a:scene3d>
              <a:camera prst="orthographicFront"/>
              <a:lightRig rig="threePt" dir="t">
                <a:rot lat="0" lon="0" rev="0"/>
              </a:lightRig>
            </a:scene3d>
            <a:sp3d prstMaterial="metal"/>
          </c:spPr>
          <c:dPt>
            <c:idx val="1"/>
            <c:bubble3D val="0"/>
            <c:extLst>
              <c:ext xmlns:c16="http://schemas.microsoft.com/office/drawing/2014/chart" uri="{C3380CC4-5D6E-409C-BE32-E72D297353CC}">
                <c16:uniqueId val="{00000000-13D9-41A1-9584-22B01B816EE9}"/>
              </c:ext>
            </c:extLst>
          </c:dPt>
          <c:dPt>
            <c:idx val="2"/>
            <c:bubble3D val="0"/>
            <c:extLst>
              <c:ext xmlns:c16="http://schemas.microsoft.com/office/drawing/2014/chart" uri="{C3380CC4-5D6E-409C-BE32-E72D297353CC}">
                <c16:uniqueId val="{00000001-13D9-41A1-9584-22B01B816EE9}"/>
              </c:ext>
            </c:extLst>
          </c:dPt>
          <c:dPt>
            <c:idx val="3"/>
            <c:bubble3D val="0"/>
            <c:spPr>
              <a:noFill/>
              <a:ln>
                <a:noFill/>
              </a:ln>
              <a:effectLst/>
              <a:scene3d>
                <a:camera prst="orthographicFront"/>
                <a:lightRig rig="threePt" dir="t">
                  <a:rot lat="0" lon="0" rev="0"/>
                </a:lightRig>
              </a:scene3d>
              <a:sp3d prstMaterial="metal"/>
            </c:spPr>
            <c:extLst>
              <c:ext xmlns:c16="http://schemas.microsoft.com/office/drawing/2014/chart" uri="{C3380CC4-5D6E-409C-BE32-E72D297353CC}">
                <c16:uniqueId val="{00000003-13D9-41A1-9584-22B01B816EE9}"/>
              </c:ext>
            </c:extLst>
          </c:dPt>
          <c:dPt>
            <c:idx val="4"/>
            <c:bubble3D val="0"/>
            <c:extLst>
              <c:ext xmlns:c16="http://schemas.microsoft.com/office/drawing/2014/chart" uri="{C3380CC4-5D6E-409C-BE32-E72D297353CC}">
                <c16:uniqueId val="{00000004-13D9-41A1-9584-22B01B816EE9}"/>
              </c:ext>
            </c:extLst>
          </c:dPt>
          <c:val>
            <c:numRef>
              <c:f>data.chart!$C$5:$F$5</c:f>
              <c:numCache>
                <c:formatCode>General</c:formatCode>
                <c:ptCount val="4"/>
                <c:pt idx="0">
                  <c:v>0</c:v>
                </c:pt>
                <c:pt idx="1">
                  <c:v>0</c:v>
                </c:pt>
                <c:pt idx="2">
                  <c:v>100</c:v>
                </c:pt>
                <c:pt idx="3">
                  <c:v>100</c:v>
                </c:pt>
              </c:numCache>
            </c:numRef>
          </c:val>
          <c:extLst>
            <c:ext xmlns:c16="http://schemas.microsoft.com/office/drawing/2014/chart" uri="{C3380CC4-5D6E-409C-BE32-E72D297353CC}">
              <c16:uniqueId val="{00000005-13D9-41A1-9584-22B01B816EE9}"/>
            </c:ext>
          </c:extLst>
        </c:ser>
        <c:dLbls>
          <c:showLegendKey val="0"/>
          <c:showVal val="0"/>
          <c:showCatName val="0"/>
          <c:showSerName val="0"/>
          <c:showPercent val="0"/>
          <c:showBubbleSize val="0"/>
          <c:showLeaderLines val="1"/>
        </c:dLbls>
        <c:firstSliceAng val="270"/>
        <c:holeSize val="75"/>
      </c:doughnutChart>
      <c:pieChart>
        <c:varyColors val="1"/>
        <c:ser>
          <c:idx val="1"/>
          <c:order val="0"/>
          <c:tx>
            <c:v>Pointer</c:v>
          </c:tx>
          <c:dPt>
            <c:idx val="0"/>
            <c:bubble3D val="0"/>
            <c:spPr>
              <a:noFill/>
            </c:spPr>
            <c:extLst>
              <c:ext xmlns:c16="http://schemas.microsoft.com/office/drawing/2014/chart" uri="{C3380CC4-5D6E-409C-BE32-E72D297353CC}">
                <c16:uniqueId val="{00000007-13D9-41A1-9584-22B01B816EE9}"/>
              </c:ext>
            </c:extLst>
          </c:dPt>
          <c:dPt>
            <c:idx val="1"/>
            <c:bubble3D val="0"/>
            <c:spPr>
              <a:solidFill>
                <a:schemeClr val="tx1"/>
              </a:solidFill>
            </c:spPr>
            <c:extLst>
              <c:ext xmlns:c16="http://schemas.microsoft.com/office/drawing/2014/chart" uri="{C3380CC4-5D6E-409C-BE32-E72D297353CC}">
                <c16:uniqueId val="{00000009-13D9-41A1-9584-22B01B816EE9}"/>
              </c:ext>
            </c:extLst>
          </c:dPt>
          <c:dPt>
            <c:idx val="2"/>
            <c:bubble3D val="0"/>
            <c:spPr>
              <a:noFill/>
            </c:spPr>
            <c:extLst>
              <c:ext xmlns:c16="http://schemas.microsoft.com/office/drawing/2014/chart" uri="{C3380CC4-5D6E-409C-BE32-E72D297353CC}">
                <c16:uniqueId val="{0000000B-13D9-41A1-9584-22B01B816EE9}"/>
              </c:ext>
            </c:extLst>
          </c:dPt>
          <c:dPt>
            <c:idx val="3"/>
            <c:bubble3D val="0"/>
            <c:spPr>
              <a:noFill/>
            </c:spPr>
            <c:extLst>
              <c:ext xmlns:c16="http://schemas.microsoft.com/office/drawing/2014/chart" uri="{C3380CC4-5D6E-409C-BE32-E72D297353CC}">
                <c16:uniqueId val="{0000000D-13D9-41A1-9584-22B01B816EE9}"/>
              </c:ext>
            </c:extLst>
          </c:dPt>
          <c:val>
            <c:numRef>
              <c:f>data.chart!$G$5:$J$5</c:f>
              <c:numCache>
                <c:formatCode>General</c:formatCode>
                <c:ptCount val="4"/>
                <c:pt idx="0">
                  <c:v>0</c:v>
                </c:pt>
                <c:pt idx="1">
                  <c:v>1.2</c:v>
                </c:pt>
                <c:pt idx="2">
                  <c:v>198.8</c:v>
                </c:pt>
                <c:pt idx="3" formatCode="0%">
                  <c:v>0</c:v>
                </c:pt>
              </c:numCache>
            </c:numRef>
          </c:val>
          <c:extLst>
            <c:ext xmlns:c16="http://schemas.microsoft.com/office/drawing/2014/chart" uri="{C3380CC4-5D6E-409C-BE32-E72D297353CC}">
              <c16:uniqueId val="{0000000E-13D9-41A1-9584-22B01B816EE9}"/>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showDLblsOverMax val="0"/>
  </c:chart>
  <c:spPr>
    <a:solidFill>
      <a:schemeClr val="lt1"/>
    </a:solidFill>
    <a:ln w="25400" cap="flat" cmpd="sng" algn="ctr">
      <a:noFill/>
      <a:prstDash val="solid"/>
    </a:ln>
    <a:effectLst/>
  </c:spPr>
  <c:txPr>
    <a:bodyPr/>
    <a:lstStyle/>
    <a:p>
      <a:pPr>
        <a:defRPr>
          <a:solidFill>
            <a:schemeClr val="dk1"/>
          </a:solidFill>
          <a:latin typeface="+mn-lt"/>
          <a:ea typeface="+mn-ea"/>
          <a:cs typeface="+mn-cs"/>
        </a:defRPr>
      </a:pPr>
      <a:endParaRPr lang="cs-CZ"/>
    </a:p>
  </c:txPr>
  <c:printSettings>
    <c:headerFooter/>
    <c:pageMargins b="0.78740157499999996" l="0.7" r="0.7" t="0.78740157499999996" header="0.3" footer="0.3"/>
    <c:pageSetup/>
  </c:printSettings>
  <c:userShapes r:id="rId1"/>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1.3_3_2.xlsm]pt.lvl3_generic_8!pt.lvl3_generic_8</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w="28575" cap="rnd">
            <a:solidFill>
              <a:srgbClr val="000000"/>
            </a:solidFill>
            <a:round/>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3"/>
        <c:spPr>
          <a:solidFill>
            <a:schemeClr val="accent1"/>
          </a:solidFill>
          <a:ln>
            <a:noFill/>
          </a:ln>
          <a:effectLst/>
        </c:spPr>
      </c:pivotFmt>
      <c:pivotFmt>
        <c:idx val="54"/>
        <c:spPr>
          <a:solidFill>
            <a:schemeClr val="accent1"/>
          </a:solidFill>
          <a:ln>
            <a:noFill/>
          </a:ln>
          <a:effectLst/>
        </c:spPr>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
        <c:idx val="76"/>
        <c:spPr>
          <a:solidFill>
            <a:schemeClr val="accent1"/>
          </a:solidFill>
          <a:ln>
            <a:noFill/>
          </a:ln>
          <a:effectLst/>
        </c:spPr>
      </c:pivotFmt>
      <c:pivotFmt>
        <c:idx val="7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7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7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1"/>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3"/>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4"/>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5"/>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6"/>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1"/>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3"/>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4"/>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5"/>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6"/>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1"/>
        <c:spPr>
          <a:solidFill>
            <a:schemeClr val="accent1"/>
          </a:solidFill>
          <a:ln>
            <a:noFill/>
          </a:ln>
          <a:effectLst/>
        </c:spPr>
        <c:marker>
          <c:symbol val="none"/>
        </c:marker>
      </c:pivotFmt>
      <c:pivotFmt>
        <c:idx val="102"/>
        <c:spPr>
          <a:ln w="28575" cap="rnd">
            <a:solidFill>
              <a:srgbClr val="000000"/>
            </a:solidFill>
            <a:round/>
          </a:ln>
          <a:effectLst/>
        </c:spPr>
        <c:marker>
          <c:symbol val="none"/>
        </c:marker>
      </c:pivotFmt>
      <c:pivotFmt>
        <c:idx val="10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0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6"/>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7"/>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8"/>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9"/>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0"/>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1"/>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2"/>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3"/>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6"/>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7"/>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8"/>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9"/>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0"/>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1"/>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2"/>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3"/>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4"/>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5"/>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6"/>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7"/>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8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s>
    <c:plotArea>
      <c:layout>
        <c:manualLayout>
          <c:layoutTarget val="inner"/>
          <c:xMode val="edge"/>
          <c:yMode val="edge"/>
          <c:x val="4.2885701325421952E-2"/>
          <c:y val="0.17350723081054126"/>
          <c:w val="0.93595404622657019"/>
          <c:h val="0.71611108980014582"/>
        </c:manualLayout>
      </c:layout>
      <c:barChart>
        <c:barDir val="col"/>
        <c:grouping val="clustered"/>
        <c:varyColors val="0"/>
        <c:ser>
          <c:idx val="0"/>
          <c:order val="0"/>
          <c:tx>
            <c:strRef>
              <c:f>pt.lvl3_generic_8!$D$7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0-8D67-48F2-9A4A-91E560A324D3}"/>
              </c:ext>
            </c:extLst>
          </c:dPt>
          <c:dPt>
            <c:idx val="1"/>
            <c:invertIfNegative val="0"/>
            <c:bubble3D val="0"/>
            <c:spPr>
              <a:solidFill>
                <a:srgbClr val="9B2D2A"/>
              </a:solidFill>
              <a:ln>
                <a:noFill/>
              </a:ln>
              <a:effectLst/>
            </c:spPr>
            <c:extLst>
              <c:ext xmlns:c16="http://schemas.microsoft.com/office/drawing/2014/chart" uri="{C3380CC4-5D6E-409C-BE32-E72D297353CC}">
                <c16:uniqueId val="{00000001-8D67-48F2-9A4A-91E560A324D3}"/>
              </c:ext>
            </c:extLst>
          </c:dPt>
          <c:dPt>
            <c:idx val="2"/>
            <c:invertIfNegative val="0"/>
            <c:bubble3D val="0"/>
            <c:spPr>
              <a:solidFill>
                <a:srgbClr val="9CC746"/>
              </a:solidFill>
              <a:ln>
                <a:noFill/>
              </a:ln>
              <a:effectLst/>
            </c:spPr>
            <c:extLst>
              <c:ext xmlns:c16="http://schemas.microsoft.com/office/drawing/2014/chart" uri="{C3380CC4-5D6E-409C-BE32-E72D297353CC}">
                <c16:uniqueId val="{00000002-8D67-48F2-9A4A-91E560A324D3}"/>
              </c:ext>
            </c:extLst>
          </c:dPt>
          <c:dPt>
            <c:idx val="3"/>
            <c:invertIfNegative val="0"/>
            <c:bubble3D val="0"/>
            <c:spPr>
              <a:solidFill>
                <a:srgbClr val="9CC746"/>
              </a:solidFill>
              <a:ln>
                <a:noFill/>
              </a:ln>
              <a:effectLst/>
            </c:spPr>
            <c:extLst>
              <c:ext xmlns:c16="http://schemas.microsoft.com/office/drawing/2014/chart" uri="{C3380CC4-5D6E-409C-BE32-E72D297353CC}">
                <c16:uniqueId val="{00000003-8D67-48F2-9A4A-91E560A324D3}"/>
              </c:ext>
            </c:extLst>
          </c:dPt>
          <c:dPt>
            <c:idx val="4"/>
            <c:invertIfNegative val="0"/>
            <c:bubble3D val="0"/>
            <c:spPr>
              <a:solidFill>
                <a:srgbClr val="9CC746"/>
              </a:solidFill>
              <a:ln>
                <a:noFill/>
              </a:ln>
              <a:effectLst/>
            </c:spPr>
            <c:extLst>
              <c:ext xmlns:c16="http://schemas.microsoft.com/office/drawing/2014/chart" uri="{C3380CC4-5D6E-409C-BE32-E72D297353CC}">
                <c16:uniqueId val="{00000004-8D67-48F2-9A4A-91E560A324D3}"/>
              </c:ext>
            </c:extLst>
          </c:dPt>
          <c:dPt>
            <c:idx val="5"/>
            <c:invertIfNegative val="0"/>
            <c:bubble3D val="0"/>
            <c:spPr>
              <a:solidFill>
                <a:srgbClr val="9CC746"/>
              </a:solidFill>
              <a:ln>
                <a:noFill/>
              </a:ln>
              <a:effectLst/>
            </c:spPr>
            <c:extLst>
              <c:ext xmlns:c16="http://schemas.microsoft.com/office/drawing/2014/chart" uri="{C3380CC4-5D6E-409C-BE32-E72D297353CC}">
                <c16:uniqueId val="{00000005-8D67-48F2-9A4A-91E560A324D3}"/>
              </c:ext>
            </c:extLst>
          </c:dPt>
          <c:dPt>
            <c:idx val="6"/>
            <c:invertIfNegative val="0"/>
            <c:bubble3D val="0"/>
            <c:spPr>
              <a:solidFill>
                <a:srgbClr val="9CC746"/>
              </a:solidFill>
              <a:ln>
                <a:noFill/>
              </a:ln>
              <a:effectLst/>
            </c:spPr>
            <c:extLst>
              <c:ext xmlns:c16="http://schemas.microsoft.com/office/drawing/2014/chart" uri="{C3380CC4-5D6E-409C-BE32-E72D297353CC}">
                <c16:uniqueId val="{00000006-8D67-48F2-9A4A-91E560A324D3}"/>
              </c:ext>
            </c:extLst>
          </c:dPt>
          <c:dPt>
            <c:idx val="7"/>
            <c:invertIfNegative val="0"/>
            <c:bubble3D val="0"/>
            <c:spPr>
              <a:solidFill>
                <a:srgbClr val="9CC746"/>
              </a:solidFill>
              <a:ln>
                <a:noFill/>
              </a:ln>
              <a:effectLst/>
            </c:spPr>
            <c:extLst>
              <c:ext xmlns:c16="http://schemas.microsoft.com/office/drawing/2014/chart" uri="{C3380CC4-5D6E-409C-BE32-E72D297353CC}">
                <c16:uniqueId val="{00000007-8D67-48F2-9A4A-91E560A324D3}"/>
              </c:ext>
            </c:extLst>
          </c:dPt>
          <c:dPt>
            <c:idx val="8"/>
            <c:invertIfNegative val="0"/>
            <c:bubble3D val="0"/>
            <c:spPr>
              <a:solidFill>
                <a:srgbClr val="9CC746"/>
              </a:solidFill>
              <a:ln>
                <a:noFill/>
              </a:ln>
              <a:effectLst/>
            </c:spPr>
            <c:extLst>
              <c:ext xmlns:c16="http://schemas.microsoft.com/office/drawing/2014/chart" uri="{C3380CC4-5D6E-409C-BE32-E72D297353CC}">
                <c16:uniqueId val="{00000008-8D67-48F2-9A4A-91E560A324D3}"/>
              </c:ext>
            </c:extLst>
          </c:dPt>
          <c:dPt>
            <c:idx val="9"/>
            <c:invertIfNegative val="0"/>
            <c:bubble3D val="0"/>
            <c:spPr>
              <a:solidFill>
                <a:srgbClr val="9B2D2A"/>
              </a:solidFill>
              <a:ln>
                <a:noFill/>
              </a:ln>
              <a:effectLst/>
            </c:spPr>
            <c:extLst>
              <c:ext xmlns:c16="http://schemas.microsoft.com/office/drawing/2014/chart" uri="{C3380CC4-5D6E-409C-BE32-E72D297353CC}">
                <c16:uniqueId val="{00000009-8D67-48F2-9A4A-91E560A324D3}"/>
              </c:ext>
            </c:extLst>
          </c:dPt>
          <c:dPt>
            <c:idx val="10"/>
            <c:invertIfNegative val="0"/>
            <c:bubble3D val="0"/>
            <c:spPr>
              <a:solidFill>
                <a:srgbClr val="9CC746"/>
              </a:solidFill>
              <a:ln>
                <a:noFill/>
              </a:ln>
              <a:effectLst/>
            </c:spPr>
            <c:extLst>
              <c:ext xmlns:c16="http://schemas.microsoft.com/office/drawing/2014/chart" uri="{C3380CC4-5D6E-409C-BE32-E72D297353CC}">
                <c16:uniqueId val="{0000000A-8D67-48F2-9A4A-91E560A324D3}"/>
              </c:ext>
            </c:extLst>
          </c:dPt>
          <c:dPt>
            <c:idx val="11"/>
            <c:invertIfNegative val="0"/>
            <c:bubble3D val="0"/>
            <c:spPr>
              <a:solidFill>
                <a:srgbClr val="9CC746"/>
              </a:solidFill>
              <a:ln>
                <a:noFill/>
              </a:ln>
              <a:effectLst/>
            </c:spPr>
            <c:extLst>
              <c:ext xmlns:c16="http://schemas.microsoft.com/office/drawing/2014/chart" uri="{C3380CC4-5D6E-409C-BE32-E72D297353CC}">
                <c16:uniqueId val="{0000000B-8D67-48F2-9A4A-91E560A324D3}"/>
              </c:ext>
            </c:extLst>
          </c:dPt>
          <c:dPt>
            <c:idx val="12"/>
            <c:invertIfNegative val="0"/>
            <c:bubble3D val="0"/>
            <c:spPr>
              <a:solidFill>
                <a:srgbClr val="9CC746"/>
              </a:solidFill>
              <a:ln>
                <a:noFill/>
              </a:ln>
              <a:effectLst/>
            </c:spPr>
            <c:extLst>
              <c:ext xmlns:c16="http://schemas.microsoft.com/office/drawing/2014/chart" uri="{C3380CC4-5D6E-409C-BE32-E72D297353CC}">
                <c16:uniqueId val="{0000000C-8D67-48F2-9A4A-91E560A324D3}"/>
              </c:ext>
            </c:extLst>
          </c:dPt>
          <c:dPt>
            <c:idx val="13"/>
            <c:invertIfNegative val="0"/>
            <c:bubble3D val="0"/>
            <c:spPr>
              <a:solidFill>
                <a:srgbClr val="9CC746"/>
              </a:solidFill>
              <a:ln>
                <a:noFill/>
              </a:ln>
              <a:effectLst/>
            </c:spPr>
            <c:extLst>
              <c:ext xmlns:c16="http://schemas.microsoft.com/office/drawing/2014/chart" uri="{C3380CC4-5D6E-409C-BE32-E72D297353CC}">
                <c16:uniqueId val="{0000000D-8D67-48F2-9A4A-91E560A324D3}"/>
              </c:ext>
            </c:extLst>
          </c:dPt>
          <c:dPt>
            <c:idx val="14"/>
            <c:invertIfNegative val="0"/>
            <c:bubble3D val="0"/>
            <c:spPr>
              <a:solidFill>
                <a:srgbClr val="9CC746"/>
              </a:solidFill>
              <a:ln>
                <a:noFill/>
              </a:ln>
              <a:effectLst/>
            </c:spPr>
            <c:extLst>
              <c:ext xmlns:c16="http://schemas.microsoft.com/office/drawing/2014/chart" uri="{C3380CC4-5D6E-409C-BE32-E72D297353CC}">
                <c16:uniqueId val="{0000000E-8D67-48F2-9A4A-91E560A324D3}"/>
              </c:ext>
            </c:extLst>
          </c:dPt>
          <c:dPt>
            <c:idx val="15"/>
            <c:invertIfNegative val="0"/>
            <c:bubble3D val="0"/>
            <c:spPr>
              <a:solidFill>
                <a:srgbClr val="9CC746"/>
              </a:solidFill>
              <a:ln>
                <a:noFill/>
              </a:ln>
              <a:effectLst/>
            </c:spPr>
            <c:extLst>
              <c:ext xmlns:c16="http://schemas.microsoft.com/office/drawing/2014/chart" uri="{C3380CC4-5D6E-409C-BE32-E72D297353CC}">
                <c16:uniqueId val="{0000000F-8D67-48F2-9A4A-91E560A324D3}"/>
              </c:ext>
            </c:extLst>
          </c:dPt>
          <c:dPt>
            <c:idx val="16"/>
            <c:invertIfNegative val="0"/>
            <c:bubble3D val="0"/>
            <c:spPr>
              <a:solidFill>
                <a:srgbClr val="9CC746"/>
              </a:solidFill>
              <a:ln>
                <a:noFill/>
              </a:ln>
              <a:effectLst/>
            </c:spPr>
            <c:extLst>
              <c:ext xmlns:c16="http://schemas.microsoft.com/office/drawing/2014/chart" uri="{C3380CC4-5D6E-409C-BE32-E72D297353CC}">
                <c16:uniqueId val="{00000010-8D67-48F2-9A4A-91E560A324D3}"/>
              </c:ext>
            </c:extLst>
          </c:dPt>
          <c:dPt>
            <c:idx val="17"/>
            <c:invertIfNegative val="0"/>
            <c:bubble3D val="0"/>
            <c:spPr>
              <a:solidFill>
                <a:srgbClr val="9CC746"/>
              </a:solidFill>
              <a:ln>
                <a:noFill/>
              </a:ln>
              <a:effectLst/>
            </c:spPr>
            <c:extLst>
              <c:ext xmlns:c16="http://schemas.microsoft.com/office/drawing/2014/chart" uri="{C3380CC4-5D6E-409C-BE32-E72D297353CC}">
                <c16:uniqueId val="{00000011-8D67-48F2-9A4A-91E560A324D3}"/>
              </c:ext>
            </c:extLst>
          </c:dPt>
          <c:dPt>
            <c:idx val="18"/>
            <c:invertIfNegative val="0"/>
            <c:bubble3D val="0"/>
            <c:spPr>
              <a:solidFill>
                <a:srgbClr val="9CC746"/>
              </a:solidFill>
              <a:ln>
                <a:noFill/>
              </a:ln>
              <a:effectLst/>
            </c:spPr>
            <c:extLst>
              <c:ext xmlns:c16="http://schemas.microsoft.com/office/drawing/2014/chart" uri="{C3380CC4-5D6E-409C-BE32-E72D297353CC}">
                <c16:uniqueId val="{00000012-8D67-48F2-9A4A-91E560A324D3}"/>
              </c:ext>
            </c:extLst>
          </c:dPt>
          <c:dPt>
            <c:idx val="19"/>
            <c:invertIfNegative val="0"/>
            <c:bubble3D val="0"/>
            <c:spPr>
              <a:solidFill>
                <a:srgbClr val="9B2D2A"/>
              </a:solidFill>
              <a:ln>
                <a:noFill/>
              </a:ln>
              <a:effectLst/>
            </c:spPr>
            <c:extLst>
              <c:ext xmlns:c16="http://schemas.microsoft.com/office/drawing/2014/chart" uri="{C3380CC4-5D6E-409C-BE32-E72D297353CC}">
                <c16:uniqueId val="{00000013-8D67-48F2-9A4A-91E560A324D3}"/>
              </c:ext>
            </c:extLst>
          </c:dPt>
          <c:dPt>
            <c:idx val="20"/>
            <c:invertIfNegative val="0"/>
            <c:bubble3D val="0"/>
            <c:spPr>
              <a:solidFill>
                <a:srgbClr val="9CC746"/>
              </a:solidFill>
              <a:ln>
                <a:noFill/>
              </a:ln>
              <a:effectLst/>
            </c:spPr>
            <c:extLst>
              <c:ext xmlns:c16="http://schemas.microsoft.com/office/drawing/2014/chart" uri="{C3380CC4-5D6E-409C-BE32-E72D297353CC}">
                <c16:uniqueId val="{00000014-8D67-48F2-9A4A-91E560A324D3}"/>
              </c:ext>
            </c:extLst>
          </c:dPt>
          <c:dPt>
            <c:idx val="21"/>
            <c:invertIfNegative val="0"/>
            <c:bubble3D val="0"/>
            <c:spPr>
              <a:solidFill>
                <a:srgbClr val="9CC746"/>
              </a:solidFill>
              <a:ln>
                <a:noFill/>
              </a:ln>
              <a:effectLst/>
            </c:spPr>
            <c:extLst>
              <c:ext xmlns:c16="http://schemas.microsoft.com/office/drawing/2014/chart" uri="{C3380CC4-5D6E-409C-BE32-E72D297353CC}">
                <c16:uniqueId val="{00000015-8D67-48F2-9A4A-91E560A324D3}"/>
              </c:ext>
            </c:extLst>
          </c:dPt>
          <c:dPt>
            <c:idx val="22"/>
            <c:invertIfNegative val="0"/>
            <c:bubble3D val="0"/>
            <c:spPr>
              <a:solidFill>
                <a:srgbClr val="9CC746"/>
              </a:solidFill>
              <a:ln>
                <a:noFill/>
              </a:ln>
              <a:effectLst/>
            </c:spPr>
            <c:extLst>
              <c:ext xmlns:c16="http://schemas.microsoft.com/office/drawing/2014/chart" uri="{C3380CC4-5D6E-409C-BE32-E72D297353CC}">
                <c16:uniqueId val="{00000044-A5F1-43AC-89B2-EEFA58F3DC38}"/>
              </c:ext>
            </c:extLst>
          </c:dPt>
          <c:dPt>
            <c:idx val="23"/>
            <c:invertIfNegative val="0"/>
            <c:bubble3D val="0"/>
            <c:spPr>
              <a:solidFill>
                <a:srgbClr val="9CC746"/>
              </a:solidFill>
              <a:ln>
                <a:noFill/>
              </a:ln>
              <a:effectLst/>
            </c:spPr>
            <c:extLst>
              <c:ext xmlns:c16="http://schemas.microsoft.com/office/drawing/2014/chart" uri="{C3380CC4-5D6E-409C-BE32-E72D297353CC}">
                <c16:uniqueId val="{00000045-A5F1-43AC-89B2-EEFA58F3DC38}"/>
              </c:ext>
            </c:extLst>
          </c:dPt>
          <c:dPt>
            <c:idx val="24"/>
            <c:invertIfNegative val="0"/>
            <c:bubble3D val="0"/>
            <c:spPr>
              <a:solidFill>
                <a:srgbClr val="9CC746"/>
              </a:solidFill>
              <a:ln>
                <a:noFill/>
              </a:ln>
              <a:effectLst/>
            </c:spPr>
            <c:extLst>
              <c:ext xmlns:c16="http://schemas.microsoft.com/office/drawing/2014/chart" uri="{C3380CC4-5D6E-409C-BE32-E72D297353CC}">
                <c16:uniqueId val="{00000046-A5F1-43AC-89B2-EEFA58F3DC38}"/>
              </c:ext>
            </c:extLst>
          </c:dPt>
          <c:dPt>
            <c:idx val="25"/>
            <c:invertIfNegative val="0"/>
            <c:bubble3D val="0"/>
            <c:spPr>
              <a:solidFill>
                <a:srgbClr val="9CC746"/>
              </a:solidFill>
              <a:ln>
                <a:noFill/>
              </a:ln>
              <a:effectLst/>
            </c:spPr>
            <c:extLst>
              <c:ext xmlns:c16="http://schemas.microsoft.com/office/drawing/2014/chart" uri="{C3380CC4-5D6E-409C-BE32-E72D297353CC}">
                <c16:uniqueId val="{00000047-A5F1-43AC-89B2-EEFA58F3DC38}"/>
              </c:ext>
            </c:extLst>
          </c:dPt>
          <c:dPt>
            <c:idx val="26"/>
            <c:invertIfNegative val="0"/>
            <c:bubble3D val="0"/>
            <c:spPr>
              <a:solidFill>
                <a:srgbClr val="9CC746"/>
              </a:solidFill>
              <a:ln>
                <a:noFill/>
              </a:ln>
              <a:effectLst/>
            </c:spPr>
            <c:extLst>
              <c:ext xmlns:c16="http://schemas.microsoft.com/office/drawing/2014/chart" uri="{C3380CC4-5D6E-409C-BE32-E72D297353CC}">
                <c16:uniqueId val="{00000048-A5F1-43AC-89B2-EEFA58F3DC38}"/>
              </c:ext>
            </c:extLst>
          </c:dPt>
          <c:dPt>
            <c:idx val="27"/>
            <c:invertIfNegative val="0"/>
            <c:bubble3D val="0"/>
            <c:spPr>
              <a:solidFill>
                <a:srgbClr val="9CC746"/>
              </a:solidFill>
              <a:ln>
                <a:noFill/>
              </a:ln>
              <a:effectLst/>
            </c:spPr>
            <c:extLst>
              <c:ext xmlns:c16="http://schemas.microsoft.com/office/drawing/2014/chart" uri="{C3380CC4-5D6E-409C-BE32-E72D297353CC}">
                <c16:uniqueId val="{00000049-A5F1-43AC-89B2-EEFA58F3DC38}"/>
              </c:ext>
            </c:extLst>
          </c:dPt>
          <c:dPt>
            <c:idx val="28"/>
            <c:invertIfNegative val="0"/>
            <c:bubble3D val="0"/>
            <c:spPr>
              <a:solidFill>
                <a:srgbClr val="9CC746"/>
              </a:solidFill>
              <a:ln>
                <a:noFill/>
              </a:ln>
              <a:effectLst/>
            </c:spPr>
            <c:extLst>
              <c:ext xmlns:c16="http://schemas.microsoft.com/office/drawing/2014/chart" uri="{C3380CC4-5D6E-409C-BE32-E72D297353CC}">
                <c16:uniqueId val="{0000004A-A5F1-43AC-89B2-EEFA58F3DC38}"/>
              </c:ext>
            </c:extLst>
          </c:dPt>
          <c:dPt>
            <c:idx val="29"/>
            <c:invertIfNegative val="0"/>
            <c:bubble3D val="0"/>
            <c:spPr>
              <a:solidFill>
                <a:srgbClr val="9CC746"/>
              </a:solidFill>
              <a:ln>
                <a:noFill/>
              </a:ln>
              <a:effectLst/>
            </c:spPr>
            <c:extLst>
              <c:ext xmlns:c16="http://schemas.microsoft.com/office/drawing/2014/chart" uri="{C3380CC4-5D6E-409C-BE32-E72D297353CC}">
                <c16:uniqueId val="{0000004B-A5F1-43AC-89B2-EEFA58F3DC38}"/>
              </c:ext>
            </c:extLst>
          </c:dPt>
          <c:dPt>
            <c:idx val="30"/>
            <c:invertIfNegative val="0"/>
            <c:bubble3D val="0"/>
            <c:spPr>
              <a:solidFill>
                <a:srgbClr val="9CC746"/>
              </a:solidFill>
              <a:ln>
                <a:noFill/>
              </a:ln>
              <a:effectLst/>
            </c:spPr>
            <c:extLst>
              <c:ext xmlns:c16="http://schemas.microsoft.com/office/drawing/2014/chart" uri="{C3380CC4-5D6E-409C-BE32-E72D297353CC}">
                <c16:uniqueId val="{0000004C-A5F1-43AC-89B2-EEFA58F3DC38}"/>
              </c:ext>
            </c:extLst>
          </c:dPt>
          <c:dPt>
            <c:idx val="31"/>
            <c:invertIfNegative val="0"/>
            <c:bubble3D val="0"/>
            <c:spPr>
              <a:solidFill>
                <a:srgbClr val="9CC746"/>
              </a:solidFill>
              <a:ln>
                <a:noFill/>
              </a:ln>
              <a:effectLst/>
            </c:spPr>
            <c:extLst>
              <c:ext xmlns:c16="http://schemas.microsoft.com/office/drawing/2014/chart" uri="{C3380CC4-5D6E-409C-BE32-E72D297353CC}">
                <c16:uniqueId val="{0000004D-A5F1-43AC-89B2-EEFA58F3DC38}"/>
              </c:ext>
            </c:extLst>
          </c:dPt>
          <c:dPt>
            <c:idx val="32"/>
            <c:invertIfNegative val="0"/>
            <c:bubble3D val="0"/>
            <c:spPr>
              <a:solidFill>
                <a:srgbClr val="9CC746"/>
              </a:solidFill>
              <a:ln>
                <a:noFill/>
              </a:ln>
              <a:effectLst/>
            </c:spPr>
            <c:extLst>
              <c:ext xmlns:c16="http://schemas.microsoft.com/office/drawing/2014/chart" uri="{C3380CC4-5D6E-409C-BE32-E72D297353CC}">
                <c16:uniqueId val="{0000004E-A5F1-43AC-89B2-EEFA58F3DC38}"/>
              </c:ext>
            </c:extLst>
          </c:dPt>
          <c:dPt>
            <c:idx val="33"/>
            <c:invertIfNegative val="0"/>
            <c:bubble3D val="0"/>
            <c:spPr>
              <a:solidFill>
                <a:srgbClr val="9B2D2A"/>
              </a:solidFill>
              <a:ln>
                <a:noFill/>
              </a:ln>
              <a:effectLst/>
            </c:spPr>
            <c:extLst>
              <c:ext xmlns:c16="http://schemas.microsoft.com/office/drawing/2014/chart" uri="{C3380CC4-5D6E-409C-BE32-E72D297353CC}">
                <c16:uniqueId val="{0000004F-A5F1-43AC-89B2-EEFA58F3DC38}"/>
              </c:ext>
            </c:extLst>
          </c:dPt>
          <c:dPt>
            <c:idx val="34"/>
            <c:invertIfNegative val="0"/>
            <c:bubble3D val="0"/>
            <c:spPr>
              <a:solidFill>
                <a:srgbClr val="9CC746"/>
              </a:solidFill>
              <a:ln>
                <a:noFill/>
              </a:ln>
              <a:effectLst/>
            </c:spPr>
            <c:extLst>
              <c:ext xmlns:c16="http://schemas.microsoft.com/office/drawing/2014/chart" uri="{C3380CC4-5D6E-409C-BE32-E72D297353CC}">
                <c16:uniqueId val="{00000050-A5F1-43AC-89B2-EEFA58F3DC38}"/>
              </c:ext>
            </c:extLst>
          </c:dPt>
          <c:dPt>
            <c:idx val="35"/>
            <c:invertIfNegative val="0"/>
            <c:bubble3D val="0"/>
            <c:spPr>
              <a:solidFill>
                <a:srgbClr val="9CC746"/>
              </a:solidFill>
              <a:ln>
                <a:noFill/>
              </a:ln>
              <a:effectLst/>
            </c:spPr>
            <c:extLst>
              <c:ext xmlns:c16="http://schemas.microsoft.com/office/drawing/2014/chart" uri="{C3380CC4-5D6E-409C-BE32-E72D297353CC}">
                <c16:uniqueId val="{00000051-A5F1-43AC-89B2-EEFA58F3DC38}"/>
              </c:ext>
            </c:extLst>
          </c:dPt>
          <c:dPt>
            <c:idx val="36"/>
            <c:invertIfNegative val="0"/>
            <c:bubble3D val="0"/>
            <c:spPr>
              <a:solidFill>
                <a:srgbClr val="9CC746"/>
              </a:solidFill>
              <a:ln>
                <a:noFill/>
              </a:ln>
              <a:effectLst/>
            </c:spPr>
            <c:extLst>
              <c:ext xmlns:c16="http://schemas.microsoft.com/office/drawing/2014/chart" uri="{C3380CC4-5D6E-409C-BE32-E72D297353CC}">
                <c16:uniqueId val="{00000052-A5F1-43AC-89B2-EEFA58F3DC38}"/>
              </c:ext>
            </c:extLst>
          </c:dPt>
          <c:dPt>
            <c:idx val="37"/>
            <c:invertIfNegative val="0"/>
            <c:bubble3D val="0"/>
            <c:spPr>
              <a:solidFill>
                <a:srgbClr val="9CC746"/>
              </a:solidFill>
              <a:ln>
                <a:noFill/>
              </a:ln>
              <a:effectLst/>
            </c:spPr>
            <c:extLst>
              <c:ext xmlns:c16="http://schemas.microsoft.com/office/drawing/2014/chart" uri="{C3380CC4-5D6E-409C-BE32-E72D297353CC}">
                <c16:uniqueId val="{00000053-A5F1-43AC-89B2-EEFA58F3DC38}"/>
              </c:ext>
            </c:extLst>
          </c:dPt>
          <c:dPt>
            <c:idx val="38"/>
            <c:invertIfNegative val="0"/>
            <c:bubble3D val="0"/>
            <c:spPr>
              <a:solidFill>
                <a:srgbClr val="9CC746"/>
              </a:solidFill>
              <a:ln>
                <a:noFill/>
              </a:ln>
              <a:effectLst/>
            </c:spPr>
            <c:extLst>
              <c:ext xmlns:c16="http://schemas.microsoft.com/office/drawing/2014/chart" uri="{C3380CC4-5D6E-409C-BE32-E72D297353CC}">
                <c16:uniqueId val="{00000054-A5F1-43AC-89B2-EEFA58F3DC38}"/>
              </c:ext>
            </c:extLst>
          </c:dPt>
          <c:dPt>
            <c:idx val="39"/>
            <c:invertIfNegative val="0"/>
            <c:bubble3D val="0"/>
            <c:spPr>
              <a:solidFill>
                <a:srgbClr val="9CC746"/>
              </a:solidFill>
              <a:ln>
                <a:noFill/>
              </a:ln>
              <a:effectLst/>
            </c:spPr>
            <c:extLst>
              <c:ext xmlns:c16="http://schemas.microsoft.com/office/drawing/2014/chart" uri="{C3380CC4-5D6E-409C-BE32-E72D297353CC}">
                <c16:uniqueId val="{00000055-A5F1-43AC-89B2-EEFA58F3DC38}"/>
              </c:ext>
            </c:extLst>
          </c:dPt>
          <c:dPt>
            <c:idx val="40"/>
            <c:invertIfNegative val="0"/>
            <c:bubble3D val="0"/>
            <c:spPr>
              <a:solidFill>
                <a:srgbClr val="9CC746"/>
              </a:solidFill>
              <a:ln>
                <a:noFill/>
              </a:ln>
              <a:effectLst/>
            </c:spPr>
            <c:extLst>
              <c:ext xmlns:c16="http://schemas.microsoft.com/office/drawing/2014/chart" uri="{C3380CC4-5D6E-409C-BE32-E72D297353CC}">
                <c16:uniqueId val="{00000056-A5F1-43AC-89B2-EEFA58F3DC38}"/>
              </c:ext>
            </c:extLst>
          </c:dPt>
          <c:dPt>
            <c:idx val="41"/>
            <c:invertIfNegative val="0"/>
            <c:bubble3D val="0"/>
            <c:spPr>
              <a:solidFill>
                <a:srgbClr val="9CC746"/>
              </a:solidFill>
              <a:ln>
                <a:noFill/>
              </a:ln>
              <a:effectLst/>
            </c:spPr>
            <c:extLst>
              <c:ext xmlns:c16="http://schemas.microsoft.com/office/drawing/2014/chart" uri="{C3380CC4-5D6E-409C-BE32-E72D297353CC}">
                <c16:uniqueId val="{00000057-A5F1-43AC-89B2-EEFA58F3DC38}"/>
              </c:ext>
            </c:extLst>
          </c:dPt>
          <c:dPt>
            <c:idx val="42"/>
            <c:invertIfNegative val="0"/>
            <c:bubble3D val="0"/>
            <c:spPr>
              <a:solidFill>
                <a:srgbClr val="9B2D2A"/>
              </a:solidFill>
              <a:ln>
                <a:noFill/>
              </a:ln>
              <a:effectLst/>
            </c:spPr>
            <c:extLst>
              <c:ext xmlns:c16="http://schemas.microsoft.com/office/drawing/2014/chart" uri="{C3380CC4-5D6E-409C-BE32-E72D297353CC}">
                <c16:uniqueId val="{00000058-A5F1-43AC-89B2-EEFA58F3DC38}"/>
              </c:ext>
            </c:extLst>
          </c:dPt>
          <c:dPt>
            <c:idx val="43"/>
            <c:invertIfNegative val="0"/>
            <c:bubble3D val="0"/>
            <c:spPr>
              <a:solidFill>
                <a:srgbClr val="9CC746"/>
              </a:solidFill>
              <a:ln>
                <a:noFill/>
              </a:ln>
              <a:effectLst/>
            </c:spPr>
            <c:extLst>
              <c:ext xmlns:c16="http://schemas.microsoft.com/office/drawing/2014/chart" uri="{C3380CC4-5D6E-409C-BE32-E72D297353CC}">
                <c16:uniqueId val="{00000059-A5F1-43AC-89B2-EEFA58F3DC38}"/>
              </c:ext>
            </c:extLst>
          </c:dPt>
          <c:dPt>
            <c:idx val="44"/>
            <c:invertIfNegative val="0"/>
            <c:bubble3D val="0"/>
            <c:spPr>
              <a:solidFill>
                <a:srgbClr val="9CC746"/>
              </a:solidFill>
              <a:ln>
                <a:noFill/>
              </a:ln>
              <a:effectLst/>
            </c:spPr>
            <c:extLst>
              <c:ext xmlns:c16="http://schemas.microsoft.com/office/drawing/2014/chart" uri="{C3380CC4-5D6E-409C-BE32-E72D297353CC}">
                <c16:uniqueId val="{0000005A-A5F1-43AC-89B2-EEFA58F3DC38}"/>
              </c:ext>
            </c:extLst>
          </c:dPt>
          <c:dPt>
            <c:idx val="45"/>
            <c:invertIfNegative val="0"/>
            <c:bubble3D val="0"/>
            <c:spPr>
              <a:solidFill>
                <a:srgbClr val="9CC746"/>
              </a:solidFill>
              <a:ln>
                <a:noFill/>
              </a:ln>
              <a:effectLst/>
            </c:spPr>
            <c:extLst>
              <c:ext xmlns:c16="http://schemas.microsoft.com/office/drawing/2014/chart" uri="{C3380CC4-5D6E-409C-BE32-E72D297353CC}">
                <c16:uniqueId val="{0000005B-A5F1-43AC-89B2-EEFA58F3DC38}"/>
              </c:ext>
            </c:extLst>
          </c:dPt>
          <c:cat>
            <c:multiLvlStrRef>
              <c:f>pt.lvl3_generic_8!$B$8:$C$54</c:f>
              <c:multiLvlStrCache>
                <c:ptCount val="46"/>
                <c:lvl>
                  <c:pt idx="0">
                    <c:v>0,416666666666667</c:v>
                  </c:pt>
                  <c:pt idx="1">
                    <c:v>0,458333333333333</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0,416666666666667</c:v>
                  </c:pt>
                  <c:pt idx="20">
                    <c:v>0,875</c:v>
                  </c:pt>
                  <c:pt idx="21">
                    <c:v>(blank)</c:v>
                  </c:pt>
                  <c:pt idx="22">
                    <c:v>7</c:v>
                  </c:pt>
                  <c:pt idx="23">
                    <c:v>8</c:v>
                  </c:pt>
                  <c:pt idx="24">
                    <c:v>9</c:v>
                  </c:pt>
                  <c:pt idx="25">
                    <c:v>10</c:v>
                  </c:pt>
                  <c:pt idx="26">
                    <c:v>11</c:v>
                  </c:pt>
                  <c:pt idx="27">
                    <c:v>12</c:v>
                  </c:pt>
                  <c:pt idx="28">
                    <c:v>13</c:v>
                  </c:pt>
                  <c:pt idx="29">
                    <c:v>14</c:v>
                  </c:pt>
                  <c:pt idx="30">
                    <c:v>15</c:v>
                  </c:pt>
                  <c:pt idx="31">
                    <c:v>16</c:v>
                  </c:pt>
                  <c:pt idx="32">
                    <c:v>17</c:v>
                  </c:pt>
                  <c:pt idx="33">
                    <c:v>18</c:v>
                  </c:pt>
                  <c:pt idx="34">
                    <c:v>19</c:v>
                  </c:pt>
                  <c:pt idx="35">
                    <c:v>20</c:v>
                  </c:pt>
                  <c:pt idx="36">
                    <c:v>21</c:v>
                  </c:pt>
                  <c:pt idx="37">
                    <c:v>22</c:v>
                  </c:pt>
                  <c:pt idx="38">
                    <c:v>23</c:v>
                  </c:pt>
                  <c:pt idx="39">
                    <c:v>0</c:v>
                  </c:pt>
                  <c:pt idx="40">
                    <c:v>1</c:v>
                  </c:pt>
                  <c:pt idx="41">
                    <c:v>2</c:v>
                  </c:pt>
                  <c:pt idx="42">
                    <c:v>3</c:v>
                  </c:pt>
                  <c:pt idx="43">
                    <c:v>4</c:v>
                  </c:pt>
                  <c:pt idx="44">
                    <c:v>5</c:v>
                  </c:pt>
                  <c:pt idx="45">
                    <c:v>6</c:v>
                  </c:pt>
                </c:lvl>
                <c:lvl>
                  <c:pt idx="0">
                    <c:v>14.03.2017</c:v>
                  </c:pt>
                  <c:pt idx="19">
                    <c:v>15.03.2017</c:v>
                  </c:pt>
                  <c:pt idx="21">
                    <c:v>(blank)</c:v>
                  </c:pt>
                  <c:pt idx="22">
                    <c:v>21.08.2017</c:v>
                  </c:pt>
                </c:lvl>
              </c:multiLvlStrCache>
            </c:multiLvlStrRef>
          </c:cat>
          <c:val>
            <c:numRef>
              <c:f>pt.lvl3_generic_8!$D$8:$D$54</c:f>
              <c:numCache>
                <c:formatCode>General</c:formatCode>
                <c:ptCount val="46"/>
                <c:pt idx="0">
                  <c:v>0.86999999999999988</c:v>
                </c:pt>
                <c:pt idx="1">
                  <c:v>0.8</c:v>
                </c:pt>
                <c:pt idx="2">
                  <c:v>0.96666666666666679</c:v>
                </c:pt>
                <c:pt idx="3">
                  <c:v>0.96666666666666656</c:v>
                </c:pt>
                <c:pt idx="4">
                  <c:v>0.96666666666666679</c:v>
                </c:pt>
                <c:pt idx="5">
                  <c:v>0.96666666666666679</c:v>
                </c:pt>
                <c:pt idx="6">
                  <c:v>0.96666666666666679</c:v>
                </c:pt>
                <c:pt idx="7">
                  <c:v>0.96666666666666679</c:v>
                </c:pt>
                <c:pt idx="8">
                  <c:v>0.94222222222222229</c:v>
                </c:pt>
                <c:pt idx="9">
                  <c:v>0.84222222222222232</c:v>
                </c:pt>
                <c:pt idx="10">
                  <c:v>0.88222222222222235</c:v>
                </c:pt>
                <c:pt idx="11">
                  <c:v>0.92222222222222228</c:v>
                </c:pt>
                <c:pt idx="12">
                  <c:v>0.92222222222222228</c:v>
                </c:pt>
                <c:pt idx="13">
                  <c:v>0.92222222222222228</c:v>
                </c:pt>
                <c:pt idx="14">
                  <c:v>0.87777777777777788</c:v>
                </c:pt>
                <c:pt idx="15">
                  <c:v>0.96666666666666679</c:v>
                </c:pt>
                <c:pt idx="16">
                  <c:v>0.96666666666666679</c:v>
                </c:pt>
                <c:pt idx="17">
                  <c:v>0.96666666666666679</c:v>
                </c:pt>
                <c:pt idx="18">
                  <c:v>0.96666666666666679</c:v>
                </c:pt>
                <c:pt idx="19">
                  <c:v>0.84666666666666668</c:v>
                </c:pt>
                <c:pt idx="20">
                  <c:v>0.92</c:v>
                </c:pt>
                <c:pt idx="22">
                  <c:v>0.88296296296296306</c:v>
                </c:pt>
                <c:pt idx="23">
                  <c:v>0.92562603088918871</c:v>
                </c:pt>
                <c:pt idx="24">
                  <c:v>0.86154429283084244</c:v>
                </c:pt>
                <c:pt idx="25">
                  <c:v>0.81481481481481477</c:v>
                </c:pt>
                <c:pt idx="26">
                  <c:v>0.93307800224466897</c:v>
                </c:pt>
                <c:pt idx="27">
                  <c:v>0.93852880658436222</c:v>
                </c:pt>
                <c:pt idx="28">
                  <c:v>0.91574852163087472</c:v>
                </c:pt>
                <c:pt idx="29">
                  <c:v>0.94444444444444442</c:v>
                </c:pt>
                <c:pt idx="30">
                  <c:v>0.98559670781893005</c:v>
                </c:pt>
                <c:pt idx="31">
                  <c:v>0.92443246480982333</c:v>
                </c:pt>
                <c:pt idx="32">
                  <c:v>0.93754538852578073</c:v>
                </c:pt>
                <c:pt idx="33">
                  <c:v>0.77530864197530869</c:v>
                </c:pt>
                <c:pt idx="34">
                  <c:v>0.85058275058275057</c:v>
                </c:pt>
                <c:pt idx="35">
                  <c:v>0.94340455840455839</c:v>
                </c:pt>
                <c:pt idx="36">
                  <c:v>0.89907407407407391</c:v>
                </c:pt>
                <c:pt idx="37">
                  <c:v>1</c:v>
                </c:pt>
                <c:pt idx="38">
                  <c:v>0.90649701176016961</c:v>
                </c:pt>
                <c:pt idx="39">
                  <c:v>0.87192982456140355</c:v>
                </c:pt>
                <c:pt idx="40">
                  <c:v>0.80920314253647585</c:v>
                </c:pt>
                <c:pt idx="41">
                  <c:v>0.97964651581672868</c:v>
                </c:pt>
                <c:pt idx="42">
                  <c:v>0.75088025073577191</c:v>
                </c:pt>
                <c:pt idx="43">
                  <c:v>0.81666666666666665</c:v>
                </c:pt>
                <c:pt idx="44">
                  <c:v>0.99629629629629635</c:v>
                </c:pt>
                <c:pt idx="45">
                  <c:v>0.94685990338164239</c:v>
                </c:pt>
              </c:numCache>
            </c:numRef>
          </c:val>
          <c:extLst>
            <c:ext xmlns:c16="http://schemas.microsoft.com/office/drawing/2014/chart" uri="{C3380CC4-5D6E-409C-BE32-E72D297353CC}">
              <c16:uniqueId val="{00000052-8C86-48AA-B9EB-31B11C9BA865}"/>
            </c:ext>
          </c:extLst>
        </c:ser>
        <c:dLbls>
          <c:showLegendKey val="0"/>
          <c:showVal val="0"/>
          <c:showCatName val="0"/>
          <c:showSerName val="0"/>
          <c:showPercent val="0"/>
          <c:showBubbleSize val="0"/>
        </c:dLbls>
        <c:gapWidth val="200"/>
        <c:overlap val="-27"/>
        <c:axId val="226474728"/>
        <c:axId val="227397784"/>
      </c:barChart>
      <c:lineChart>
        <c:grouping val="standard"/>
        <c:varyColors val="0"/>
        <c:ser>
          <c:idx val="1"/>
          <c:order val="1"/>
          <c:tx>
            <c:strRef>
              <c:f>pt.lvl3_generic_8!$E$7</c:f>
              <c:strCache>
                <c:ptCount val="1"/>
                <c:pt idx="0">
                  <c:v>Average of Cíl %</c:v>
                </c:pt>
              </c:strCache>
            </c:strRef>
          </c:tx>
          <c:spPr>
            <a:ln w="28575" cap="rnd">
              <a:solidFill>
                <a:srgbClr val="000000"/>
              </a:solidFill>
              <a:round/>
            </a:ln>
            <a:effectLst/>
          </c:spPr>
          <c:marker>
            <c:symbol val="none"/>
          </c:marker>
          <c:cat>
            <c:multiLvlStrRef>
              <c:f>pt.lvl3_generic_8!$B$8:$C$54</c:f>
              <c:multiLvlStrCache>
                <c:ptCount val="46"/>
                <c:lvl>
                  <c:pt idx="0">
                    <c:v>0,416666666666667</c:v>
                  </c:pt>
                  <c:pt idx="1">
                    <c:v>0,458333333333333</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0,416666666666667</c:v>
                  </c:pt>
                  <c:pt idx="20">
                    <c:v>0,875</c:v>
                  </c:pt>
                  <c:pt idx="21">
                    <c:v>(blank)</c:v>
                  </c:pt>
                  <c:pt idx="22">
                    <c:v>7</c:v>
                  </c:pt>
                  <c:pt idx="23">
                    <c:v>8</c:v>
                  </c:pt>
                  <c:pt idx="24">
                    <c:v>9</c:v>
                  </c:pt>
                  <c:pt idx="25">
                    <c:v>10</c:v>
                  </c:pt>
                  <c:pt idx="26">
                    <c:v>11</c:v>
                  </c:pt>
                  <c:pt idx="27">
                    <c:v>12</c:v>
                  </c:pt>
                  <c:pt idx="28">
                    <c:v>13</c:v>
                  </c:pt>
                  <c:pt idx="29">
                    <c:v>14</c:v>
                  </c:pt>
                  <c:pt idx="30">
                    <c:v>15</c:v>
                  </c:pt>
                  <c:pt idx="31">
                    <c:v>16</c:v>
                  </c:pt>
                  <c:pt idx="32">
                    <c:v>17</c:v>
                  </c:pt>
                  <c:pt idx="33">
                    <c:v>18</c:v>
                  </c:pt>
                  <c:pt idx="34">
                    <c:v>19</c:v>
                  </c:pt>
                  <c:pt idx="35">
                    <c:v>20</c:v>
                  </c:pt>
                  <c:pt idx="36">
                    <c:v>21</c:v>
                  </c:pt>
                  <c:pt idx="37">
                    <c:v>22</c:v>
                  </c:pt>
                  <c:pt idx="38">
                    <c:v>23</c:v>
                  </c:pt>
                  <c:pt idx="39">
                    <c:v>0</c:v>
                  </c:pt>
                  <c:pt idx="40">
                    <c:v>1</c:v>
                  </c:pt>
                  <c:pt idx="41">
                    <c:v>2</c:v>
                  </c:pt>
                  <c:pt idx="42">
                    <c:v>3</c:v>
                  </c:pt>
                  <c:pt idx="43">
                    <c:v>4</c:v>
                  </c:pt>
                  <c:pt idx="44">
                    <c:v>5</c:v>
                  </c:pt>
                  <c:pt idx="45">
                    <c:v>6</c:v>
                  </c:pt>
                </c:lvl>
                <c:lvl>
                  <c:pt idx="0">
                    <c:v>14.03.2017</c:v>
                  </c:pt>
                  <c:pt idx="19">
                    <c:v>15.03.2017</c:v>
                  </c:pt>
                  <c:pt idx="21">
                    <c:v>(blank)</c:v>
                  </c:pt>
                  <c:pt idx="22">
                    <c:v>21.08.2017</c:v>
                  </c:pt>
                </c:lvl>
              </c:multiLvlStrCache>
            </c:multiLvlStrRef>
          </c:cat>
          <c:val>
            <c:numRef>
              <c:f>pt.lvl3_generic_8!$E$8:$E$54</c:f>
              <c:numCache>
                <c:formatCode>General</c:formatCode>
                <c:ptCount val="46"/>
                <c:pt idx="0">
                  <c:v>0.85</c:v>
                </c:pt>
                <c:pt idx="1">
                  <c:v>0.85</c:v>
                </c:pt>
                <c:pt idx="2">
                  <c:v>0.84999999999999976</c:v>
                </c:pt>
                <c:pt idx="3">
                  <c:v>0.84999999999999976</c:v>
                </c:pt>
                <c:pt idx="4">
                  <c:v>0.84999999999999987</c:v>
                </c:pt>
                <c:pt idx="5">
                  <c:v>0.84999999999999987</c:v>
                </c:pt>
                <c:pt idx="6">
                  <c:v>0.84999999999999987</c:v>
                </c:pt>
                <c:pt idx="7">
                  <c:v>0.84999999999999976</c:v>
                </c:pt>
                <c:pt idx="8">
                  <c:v>0.84999999999999976</c:v>
                </c:pt>
                <c:pt idx="9">
                  <c:v>0.84999999999999987</c:v>
                </c:pt>
                <c:pt idx="10">
                  <c:v>0.84999999999999987</c:v>
                </c:pt>
                <c:pt idx="11">
                  <c:v>0.84999999999999987</c:v>
                </c:pt>
                <c:pt idx="12">
                  <c:v>0.84999999999999987</c:v>
                </c:pt>
                <c:pt idx="13">
                  <c:v>0.84999999999999987</c:v>
                </c:pt>
                <c:pt idx="14">
                  <c:v>0.84999999999999987</c:v>
                </c:pt>
                <c:pt idx="15">
                  <c:v>0.84999999999999987</c:v>
                </c:pt>
                <c:pt idx="16">
                  <c:v>0.84999999999999987</c:v>
                </c:pt>
                <c:pt idx="17">
                  <c:v>0.84999999999999987</c:v>
                </c:pt>
                <c:pt idx="18">
                  <c:v>0.84999999999999987</c:v>
                </c:pt>
                <c:pt idx="19">
                  <c:v>0.85</c:v>
                </c:pt>
                <c:pt idx="20">
                  <c:v>0.85</c:v>
                </c:pt>
                <c:pt idx="22">
                  <c:v>0.79999999999999993</c:v>
                </c:pt>
                <c:pt idx="23">
                  <c:v>0.79999999999999993</c:v>
                </c:pt>
                <c:pt idx="24">
                  <c:v>0.79999999999999993</c:v>
                </c:pt>
                <c:pt idx="25">
                  <c:v>0.79999999999999993</c:v>
                </c:pt>
                <c:pt idx="26">
                  <c:v>0.79999999999999993</c:v>
                </c:pt>
                <c:pt idx="27">
                  <c:v>0.79999999999999993</c:v>
                </c:pt>
                <c:pt idx="28">
                  <c:v>0.79999999999999993</c:v>
                </c:pt>
                <c:pt idx="29">
                  <c:v>0.79999999999999993</c:v>
                </c:pt>
                <c:pt idx="30">
                  <c:v>0.79999999999999993</c:v>
                </c:pt>
                <c:pt idx="31">
                  <c:v>0.79999999999999993</c:v>
                </c:pt>
                <c:pt idx="32">
                  <c:v>0.79999999999999993</c:v>
                </c:pt>
                <c:pt idx="33">
                  <c:v>0.79999999999999993</c:v>
                </c:pt>
                <c:pt idx="34">
                  <c:v>0.79999999999999993</c:v>
                </c:pt>
                <c:pt idx="35">
                  <c:v>0.79999999999999993</c:v>
                </c:pt>
                <c:pt idx="36">
                  <c:v>0.79999999999999993</c:v>
                </c:pt>
                <c:pt idx="37">
                  <c:v>0.79999999999999993</c:v>
                </c:pt>
                <c:pt idx="38">
                  <c:v>0.79999999999999993</c:v>
                </c:pt>
                <c:pt idx="39">
                  <c:v>0.79999999999999993</c:v>
                </c:pt>
                <c:pt idx="40">
                  <c:v>0.79999999999999993</c:v>
                </c:pt>
                <c:pt idx="41">
                  <c:v>0.79999999999999993</c:v>
                </c:pt>
                <c:pt idx="42">
                  <c:v>0.79999999999999993</c:v>
                </c:pt>
                <c:pt idx="43">
                  <c:v>0.79999999999999993</c:v>
                </c:pt>
                <c:pt idx="44">
                  <c:v>0.79999999999999993</c:v>
                </c:pt>
                <c:pt idx="45">
                  <c:v>0.79999999999999993</c:v>
                </c:pt>
              </c:numCache>
            </c:numRef>
          </c:val>
          <c:smooth val="0"/>
          <c:extLst>
            <c:ext xmlns:c16="http://schemas.microsoft.com/office/drawing/2014/chart" uri="{C3380CC4-5D6E-409C-BE32-E72D297353CC}">
              <c16:uniqueId val="{00000053-8C86-48AA-B9EB-31B11C9BA865}"/>
            </c:ext>
          </c:extLst>
        </c:ser>
        <c:ser>
          <c:idx val="2"/>
          <c:order val="2"/>
          <c:tx>
            <c:strRef>
              <c:f>pt.lvl3_generic_8!$F$7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6-8D67-48F2-9A4A-91E560A324D3}"/>
              </c:ext>
            </c:extLst>
          </c:dPt>
          <c:dPt>
            <c:idx val="1"/>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7-8D67-48F2-9A4A-91E560A324D3}"/>
              </c:ext>
            </c:extLst>
          </c:dPt>
          <c:dPt>
            <c:idx val="2"/>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8-8D67-48F2-9A4A-91E560A324D3}"/>
              </c:ext>
            </c:extLst>
          </c:dPt>
          <c:dPt>
            <c:idx val="3"/>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9-8D67-48F2-9A4A-91E560A324D3}"/>
              </c:ext>
            </c:extLst>
          </c:dPt>
          <c:dPt>
            <c:idx val="4"/>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A-8D67-48F2-9A4A-91E560A324D3}"/>
              </c:ext>
            </c:extLst>
          </c:dPt>
          <c:dPt>
            <c:idx val="5"/>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B-8D67-48F2-9A4A-91E560A324D3}"/>
              </c:ext>
            </c:extLst>
          </c:dPt>
          <c:dPt>
            <c:idx val="6"/>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C-8D67-48F2-9A4A-91E560A324D3}"/>
              </c:ext>
            </c:extLst>
          </c:dPt>
          <c:dPt>
            <c:idx val="7"/>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D-8D67-48F2-9A4A-91E560A324D3}"/>
              </c:ext>
            </c:extLst>
          </c:dPt>
          <c:dPt>
            <c:idx val="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E-8D67-48F2-9A4A-91E560A324D3}"/>
              </c:ext>
            </c:extLst>
          </c:dPt>
          <c:dPt>
            <c:idx val="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F-8D67-48F2-9A4A-91E560A324D3}"/>
              </c:ext>
            </c:extLst>
          </c:dPt>
          <c:dPt>
            <c:idx val="10"/>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0-8D67-48F2-9A4A-91E560A324D3}"/>
              </c:ext>
            </c:extLst>
          </c:dPt>
          <c:dPt>
            <c:idx val="11"/>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1-8D67-48F2-9A4A-91E560A324D3}"/>
              </c:ext>
            </c:extLst>
          </c:dPt>
          <c:dPt>
            <c:idx val="12"/>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2-8D67-48F2-9A4A-91E560A324D3}"/>
              </c:ext>
            </c:extLst>
          </c:dPt>
          <c:dPt>
            <c:idx val="13"/>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3-8D67-48F2-9A4A-91E560A324D3}"/>
              </c:ext>
            </c:extLst>
          </c:dPt>
          <c:dPt>
            <c:idx val="14"/>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4-8D67-48F2-9A4A-91E560A324D3}"/>
              </c:ext>
            </c:extLst>
          </c:dPt>
          <c:dPt>
            <c:idx val="15"/>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5-8D67-48F2-9A4A-91E560A324D3}"/>
              </c:ext>
            </c:extLst>
          </c:dPt>
          <c:dPt>
            <c:idx val="16"/>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6-8D67-48F2-9A4A-91E560A324D3}"/>
              </c:ext>
            </c:extLst>
          </c:dPt>
          <c:dPt>
            <c:idx val="17"/>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7-8D67-48F2-9A4A-91E560A324D3}"/>
              </c:ext>
            </c:extLst>
          </c:dPt>
          <c:dPt>
            <c:idx val="18"/>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8-8D67-48F2-9A4A-91E560A324D3}"/>
              </c:ext>
            </c:extLst>
          </c:dPt>
          <c:dPt>
            <c:idx val="19"/>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9-8D67-48F2-9A4A-91E560A324D3}"/>
              </c:ext>
            </c:extLst>
          </c:dPt>
          <c:dPt>
            <c:idx val="20"/>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A-8D67-48F2-9A4A-91E560A324D3}"/>
              </c:ext>
            </c:extLst>
          </c:dPt>
          <c:dPt>
            <c:idx val="21"/>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B-8D67-48F2-9A4A-91E560A324D3}"/>
              </c:ext>
            </c:extLst>
          </c:dPt>
          <c:dPt>
            <c:idx val="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9-BCE6-4AE2-8F88-B166D356CFB0}"/>
              </c:ext>
            </c:extLst>
          </c:dPt>
          <c:dPt>
            <c:idx val="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B-BCE6-4AE2-8F88-B166D356CFB0}"/>
              </c:ext>
            </c:extLst>
          </c:dPt>
          <c:dPt>
            <c:idx val="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D-BCE6-4AE2-8F88-B166D356CFB0}"/>
              </c:ext>
            </c:extLst>
          </c:dPt>
          <c:dPt>
            <c:idx val="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F-BCE6-4AE2-8F88-B166D356CFB0}"/>
              </c:ext>
            </c:extLst>
          </c:dPt>
          <c:dPt>
            <c:idx val="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1-BCE6-4AE2-8F88-B166D356CFB0}"/>
              </c:ext>
            </c:extLst>
          </c:dPt>
          <c:dPt>
            <c:idx val="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3-BCE6-4AE2-8F88-B166D356CFB0}"/>
              </c:ext>
            </c:extLst>
          </c:dPt>
          <c:dPt>
            <c:idx val="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5-BCE6-4AE2-8F88-B166D356CFB0}"/>
              </c:ext>
            </c:extLst>
          </c:dPt>
          <c:dPt>
            <c:idx val="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7-BCE6-4AE2-8F88-B166D356CFB0}"/>
              </c:ext>
            </c:extLst>
          </c:dPt>
          <c:dPt>
            <c:idx val="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9-BCE6-4AE2-8F88-B166D356CFB0}"/>
              </c:ext>
            </c:extLst>
          </c:dPt>
          <c:dPt>
            <c:idx val="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B-BCE6-4AE2-8F88-B166D356CFB0}"/>
              </c:ext>
            </c:extLst>
          </c:dPt>
          <c:dPt>
            <c:idx val="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D-BCE6-4AE2-8F88-B166D356CFB0}"/>
              </c:ext>
            </c:extLst>
          </c:dPt>
          <c:dPt>
            <c:idx val="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F-BCE6-4AE2-8F88-B166D356CFB0}"/>
              </c:ext>
            </c:extLst>
          </c:dPt>
          <c:dPt>
            <c:idx val="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C-A5F1-43AC-89B2-EEFA58F3DC38}"/>
              </c:ext>
            </c:extLst>
          </c:dPt>
          <c:dPt>
            <c:idx val="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D-A5F1-43AC-89B2-EEFA58F3DC38}"/>
              </c:ext>
            </c:extLst>
          </c:dPt>
          <c:dPt>
            <c:idx val="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E-A5F1-43AC-89B2-EEFA58F3DC38}"/>
              </c:ext>
            </c:extLst>
          </c:dPt>
          <c:dPt>
            <c:idx val="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F-A5F1-43AC-89B2-EEFA58F3DC38}"/>
              </c:ext>
            </c:extLst>
          </c:dPt>
          <c:dPt>
            <c:idx val="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0-A5F1-43AC-89B2-EEFA58F3DC38}"/>
              </c:ext>
            </c:extLst>
          </c:dPt>
          <c:dPt>
            <c:idx val="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1-A5F1-43AC-89B2-EEFA58F3DC38}"/>
              </c:ext>
            </c:extLst>
          </c:dPt>
          <c:dPt>
            <c:idx val="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2-A5F1-43AC-89B2-EEFA58F3DC38}"/>
              </c:ext>
            </c:extLst>
          </c:dPt>
          <c:dPt>
            <c:idx val="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3-A5F1-43AC-89B2-EEFA58F3DC38}"/>
              </c:ext>
            </c:extLst>
          </c:dPt>
          <c:dPt>
            <c:idx val="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4-A5F1-43AC-89B2-EEFA58F3DC38}"/>
              </c:ext>
            </c:extLst>
          </c:dPt>
          <c:dPt>
            <c:idx val="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5-A5F1-43AC-89B2-EEFA58F3DC38}"/>
              </c:ext>
            </c:extLst>
          </c:dPt>
          <c:dPt>
            <c:idx val="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6-A5F1-43AC-89B2-EEFA58F3DC38}"/>
              </c:ext>
            </c:extLst>
          </c:dPt>
          <c:dPt>
            <c:idx val="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7-A5F1-43AC-89B2-EEFA58F3DC38}"/>
              </c:ext>
            </c:extLst>
          </c:dPt>
          <c:cat>
            <c:multiLvlStrRef>
              <c:f>pt.lvl3_generic_8!$B$8:$C$54</c:f>
              <c:multiLvlStrCache>
                <c:ptCount val="46"/>
                <c:lvl>
                  <c:pt idx="0">
                    <c:v>0,416666666666667</c:v>
                  </c:pt>
                  <c:pt idx="1">
                    <c:v>0,458333333333333</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0,416666666666667</c:v>
                  </c:pt>
                  <c:pt idx="20">
                    <c:v>0,875</c:v>
                  </c:pt>
                  <c:pt idx="21">
                    <c:v>(blank)</c:v>
                  </c:pt>
                  <c:pt idx="22">
                    <c:v>7</c:v>
                  </c:pt>
                  <c:pt idx="23">
                    <c:v>8</c:v>
                  </c:pt>
                  <c:pt idx="24">
                    <c:v>9</c:v>
                  </c:pt>
                  <c:pt idx="25">
                    <c:v>10</c:v>
                  </c:pt>
                  <c:pt idx="26">
                    <c:v>11</c:v>
                  </c:pt>
                  <c:pt idx="27">
                    <c:v>12</c:v>
                  </c:pt>
                  <c:pt idx="28">
                    <c:v>13</c:v>
                  </c:pt>
                  <c:pt idx="29">
                    <c:v>14</c:v>
                  </c:pt>
                  <c:pt idx="30">
                    <c:v>15</c:v>
                  </c:pt>
                  <c:pt idx="31">
                    <c:v>16</c:v>
                  </c:pt>
                  <c:pt idx="32">
                    <c:v>17</c:v>
                  </c:pt>
                  <c:pt idx="33">
                    <c:v>18</c:v>
                  </c:pt>
                  <c:pt idx="34">
                    <c:v>19</c:v>
                  </c:pt>
                  <c:pt idx="35">
                    <c:v>20</c:v>
                  </c:pt>
                  <c:pt idx="36">
                    <c:v>21</c:v>
                  </c:pt>
                  <c:pt idx="37">
                    <c:v>22</c:v>
                  </c:pt>
                  <c:pt idx="38">
                    <c:v>23</c:v>
                  </c:pt>
                  <c:pt idx="39">
                    <c:v>0</c:v>
                  </c:pt>
                  <c:pt idx="40">
                    <c:v>1</c:v>
                  </c:pt>
                  <c:pt idx="41">
                    <c:v>2</c:v>
                  </c:pt>
                  <c:pt idx="42">
                    <c:v>3</c:v>
                  </c:pt>
                  <c:pt idx="43">
                    <c:v>4</c:v>
                  </c:pt>
                  <c:pt idx="44">
                    <c:v>5</c:v>
                  </c:pt>
                  <c:pt idx="45">
                    <c:v>6</c:v>
                  </c:pt>
                </c:lvl>
                <c:lvl>
                  <c:pt idx="0">
                    <c:v>14.03.2017</c:v>
                  </c:pt>
                  <c:pt idx="19">
                    <c:v>15.03.2017</c:v>
                  </c:pt>
                  <c:pt idx="21">
                    <c:v>(blank)</c:v>
                  </c:pt>
                  <c:pt idx="22">
                    <c:v>21.08.2017</c:v>
                  </c:pt>
                </c:lvl>
              </c:multiLvlStrCache>
            </c:multiLvlStrRef>
          </c:cat>
          <c:val>
            <c:numRef>
              <c:f>pt.lvl3_generic_8!$F$8:$F$54</c:f>
              <c:numCache>
                <c:formatCode>General</c:formatCode>
                <c:ptCount val="46"/>
                <c:pt idx="0">
                  <c:v>0.91000000000000014</c:v>
                </c:pt>
                <c:pt idx="1">
                  <c:v>0.87</c:v>
                </c:pt>
                <c:pt idx="2">
                  <c:v>0.90000000000000024</c:v>
                </c:pt>
                <c:pt idx="3">
                  <c:v>0.90000000000000013</c:v>
                </c:pt>
                <c:pt idx="4">
                  <c:v>0.90000000000000013</c:v>
                </c:pt>
                <c:pt idx="5">
                  <c:v>0.90000000000000013</c:v>
                </c:pt>
                <c:pt idx="6">
                  <c:v>0.90000000000000013</c:v>
                </c:pt>
                <c:pt idx="7">
                  <c:v>0.86666666666666681</c:v>
                </c:pt>
                <c:pt idx="8">
                  <c:v>0.82777777777777795</c:v>
                </c:pt>
                <c:pt idx="9">
                  <c:v>0.84444444444444455</c:v>
                </c:pt>
                <c:pt idx="10">
                  <c:v>0.94444444444444464</c:v>
                </c:pt>
                <c:pt idx="11">
                  <c:v>0.90000000000000013</c:v>
                </c:pt>
                <c:pt idx="12">
                  <c:v>0.90000000000000013</c:v>
                </c:pt>
                <c:pt idx="13">
                  <c:v>0.90000000000000013</c:v>
                </c:pt>
                <c:pt idx="14">
                  <c:v>0.90000000000000013</c:v>
                </c:pt>
                <c:pt idx="15">
                  <c:v>0.90000000000000013</c:v>
                </c:pt>
                <c:pt idx="16">
                  <c:v>0.90000000000000013</c:v>
                </c:pt>
                <c:pt idx="17">
                  <c:v>0.90000000000000013</c:v>
                </c:pt>
                <c:pt idx="18">
                  <c:v>0.90000000000000013</c:v>
                </c:pt>
                <c:pt idx="19">
                  <c:v>0.91666666666666663</c:v>
                </c:pt>
                <c:pt idx="20">
                  <c:v>0.91666666666666663</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smooth val="0"/>
          <c:extLst>
            <c:ext xmlns:c16="http://schemas.microsoft.com/office/drawing/2014/chart" uri="{C3380CC4-5D6E-409C-BE32-E72D297353CC}">
              <c16:uniqueId val="{00000054-8C86-48AA-B9EB-31B11C9BA865}"/>
            </c:ext>
          </c:extLst>
        </c:ser>
        <c:dLbls>
          <c:showLegendKey val="0"/>
          <c:showVal val="0"/>
          <c:showCatName val="0"/>
          <c:showSerName val="0"/>
          <c:showPercent val="0"/>
          <c:showBubbleSize val="0"/>
        </c:dLbls>
        <c:marker val="1"/>
        <c:smooth val="0"/>
        <c:axId val="226474728"/>
        <c:axId val="227397784"/>
      </c:lineChart>
      <c:catAx>
        <c:axId val="226474728"/>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27397784"/>
        <c:crosses val="autoZero"/>
        <c:auto val="1"/>
        <c:lblAlgn val="ctr"/>
        <c:lblOffset val="100"/>
        <c:noMultiLvlLbl val="0"/>
      </c:catAx>
      <c:valAx>
        <c:axId val="227397784"/>
        <c:scaling>
          <c:orientation val="minMax"/>
          <c:max val="1.1000000000000001"/>
          <c:min val="0.5"/>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26474728"/>
        <c:crosses val="autoZero"/>
        <c:crossBetween val="between"/>
        <c:majorUnit val="0.1"/>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1.3_3_2.xlsm]pt.lvl3_generic_9!pt.lvl3_generic_9</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w="28575" cap="rnd">
            <a:solidFill>
              <a:srgbClr val="000000"/>
            </a:solidFill>
            <a:round/>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3"/>
        <c:spPr>
          <a:solidFill>
            <a:schemeClr val="accent1"/>
          </a:solidFill>
          <a:ln>
            <a:noFill/>
          </a:ln>
          <a:effectLst/>
        </c:spPr>
      </c:pivotFmt>
      <c:pivotFmt>
        <c:idx val="54"/>
        <c:spPr>
          <a:solidFill>
            <a:schemeClr val="accent1"/>
          </a:solidFill>
          <a:ln>
            <a:noFill/>
          </a:ln>
          <a:effectLst/>
        </c:spPr>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
        <c:idx val="76"/>
        <c:spPr>
          <a:solidFill>
            <a:schemeClr val="accent1"/>
          </a:solidFill>
          <a:ln>
            <a:noFill/>
          </a:ln>
          <a:effectLst/>
        </c:spPr>
      </c:pivotFmt>
      <c:pivotFmt>
        <c:idx val="7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7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7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1"/>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3"/>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4"/>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5"/>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6"/>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1"/>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3"/>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4"/>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5"/>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6"/>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1"/>
        <c:spPr>
          <a:solidFill>
            <a:schemeClr val="accent1"/>
          </a:solidFill>
          <a:ln>
            <a:noFill/>
          </a:ln>
          <a:effectLst/>
        </c:spPr>
        <c:marker>
          <c:symbol val="none"/>
        </c:marker>
      </c:pivotFmt>
      <c:pivotFmt>
        <c:idx val="102"/>
        <c:spPr>
          <a:ln w="28575" cap="rnd">
            <a:solidFill>
              <a:srgbClr val="000000"/>
            </a:solidFill>
            <a:round/>
          </a:ln>
          <a:effectLst/>
        </c:spPr>
        <c:marker>
          <c:symbol val="none"/>
        </c:marker>
      </c:pivotFmt>
      <c:pivotFmt>
        <c:idx val="10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0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6"/>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7"/>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8"/>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9"/>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0"/>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1"/>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2"/>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3"/>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6"/>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7"/>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8"/>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9"/>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0"/>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1"/>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2"/>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3"/>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4"/>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5"/>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6"/>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7"/>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8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s>
    <c:plotArea>
      <c:layout>
        <c:manualLayout>
          <c:layoutTarget val="inner"/>
          <c:xMode val="edge"/>
          <c:yMode val="edge"/>
          <c:x val="4.2885701325421952E-2"/>
          <c:y val="0.23364609306072345"/>
          <c:w val="0.93595404622657019"/>
          <c:h val="0.65765084966818832"/>
        </c:manualLayout>
      </c:layout>
      <c:barChart>
        <c:barDir val="col"/>
        <c:grouping val="clustered"/>
        <c:varyColors val="0"/>
        <c:ser>
          <c:idx val="0"/>
          <c:order val="0"/>
          <c:tx>
            <c:strRef>
              <c:f>pt.lvl3_generic_9!$D$7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0-C14F-46AF-9675-99E88732CF6E}"/>
              </c:ext>
            </c:extLst>
          </c:dPt>
          <c:dPt>
            <c:idx val="1"/>
            <c:invertIfNegative val="0"/>
            <c:bubble3D val="0"/>
            <c:spPr>
              <a:solidFill>
                <a:srgbClr val="9B2D2A"/>
              </a:solidFill>
              <a:ln>
                <a:noFill/>
              </a:ln>
              <a:effectLst/>
            </c:spPr>
            <c:extLst>
              <c:ext xmlns:c16="http://schemas.microsoft.com/office/drawing/2014/chart" uri="{C3380CC4-5D6E-409C-BE32-E72D297353CC}">
                <c16:uniqueId val="{00000001-C14F-46AF-9675-99E88732CF6E}"/>
              </c:ext>
            </c:extLst>
          </c:dPt>
          <c:dPt>
            <c:idx val="2"/>
            <c:invertIfNegative val="0"/>
            <c:bubble3D val="0"/>
            <c:spPr>
              <a:solidFill>
                <a:srgbClr val="9CC746"/>
              </a:solidFill>
              <a:ln>
                <a:noFill/>
              </a:ln>
              <a:effectLst/>
            </c:spPr>
            <c:extLst>
              <c:ext xmlns:c16="http://schemas.microsoft.com/office/drawing/2014/chart" uri="{C3380CC4-5D6E-409C-BE32-E72D297353CC}">
                <c16:uniqueId val="{00000002-C14F-46AF-9675-99E88732CF6E}"/>
              </c:ext>
            </c:extLst>
          </c:dPt>
          <c:dPt>
            <c:idx val="3"/>
            <c:invertIfNegative val="0"/>
            <c:bubble3D val="0"/>
            <c:spPr>
              <a:solidFill>
                <a:srgbClr val="9CC746"/>
              </a:solidFill>
              <a:ln>
                <a:noFill/>
              </a:ln>
              <a:effectLst/>
            </c:spPr>
            <c:extLst>
              <c:ext xmlns:c16="http://schemas.microsoft.com/office/drawing/2014/chart" uri="{C3380CC4-5D6E-409C-BE32-E72D297353CC}">
                <c16:uniqueId val="{00000003-C14F-46AF-9675-99E88732CF6E}"/>
              </c:ext>
            </c:extLst>
          </c:dPt>
          <c:dPt>
            <c:idx val="4"/>
            <c:invertIfNegative val="0"/>
            <c:bubble3D val="0"/>
            <c:spPr>
              <a:solidFill>
                <a:srgbClr val="9CC746"/>
              </a:solidFill>
              <a:ln>
                <a:noFill/>
              </a:ln>
              <a:effectLst/>
            </c:spPr>
            <c:extLst>
              <c:ext xmlns:c16="http://schemas.microsoft.com/office/drawing/2014/chart" uri="{C3380CC4-5D6E-409C-BE32-E72D297353CC}">
                <c16:uniqueId val="{00000004-C14F-46AF-9675-99E88732CF6E}"/>
              </c:ext>
            </c:extLst>
          </c:dPt>
          <c:dPt>
            <c:idx val="5"/>
            <c:invertIfNegative val="0"/>
            <c:bubble3D val="0"/>
            <c:spPr>
              <a:solidFill>
                <a:srgbClr val="9CC746"/>
              </a:solidFill>
              <a:ln>
                <a:noFill/>
              </a:ln>
              <a:effectLst/>
            </c:spPr>
            <c:extLst>
              <c:ext xmlns:c16="http://schemas.microsoft.com/office/drawing/2014/chart" uri="{C3380CC4-5D6E-409C-BE32-E72D297353CC}">
                <c16:uniqueId val="{00000005-C14F-46AF-9675-99E88732CF6E}"/>
              </c:ext>
            </c:extLst>
          </c:dPt>
          <c:dPt>
            <c:idx val="6"/>
            <c:invertIfNegative val="0"/>
            <c:bubble3D val="0"/>
            <c:spPr>
              <a:solidFill>
                <a:srgbClr val="9CC746"/>
              </a:solidFill>
              <a:ln>
                <a:noFill/>
              </a:ln>
              <a:effectLst/>
            </c:spPr>
            <c:extLst>
              <c:ext xmlns:c16="http://schemas.microsoft.com/office/drawing/2014/chart" uri="{C3380CC4-5D6E-409C-BE32-E72D297353CC}">
                <c16:uniqueId val="{00000006-C14F-46AF-9675-99E88732CF6E}"/>
              </c:ext>
            </c:extLst>
          </c:dPt>
          <c:dPt>
            <c:idx val="7"/>
            <c:invertIfNegative val="0"/>
            <c:bubble3D val="0"/>
            <c:spPr>
              <a:solidFill>
                <a:srgbClr val="9CC746"/>
              </a:solidFill>
              <a:ln>
                <a:noFill/>
              </a:ln>
              <a:effectLst/>
            </c:spPr>
            <c:extLst>
              <c:ext xmlns:c16="http://schemas.microsoft.com/office/drawing/2014/chart" uri="{C3380CC4-5D6E-409C-BE32-E72D297353CC}">
                <c16:uniqueId val="{00000007-C14F-46AF-9675-99E88732CF6E}"/>
              </c:ext>
            </c:extLst>
          </c:dPt>
          <c:dPt>
            <c:idx val="8"/>
            <c:invertIfNegative val="0"/>
            <c:bubble3D val="0"/>
            <c:spPr>
              <a:solidFill>
                <a:srgbClr val="9CC746"/>
              </a:solidFill>
              <a:ln>
                <a:noFill/>
              </a:ln>
              <a:effectLst/>
            </c:spPr>
            <c:extLst>
              <c:ext xmlns:c16="http://schemas.microsoft.com/office/drawing/2014/chart" uri="{C3380CC4-5D6E-409C-BE32-E72D297353CC}">
                <c16:uniqueId val="{00000008-C14F-46AF-9675-99E88732CF6E}"/>
              </c:ext>
            </c:extLst>
          </c:dPt>
          <c:dPt>
            <c:idx val="9"/>
            <c:invertIfNegative val="0"/>
            <c:bubble3D val="0"/>
            <c:spPr>
              <a:solidFill>
                <a:srgbClr val="9B2D2A"/>
              </a:solidFill>
              <a:ln>
                <a:noFill/>
              </a:ln>
              <a:effectLst/>
            </c:spPr>
            <c:extLst>
              <c:ext xmlns:c16="http://schemas.microsoft.com/office/drawing/2014/chart" uri="{C3380CC4-5D6E-409C-BE32-E72D297353CC}">
                <c16:uniqueId val="{00000009-C14F-46AF-9675-99E88732CF6E}"/>
              </c:ext>
            </c:extLst>
          </c:dPt>
          <c:dPt>
            <c:idx val="10"/>
            <c:invertIfNegative val="0"/>
            <c:bubble3D val="0"/>
            <c:spPr>
              <a:solidFill>
                <a:srgbClr val="9CC746"/>
              </a:solidFill>
              <a:ln>
                <a:noFill/>
              </a:ln>
              <a:effectLst/>
            </c:spPr>
            <c:extLst>
              <c:ext xmlns:c16="http://schemas.microsoft.com/office/drawing/2014/chart" uri="{C3380CC4-5D6E-409C-BE32-E72D297353CC}">
                <c16:uniqueId val="{0000000A-C14F-46AF-9675-99E88732CF6E}"/>
              </c:ext>
            </c:extLst>
          </c:dPt>
          <c:dPt>
            <c:idx val="11"/>
            <c:invertIfNegative val="0"/>
            <c:bubble3D val="0"/>
            <c:spPr>
              <a:solidFill>
                <a:srgbClr val="9CC746"/>
              </a:solidFill>
              <a:ln>
                <a:noFill/>
              </a:ln>
              <a:effectLst/>
            </c:spPr>
            <c:extLst>
              <c:ext xmlns:c16="http://schemas.microsoft.com/office/drawing/2014/chart" uri="{C3380CC4-5D6E-409C-BE32-E72D297353CC}">
                <c16:uniqueId val="{0000000B-C14F-46AF-9675-99E88732CF6E}"/>
              </c:ext>
            </c:extLst>
          </c:dPt>
          <c:dPt>
            <c:idx val="12"/>
            <c:invertIfNegative val="0"/>
            <c:bubble3D val="0"/>
            <c:spPr>
              <a:solidFill>
                <a:srgbClr val="9CC746"/>
              </a:solidFill>
              <a:ln>
                <a:noFill/>
              </a:ln>
              <a:effectLst/>
            </c:spPr>
            <c:extLst>
              <c:ext xmlns:c16="http://schemas.microsoft.com/office/drawing/2014/chart" uri="{C3380CC4-5D6E-409C-BE32-E72D297353CC}">
                <c16:uniqueId val="{0000000C-C14F-46AF-9675-99E88732CF6E}"/>
              </c:ext>
            </c:extLst>
          </c:dPt>
          <c:dPt>
            <c:idx val="13"/>
            <c:invertIfNegative val="0"/>
            <c:bubble3D val="0"/>
            <c:spPr>
              <a:solidFill>
                <a:srgbClr val="9CC746"/>
              </a:solidFill>
              <a:ln>
                <a:noFill/>
              </a:ln>
              <a:effectLst/>
            </c:spPr>
            <c:extLst>
              <c:ext xmlns:c16="http://schemas.microsoft.com/office/drawing/2014/chart" uri="{C3380CC4-5D6E-409C-BE32-E72D297353CC}">
                <c16:uniqueId val="{0000000D-C14F-46AF-9675-99E88732CF6E}"/>
              </c:ext>
            </c:extLst>
          </c:dPt>
          <c:dPt>
            <c:idx val="14"/>
            <c:invertIfNegative val="0"/>
            <c:bubble3D val="0"/>
            <c:spPr>
              <a:solidFill>
                <a:srgbClr val="9CC746"/>
              </a:solidFill>
              <a:ln>
                <a:noFill/>
              </a:ln>
              <a:effectLst/>
            </c:spPr>
            <c:extLst>
              <c:ext xmlns:c16="http://schemas.microsoft.com/office/drawing/2014/chart" uri="{C3380CC4-5D6E-409C-BE32-E72D297353CC}">
                <c16:uniqueId val="{0000000E-C14F-46AF-9675-99E88732CF6E}"/>
              </c:ext>
            </c:extLst>
          </c:dPt>
          <c:dPt>
            <c:idx val="15"/>
            <c:invertIfNegative val="0"/>
            <c:bubble3D val="0"/>
            <c:spPr>
              <a:solidFill>
                <a:srgbClr val="9CC746"/>
              </a:solidFill>
              <a:ln>
                <a:noFill/>
              </a:ln>
              <a:effectLst/>
            </c:spPr>
            <c:extLst>
              <c:ext xmlns:c16="http://schemas.microsoft.com/office/drawing/2014/chart" uri="{C3380CC4-5D6E-409C-BE32-E72D297353CC}">
                <c16:uniqueId val="{0000000F-C14F-46AF-9675-99E88732CF6E}"/>
              </c:ext>
            </c:extLst>
          </c:dPt>
          <c:dPt>
            <c:idx val="16"/>
            <c:invertIfNegative val="0"/>
            <c:bubble3D val="0"/>
            <c:spPr>
              <a:solidFill>
                <a:srgbClr val="9CC746"/>
              </a:solidFill>
              <a:ln>
                <a:noFill/>
              </a:ln>
              <a:effectLst/>
            </c:spPr>
            <c:extLst>
              <c:ext xmlns:c16="http://schemas.microsoft.com/office/drawing/2014/chart" uri="{C3380CC4-5D6E-409C-BE32-E72D297353CC}">
                <c16:uniqueId val="{00000010-C14F-46AF-9675-99E88732CF6E}"/>
              </c:ext>
            </c:extLst>
          </c:dPt>
          <c:dPt>
            <c:idx val="17"/>
            <c:invertIfNegative val="0"/>
            <c:bubble3D val="0"/>
            <c:spPr>
              <a:solidFill>
                <a:srgbClr val="9CC746"/>
              </a:solidFill>
              <a:ln>
                <a:noFill/>
              </a:ln>
              <a:effectLst/>
            </c:spPr>
            <c:extLst>
              <c:ext xmlns:c16="http://schemas.microsoft.com/office/drawing/2014/chart" uri="{C3380CC4-5D6E-409C-BE32-E72D297353CC}">
                <c16:uniqueId val="{00000011-C14F-46AF-9675-99E88732CF6E}"/>
              </c:ext>
            </c:extLst>
          </c:dPt>
          <c:dPt>
            <c:idx val="18"/>
            <c:invertIfNegative val="0"/>
            <c:bubble3D val="0"/>
            <c:spPr>
              <a:solidFill>
                <a:srgbClr val="9CC746"/>
              </a:solidFill>
              <a:ln>
                <a:noFill/>
              </a:ln>
              <a:effectLst/>
            </c:spPr>
            <c:extLst>
              <c:ext xmlns:c16="http://schemas.microsoft.com/office/drawing/2014/chart" uri="{C3380CC4-5D6E-409C-BE32-E72D297353CC}">
                <c16:uniqueId val="{00000012-C14F-46AF-9675-99E88732CF6E}"/>
              </c:ext>
            </c:extLst>
          </c:dPt>
          <c:dPt>
            <c:idx val="19"/>
            <c:invertIfNegative val="0"/>
            <c:bubble3D val="0"/>
            <c:spPr>
              <a:solidFill>
                <a:srgbClr val="9B2D2A"/>
              </a:solidFill>
              <a:ln>
                <a:noFill/>
              </a:ln>
              <a:effectLst/>
            </c:spPr>
            <c:extLst>
              <c:ext xmlns:c16="http://schemas.microsoft.com/office/drawing/2014/chart" uri="{C3380CC4-5D6E-409C-BE32-E72D297353CC}">
                <c16:uniqueId val="{00000013-C14F-46AF-9675-99E88732CF6E}"/>
              </c:ext>
            </c:extLst>
          </c:dPt>
          <c:dPt>
            <c:idx val="20"/>
            <c:invertIfNegative val="0"/>
            <c:bubble3D val="0"/>
            <c:spPr>
              <a:solidFill>
                <a:srgbClr val="9CC746"/>
              </a:solidFill>
              <a:ln>
                <a:noFill/>
              </a:ln>
              <a:effectLst/>
            </c:spPr>
            <c:extLst>
              <c:ext xmlns:c16="http://schemas.microsoft.com/office/drawing/2014/chart" uri="{C3380CC4-5D6E-409C-BE32-E72D297353CC}">
                <c16:uniqueId val="{00000014-C14F-46AF-9675-99E88732CF6E}"/>
              </c:ext>
            </c:extLst>
          </c:dPt>
          <c:dPt>
            <c:idx val="21"/>
            <c:invertIfNegative val="0"/>
            <c:bubble3D val="0"/>
            <c:spPr>
              <a:solidFill>
                <a:srgbClr val="9CC746"/>
              </a:solidFill>
              <a:ln>
                <a:noFill/>
              </a:ln>
              <a:effectLst/>
            </c:spPr>
            <c:extLst>
              <c:ext xmlns:c16="http://schemas.microsoft.com/office/drawing/2014/chart" uri="{C3380CC4-5D6E-409C-BE32-E72D297353CC}">
                <c16:uniqueId val="{00000015-C14F-46AF-9675-99E88732CF6E}"/>
              </c:ext>
            </c:extLst>
          </c:dPt>
          <c:dPt>
            <c:idx val="22"/>
            <c:invertIfNegative val="0"/>
            <c:bubble3D val="0"/>
            <c:spPr>
              <a:solidFill>
                <a:srgbClr val="9CC746"/>
              </a:solidFill>
              <a:ln>
                <a:noFill/>
              </a:ln>
              <a:effectLst/>
            </c:spPr>
            <c:extLst>
              <c:ext xmlns:c16="http://schemas.microsoft.com/office/drawing/2014/chart" uri="{C3380CC4-5D6E-409C-BE32-E72D297353CC}">
                <c16:uniqueId val="{00000044-5DA1-44B5-8F6C-975238A25A23}"/>
              </c:ext>
            </c:extLst>
          </c:dPt>
          <c:dPt>
            <c:idx val="23"/>
            <c:invertIfNegative val="0"/>
            <c:bubble3D val="0"/>
            <c:spPr>
              <a:solidFill>
                <a:srgbClr val="9CC746"/>
              </a:solidFill>
              <a:ln>
                <a:noFill/>
              </a:ln>
              <a:effectLst/>
            </c:spPr>
            <c:extLst>
              <c:ext xmlns:c16="http://schemas.microsoft.com/office/drawing/2014/chart" uri="{C3380CC4-5D6E-409C-BE32-E72D297353CC}">
                <c16:uniqueId val="{00000045-5DA1-44B5-8F6C-975238A25A23}"/>
              </c:ext>
            </c:extLst>
          </c:dPt>
          <c:dPt>
            <c:idx val="24"/>
            <c:invertIfNegative val="0"/>
            <c:bubble3D val="0"/>
            <c:spPr>
              <a:solidFill>
                <a:srgbClr val="9CC746"/>
              </a:solidFill>
              <a:ln>
                <a:noFill/>
              </a:ln>
              <a:effectLst/>
            </c:spPr>
            <c:extLst>
              <c:ext xmlns:c16="http://schemas.microsoft.com/office/drawing/2014/chart" uri="{C3380CC4-5D6E-409C-BE32-E72D297353CC}">
                <c16:uniqueId val="{00000046-5DA1-44B5-8F6C-975238A25A23}"/>
              </c:ext>
            </c:extLst>
          </c:dPt>
          <c:dPt>
            <c:idx val="25"/>
            <c:invertIfNegative val="0"/>
            <c:bubble3D val="0"/>
            <c:spPr>
              <a:solidFill>
                <a:srgbClr val="9CC746"/>
              </a:solidFill>
              <a:ln>
                <a:noFill/>
              </a:ln>
              <a:effectLst/>
            </c:spPr>
            <c:extLst>
              <c:ext xmlns:c16="http://schemas.microsoft.com/office/drawing/2014/chart" uri="{C3380CC4-5D6E-409C-BE32-E72D297353CC}">
                <c16:uniqueId val="{00000047-5DA1-44B5-8F6C-975238A25A23}"/>
              </c:ext>
            </c:extLst>
          </c:dPt>
          <c:dPt>
            <c:idx val="26"/>
            <c:invertIfNegative val="0"/>
            <c:bubble3D val="0"/>
            <c:spPr>
              <a:solidFill>
                <a:srgbClr val="9CC746"/>
              </a:solidFill>
              <a:ln>
                <a:noFill/>
              </a:ln>
              <a:effectLst/>
            </c:spPr>
            <c:extLst>
              <c:ext xmlns:c16="http://schemas.microsoft.com/office/drawing/2014/chart" uri="{C3380CC4-5D6E-409C-BE32-E72D297353CC}">
                <c16:uniqueId val="{00000048-5DA1-44B5-8F6C-975238A25A23}"/>
              </c:ext>
            </c:extLst>
          </c:dPt>
          <c:dPt>
            <c:idx val="27"/>
            <c:invertIfNegative val="0"/>
            <c:bubble3D val="0"/>
            <c:spPr>
              <a:solidFill>
                <a:srgbClr val="9CC746"/>
              </a:solidFill>
              <a:ln>
                <a:noFill/>
              </a:ln>
              <a:effectLst/>
            </c:spPr>
            <c:extLst>
              <c:ext xmlns:c16="http://schemas.microsoft.com/office/drawing/2014/chart" uri="{C3380CC4-5D6E-409C-BE32-E72D297353CC}">
                <c16:uniqueId val="{00000049-5DA1-44B5-8F6C-975238A25A23}"/>
              </c:ext>
            </c:extLst>
          </c:dPt>
          <c:dPt>
            <c:idx val="28"/>
            <c:invertIfNegative val="0"/>
            <c:bubble3D val="0"/>
            <c:spPr>
              <a:solidFill>
                <a:srgbClr val="9CC746"/>
              </a:solidFill>
              <a:ln>
                <a:noFill/>
              </a:ln>
              <a:effectLst/>
            </c:spPr>
            <c:extLst>
              <c:ext xmlns:c16="http://schemas.microsoft.com/office/drawing/2014/chart" uri="{C3380CC4-5D6E-409C-BE32-E72D297353CC}">
                <c16:uniqueId val="{0000004A-5DA1-44B5-8F6C-975238A25A23}"/>
              </c:ext>
            </c:extLst>
          </c:dPt>
          <c:dPt>
            <c:idx val="29"/>
            <c:invertIfNegative val="0"/>
            <c:bubble3D val="0"/>
            <c:spPr>
              <a:solidFill>
                <a:srgbClr val="9CC746"/>
              </a:solidFill>
              <a:ln>
                <a:noFill/>
              </a:ln>
              <a:effectLst/>
            </c:spPr>
            <c:extLst>
              <c:ext xmlns:c16="http://schemas.microsoft.com/office/drawing/2014/chart" uri="{C3380CC4-5D6E-409C-BE32-E72D297353CC}">
                <c16:uniqueId val="{0000004B-5DA1-44B5-8F6C-975238A25A23}"/>
              </c:ext>
            </c:extLst>
          </c:dPt>
          <c:dPt>
            <c:idx val="30"/>
            <c:invertIfNegative val="0"/>
            <c:bubble3D val="0"/>
            <c:spPr>
              <a:solidFill>
                <a:srgbClr val="9CC746"/>
              </a:solidFill>
              <a:ln>
                <a:noFill/>
              </a:ln>
              <a:effectLst/>
            </c:spPr>
            <c:extLst>
              <c:ext xmlns:c16="http://schemas.microsoft.com/office/drawing/2014/chart" uri="{C3380CC4-5D6E-409C-BE32-E72D297353CC}">
                <c16:uniqueId val="{0000004C-5DA1-44B5-8F6C-975238A25A23}"/>
              </c:ext>
            </c:extLst>
          </c:dPt>
          <c:dPt>
            <c:idx val="31"/>
            <c:invertIfNegative val="0"/>
            <c:bubble3D val="0"/>
            <c:spPr>
              <a:solidFill>
                <a:srgbClr val="9CC746"/>
              </a:solidFill>
              <a:ln>
                <a:noFill/>
              </a:ln>
              <a:effectLst/>
            </c:spPr>
            <c:extLst>
              <c:ext xmlns:c16="http://schemas.microsoft.com/office/drawing/2014/chart" uri="{C3380CC4-5D6E-409C-BE32-E72D297353CC}">
                <c16:uniqueId val="{0000004D-5DA1-44B5-8F6C-975238A25A23}"/>
              </c:ext>
            </c:extLst>
          </c:dPt>
          <c:dPt>
            <c:idx val="32"/>
            <c:invertIfNegative val="0"/>
            <c:bubble3D val="0"/>
            <c:spPr>
              <a:solidFill>
                <a:srgbClr val="9CC746"/>
              </a:solidFill>
              <a:ln>
                <a:noFill/>
              </a:ln>
              <a:effectLst/>
            </c:spPr>
            <c:extLst>
              <c:ext xmlns:c16="http://schemas.microsoft.com/office/drawing/2014/chart" uri="{C3380CC4-5D6E-409C-BE32-E72D297353CC}">
                <c16:uniqueId val="{0000004E-5DA1-44B5-8F6C-975238A25A23}"/>
              </c:ext>
            </c:extLst>
          </c:dPt>
          <c:dPt>
            <c:idx val="33"/>
            <c:invertIfNegative val="0"/>
            <c:bubble3D val="0"/>
            <c:spPr>
              <a:solidFill>
                <a:srgbClr val="9B2D2A"/>
              </a:solidFill>
              <a:ln>
                <a:noFill/>
              </a:ln>
              <a:effectLst/>
            </c:spPr>
            <c:extLst>
              <c:ext xmlns:c16="http://schemas.microsoft.com/office/drawing/2014/chart" uri="{C3380CC4-5D6E-409C-BE32-E72D297353CC}">
                <c16:uniqueId val="{0000004F-5DA1-44B5-8F6C-975238A25A23}"/>
              </c:ext>
            </c:extLst>
          </c:dPt>
          <c:dPt>
            <c:idx val="34"/>
            <c:invertIfNegative val="0"/>
            <c:bubble3D val="0"/>
            <c:spPr>
              <a:solidFill>
                <a:srgbClr val="9CC746"/>
              </a:solidFill>
              <a:ln>
                <a:noFill/>
              </a:ln>
              <a:effectLst/>
            </c:spPr>
            <c:extLst>
              <c:ext xmlns:c16="http://schemas.microsoft.com/office/drawing/2014/chart" uri="{C3380CC4-5D6E-409C-BE32-E72D297353CC}">
                <c16:uniqueId val="{00000050-5DA1-44B5-8F6C-975238A25A23}"/>
              </c:ext>
            </c:extLst>
          </c:dPt>
          <c:dPt>
            <c:idx val="35"/>
            <c:invertIfNegative val="0"/>
            <c:bubble3D val="0"/>
            <c:spPr>
              <a:solidFill>
                <a:srgbClr val="9CC746"/>
              </a:solidFill>
              <a:ln>
                <a:noFill/>
              </a:ln>
              <a:effectLst/>
            </c:spPr>
            <c:extLst>
              <c:ext xmlns:c16="http://schemas.microsoft.com/office/drawing/2014/chart" uri="{C3380CC4-5D6E-409C-BE32-E72D297353CC}">
                <c16:uniqueId val="{00000051-5DA1-44B5-8F6C-975238A25A23}"/>
              </c:ext>
            </c:extLst>
          </c:dPt>
          <c:dPt>
            <c:idx val="36"/>
            <c:invertIfNegative val="0"/>
            <c:bubble3D val="0"/>
            <c:spPr>
              <a:solidFill>
                <a:srgbClr val="9CC746"/>
              </a:solidFill>
              <a:ln>
                <a:noFill/>
              </a:ln>
              <a:effectLst/>
            </c:spPr>
            <c:extLst>
              <c:ext xmlns:c16="http://schemas.microsoft.com/office/drawing/2014/chart" uri="{C3380CC4-5D6E-409C-BE32-E72D297353CC}">
                <c16:uniqueId val="{00000052-5DA1-44B5-8F6C-975238A25A23}"/>
              </c:ext>
            </c:extLst>
          </c:dPt>
          <c:dPt>
            <c:idx val="37"/>
            <c:invertIfNegative val="0"/>
            <c:bubble3D val="0"/>
            <c:spPr>
              <a:solidFill>
                <a:srgbClr val="9CC746"/>
              </a:solidFill>
              <a:ln>
                <a:noFill/>
              </a:ln>
              <a:effectLst/>
            </c:spPr>
            <c:extLst>
              <c:ext xmlns:c16="http://schemas.microsoft.com/office/drawing/2014/chart" uri="{C3380CC4-5D6E-409C-BE32-E72D297353CC}">
                <c16:uniqueId val="{00000053-5DA1-44B5-8F6C-975238A25A23}"/>
              </c:ext>
            </c:extLst>
          </c:dPt>
          <c:dPt>
            <c:idx val="38"/>
            <c:invertIfNegative val="0"/>
            <c:bubble3D val="0"/>
            <c:spPr>
              <a:solidFill>
                <a:srgbClr val="9CC746"/>
              </a:solidFill>
              <a:ln>
                <a:noFill/>
              </a:ln>
              <a:effectLst/>
            </c:spPr>
            <c:extLst>
              <c:ext xmlns:c16="http://schemas.microsoft.com/office/drawing/2014/chart" uri="{C3380CC4-5D6E-409C-BE32-E72D297353CC}">
                <c16:uniqueId val="{00000054-5DA1-44B5-8F6C-975238A25A23}"/>
              </c:ext>
            </c:extLst>
          </c:dPt>
          <c:dPt>
            <c:idx val="39"/>
            <c:invertIfNegative val="0"/>
            <c:bubble3D val="0"/>
            <c:spPr>
              <a:solidFill>
                <a:srgbClr val="9CC746"/>
              </a:solidFill>
              <a:ln>
                <a:noFill/>
              </a:ln>
              <a:effectLst/>
            </c:spPr>
            <c:extLst>
              <c:ext xmlns:c16="http://schemas.microsoft.com/office/drawing/2014/chart" uri="{C3380CC4-5D6E-409C-BE32-E72D297353CC}">
                <c16:uniqueId val="{00000055-5DA1-44B5-8F6C-975238A25A23}"/>
              </c:ext>
            </c:extLst>
          </c:dPt>
          <c:dPt>
            <c:idx val="40"/>
            <c:invertIfNegative val="0"/>
            <c:bubble3D val="0"/>
            <c:spPr>
              <a:solidFill>
                <a:srgbClr val="9CC746"/>
              </a:solidFill>
              <a:ln>
                <a:noFill/>
              </a:ln>
              <a:effectLst/>
            </c:spPr>
            <c:extLst>
              <c:ext xmlns:c16="http://schemas.microsoft.com/office/drawing/2014/chart" uri="{C3380CC4-5D6E-409C-BE32-E72D297353CC}">
                <c16:uniqueId val="{00000056-5DA1-44B5-8F6C-975238A25A23}"/>
              </c:ext>
            </c:extLst>
          </c:dPt>
          <c:dPt>
            <c:idx val="41"/>
            <c:invertIfNegative val="0"/>
            <c:bubble3D val="0"/>
            <c:spPr>
              <a:solidFill>
                <a:srgbClr val="9CC746"/>
              </a:solidFill>
              <a:ln>
                <a:noFill/>
              </a:ln>
              <a:effectLst/>
            </c:spPr>
            <c:extLst>
              <c:ext xmlns:c16="http://schemas.microsoft.com/office/drawing/2014/chart" uri="{C3380CC4-5D6E-409C-BE32-E72D297353CC}">
                <c16:uniqueId val="{00000057-5DA1-44B5-8F6C-975238A25A23}"/>
              </c:ext>
            </c:extLst>
          </c:dPt>
          <c:dPt>
            <c:idx val="42"/>
            <c:invertIfNegative val="0"/>
            <c:bubble3D val="0"/>
            <c:spPr>
              <a:solidFill>
                <a:srgbClr val="9B2D2A"/>
              </a:solidFill>
              <a:ln>
                <a:noFill/>
              </a:ln>
              <a:effectLst/>
            </c:spPr>
            <c:extLst>
              <c:ext xmlns:c16="http://schemas.microsoft.com/office/drawing/2014/chart" uri="{C3380CC4-5D6E-409C-BE32-E72D297353CC}">
                <c16:uniqueId val="{00000058-5DA1-44B5-8F6C-975238A25A23}"/>
              </c:ext>
            </c:extLst>
          </c:dPt>
          <c:dPt>
            <c:idx val="43"/>
            <c:invertIfNegative val="0"/>
            <c:bubble3D val="0"/>
            <c:spPr>
              <a:solidFill>
                <a:srgbClr val="9CC746"/>
              </a:solidFill>
              <a:ln>
                <a:noFill/>
              </a:ln>
              <a:effectLst/>
            </c:spPr>
            <c:extLst>
              <c:ext xmlns:c16="http://schemas.microsoft.com/office/drawing/2014/chart" uri="{C3380CC4-5D6E-409C-BE32-E72D297353CC}">
                <c16:uniqueId val="{00000059-5DA1-44B5-8F6C-975238A25A23}"/>
              </c:ext>
            </c:extLst>
          </c:dPt>
          <c:dPt>
            <c:idx val="44"/>
            <c:invertIfNegative val="0"/>
            <c:bubble3D val="0"/>
            <c:spPr>
              <a:solidFill>
                <a:srgbClr val="9CC746"/>
              </a:solidFill>
              <a:ln>
                <a:noFill/>
              </a:ln>
              <a:effectLst/>
            </c:spPr>
            <c:extLst>
              <c:ext xmlns:c16="http://schemas.microsoft.com/office/drawing/2014/chart" uri="{C3380CC4-5D6E-409C-BE32-E72D297353CC}">
                <c16:uniqueId val="{0000005A-5DA1-44B5-8F6C-975238A25A23}"/>
              </c:ext>
            </c:extLst>
          </c:dPt>
          <c:dPt>
            <c:idx val="45"/>
            <c:invertIfNegative val="0"/>
            <c:bubble3D val="0"/>
            <c:spPr>
              <a:solidFill>
                <a:srgbClr val="9CC746"/>
              </a:solidFill>
              <a:ln>
                <a:noFill/>
              </a:ln>
              <a:effectLst/>
            </c:spPr>
            <c:extLst>
              <c:ext xmlns:c16="http://schemas.microsoft.com/office/drawing/2014/chart" uri="{C3380CC4-5D6E-409C-BE32-E72D297353CC}">
                <c16:uniqueId val="{0000005B-5DA1-44B5-8F6C-975238A25A23}"/>
              </c:ext>
            </c:extLst>
          </c:dPt>
          <c:cat>
            <c:multiLvlStrRef>
              <c:f>pt.lvl3_generic_9!$B$8:$C$54</c:f>
              <c:multiLvlStrCache>
                <c:ptCount val="46"/>
                <c:lvl>
                  <c:pt idx="0">
                    <c:v>0,416666666666667</c:v>
                  </c:pt>
                  <c:pt idx="1">
                    <c:v>0,458333333333333</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0,416666666666667</c:v>
                  </c:pt>
                  <c:pt idx="20">
                    <c:v>0,875</c:v>
                  </c:pt>
                  <c:pt idx="21">
                    <c:v>(blank)</c:v>
                  </c:pt>
                  <c:pt idx="22">
                    <c:v>7</c:v>
                  </c:pt>
                  <c:pt idx="23">
                    <c:v>8</c:v>
                  </c:pt>
                  <c:pt idx="24">
                    <c:v>9</c:v>
                  </c:pt>
                  <c:pt idx="25">
                    <c:v>10</c:v>
                  </c:pt>
                  <c:pt idx="26">
                    <c:v>11</c:v>
                  </c:pt>
                  <c:pt idx="27">
                    <c:v>12</c:v>
                  </c:pt>
                  <c:pt idx="28">
                    <c:v>13</c:v>
                  </c:pt>
                  <c:pt idx="29">
                    <c:v>14</c:v>
                  </c:pt>
                  <c:pt idx="30">
                    <c:v>15</c:v>
                  </c:pt>
                  <c:pt idx="31">
                    <c:v>16</c:v>
                  </c:pt>
                  <c:pt idx="32">
                    <c:v>17</c:v>
                  </c:pt>
                  <c:pt idx="33">
                    <c:v>18</c:v>
                  </c:pt>
                  <c:pt idx="34">
                    <c:v>19</c:v>
                  </c:pt>
                  <c:pt idx="35">
                    <c:v>20</c:v>
                  </c:pt>
                  <c:pt idx="36">
                    <c:v>21</c:v>
                  </c:pt>
                  <c:pt idx="37">
                    <c:v>22</c:v>
                  </c:pt>
                  <c:pt idx="38">
                    <c:v>23</c:v>
                  </c:pt>
                  <c:pt idx="39">
                    <c:v>0</c:v>
                  </c:pt>
                  <c:pt idx="40">
                    <c:v>1</c:v>
                  </c:pt>
                  <c:pt idx="41">
                    <c:v>2</c:v>
                  </c:pt>
                  <c:pt idx="42">
                    <c:v>3</c:v>
                  </c:pt>
                  <c:pt idx="43">
                    <c:v>4</c:v>
                  </c:pt>
                  <c:pt idx="44">
                    <c:v>5</c:v>
                  </c:pt>
                  <c:pt idx="45">
                    <c:v>6</c:v>
                  </c:pt>
                </c:lvl>
                <c:lvl>
                  <c:pt idx="0">
                    <c:v>14.03.2017</c:v>
                  </c:pt>
                  <c:pt idx="19">
                    <c:v>15.03.2017</c:v>
                  </c:pt>
                  <c:pt idx="21">
                    <c:v>(blank)</c:v>
                  </c:pt>
                  <c:pt idx="22">
                    <c:v>21.08.2017</c:v>
                  </c:pt>
                </c:lvl>
              </c:multiLvlStrCache>
            </c:multiLvlStrRef>
          </c:cat>
          <c:val>
            <c:numRef>
              <c:f>pt.lvl3_generic_9!$D$8:$D$54</c:f>
              <c:numCache>
                <c:formatCode>General</c:formatCode>
                <c:ptCount val="46"/>
                <c:pt idx="0">
                  <c:v>0.86999999999999988</c:v>
                </c:pt>
                <c:pt idx="1">
                  <c:v>0.8</c:v>
                </c:pt>
                <c:pt idx="2">
                  <c:v>0.96666666666666679</c:v>
                </c:pt>
                <c:pt idx="3">
                  <c:v>0.96666666666666656</c:v>
                </c:pt>
                <c:pt idx="4">
                  <c:v>0.96666666666666679</c:v>
                </c:pt>
                <c:pt idx="5">
                  <c:v>0.96666666666666679</c:v>
                </c:pt>
                <c:pt idx="6">
                  <c:v>0.96666666666666679</c:v>
                </c:pt>
                <c:pt idx="7">
                  <c:v>0.96666666666666679</c:v>
                </c:pt>
                <c:pt idx="8">
                  <c:v>0.94222222222222229</c:v>
                </c:pt>
                <c:pt idx="9">
                  <c:v>0.84222222222222232</c:v>
                </c:pt>
                <c:pt idx="10">
                  <c:v>0.88222222222222235</c:v>
                </c:pt>
                <c:pt idx="11">
                  <c:v>0.92222222222222228</c:v>
                </c:pt>
                <c:pt idx="12">
                  <c:v>0.92222222222222228</c:v>
                </c:pt>
                <c:pt idx="13">
                  <c:v>0.92222222222222228</c:v>
                </c:pt>
                <c:pt idx="14">
                  <c:v>0.87777777777777788</c:v>
                </c:pt>
                <c:pt idx="15">
                  <c:v>0.96666666666666679</c:v>
                </c:pt>
                <c:pt idx="16">
                  <c:v>0.96666666666666679</c:v>
                </c:pt>
                <c:pt idx="17">
                  <c:v>0.96666666666666679</c:v>
                </c:pt>
                <c:pt idx="18">
                  <c:v>0.96666666666666679</c:v>
                </c:pt>
                <c:pt idx="19">
                  <c:v>0.84666666666666668</c:v>
                </c:pt>
                <c:pt idx="20">
                  <c:v>0.92</c:v>
                </c:pt>
                <c:pt idx="22">
                  <c:v>0.88296296296296306</c:v>
                </c:pt>
                <c:pt idx="23">
                  <c:v>0.92562603088918871</c:v>
                </c:pt>
                <c:pt idx="24">
                  <c:v>0.86154429283084244</c:v>
                </c:pt>
                <c:pt idx="25">
                  <c:v>0.81481481481481477</c:v>
                </c:pt>
                <c:pt idx="26">
                  <c:v>0.93307800224466897</c:v>
                </c:pt>
                <c:pt idx="27">
                  <c:v>0.93852880658436222</c:v>
                </c:pt>
                <c:pt idx="28">
                  <c:v>0.91574852163087472</c:v>
                </c:pt>
                <c:pt idx="29">
                  <c:v>0.94444444444444442</c:v>
                </c:pt>
                <c:pt idx="30">
                  <c:v>0.98559670781893005</c:v>
                </c:pt>
                <c:pt idx="31">
                  <c:v>0.92443246480982333</c:v>
                </c:pt>
                <c:pt idx="32">
                  <c:v>0.93754538852578073</c:v>
                </c:pt>
                <c:pt idx="33">
                  <c:v>0.77530864197530869</c:v>
                </c:pt>
                <c:pt idx="34">
                  <c:v>0.85058275058275057</c:v>
                </c:pt>
                <c:pt idx="35">
                  <c:v>0.94340455840455839</c:v>
                </c:pt>
                <c:pt idx="36">
                  <c:v>0.89907407407407391</c:v>
                </c:pt>
                <c:pt idx="37">
                  <c:v>1</c:v>
                </c:pt>
                <c:pt idx="38">
                  <c:v>0.90649701176016961</c:v>
                </c:pt>
                <c:pt idx="39">
                  <c:v>0.87192982456140355</c:v>
                </c:pt>
                <c:pt idx="40">
                  <c:v>0.80920314253647585</c:v>
                </c:pt>
                <c:pt idx="41">
                  <c:v>0.97964651581672868</c:v>
                </c:pt>
                <c:pt idx="42">
                  <c:v>0.75088025073577191</c:v>
                </c:pt>
                <c:pt idx="43">
                  <c:v>0.81666666666666665</c:v>
                </c:pt>
                <c:pt idx="44">
                  <c:v>0.99629629629629635</c:v>
                </c:pt>
                <c:pt idx="45">
                  <c:v>0.94685990338164239</c:v>
                </c:pt>
              </c:numCache>
            </c:numRef>
          </c:val>
          <c:extLst>
            <c:ext xmlns:c16="http://schemas.microsoft.com/office/drawing/2014/chart" uri="{C3380CC4-5D6E-409C-BE32-E72D297353CC}">
              <c16:uniqueId val="{00000052-2EBA-4932-B821-D657A2AE7E37}"/>
            </c:ext>
          </c:extLst>
        </c:ser>
        <c:dLbls>
          <c:showLegendKey val="0"/>
          <c:showVal val="0"/>
          <c:showCatName val="0"/>
          <c:showSerName val="0"/>
          <c:showPercent val="0"/>
          <c:showBubbleSize val="0"/>
        </c:dLbls>
        <c:gapWidth val="200"/>
        <c:overlap val="-27"/>
        <c:axId val="227398568"/>
        <c:axId val="227398960"/>
      </c:barChart>
      <c:lineChart>
        <c:grouping val="standard"/>
        <c:varyColors val="0"/>
        <c:ser>
          <c:idx val="1"/>
          <c:order val="1"/>
          <c:tx>
            <c:strRef>
              <c:f>pt.lvl3_generic_9!$E$7</c:f>
              <c:strCache>
                <c:ptCount val="1"/>
                <c:pt idx="0">
                  <c:v>Average of Cíl %</c:v>
                </c:pt>
              </c:strCache>
            </c:strRef>
          </c:tx>
          <c:spPr>
            <a:ln w="28575" cap="rnd">
              <a:solidFill>
                <a:srgbClr val="000000"/>
              </a:solidFill>
              <a:round/>
            </a:ln>
            <a:effectLst/>
          </c:spPr>
          <c:marker>
            <c:symbol val="none"/>
          </c:marker>
          <c:cat>
            <c:multiLvlStrRef>
              <c:f>pt.lvl3_generic_9!$B$8:$C$54</c:f>
              <c:multiLvlStrCache>
                <c:ptCount val="46"/>
                <c:lvl>
                  <c:pt idx="0">
                    <c:v>0,416666666666667</c:v>
                  </c:pt>
                  <c:pt idx="1">
                    <c:v>0,458333333333333</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0,416666666666667</c:v>
                  </c:pt>
                  <c:pt idx="20">
                    <c:v>0,875</c:v>
                  </c:pt>
                  <c:pt idx="21">
                    <c:v>(blank)</c:v>
                  </c:pt>
                  <c:pt idx="22">
                    <c:v>7</c:v>
                  </c:pt>
                  <c:pt idx="23">
                    <c:v>8</c:v>
                  </c:pt>
                  <c:pt idx="24">
                    <c:v>9</c:v>
                  </c:pt>
                  <c:pt idx="25">
                    <c:v>10</c:v>
                  </c:pt>
                  <c:pt idx="26">
                    <c:v>11</c:v>
                  </c:pt>
                  <c:pt idx="27">
                    <c:v>12</c:v>
                  </c:pt>
                  <c:pt idx="28">
                    <c:v>13</c:v>
                  </c:pt>
                  <c:pt idx="29">
                    <c:v>14</c:v>
                  </c:pt>
                  <c:pt idx="30">
                    <c:v>15</c:v>
                  </c:pt>
                  <c:pt idx="31">
                    <c:v>16</c:v>
                  </c:pt>
                  <c:pt idx="32">
                    <c:v>17</c:v>
                  </c:pt>
                  <c:pt idx="33">
                    <c:v>18</c:v>
                  </c:pt>
                  <c:pt idx="34">
                    <c:v>19</c:v>
                  </c:pt>
                  <c:pt idx="35">
                    <c:v>20</c:v>
                  </c:pt>
                  <c:pt idx="36">
                    <c:v>21</c:v>
                  </c:pt>
                  <c:pt idx="37">
                    <c:v>22</c:v>
                  </c:pt>
                  <c:pt idx="38">
                    <c:v>23</c:v>
                  </c:pt>
                  <c:pt idx="39">
                    <c:v>0</c:v>
                  </c:pt>
                  <c:pt idx="40">
                    <c:v>1</c:v>
                  </c:pt>
                  <c:pt idx="41">
                    <c:v>2</c:v>
                  </c:pt>
                  <c:pt idx="42">
                    <c:v>3</c:v>
                  </c:pt>
                  <c:pt idx="43">
                    <c:v>4</c:v>
                  </c:pt>
                  <c:pt idx="44">
                    <c:v>5</c:v>
                  </c:pt>
                  <c:pt idx="45">
                    <c:v>6</c:v>
                  </c:pt>
                </c:lvl>
                <c:lvl>
                  <c:pt idx="0">
                    <c:v>14.03.2017</c:v>
                  </c:pt>
                  <c:pt idx="19">
                    <c:v>15.03.2017</c:v>
                  </c:pt>
                  <c:pt idx="21">
                    <c:v>(blank)</c:v>
                  </c:pt>
                  <c:pt idx="22">
                    <c:v>21.08.2017</c:v>
                  </c:pt>
                </c:lvl>
              </c:multiLvlStrCache>
            </c:multiLvlStrRef>
          </c:cat>
          <c:val>
            <c:numRef>
              <c:f>pt.lvl3_generic_9!$E$8:$E$54</c:f>
              <c:numCache>
                <c:formatCode>General</c:formatCode>
                <c:ptCount val="46"/>
                <c:pt idx="0">
                  <c:v>0.85</c:v>
                </c:pt>
                <c:pt idx="1">
                  <c:v>0.85</c:v>
                </c:pt>
                <c:pt idx="2">
                  <c:v>0.84999999999999976</c:v>
                </c:pt>
                <c:pt idx="3">
                  <c:v>0.84999999999999976</c:v>
                </c:pt>
                <c:pt idx="4">
                  <c:v>0.84999999999999987</c:v>
                </c:pt>
                <c:pt idx="5">
                  <c:v>0.84999999999999987</c:v>
                </c:pt>
                <c:pt idx="6">
                  <c:v>0.84999999999999987</c:v>
                </c:pt>
                <c:pt idx="7">
                  <c:v>0.84999999999999976</c:v>
                </c:pt>
                <c:pt idx="8">
                  <c:v>0.84999999999999976</c:v>
                </c:pt>
                <c:pt idx="9">
                  <c:v>0.84999999999999987</c:v>
                </c:pt>
                <c:pt idx="10">
                  <c:v>0.84999999999999987</c:v>
                </c:pt>
                <c:pt idx="11">
                  <c:v>0.84999999999999987</c:v>
                </c:pt>
                <c:pt idx="12">
                  <c:v>0.84999999999999987</c:v>
                </c:pt>
                <c:pt idx="13">
                  <c:v>0.84999999999999987</c:v>
                </c:pt>
                <c:pt idx="14">
                  <c:v>0.84999999999999987</c:v>
                </c:pt>
                <c:pt idx="15">
                  <c:v>0.84999999999999987</c:v>
                </c:pt>
                <c:pt idx="16">
                  <c:v>0.84999999999999987</c:v>
                </c:pt>
                <c:pt idx="17">
                  <c:v>0.84999999999999987</c:v>
                </c:pt>
                <c:pt idx="18">
                  <c:v>0.84999999999999987</c:v>
                </c:pt>
                <c:pt idx="19">
                  <c:v>0.85</c:v>
                </c:pt>
                <c:pt idx="20">
                  <c:v>0.85</c:v>
                </c:pt>
                <c:pt idx="22">
                  <c:v>0.79999999999999993</c:v>
                </c:pt>
                <c:pt idx="23">
                  <c:v>0.79999999999999993</c:v>
                </c:pt>
                <c:pt idx="24">
                  <c:v>0.79999999999999993</c:v>
                </c:pt>
                <c:pt idx="25">
                  <c:v>0.79999999999999993</c:v>
                </c:pt>
                <c:pt idx="26">
                  <c:v>0.79999999999999993</c:v>
                </c:pt>
                <c:pt idx="27">
                  <c:v>0.79999999999999993</c:v>
                </c:pt>
                <c:pt idx="28">
                  <c:v>0.79999999999999993</c:v>
                </c:pt>
                <c:pt idx="29">
                  <c:v>0.79999999999999993</c:v>
                </c:pt>
                <c:pt idx="30">
                  <c:v>0.79999999999999993</c:v>
                </c:pt>
                <c:pt idx="31">
                  <c:v>0.79999999999999993</c:v>
                </c:pt>
                <c:pt idx="32">
                  <c:v>0.79999999999999993</c:v>
                </c:pt>
                <c:pt idx="33">
                  <c:v>0.79999999999999993</c:v>
                </c:pt>
                <c:pt idx="34">
                  <c:v>0.79999999999999993</c:v>
                </c:pt>
                <c:pt idx="35">
                  <c:v>0.79999999999999993</c:v>
                </c:pt>
                <c:pt idx="36">
                  <c:v>0.79999999999999993</c:v>
                </c:pt>
                <c:pt idx="37">
                  <c:v>0.79999999999999993</c:v>
                </c:pt>
                <c:pt idx="38">
                  <c:v>0.79999999999999993</c:v>
                </c:pt>
                <c:pt idx="39">
                  <c:v>0.79999999999999993</c:v>
                </c:pt>
                <c:pt idx="40">
                  <c:v>0.79999999999999993</c:v>
                </c:pt>
                <c:pt idx="41">
                  <c:v>0.79999999999999993</c:v>
                </c:pt>
                <c:pt idx="42">
                  <c:v>0.79999999999999993</c:v>
                </c:pt>
                <c:pt idx="43">
                  <c:v>0.79999999999999993</c:v>
                </c:pt>
                <c:pt idx="44">
                  <c:v>0.79999999999999993</c:v>
                </c:pt>
                <c:pt idx="45">
                  <c:v>0.79999999999999993</c:v>
                </c:pt>
              </c:numCache>
            </c:numRef>
          </c:val>
          <c:smooth val="0"/>
          <c:extLst>
            <c:ext xmlns:c16="http://schemas.microsoft.com/office/drawing/2014/chart" uri="{C3380CC4-5D6E-409C-BE32-E72D297353CC}">
              <c16:uniqueId val="{00000053-2EBA-4932-B821-D657A2AE7E37}"/>
            </c:ext>
          </c:extLst>
        </c:ser>
        <c:ser>
          <c:idx val="2"/>
          <c:order val="2"/>
          <c:tx>
            <c:strRef>
              <c:f>pt.lvl3_generic_9!$F$7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6-C14F-46AF-9675-99E88732CF6E}"/>
              </c:ext>
            </c:extLst>
          </c:dPt>
          <c:dPt>
            <c:idx val="1"/>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7-C14F-46AF-9675-99E88732CF6E}"/>
              </c:ext>
            </c:extLst>
          </c:dPt>
          <c:dPt>
            <c:idx val="2"/>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8-C14F-46AF-9675-99E88732CF6E}"/>
              </c:ext>
            </c:extLst>
          </c:dPt>
          <c:dPt>
            <c:idx val="3"/>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9-C14F-46AF-9675-99E88732CF6E}"/>
              </c:ext>
            </c:extLst>
          </c:dPt>
          <c:dPt>
            <c:idx val="4"/>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A-C14F-46AF-9675-99E88732CF6E}"/>
              </c:ext>
            </c:extLst>
          </c:dPt>
          <c:dPt>
            <c:idx val="5"/>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B-C14F-46AF-9675-99E88732CF6E}"/>
              </c:ext>
            </c:extLst>
          </c:dPt>
          <c:dPt>
            <c:idx val="6"/>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C-C14F-46AF-9675-99E88732CF6E}"/>
              </c:ext>
            </c:extLst>
          </c:dPt>
          <c:dPt>
            <c:idx val="7"/>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D-C14F-46AF-9675-99E88732CF6E}"/>
              </c:ext>
            </c:extLst>
          </c:dPt>
          <c:dPt>
            <c:idx val="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E-C14F-46AF-9675-99E88732CF6E}"/>
              </c:ext>
            </c:extLst>
          </c:dPt>
          <c:dPt>
            <c:idx val="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F-C14F-46AF-9675-99E88732CF6E}"/>
              </c:ext>
            </c:extLst>
          </c:dPt>
          <c:dPt>
            <c:idx val="10"/>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0-C14F-46AF-9675-99E88732CF6E}"/>
              </c:ext>
            </c:extLst>
          </c:dPt>
          <c:dPt>
            <c:idx val="11"/>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1-C14F-46AF-9675-99E88732CF6E}"/>
              </c:ext>
            </c:extLst>
          </c:dPt>
          <c:dPt>
            <c:idx val="12"/>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2-C14F-46AF-9675-99E88732CF6E}"/>
              </c:ext>
            </c:extLst>
          </c:dPt>
          <c:dPt>
            <c:idx val="13"/>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3-C14F-46AF-9675-99E88732CF6E}"/>
              </c:ext>
            </c:extLst>
          </c:dPt>
          <c:dPt>
            <c:idx val="14"/>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4-C14F-46AF-9675-99E88732CF6E}"/>
              </c:ext>
            </c:extLst>
          </c:dPt>
          <c:dPt>
            <c:idx val="15"/>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5-C14F-46AF-9675-99E88732CF6E}"/>
              </c:ext>
            </c:extLst>
          </c:dPt>
          <c:dPt>
            <c:idx val="16"/>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6-C14F-46AF-9675-99E88732CF6E}"/>
              </c:ext>
            </c:extLst>
          </c:dPt>
          <c:dPt>
            <c:idx val="17"/>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7-C14F-46AF-9675-99E88732CF6E}"/>
              </c:ext>
            </c:extLst>
          </c:dPt>
          <c:dPt>
            <c:idx val="18"/>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8-C14F-46AF-9675-99E88732CF6E}"/>
              </c:ext>
            </c:extLst>
          </c:dPt>
          <c:dPt>
            <c:idx val="19"/>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9-C14F-46AF-9675-99E88732CF6E}"/>
              </c:ext>
            </c:extLst>
          </c:dPt>
          <c:dPt>
            <c:idx val="20"/>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A-C14F-46AF-9675-99E88732CF6E}"/>
              </c:ext>
            </c:extLst>
          </c:dPt>
          <c:dPt>
            <c:idx val="21"/>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B-C14F-46AF-9675-99E88732CF6E}"/>
              </c:ext>
            </c:extLst>
          </c:dPt>
          <c:dPt>
            <c:idx val="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9-C056-484C-933E-AF3E0A2F4D6E}"/>
              </c:ext>
            </c:extLst>
          </c:dPt>
          <c:dPt>
            <c:idx val="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B-C056-484C-933E-AF3E0A2F4D6E}"/>
              </c:ext>
            </c:extLst>
          </c:dPt>
          <c:dPt>
            <c:idx val="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D-C056-484C-933E-AF3E0A2F4D6E}"/>
              </c:ext>
            </c:extLst>
          </c:dPt>
          <c:dPt>
            <c:idx val="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F-C056-484C-933E-AF3E0A2F4D6E}"/>
              </c:ext>
            </c:extLst>
          </c:dPt>
          <c:dPt>
            <c:idx val="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1-C056-484C-933E-AF3E0A2F4D6E}"/>
              </c:ext>
            </c:extLst>
          </c:dPt>
          <c:dPt>
            <c:idx val="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3-C056-484C-933E-AF3E0A2F4D6E}"/>
              </c:ext>
            </c:extLst>
          </c:dPt>
          <c:dPt>
            <c:idx val="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5-C056-484C-933E-AF3E0A2F4D6E}"/>
              </c:ext>
            </c:extLst>
          </c:dPt>
          <c:dPt>
            <c:idx val="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7-C056-484C-933E-AF3E0A2F4D6E}"/>
              </c:ext>
            </c:extLst>
          </c:dPt>
          <c:dPt>
            <c:idx val="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9-C056-484C-933E-AF3E0A2F4D6E}"/>
              </c:ext>
            </c:extLst>
          </c:dPt>
          <c:dPt>
            <c:idx val="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B-C056-484C-933E-AF3E0A2F4D6E}"/>
              </c:ext>
            </c:extLst>
          </c:dPt>
          <c:dPt>
            <c:idx val="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D-C056-484C-933E-AF3E0A2F4D6E}"/>
              </c:ext>
            </c:extLst>
          </c:dPt>
          <c:dPt>
            <c:idx val="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F-C056-484C-933E-AF3E0A2F4D6E}"/>
              </c:ext>
            </c:extLst>
          </c:dPt>
          <c:dPt>
            <c:idx val="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C-5DA1-44B5-8F6C-975238A25A23}"/>
              </c:ext>
            </c:extLst>
          </c:dPt>
          <c:dPt>
            <c:idx val="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D-5DA1-44B5-8F6C-975238A25A23}"/>
              </c:ext>
            </c:extLst>
          </c:dPt>
          <c:dPt>
            <c:idx val="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E-5DA1-44B5-8F6C-975238A25A23}"/>
              </c:ext>
            </c:extLst>
          </c:dPt>
          <c:dPt>
            <c:idx val="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F-5DA1-44B5-8F6C-975238A25A23}"/>
              </c:ext>
            </c:extLst>
          </c:dPt>
          <c:dPt>
            <c:idx val="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0-5DA1-44B5-8F6C-975238A25A23}"/>
              </c:ext>
            </c:extLst>
          </c:dPt>
          <c:dPt>
            <c:idx val="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1-5DA1-44B5-8F6C-975238A25A23}"/>
              </c:ext>
            </c:extLst>
          </c:dPt>
          <c:dPt>
            <c:idx val="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2-5DA1-44B5-8F6C-975238A25A23}"/>
              </c:ext>
            </c:extLst>
          </c:dPt>
          <c:dPt>
            <c:idx val="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3-5DA1-44B5-8F6C-975238A25A23}"/>
              </c:ext>
            </c:extLst>
          </c:dPt>
          <c:dPt>
            <c:idx val="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4-5DA1-44B5-8F6C-975238A25A23}"/>
              </c:ext>
            </c:extLst>
          </c:dPt>
          <c:dPt>
            <c:idx val="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5-5DA1-44B5-8F6C-975238A25A23}"/>
              </c:ext>
            </c:extLst>
          </c:dPt>
          <c:dPt>
            <c:idx val="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6-5DA1-44B5-8F6C-975238A25A23}"/>
              </c:ext>
            </c:extLst>
          </c:dPt>
          <c:dPt>
            <c:idx val="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7-5DA1-44B5-8F6C-975238A25A23}"/>
              </c:ext>
            </c:extLst>
          </c:dPt>
          <c:cat>
            <c:multiLvlStrRef>
              <c:f>pt.lvl3_generic_9!$B$8:$C$54</c:f>
              <c:multiLvlStrCache>
                <c:ptCount val="46"/>
                <c:lvl>
                  <c:pt idx="0">
                    <c:v>0,416666666666667</c:v>
                  </c:pt>
                  <c:pt idx="1">
                    <c:v>0,458333333333333</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0,416666666666667</c:v>
                  </c:pt>
                  <c:pt idx="20">
                    <c:v>0,875</c:v>
                  </c:pt>
                  <c:pt idx="21">
                    <c:v>(blank)</c:v>
                  </c:pt>
                  <c:pt idx="22">
                    <c:v>7</c:v>
                  </c:pt>
                  <c:pt idx="23">
                    <c:v>8</c:v>
                  </c:pt>
                  <c:pt idx="24">
                    <c:v>9</c:v>
                  </c:pt>
                  <c:pt idx="25">
                    <c:v>10</c:v>
                  </c:pt>
                  <c:pt idx="26">
                    <c:v>11</c:v>
                  </c:pt>
                  <c:pt idx="27">
                    <c:v>12</c:v>
                  </c:pt>
                  <c:pt idx="28">
                    <c:v>13</c:v>
                  </c:pt>
                  <c:pt idx="29">
                    <c:v>14</c:v>
                  </c:pt>
                  <c:pt idx="30">
                    <c:v>15</c:v>
                  </c:pt>
                  <c:pt idx="31">
                    <c:v>16</c:v>
                  </c:pt>
                  <c:pt idx="32">
                    <c:v>17</c:v>
                  </c:pt>
                  <c:pt idx="33">
                    <c:v>18</c:v>
                  </c:pt>
                  <c:pt idx="34">
                    <c:v>19</c:v>
                  </c:pt>
                  <c:pt idx="35">
                    <c:v>20</c:v>
                  </c:pt>
                  <c:pt idx="36">
                    <c:v>21</c:v>
                  </c:pt>
                  <c:pt idx="37">
                    <c:v>22</c:v>
                  </c:pt>
                  <c:pt idx="38">
                    <c:v>23</c:v>
                  </c:pt>
                  <c:pt idx="39">
                    <c:v>0</c:v>
                  </c:pt>
                  <c:pt idx="40">
                    <c:v>1</c:v>
                  </c:pt>
                  <c:pt idx="41">
                    <c:v>2</c:v>
                  </c:pt>
                  <c:pt idx="42">
                    <c:v>3</c:v>
                  </c:pt>
                  <c:pt idx="43">
                    <c:v>4</c:v>
                  </c:pt>
                  <c:pt idx="44">
                    <c:v>5</c:v>
                  </c:pt>
                  <c:pt idx="45">
                    <c:v>6</c:v>
                  </c:pt>
                </c:lvl>
                <c:lvl>
                  <c:pt idx="0">
                    <c:v>14.03.2017</c:v>
                  </c:pt>
                  <c:pt idx="19">
                    <c:v>15.03.2017</c:v>
                  </c:pt>
                  <c:pt idx="21">
                    <c:v>(blank)</c:v>
                  </c:pt>
                  <c:pt idx="22">
                    <c:v>21.08.2017</c:v>
                  </c:pt>
                </c:lvl>
              </c:multiLvlStrCache>
            </c:multiLvlStrRef>
          </c:cat>
          <c:val>
            <c:numRef>
              <c:f>pt.lvl3_generic_9!$F$8:$F$54</c:f>
              <c:numCache>
                <c:formatCode>General</c:formatCode>
                <c:ptCount val="46"/>
                <c:pt idx="0">
                  <c:v>0.91000000000000014</c:v>
                </c:pt>
                <c:pt idx="1">
                  <c:v>0.87</c:v>
                </c:pt>
                <c:pt idx="2">
                  <c:v>0.90000000000000024</c:v>
                </c:pt>
                <c:pt idx="3">
                  <c:v>0.90000000000000013</c:v>
                </c:pt>
                <c:pt idx="4">
                  <c:v>0.90000000000000013</c:v>
                </c:pt>
                <c:pt idx="5">
                  <c:v>0.90000000000000013</c:v>
                </c:pt>
                <c:pt idx="6">
                  <c:v>0.90000000000000013</c:v>
                </c:pt>
                <c:pt idx="7">
                  <c:v>0.86666666666666681</c:v>
                </c:pt>
                <c:pt idx="8">
                  <c:v>0.82777777777777795</c:v>
                </c:pt>
                <c:pt idx="9">
                  <c:v>0.84444444444444455</c:v>
                </c:pt>
                <c:pt idx="10">
                  <c:v>0.94444444444444464</c:v>
                </c:pt>
                <c:pt idx="11">
                  <c:v>0.90000000000000013</c:v>
                </c:pt>
                <c:pt idx="12">
                  <c:v>0.90000000000000013</c:v>
                </c:pt>
                <c:pt idx="13">
                  <c:v>0.90000000000000013</c:v>
                </c:pt>
                <c:pt idx="14">
                  <c:v>0.90000000000000013</c:v>
                </c:pt>
                <c:pt idx="15">
                  <c:v>0.90000000000000013</c:v>
                </c:pt>
                <c:pt idx="16">
                  <c:v>0.90000000000000013</c:v>
                </c:pt>
                <c:pt idx="17">
                  <c:v>0.90000000000000013</c:v>
                </c:pt>
                <c:pt idx="18">
                  <c:v>0.90000000000000013</c:v>
                </c:pt>
                <c:pt idx="19">
                  <c:v>0.91666666666666663</c:v>
                </c:pt>
                <c:pt idx="20">
                  <c:v>0.91666666666666663</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smooth val="0"/>
          <c:extLst>
            <c:ext xmlns:c16="http://schemas.microsoft.com/office/drawing/2014/chart" uri="{C3380CC4-5D6E-409C-BE32-E72D297353CC}">
              <c16:uniqueId val="{00000054-2EBA-4932-B821-D657A2AE7E37}"/>
            </c:ext>
          </c:extLst>
        </c:ser>
        <c:dLbls>
          <c:showLegendKey val="0"/>
          <c:showVal val="0"/>
          <c:showCatName val="0"/>
          <c:showSerName val="0"/>
          <c:showPercent val="0"/>
          <c:showBubbleSize val="0"/>
        </c:dLbls>
        <c:marker val="1"/>
        <c:smooth val="0"/>
        <c:axId val="227398568"/>
        <c:axId val="227398960"/>
      </c:lineChart>
      <c:catAx>
        <c:axId val="227398568"/>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27398960"/>
        <c:crosses val="autoZero"/>
        <c:auto val="1"/>
        <c:lblAlgn val="ctr"/>
        <c:lblOffset val="100"/>
        <c:noMultiLvlLbl val="0"/>
      </c:catAx>
      <c:valAx>
        <c:axId val="227398960"/>
        <c:scaling>
          <c:orientation val="minMax"/>
          <c:max val="1.1000000000000001"/>
          <c:min val="0.5"/>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27398568"/>
        <c:crosses val="autoZero"/>
        <c:crossBetween val="between"/>
        <c:majorUnit val="0.1"/>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1.3_3_2.xlsm]pt.lvl3_generic_10!pt.lvl3_generic_10</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w="28575" cap="rnd">
            <a:solidFill>
              <a:srgbClr val="000000"/>
            </a:solidFill>
            <a:round/>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3"/>
        <c:spPr>
          <a:solidFill>
            <a:schemeClr val="accent1"/>
          </a:solidFill>
          <a:ln>
            <a:noFill/>
          </a:ln>
          <a:effectLst/>
        </c:spPr>
      </c:pivotFmt>
      <c:pivotFmt>
        <c:idx val="54"/>
        <c:spPr>
          <a:solidFill>
            <a:schemeClr val="accent1"/>
          </a:solidFill>
          <a:ln>
            <a:noFill/>
          </a:ln>
          <a:effectLst/>
        </c:spPr>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
        <c:idx val="76"/>
        <c:spPr>
          <a:solidFill>
            <a:schemeClr val="accent1"/>
          </a:solidFill>
          <a:ln>
            <a:noFill/>
          </a:ln>
          <a:effectLst/>
        </c:spPr>
      </c:pivotFmt>
      <c:pivotFmt>
        <c:idx val="7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7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7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1"/>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3"/>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4"/>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5"/>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6"/>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1"/>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3"/>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4"/>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5"/>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6"/>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1"/>
        <c:spPr>
          <a:solidFill>
            <a:schemeClr val="accent1"/>
          </a:solidFill>
          <a:ln>
            <a:noFill/>
          </a:ln>
          <a:effectLst/>
        </c:spPr>
        <c:marker>
          <c:symbol val="none"/>
        </c:marker>
      </c:pivotFmt>
      <c:pivotFmt>
        <c:idx val="102"/>
        <c:spPr>
          <a:ln w="28575" cap="rnd">
            <a:solidFill>
              <a:srgbClr val="000000"/>
            </a:solidFill>
            <a:round/>
          </a:ln>
          <a:effectLst/>
        </c:spPr>
        <c:marker>
          <c:symbol val="none"/>
        </c:marker>
      </c:pivotFmt>
      <c:pivotFmt>
        <c:idx val="103"/>
        <c:spPr>
          <a:solidFill>
            <a:schemeClr val="accent1"/>
          </a:solidFill>
          <a:ln>
            <a:noFill/>
          </a:ln>
          <a:effectLst/>
        </c:spPr>
        <c:marker>
          <c:symbol val="none"/>
        </c:marker>
      </c:pivotFmt>
      <c:pivotFmt>
        <c:idx val="10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0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3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4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9"/>
        <c:spPr>
          <a:solidFill>
            <a:srgbClr val="9CC746"/>
          </a:solidFill>
          <a:ln>
            <a:noFill/>
          </a:ln>
          <a:effectLst/>
        </c:spPr>
        <c:marker>
          <c:symbol val="circle"/>
          <c:size val="5"/>
          <c:spPr>
            <a:solidFill>
              <a:schemeClr val="accent1"/>
            </a:solidFill>
            <a:ln w="9525">
              <a:solidFill>
                <a:schemeClr val="accent1"/>
              </a:solidFill>
            </a:ln>
            <a:effectLst/>
          </c:spPr>
        </c:marker>
      </c:pivotFmt>
    </c:pivotFmts>
    <c:plotArea>
      <c:layout>
        <c:manualLayout>
          <c:layoutTarget val="inner"/>
          <c:xMode val="edge"/>
          <c:yMode val="edge"/>
          <c:x val="4.2885701325421952E-2"/>
          <c:y val="0.19467259963941849"/>
          <c:w val="0.93595404622657019"/>
          <c:h val="0.69662434308949339"/>
        </c:manualLayout>
      </c:layout>
      <c:barChart>
        <c:barDir val="col"/>
        <c:grouping val="clustered"/>
        <c:varyColors val="0"/>
        <c:ser>
          <c:idx val="0"/>
          <c:order val="0"/>
          <c:tx>
            <c:strRef>
              <c:f>pt.lvl3_generic_10!$D$7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0-E2E4-4C9F-A5F3-DECFF3FF926F}"/>
              </c:ext>
            </c:extLst>
          </c:dPt>
          <c:dPt>
            <c:idx val="1"/>
            <c:invertIfNegative val="0"/>
            <c:bubble3D val="0"/>
            <c:spPr>
              <a:solidFill>
                <a:srgbClr val="9B2D2A"/>
              </a:solidFill>
              <a:ln>
                <a:noFill/>
              </a:ln>
              <a:effectLst/>
            </c:spPr>
            <c:extLst>
              <c:ext xmlns:c16="http://schemas.microsoft.com/office/drawing/2014/chart" uri="{C3380CC4-5D6E-409C-BE32-E72D297353CC}">
                <c16:uniqueId val="{00000001-E2E4-4C9F-A5F3-DECFF3FF926F}"/>
              </c:ext>
            </c:extLst>
          </c:dPt>
          <c:dPt>
            <c:idx val="2"/>
            <c:invertIfNegative val="0"/>
            <c:bubble3D val="0"/>
            <c:spPr>
              <a:solidFill>
                <a:srgbClr val="9CC746"/>
              </a:solidFill>
              <a:ln>
                <a:noFill/>
              </a:ln>
              <a:effectLst/>
            </c:spPr>
            <c:extLst>
              <c:ext xmlns:c16="http://schemas.microsoft.com/office/drawing/2014/chart" uri="{C3380CC4-5D6E-409C-BE32-E72D297353CC}">
                <c16:uniqueId val="{00000002-E2E4-4C9F-A5F3-DECFF3FF926F}"/>
              </c:ext>
            </c:extLst>
          </c:dPt>
          <c:dPt>
            <c:idx val="3"/>
            <c:invertIfNegative val="0"/>
            <c:bubble3D val="0"/>
            <c:spPr>
              <a:solidFill>
                <a:srgbClr val="9CC746"/>
              </a:solidFill>
              <a:ln>
                <a:noFill/>
              </a:ln>
              <a:effectLst/>
            </c:spPr>
            <c:extLst>
              <c:ext xmlns:c16="http://schemas.microsoft.com/office/drawing/2014/chart" uri="{C3380CC4-5D6E-409C-BE32-E72D297353CC}">
                <c16:uniqueId val="{00000003-E2E4-4C9F-A5F3-DECFF3FF926F}"/>
              </c:ext>
            </c:extLst>
          </c:dPt>
          <c:dPt>
            <c:idx val="4"/>
            <c:invertIfNegative val="0"/>
            <c:bubble3D val="0"/>
            <c:spPr>
              <a:solidFill>
                <a:srgbClr val="9CC746"/>
              </a:solidFill>
              <a:ln>
                <a:noFill/>
              </a:ln>
              <a:effectLst/>
            </c:spPr>
            <c:extLst>
              <c:ext xmlns:c16="http://schemas.microsoft.com/office/drawing/2014/chart" uri="{C3380CC4-5D6E-409C-BE32-E72D297353CC}">
                <c16:uniqueId val="{00000004-E2E4-4C9F-A5F3-DECFF3FF926F}"/>
              </c:ext>
            </c:extLst>
          </c:dPt>
          <c:dPt>
            <c:idx val="5"/>
            <c:invertIfNegative val="0"/>
            <c:bubble3D val="0"/>
            <c:spPr>
              <a:solidFill>
                <a:srgbClr val="9CC746"/>
              </a:solidFill>
              <a:ln>
                <a:noFill/>
              </a:ln>
              <a:effectLst/>
            </c:spPr>
            <c:extLst>
              <c:ext xmlns:c16="http://schemas.microsoft.com/office/drawing/2014/chart" uri="{C3380CC4-5D6E-409C-BE32-E72D297353CC}">
                <c16:uniqueId val="{00000005-E2E4-4C9F-A5F3-DECFF3FF926F}"/>
              </c:ext>
            </c:extLst>
          </c:dPt>
          <c:dPt>
            <c:idx val="6"/>
            <c:invertIfNegative val="0"/>
            <c:bubble3D val="0"/>
            <c:spPr>
              <a:solidFill>
                <a:srgbClr val="9CC746"/>
              </a:solidFill>
              <a:ln>
                <a:noFill/>
              </a:ln>
              <a:effectLst/>
            </c:spPr>
            <c:extLst>
              <c:ext xmlns:c16="http://schemas.microsoft.com/office/drawing/2014/chart" uri="{C3380CC4-5D6E-409C-BE32-E72D297353CC}">
                <c16:uniqueId val="{00000006-E2E4-4C9F-A5F3-DECFF3FF926F}"/>
              </c:ext>
            </c:extLst>
          </c:dPt>
          <c:dPt>
            <c:idx val="7"/>
            <c:invertIfNegative val="0"/>
            <c:bubble3D val="0"/>
            <c:spPr>
              <a:solidFill>
                <a:srgbClr val="9CC746"/>
              </a:solidFill>
              <a:ln>
                <a:noFill/>
              </a:ln>
              <a:effectLst/>
            </c:spPr>
            <c:extLst>
              <c:ext xmlns:c16="http://schemas.microsoft.com/office/drawing/2014/chart" uri="{C3380CC4-5D6E-409C-BE32-E72D297353CC}">
                <c16:uniqueId val="{00000007-E2E4-4C9F-A5F3-DECFF3FF926F}"/>
              </c:ext>
            </c:extLst>
          </c:dPt>
          <c:dPt>
            <c:idx val="8"/>
            <c:invertIfNegative val="0"/>
            <c:bubble3D val="0"/>
            <c:spPr>
              <a:solidFill>
                <a:srgbClr val="9CC746"/>
              </a:solidFill>
              <a:ln>
                <a:noFill/>
              </a:ln>
              <a:effectLst/>
            </c:spPr>
            <c:extLst>
              <c:ext xmlns:c16="http://schemas.microsoft.com/office/drawing/2014/chart" uri="{C3380CC4-5D6E-409C-BE32-E72D297353CC}">
                <c16:uniqueId val="{00000008-E2E4-4C9F-A5F3-DECFF3FF926F}"/>
              </c:ext>
            </c:extLst>
          </c:dPt>
          <c:dPt>
            <c:idx val="9"/>
            <c:invertIfNegative val="0"/>
            <c:bubble3D val="0"/>
            <c:spPr>
              <a:solidFill>
                <a:srgbClr val="9B2D2A"/>
              </a:solidFill>
              <a:ln>
                <a:noFill/>
              </a:ln>
              <a:effectLst/>
            </c:spPr>
            <c:extLst>
              <c:ext xmlns:c16="http://schemas.microsoft.com/office/drawing/2014/chart" uri="{C3380CC4-5D6E-409C-BE32-E72D297353CC}">
                <c16:uniqueId val="{00000009-E2E4-4C9F-A5F3-DECFF3FF926F}"/>
              </c:ext>
            </c:extLst>
          </c:dPt>
          <c:dPt>
            <c:idx val="10"/>
            <c:invertIfNegative val="0"/>
            <c:bubble3D val="0"/>
            <c:spPr>
              <a:solidFill>
                <a:srgbClr val="9CC746"/>
              </a:solidFill>
              <a:ln>
                <a:noFill/>
              </a:ln>
              <a:effectLst/>
            </c:spPr>
            <c:extLst>
              <c:ext xmlns:c16="http://schemas.microsoft.com/office/drawing/2014/chart" uri="{C3380CC4-5D6E-409C-BE32-E72D297353CC}">
                <c16:uniqueId val="{0000000A-E2E4-4C9F-A5F3-DECFF3FF926F}"/>
              </c:ext>
            </c:extLst>
          </c:dPt>
          <c:dPt>
            <c:idx val="11"/>
            <c:invertIfNegative val="0"/>
            <c:bubble3D val="0"/>
            <c:spPr>
              <a:solidFill>
                <a:srgbClr val="9CC746"/>
              </a:solidFill>
              <a:ln>
                <a:noFill/>
              </a:ln>
              <a:effectLst/>
            </c:spPr>
            <c:extLst>
              <c:ext xmlns:c16="http://schemas.microsoft.com/office/drawing/2014/chart" uri="{C3380CC4-5D6E-409C-BE32-E72D297353CC}">
                <c16:uniqueId val="{0000000B-E2E4-4C9F-A5F3-DECFF3FF926F}"/>
              </c:ext>
            </c:extLst>
          </c:dPt>
          <c:dPt>
            <c:idx val="12"/>
            <c:invertIfNegative val="0"/>
            <c:bubble3D val="0"/>
            <c:spPr>
              <a:solidFill>
                <a:srgbClr val="9CC746"/>
              </a:solidFill>
              <a:ln>
                <a:noFill/>
              </a:ln>
              <a:effectLst/>
            </c:spPr>
            <c:extLst>
              <c:ext xmlns:c16="http://schemas.microsoft.com/office/drawing/2014/chart" uri="{C3380CC4-5D6E-409C-BE32-E72D297353CC}">
                <c16:uniqueId val="{0000000C-E2E4-4C9F-A5F3-DECFF3FF926F}"/>
              </c:ext>
            </c:extLst>
          </c:dPt>
          <c:dPt>
            <c:idx val="13"/>
            <c:invertIfNegative val="0"/>
            <c:bubble3D val="0"/>
            <c:spPr>
              <a:solidFill>
                <a:srgbClr val="9CC746"/>
              </a:solidFill>
              <a:ln>
                <a:noFill/>
              </a:ln>
              <a:effectLst/>
            </c:spPr>
            <c:extLst>
              <c:ext xmlns:c16="http://schemas.microsoft.com/office/drawing/2014/chart" uri="{C3380CC4-5D6E-409C-BE32-E72D297353CC}">
                <c16:uniqueId val="{0000000D-E2E4-4C9F-A5F3-DECFF3FF926F}"/>
              </c:ext>
            </c:extLst>
          </c:dPt>
          <c:dPt>
            <c:idx val="14"/>
            <c:invertIfNegative val="0"/>
            <c:bubble3D val="0"/>
            <c:spPr>
              <a:solidFill>
                <a:srgbClr val="9CC746"/>
              </a:solidFill>
              <a:ln>
                <a:noFill/>
              </a:ln>
              <a:effectLst/>
            </c:spPr>
            <c:extLst>
              <c:ext xmlns:c16="http://schemas.microsoft.com/office/drawing/2014/chart" uri="{C3380CC4-5D6E-409C-BE32-E72D297353CC}">
                <c16:uniqueId val="{0000000E-E2E4-4C9F-A5F3-DECFF3FF926F}"/>
              </c:ext>
            </c:extLst>
          </c:dPt>
          <c:dPt>
            <c:idx val="15"/>
            <c:invertIfNegative val="0"/>
            <c:bubble3D val="0"/>
            <c:spPr>
              <a:solidFill>
                <a:srgbClr val="9CC746"/>
              </a:solidFill>
              <a:ln>
                <a:noFill/>
              </a:ln>
              <a:effectLst/>
            </c:spPr>
            <c:extLst>
              <c:ext xmlns:c16="http://schemas.microsoft.com/office/drawing/2014/chart" uri="{C3380CC4-5D6E-409C-BE32-E72D297353CC}">
                <c16:uniqueId val="{0000000F-E2E4-4C9F-A5F3-DECFF3FF926F}"/>
              </c:ext>
            </c:extLst>
          </c:dPt>
          <c:dPt>
            <c:idx val="16"/>
            <c:invertIfNegative val="0"/>
            <c:bubble3D val="0"/>
            <c:spPr>
              <a:solidFill>
                <a:srgbClr val="9CC746"/>
              </a:solidFill>
              <a:ln>
                <a:noFill/>
              </a:ln>
              <a:effectLst/>
            </c:spPr>
            <c:extLst>
              <c:ext xmlns:c16="http://schemas.microsoft.com/office/drawing/2014/chart" uri="{C3380CC4-5D6E-409C-BE32-E72D297353CC}">
                <c16:uniqueId val="{00000010-E2E4-4C9F-A5F3-DECFF3FF926F}"/>
              </c:ext>
            </c:extLst>
          </c:dPt>
          <c:dPt>
            <c:idx val="17"/>
            <c:invertIfNegative val="0"/>
            <c:bubble3D val="0"/>
            <c:spPr>
              <a:solidFill>
                <a:srgbClr val="9CC746"/>
              </a:solidFill>
              <a:ln>
                <a:noFill/>
              </a:ln>
              <a:effectLst/>
            </c:spPr>
            <c:extLst>
              <c:ext xmlns:c16="http://schemas.microsoft.com/office/drawing/2014/chart" uri="{C3380CC4-5D6E-409C-BE32-E72D297353CC}">
                <c16:uniqueId val="{00000011-E2E4-4C9F-A5F3-DECFF3FF926F}"/>
              </c:ext>
            </c:extLst>
          </c:dPt>
          <c:dPt>
            <c:idx val="18"/>
            <c:invertIfNegative val="0"/>
            <c:bubble3D val="0"/>
            <c:spPr>
              <a:solidFill>
                <a:srgbClr val="9CC746"/>
              </a:solidFill>
              <a:ln>
                <a:noFill/>
              </a:ln>
              <a:effectLst/>
            </c:spPr>
            <c:extLst>
              <c:ext xmlns:c16="http://schemas.microsoft.com/office/drawing/2014/chart" uri="{C3380CC4-5D6E-409C-BE32-E72D297353CC}">
                <c16:uniqueId val="{00000012-E2E4-4C9F-A5F3-DECFF3FF926F}"/>
              </c:ext>
            </c:extLst>
          </c:dPt>
          <c:dPt>
            <c:idx val="19"/>
            <c:invertIfNegative val="0"/>
            <c:bubble3D val="0"/>
            <c:spPr>
              <a:solidFill>
                <a:srgbClr val="9B2D2A"/>
              </a:solidFill>
              <a:ln>
                <a:noFill/>
              </a:ln>
              <a:effectLst/>
            </c:spPr>
            <c:extLst>
              <c:ext xmlns:c16="http://schemas.microsoft.com/office/drawing/2014/chart" uri="{C3380CC4-5D6E-409C-BE32-E72D297353CC}">
                <c16:uniqueId val="{00000013-E2E4-4C9F-A5F3-DECFF3FF926F}"/>
              </c:ext>
            </c:extLst>
          </c:dPt>
          <c:dPt>
            <c:idx val="20"/>
            <c:invertIfNegative val="0"/>
            <c:bubble3D val="0"/>
            <c:spPr>
              <a:solidFill>
                <a:srgbClr val="9CC746"/>
              </a:solidFill>
              <a:ln>
                <a:noFill/>
              </a:ln>
              <a:effectLst/>
            </c:spPr>
            <c:extLst>
              <c:ext xmlns:c16="http://schemas.microsoft.com/office/drawing/2014/chart" uri="{C3380CC4-5D6E-409C-BE32-E72D297353CC}">
                <c16:uniqueId val="{00000014-E2E4-4C9F-A5F3-DECFF3FF926F}"/>
              </c:ext>
            </c:extLst>
          </c:dPt>
          <c:dPt>
            <c:idx val="21"/>
            <c:invertIfNegative val="0"/>
            <c:bubble3D val="0"/>
            <c:spPr>
              <a:solidFill>
                <a:srgbClr val="9CC746"/>
              </a:solidFill>
              <a:ln>
                <a:noFill/>
              </a:ln>
              <a:effectLst/>
            </c:spPr>
            <c:extLst>
              <c:ext xmlns:c16="http://schemas.microsoft.com/office/drawing/2014/chart" uri="{C3380CC4-5D6E-409C-BE32-E72D297353CC}">
                <c16:uniqueId val="{00000015-E2E4-4C9F-A5F3-DECFF3FF926F}"/>
              </c:ext>
            </c:extLst>
          </c:dPt>
          <c:dPt>
            <c:idx val="22"/>
            <c:invertIfNegative val="0"/>
            <c:bubble3D val="0"/>
            <c:spPr>
              <a:solidFill>
                <a:srgbClr val="9CC746"/>
              </a:solidFill>
              <a:ln>
                <a:noFill/>
              </a:ln>
              <a:effectLst/>
            </c:spPr>
            <c:extLst>
              <c:ext xmlns:c16="http://schemas.microsoft.com/office/drawing/2014/chart" uri="{C3380CC4-5D6E-409C-BE32-E72D297353CC}">
                <c16:uniqueId val="{00000022-9639-4DB2-8951-6CFCCB115E59}"/>
              </c:ext>
            </c:extLst>
          </c:dPt>
          <c:dPt>
            <c:idx val="23"/>
            <c:invertIfNegative val="0"/>
            <c:bubble3D val="0"/>
            <c:spPr>
              <a:solidFill>
                <a:srgbClr val="9CC746"/>
              </a:solidFill>
              <a:ln>
                <a:noFill/>
              </a:ln>
              <a:effectLst/>
            </c:spPr>
            <c:extLst>
              <c:ext xmlns:c16="http://schemas.microsoft.com/office/drawing/2014/chart" uri="{C3380CC4-5D6E-409C-BE32-E72D297353CC}">
                <c16:uniqueId val="{00000023-9639-4DB2-8951-6CFCCB115E59}"/>
              </c:ext>
            </c:extLst>
          </c:dPt>
          <c:dPt>
            <c:idx val="24"/>
            <c:invertIfNegative val="0"/>
            <c:bubble3D val="0"/>
            <c:spPr>
              <a:solidFill>
                <a:srgbClr val="9CC746"/>
              </a:solidFill>
              <a:ln>
                <a:noFill/>
              </a:ln>
              <a:effectLst/>
            </c:spPr>
            <c:extLst>
              <c:ext xmlns:c16="http://schemas.microsoft.com/office/drawing/2014/chart" uri="{C3380CC4-5D6E-409C-BE32-E72D297353CC}">
                <c16:uniqueId val="{00000024-9639-4DB2-8951-6CFCCB115E59}"/>
              </c:ext>
            </c:extLst>
          </c:dPt>
          <c:dPt>
            <c:idx val="25"/>
            <c:invertIfNegative val="0"/>
            <c:bubble3D val="0"/>
            <c:spPr>
              <a:solidFill>
                <a:srgbClr val="9CC746"/>
              </a:solidFill>
              <a:ln>
                <a:noFill/>
              </a:ln>
              <a:effectLst/>
            </c:spPr>
            <c:extLst>
              <c:ext xmlns:c16="http://schemas.microsoft.com/office/drawing/2014/chart" uri="{C3380CC4-5D6E-409C-BE32-E72D297353CC}">
                <c16:uniqueId val="{00000025-9639-4DB2-8951-6CFCCB115E59}"/>
              </c:ext>
            </c:extLst>
          </c:dPt>
          <c:dPt>
            <c:idx val="26"/>
            <c:invertIfNegative val="0"/>
            <c:bubble3D val="0"/>
            <c:spPr>
              <a:solidFill>
                <a:srgbClr val="9CC746"/>
              </a:solidFill>
              <a:ln>
                <a:noFill/>
              </a:ln>
              <a:effectLst/>
            </c:spPr>
            <c:extLst>
              <c:ext xmlns:c16="http://schemas.microsoft.com/office/drawing/2014/chart" uri="{C3380CC4-5D6E-409C-BE32-E72D297353CC}">
                <c16:uniqueId val="{00000026-9639-4DB2-8951-6CFCCB115E59}"/>
              </c:ext>
            </c:extLst>
          </c:dPt>
          <c:dPt>
            <c:idx val="27"/>
            <c:invertIfNegative val="0"/>
            <c:bubble3D val="0"/>
            <c:spPr>
              <a:solidFill>
                <a:srgbClr val="9CC746"/>
              </a:solidFill>
              <a:ln>
                <a:noFill/>
              </a:ln>
              <a:effectLst/>
            </c:spPr>
            <c:extLst>
              <c:ext xmlns:c16="http://schemas.microsoft.com/office/drawing/2014/chart" uri="{C3380CC4-5D6E-409C-BE32-E72D297353CC}">
                <c16:uniqueId val="{00000027-9639-4DB2-8951-6CFCCB115E59}"/>
              </c:ext>
            </c:extLst>
          </c:dPt>
          <c:dPt>
            <c:idx val="28"/>
            <c:invertIfNegative val="0"/>
            <c:bubble3D val="0"/>
            <c:spPr>
              <a:solidFill>
                <a:srgbClr val="9CC746"/>
              </a:solidFill>
              <a:ln>
                <a:noFill/>
              </a:ln>
              <a:effectLst/>
            </c:spPr>
            <c:extLst>
              <c:ext xmlns:c16="http://schemas.microsoft.com/office/drawing/2014/chart" uri="{C3380CC4-5D6E-409C-BE32-E72D297353CC}">
                <c16:uniqueId val="{00000028-9639-4DB2-8951-6CFCCB115E59}"/>
              </c:ext>
            </c:extLst>
          </c:dPt>
          <c:dPt>
            <c:idx val="29"/>
            <c:invertIfNegative val="0"/>
            <c:bubble3D val="0"/>
            <c:spPr>
              <a:solidFill>
                <a:srgbClr val="9CC746"/>
              </a:solidFill>
              <a:ln>
                <a:noFill/>
              </a:ln>
              <a:effectLst/>
            </c:spPr>
            <c:extLst>
              <c:ext xmlns:c16="http://schemas.microsoft.com/office/drawing/2014/chart" uri="{C3380CC4-5D6E-409C-BE32-E72D297353CC}">
                <c16:uniqueId val="{00000029-9639-4DB2-8951-6CFCCB115E59}"/>
              </c:ext>
            </c:extLst>
          </c:dPt>
          <c:dPt>
            <c:idx val="30"/>
            <c:invertIfNegative val="0"/>
            <c:bubble3D val="0"/>
            <c:spPr>
              <a:solidFill>
                <a:srgbClr val="9CC746"/>
              </a:solidFill>
              <a:ln>
                <a:noFill/>
              </a:ln>
              <a:effectLst/>
            </c:spPr>
            <c:extLst>
              <c:ext xmlns:c16="http://schemas.microsoft.com/office/drawing/2014/chart" uri="{C3380CC4-5D6E-409C-BE32-E72D297353CC}">
                <c16:uniqueId val="{0000002A-9639-4DB2-8951-6CFCCB115E59}"/>
              </c:ext>
            </c:extLst>
          </c:dPt>
          <c:dPt>
            <c:idx val="31"/>
            <c:invertIfNegative val="0"/>
            <c:bubble3D val="0"/>
            <c:spPr>
              <a:solidFill>
                <a:srgbClr val="9CC746"/>
              </a:solidFill>
              <a:ln>
                <a:noFill/>
              </a:ln>
              <a:effectLst/>
            </c:spPr>
            <c:extLst>
              <c:ext xmlns:c16="http://schemas.microsoft.com/office/drawing/2014/chart" uri="{C3380CC4-5D6E-409C-BE32-E72D297353CC}">
                <c16:uniqueId val="{0000002B-9639-4DB2-8951-6CFCCB115E59}"/>
              </c:ext>
            </c:extLst>
          </c:dPt>
          <c:dPt>
            <c:idx val="32"/>
            <c:invertIfNegative val="0"/>
            <c:bubble3D val="0"/>
            <c:spPr>
              <a:solidFill>
                <a:srgbClr val="9CC746"/>
              </a:solidFill>
              <a:ln>
                <a:noFill/>
              </a:ln>
              <a:effectLst/>
            </c:spPr>
            <c:extLst>
              <c:ext xmlns:c16="http://schemas.microsoft.com/office/drawing/2014/chart" uri="{C3380CC4-5D6E-409C-BE32-E72D297353CC}">
                <c16:uniqueId val="{0000002C-9639-4DB2-8951-6CFCCB115E59}"/>
              </c:ext>
            </c:extLst>
          </c:dPt>
          <c:dPt>
            <c:idx val="33"/>
            <c:invertIfNegative val="0"/>
            <c:bubble3D val="0"/>
            <c:spPr>
              <a:solidFill>
                <a:srgbClr val="9B2D2A"/>
              </a:solidFill>
              <a:ln>
                <a:noFill/>
              </a:ln>
              <a:effectLst/>
            </c:spPr>
            <c:extLst>
              <c:ext xmlns:c16="http://schemas.microsoft.com/office/drawing/2014/chart" uri="{C3380CC4-5D6E-409C-BE32-E72D297353CC}">
                <c16:uniqueId val="{0000002D-9639-4DB2-8951-6CFCCB115E59}"/>
              </c:ext>
            </c:extLst>
          </c:dPt>
          <c:dPt>
            <c:idx val="34"/>
            <c:invertIfNegative val="0"/>
            <c:bubble3D val="0"/>
            <c:spPr>
              <a:solidFill>
                <a:srgbClr val="9CC746"/>
              </a:solidFill>
              <a:ln>
                <a:noFill/>
              </a:ln>
              <a:effectLst/>
            </c:spPr>
            <c:extLst>
              <c:ext xmlns:c16="http://schemas.microsoft.com/office/drawing/2014/chart" uri="{C3380CC4-5D6E-409C-BE32-E72D297353CC}">
                <c16:uniqueId val="{0000002E-9639-4DB2-8951-6CFCCB115E59}"/>
              </c:ext>
            </c:extLst>
          </c:dPt>
          <c:dPt>
            <c:idx val="35"/>
            <c:invertIfNegative val="0"/>
            <c:bubble3D val="0"/>
            <c:spPr>
              <a:solidFill>
                <a:srgbClr val="9CC746"/>
              </a:solidFill>
              <a:ln>
                <a:noFill/>
              </a:ln>
              <a:effectLst/>
            </c:spPr>
            <c:extLst>
              <c:ext xmlns:c16="http://schemas.microsoft.com/office/drawing/2014/chart" uri="{C3380CC4-5D6E-409C-BE32-E72D297353CC}">
                <c16:uniqueId val="{0000002F-9639-4DB2-8951-6CFCCB115E59}"/>
              </c:ext>
            </c:extLst>
          </c:dPt>
          <c:dPt>
            <c:idx val="36"/>
            <c:invertIfNegative val="0"/>
            <c:bubble3D val="0"/>
            <c:spPr>
              <a:solidFill>
                <a:srgbClr val="9CC746"/>
              </a:solidFill>
              <a:ln>
                <a:noFill/>
              </a:ln>
              <a:effectLst/>
            </c:spPr>
            <c:extLst>
              <c:ext xmlns:c16="http://schemas.microsoft.com/office/drawing/2014/chart" uri="{C3380CC4-5D6E-409C-BE32-E72D297353CC}">
                <c16:uniqueId val="{00000030-9639-4DB2-8951-6CFCCB115E59}"/>
              </c:ext>
            </c:extLst>
          </c:dPt>
          <c:dPt>
            <c:idx val="37"/>
            <c:invertIfNegative val="0"/>
            <c:bubble3D val="0"/>
            <c:spPr>
              <a:solidFill>
                <a:srgbClr val="9CC746"/>
              </a:solidFill>
              <a:ln>
                <a:noFill/>
              </a:ln>
              <a:effectLst/>
            </c:spPr>
            <c:extLst>
              <c:ext xmlns:c16="http://schemas.microsoft.com/office/drawing/2014/chart" uri="{C3380CC4-5D6E-409C-BE32-E72D297353CC}">
                <c16:uniqueId val="{00000031-9639-4DB2-8951-6CFCCB115E59}"/>
              </c:ext>
            </c:extLst>
          </c:dPt>
          <c:dPt>
            <c:idx val="38"/>
            <c:invertIfNegative val="0"/>
            <c:bubble3D val="0"/>
            <c:spPr>
              <a:solidFill>
                <a:srgbClr val="9CC746"/>
              </a:solidFill>
              <a:ln>
                <a:noFill/>
              </a:ln>
              <a:effectLst/>
            </c:spPr>
            <c:extLst>
              <c:ext xmlns:c16="http://schemas.microsoft.com/office/drawing/2014/chart" uri="{C3380CC4-5D6E-409C-BE32-E72D297353CC}">
                <c16:uniqueId val="{00000032-9639-4DB2-8951-6CFCCB115E59}"/>
              </c:ext>
            </c:extLst>
          </c:dPt>
          <c:dPt>
            <c:idx val="39"/>
            <c:invertIfNegative val="0"/>
            <c:bubble3D val="0"/>
            <c:spPr>
              <a:solidFill>
                <a:srgbClr val="9CC746"/>
              </a:solidFill>
              <a:ln>
                <a:noFill/>
              </a:ln>
              <a:effectLst/>
            </c:spPr>
            <c:extLst>
              <c:ext xmlns:c16="http://schemas.microsoft.com/office/drawing/2014/chart" uri="{C3380CC4-5D6E-409C-BE32-E72D297353CC}">
                <c16:uniqueId val="{00000033-9639-4DB2-8951-6CFCCB115E59}"/>
              </c:ext>
            </c:extLst>
          </c:dPt>
          <c:dPt>
            <c:idx val="40"/>
            <c:invertIfNegative val="0"/>
            <c:bubble3D val="0"/>
            <c:spPr>
              <a:solidFill>
                <a:srgbClr val="9CC746"/>
              </a:solidFill>
              <a:ln>
                <a:noFill/>
              </a:ln>
              <a:effectLst/>
            </c:spPr>
            <c:extLst>
              <c:ext xmlns:c16="http://schemas.microsoft.com/office/drawing/2014/chart" uri="{C3380CC4-5D6E-409C-BE32-E72D297353CC}">
                <c16:uniqueId val="{00000034-9639-4DB2-8951-6CFCCB115E59}"/>
              </c:ext>
            </c:extLst>
          </c:dPt>
          <c:dPt>
            <c:idx val="41"/>
            <c:invertIfNegative val="0"/>
            <c:bubble3D val="0"/>
            <c:spPr>
              <a:solidFill>
                <a:srgbClr val="9CC746"/>
              </a:solidFill>
              <a:ln>
                <a:noFill/>
              </a:ln>
              <a:effectLst/>
            </c:spPr>
            <c:extLst>
              <c:ext xmlns:c16="http://schemas.microsoft.com/office/drawing/2014/chart" uri="{C3380CC4-5D6E-409C-BE32-E72D297353CC}">
                <c16:uniqueId val="{00000035-9639-4DB2-8951-6CFCCB115E59}"/>
              </c:ext>
            </c:extLst>
          </c:dPt>
          <c:dPt>
            <c:idx val="42"/>
            <c:invertIfNegative val="0"/>
            <c:bubble3D val="0"/>
            <c:spPr>
              <a:solidFill>
                <a:srgbClr val="9B2D2A"/>
              </a:solidFill>
              <a:ln>
                <a:noFill/>
              </a:ln>
              <a:effectLst/>
            </c:spPr>
            <c:extLst>
              <c:ext xmlns:c16="http://schemas.microsoft.com/office/drawing/2014/chart" uri="{C3380CC4-5D6E-409C-BE32-E72D297353CC}">
                <c16:uniqueId val="{00000036-9639-4DB2-8951-6CFCCB115E59}"/>
              </c:ext>
            </c:extLst>
          </c:dPt>
          <c:dPt>
            <c:idx val="43"/>
            <c:invertIfNegative val="0"/>
            <c:bubble3D val="0"/>
            <c:spPr>
              <a:solidFill>
                <a:srgbClr val="9CC746"/>
              </a:solidFill>
              <a:ln>
                <a:noFill/>
              </a:ln>
              <a:effectLst/>
            </c:spPr>
            <c:extLst>
              <c:ext xmlns:c16="http://schemas.microsoft.com/office/drawing/2014/chart" uri="{C3380CC4-5D6E-409C-BE32-E72D297353CC}">
                <c16:uniqueId val="{00000037-9639-4DB2-8951-6CFCCB115E59}"/>
              </c:ext>
            </c:extLst>
          </c:dPt>
          <c:dPt>
            <c:idx val="44"/>
            <c:invertIfNegative val="0"/>
            <c:bubble3D val="0"/>
            <c:spPr>
              <a:solidFill>
                <a:srgbClr val="9CC746"/>
              </a:solidFill>
              <a:ln>
                <a:noFill/>
              </a:ln>
              <a:effectLst/>
            </c:spPr>
            <c:extLst>
              <c:ext xmlns:c16="http://schemas.microsoft.com/office/drawing/2014/chart" uri="{C3380CC4-5D6E-409C-BE32-E72D297353CC}">
                <c16:uniqueId val="{00000038-9639-4DB2-8951-6CFCCB115E59}"/>
              </c:ext>
            </c:extLst>
          </c:dPt>
          <c:dPt>
            <c:idx val="45"/>
            <c:invertIfNegative val="0"/>
            <c:bubble3D val="0"/>
            <c:spPr>
              <a:solidFill>
                <a:srgbClr val="9CC746"/>
              </a:solidFill>
              <a:ln>
                <a:noFill/>
              </a:ln>
              <a:effectLst/>
            </c:spPr>
            <c:extLst>
              <c:ext xmlns:c16="http://schemas.microsoft.com/office/drawing/2014/chart" uri="{C3380CC4-5D6E-409C-BE32-E72D297353CC}">
                <c16:uniqueId val="{00000039-9639-4DB2-8951-6CFCCB115E59}"/>
              </c:ext>
            </c:extLst>
          </c:dPt>
          <c:cat>
            <c:multiLvlStrRef>
              <c:f>pt.lvl3_generic_10!$B$8:$C$54</c:f>
              <c:multiLvlStrCache>
                <c:ptCount val="46"/>
                <c:lvl>
                  <c:pt idx="0">
                    <c:v>0,416666666666667</c:v>
                  </c:pt>
                  <c:pt idx="1">
                    <c:v>0,458333333333333</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0,416666666666667</c:v>
                  </c:pt>
                  <c:pt idx="20">
                    <c:v>0,875</c:v>
                  </c:pt>
                  <c:pt idx="21">
                    <c:v>(blank)</c:v>
                  </c:pt>
                  <c:pt idx="22">
                    <c:v>7</c:v>
                  </c:pt>
                  <c:pt idx="23">
                    <c:v>8</c:v>
                  </c:pt>
                  <c:pt idx="24">
                    <c:v>9</c:v>
                  </c:pt>
                  <c:pt idx="25">
                    <c:v>10</c:v>
                  </c:pt>
                  <c:pt idx="26">
                    <c:v>11</c:v>
                  </c:pt>
                  <c:pt idx="27">
                    <c:v>12</c:v>
                  </c:pt>
                  <c:pt idx="28">
                    <c:v>13</c:v>
                  </c:pt>
                  <c:pt idx="29">
                    <c:v>14</c:v>
                  </c:pt>
                  <c:pt idx="30">
                    <c:v>15</c:v>
                  </c:pt>
                  <c:pt idx="31">
                    <c:v>16</c:v>
                  </c:pt>
                  <c:pt idx="32">
                    <c:v>17</c:v>
                  </c:pt>
                  <c:pt idx="33">
                    <c:v>18</c:v>
                  </c:pt>
                  <c:pt idx="34">
                    <c:v>19</c:v>
                  </c:pt>
                  <c:pt idx="35">
                    <c:v>20</c:v>
                  </c:pt>
                  <c:pt idx="36">
                    <c:v>21</c:v>
                  </c:pt>
                  <c:pt idx="37">
                    <c:v>22</c:v>
                  </c:pt>
                  <c:pt idx="38">
                    <c:v>23</c:v>
                  </c:pt>
                  <c:pt idx="39">
                    <c:v>0</c:v>
                  </c:pt>
                  <c:pt idx="40">
                    <c:v>1</c:v>
                  </c:pt>
                  <c:pt idx="41">
                    <c:v>2</c:v>
                  </c:pt>
                  <c:pt idx="42">
                    <c:v>3</c:v>
                  </c:pt>
                  <c:pt idx="43">
                    <c:v>4</c:v>
                  </c:pt>
                  <c:pt idx="44">
                    <c:v>5</c:v>
                  </c:pt>
                  <c:pt idx="45">
                    <c:v>6</c:v>
                  </c:pt>
                </c:lvl>
                <c:lvl>
                  <c:pt idx="0">
                    <c:v>14.03.2017</c:v>
                  </c:pt>
                  <c:pt idx="19">
                    <c:v>15.03.2017</c:v>
                  </c:pt>
                  <c:pt idx="21">
                    <c:v>(blank)</c:v>
                  </c:pt>
                  <c:pt idx="22">
                    <c:v>21.08.2017</c:v>
                  </c:pt>
                </c:lvl>
              </c:multiLvlStrCache>
            </c:multiLvlStrRef>
          </c:cat>
          <c:val>
            <c:numRef>
              <c:f>pt.lvl3_generic_10!$D$8:$D$54</c:f>
              <c:numCache>
                <c:formatCode>General</c:formatCode>
                <c:ptCount val="46"/>
                <c:pt idx="0">
                  <c:v>0.86999999999999988</c:v>
                </c:pt>
                <c:pt idx="1">
                  <c:v>0.8</c:v>
                </c:pt>
                <c:pt idx="2">
                  <c:v>0.96666666666666679</c:v>
                </c:pt>
                <c:pt idx="3">
                  <c:v>0.96666666666666656</c:v>
                </c:pt>
                <c:pt idx="4">
                  <c:v>0.96666666666666679</c:v>
                </c:pt>
                <c:pt idx="5">
                  <c:v>0.96666666666666679</c:v>
                </c:pt>
                <c:pt idx="6">
                  <c:v>0.96666666666666679</c:v>
                </c:pt>
                <c:pt idx="7">
                  <c:v>0.96666666666666679</c:v>
                </c:pt>
                <c:pt idx="8">
                  <c:v>0.94222222222222229</c:v>
                </c:pt>
                <c:pt idx="9">
                  <c:v>0.84222222222222232</c:v>
                </c:pt>
                <c:pt idx="10">
                  <c:v>0.88222222222222235</c:v>
                </c:pt>
                <c:pt idx="11">
                  <c:v>0.92222222222222228</c:v>
                </c:pt>
                <c:pt idx="12">
                  <c:v>0.92222222222222228</c:v>
                </c:pt>
                <c:pt idx="13">
                  <c:v>0.92222222222222228</c:v>
                </c:pt>
                <c:pt idx="14">
                  <c:v>0.87777777777777788</c:v>
                </c:pt>
                <c:pt idx="15">
                  <c:v>0.96666666666666679</c:v>
                </c:pt>
                <c:pt idx="16">
                  <c:v>0.96666666666666679</c:v>
                </c:pt>
                <c:pt idx="17">
                  <c:v>0.96666666666666679</c:v>
                </c:pt>
                <c:pt idx="18">
                  <c:v>0.96666666666666679</c:v>
                </c:pt>
                <c:pt idx="19">
                  <c:v>0.84666666666666668</c:v>
                </c:pt>
                <c:pt idx="20">
                  <c:v>0.92</c:v>
                </c:pt>
                <c:pt idx="22">
                  <c:v>0.88296296296296306</c:v>
                </c:pt>
                <c:pt idx="23">
                  <c:v>0.92562603088918871</c:v>
                </c:pt>
                <c:pt idx="24">
                  <c:v>0.86154429283084244</c:v>
                </c:pt>
                <c:pt idx="25">
                  <c:v>0.81481481481481477</c:v>
                </c:pt>
                <c:pt idx="26">
                  <c:v>0.93307800224466897</c:v>
                </c:pt>
                <c:pt idx="27">
                  <c:v>0.93852880658436222</c:v>
                </c:pt>
                <c:pt idx="28">
                  <c:v>0.91574852163087472</c:v>
                </c:pt>
                <c:pt idx="29">
                  <c:v>0.94444444444444442</c:v>
                </c:pt>
                <c:pt idx="30">
                  <c:v>0.98559670781893005</c:v>
                </c:pt>
                <c:pt idx="31">
                  <c:v>0.92443246480982333</c:v>
                </c:pt>
                <c:pt idx="32">
                  <c:v>0.93754538852578073</c:v>
                </c:pt>
                <c:pt idx="33">
                  <c:v>0.77530864197530869</c:v>
                </c:pt>
                <c:pt idx="34">
                  <c:v>0.85058275058275057</c:v>
                </c:pt>
                <c:pt idx="35">
                  <c:v>0.94340455840455839</c:v>
                </c:pt>
                <c:pt idx="36">
                  <c:v>0.89907407407407391</c:v>
                </c:pt>
                <c:pt idx="37">
                  <c:v>1</c:v>
                </c:pt>
                <c:pt idx="38">
                  <c:v>0.90649701176016961</c:v>
                </c:pt>
                <c:pt idx="39">
                  <c:v>0.87192982456140355</c:v>
                </c:pt>
                <c:pt idx="40">
                  <c:v>0.80920314253647585</c:v>
                </c:pt>
                <c:pt idx="41">
                  <c:v>0.97964651581672868</c:v>
                </c:pt>
                <c:pt idx="42">
                  <c:v>0.75088025073577191</c:v>
                </c:pt>
                <c:pt idx="43">
                  <c:v>0.81666666666666665</c:v>
                </c:pt>
                <c:pt idx="44">
                  <c:v>0.99629629629629635</c:v>
                </c:pt>
                <c:pt idx="45">
                  <c:v>0.94685990338164239</c:v>
                </c:pt>
              </c:numCache>
            </c:numRef>
          </c:val>
          <c:extLst>
            <c:ext xmlns:c16="http://schemas.microsoft.com/office/drawing/2014/chart" uri="{C3380CC4-5D6E-409C-BE32-E72D297353CC}">
              <c16:uniqueId val="{00000052-76E5-4770-B4F3-228CEF43736D}"/>
            </c:ext>
          </c:extLst>
        </c:ser>
        <c:ser>
          <c:idx val="2"/>
          <c:order val="2"/>
          <c:tx>
            <c:strRef>
              <c:f>pt.lvl3_generic_10!$F$7</c:f>
              <c:strCache>
                <c:ptCount val="1"/>
                <c:pt idx="0">
                  <c:v>Average of Cíl Úkol/Člověk</c:v>
                </c:pt>
              </c:strCache>
            </c:strRef>
          </c:tx>
          <c:spPr>
            <a:solidFill>
              <a:schemeClr val="accent3"/>
            </a:solidFill>
            <a:ln>
              <a:noFill/>
            </a:ln>
            <a:effectLst/>
          </c:spPr>
          <c:invertIfNegative val="0"/>
          <c:cat>
            <c:multiLvlStrRef>
              <c:f>pt.lvl3_generic_10!$B$8:$C$54</c:f>
              <c:multiLvlStrCache>
                <c:ptCount val="46"/>
                <c:lvl>
                  <c:pt idx="0">
                    <c:v>0,416666666666667</c:v>
                  </c:pt>
                  <c:pt idx="1">
                    <c:v>0,458333333333333</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0,416666666666667</c:v>
                  </c:pt>
                  <c:pt idx="20">
                    <c:v>0,875</c:v>
                  </c:pt>
                  <c:pt idx="21">
                    <c:v>(blank)</c:v>
                  </c:pt>
                  <c:pt idx="22">
                    <c:v>7</c:v>
                  </c:pt>
                  <c:pt idx="23">
                    <c:v>8</c:v>
                  </c:pt>
                  <c:pt idx="24">
                    <c:v>9</c:v>
                  </c:pt>
                  <c:pt idx="25">
                    <c:v>10</c:v>
                  </c:pt>
                  <c:pt idx="26">
                    <c:v>11</c:v>
                  </c:pt>
                  <c:pt idx="27">
                    <c:v>12</c:v>
                  </c:pt>
                  <c:pt idx="28">
                    <c:v>13</c:v>
                  </c:pt>
                  <c:pt idx="29">
                    <c:v>14</c:v>
                  </c:pt>
                  <c:pt idx="30">
                    <c:v>15</c:v>
                  </c:pt>
                  <c:pt idx="31">
                    <c:v>16</c:v>
                  </c:pt>
                  <c:pt idx="32">
                    <c:v>17</c:v>
                  </c:pt>
                  <c:pt idx="33">
                    <c:v>18</c:v>
                  </c:pt>
                  <c:pt idx="34">
                    <c:v>19</c:v>
                  </c:pt>
                  <c:pt idx="35">
                    <c:v>20</c:v>
                  </c:pt>
                  <c:pt idx="36">
                    <c:v>21</c:v>
                  </c:pt>
                  <c:pt idx="37">
                    <c:v>22</c:v>
                  </c:pt>
                  <c:pt idx="38">
                    <c:v>23</c:v>
                  </c:pt>
                  <c:pt idx="39">
                    <c:v>0</c:v>
                  </c:pt>
                  <c:pt idx="40">
                    <c:v>1</c:v>
                  </c:pt>
                  <c:pt idx="41">
                    <c:v>2</c:v>
                  </c:pt>
                  <c:pt idx="42">
                    <c:v>3</c:v>
                  </c:pt>
                  <c:pt idx="43">
                    <c:v>4</c:v>
                  </c:pt>
                  <c:pt idx="44">
                    <c:v>5</c:v>
                  </c:pt>
                  <c:pt idx="45">
                    <c:v>6</c:v>
                  </c:pt>
                </c:lvl>
                <c:lvl>
                  <c:pt idx="0">
                    <c:v>14.03.2017</c:v>
                  </c:pt>
                  <c:pt idx="19">
                    <c:v>15.03.2017</c:v>
                  </c:pt>
                  <c:pt idx="21">
                    <c:v>(blank)</c:v>
                  </c:pt>
                  <c:pt idx="22">
                    <c:v>21.08.2017</c:v>
                  </c:pt>
                </c:lvl>
              </c:multiLvlStrCache>
            </c:multiLvlStrRef>
          </c:cat>
          <c:val>
            <c:numRef>
              <c:f>pt.lvl3_generic_10!$F$8:$F$54</c:f>
              <c:numCache>
                <c:formatCode>General</c:formatCode>
                <c:ptCount val="46"/>
                <c:pt idx="0">
                  <c:v>0.90999999999999992</c:v>
                </c:pt>
                <c:pt idx="1">
                  <c:v>1</c:v>
                </c:pt>
                <c:pt idx="2">
                  <c:v>0.84999999999999976</c:v>
                </c:pt>
                <c:pt idx="3">
                  <c:v>0.84999999999999976</c:v>
                </c:pt>
                <c:pt idx="4">
                  <c:v>0.84999999999999987</c:v>
                </c:pt>
                <c:pt idx="5">
                  <c:v>0.84999999999999987</c:v>
                </c:pt>
                <c:pt idx="6">
                  <c:v>0.84999999999999987</c:v>
                </c:pt>
                <c:pt idx="7">
                  <c:v>0.84999999999999976</c:v>
                </c:pt>
                <c:pt idx="8">
                  <c:v>0.84999999999999976</c:v>
                </c:pt>
                <c:pt idx="9">
                  <c:v>0.84999999999999987</c:v>
                </c:pt>
                <c:pt idx="10">
                  <c:v>0.84999999999999987</c:v>
                </c:pt>
                <c:pt idx="11">
                  <c:v>0.84999999999999987</c:v>
                </c:pt>
                <c:pt idx="12">
                  <c:v>0.84999999999999987</c:v>
                </c:pt>
                <c:pt idx="13">
                  <c:v>0.84999999999999987</c:v>
                </c:pt>
                <c:pt idx="14">
                  <c:v>0.84999999999999987</c:v>
                </c:pt>
                <c:pt idx="15">
                  <c:v>0.84999999999999987</c:v>
                </c:pt>
                <c:pt idx="16">
                  <c:v>0.84999999999999987</c:v>
                </c:pt>
                <c:pt idx="17">
                  <c:v>0.84999999999999987</c:v>
                </c:pt>
                <c:pt idx="18">
                  <c:v>0.84999999999999987</c:v>
                </c:pt>
                <c:pt idx="19">
                  <c:v>0.85</c:v>
                </c:pt>
                <c:pt idx="20">
                  <c:v>0.85</c:v>
                </c:pt>
                <c:pt idx="22">
                  <c:v>0.79999999999999993</c:v>
                </c:pt>
                <c:pt idx="23">
                  <c:v>0.79999999999999993</c:v>
                </c:pt>
                <c:pt idx="24">
                  <c:v>0.79999999999999993</c:v>
                </c:pt>
                <c:pt idx="25">
                  <c:v>0.79999999999999993</c:v>
                </c:pt>
                <c:pt idx="26">
                  <c:v>0.79999999999999993</c:v>
                </c:pt>
                <c:pt idx="27">
                  <c:v>0.79999999999999993</c:v>
                </c:pt>
                <c:pt idx="28">
                  <c:v>0.79999999999999993</c:v>
                </c:pt>
                <c:pt idx="29">
                  <c:v>0.79999999999999993</c:v>
                </c:pt>
                <c:pt idx="30">
                  <c:v>0.79999999999999993</c:v>
                </c:pt>
                <c:pt idx="31">
                  <c:v>0.79999999999999993</c:v>
                </c:pt>
                <c:pt idx="32">
                  <c:v>0.79999999999999993</c:v>
                </c:pt>
                <c:pt idx="33">
                  <c:v>0.79999999999999993</c:v>
                </c:pt>
                <c:pt idx="34">
                  <c:v>0.79999999999999993</c:v>
                </c:pt>
                <c:pt idx="35">
                  <c:v>0.79999999999999993</c:v>
                </c:pt>
                <c:pt idx="36">
                  <c:v>0.79999999999999993</c:v>
                </c:pt>
                <c:pt idx="37">
                  <c:v>0.79999999999999993</c:v>
                </c:pt>
                <c:pt idx="38">
                  <c:v>0.79999999999999993</c:v>
                </c:pt>
                <c:pt idx="39">
                  <c:v>0.79999999999999993</c:v>
                </c:pt>
                <c:pt idx="40">
                  <c:v>0.79999999999999993</c:v>
                </c:pt>
                <c:pt idx="41">
                  <c:v>0.79999999999999993</c:v>
                </c:pt>
                <c:pt idx="42">
                  <c:v>0.79999999999999993</c:v>
                </c:pt>
                <c:pt idx="43">
                  <c:v>0.79999999999999993</c:v>
                </c:pt>
                <c:pt idx="44">
                  <c:v>0.79999999999999993</c:v>
                </c:pt>
                <c:pt idx="45">
                  <c:v>0.79999999999999993</c:v>
                </c:pt>
              </c:numCache>
            </c:numRef>
          </c:val>
          <c:extLst>
            <c:ext xmlns:c16="http://schemas.microsoft.com/office/drawing/2014/chart" uri="{C3380CC4-5D6E-409C-BE32-E72D297353CC}">
              <c16:uniqueId val="{00000054-76E5-4770-B4F3-228CEF43736D}"/>
            </c:ext>
          </c:extLst>
        </c:ser>
        <c:dLbls>
          <c:showLegendKey val="0"/>
          <c:showVal val="0"/>
          <c:showCatName val="0"/>
          <c:showSerName val="0"/>
          <c:showPercent val="0"/>
          <c:showBubbleSize val="0"/>
        </c:dLbls>
        <c:gapWidth val="200"/>
        <c:overlap val="-27"/>
        <c:axId val="227399744"/>
        <c:axId val="227400136"/>
      </c:barChart>
      <c:lineChart>
        <c:grouping val="standard"/>
        <c:varyColors val="0"/>
        <c:ser>
          <c:idx val="1"/>
          <c:order val="1"/>
          <c:tx>
            <c:strRef>
              <c:f>pt.lvl3_generic_10!$E$7</c:f>
              <c:strCache>
                <c:ptCount val="1"/>
                <c:pt idx="0">
                  <c:v>Average of Cíl %</c:v>
                </c:pt>
              </c:strCache>
            </c:strRef>
          </c:tx>
          <c:spPr>
            <a:ln w="28575" cap="rnd">
              <a:solidFill>
                <a:srgbClr val="000000"/>
              </a:solidFill>
              <a:round/>
            </a:ln>
            <a:effectLst/>
          </c:spPr>
          <c:marker>
            <c:symbol val="none"/>
          </c:marker>
          <c:cat>
            <c:multiLvlStrRef>
              <c:f>pt.lvl3_generic_10!$B$8:$C$54</c:f>
              <c:multiLvlStrCache>
                <c:ptCount val="46"/>
                <c:lvl>
                  <c:pt idx="0">
                    <c:v>0,416666666666667</c:v>
                  </c:pt>
                  <c:pt idx="1">
                    <c:v>0,458333333333333</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0,416666666666667</c:v>
                  </c:pt>
                  <c:pt idx="20">
                    <c:v>0,875</c:v>
                  </c:pt>
                  <c:pt idx="21">
                    <c:v>(blank)</c:v>
                  </c:pt>
                  <c:pt idx="22">
                    <c:v>7</c:v>
                  </c:pt>
                  <c:pt idx="23">
                    <c:v>8</c:v>
                  </c:pt>
                  <c:pt idx="24">
                    <c:v>9</c:v>
                  </c:pt>
                  <c:pt idx="25">
                    <c:v>10</c:v>
                  </c:pt>
                  <c:pt idx="26">
                    <c:v>11</c:v>
                  </c:pt>
                  <c:pt idx="27">
                    <c:v>12</c:v>
                  </c:pt>
                  <c:pt idx="28">
                    <c:v>13</c:v>
                  </c:pt>
                  <c:pt idx="29">
                    <c:v>14</c:v>
                  </c:pt>
                  <c:pt idx="30">
                    <c:v>15</c:v>
                  </c:pt>
                  <c:pt idx="31">
                    <c:v>16</c:v>
                  </c:pt>
                  <c:pt idx="32">
                    <c:v>17</c:v>
                  </c:pt>
                  <c:pt idx="33">
                    <c:v>18</c:v>
                  </c:pt>
                  <c:pt idx="34">
                    <c:v>19</c:v>
                  </c:pt>
                  <c:pt idx="35">
                    <c:v>20</c:v>
                  </c:pt>
                  <c:pt idx="36">
                    <c:v>21</c:v>
                  </c:pt>
                  <c:pt idx="37">
                    <c:v>22</c:v>
                  </c:pt>
                  <c:pt idx="38">
                    <c:v>23</c:v>
                  </c:pt>
                  <c:pt idx="39">
                    <c:v>0</c:v>
                  </c:pt>
                  <c:pt idx="40">
                    <c:v>1</c:v>
                  </c:pt>
                  <c:pt idx="41">
                    <c:v>2</c:v>
                  </c:pt>
                  <c:pt idx="42">
                    <c:v>3</c:v>
                  </c:pt>
                  <c:pt idx="43">
                    <c:v>4</c:v>
                  </c:pt>
                  <c:pt idx="44">
                    <c:v>5</c:v>
                  </c:pt>
                  <c:pt idx="45">
                    <c:v>6</c:v>
                  </c:pt>
                </c:lvl>
                <c:lvl>
                  <c:pt idx="0">
                    <c:v>14.03.2017</c:v>
                  </c:pt>
                  <c:pt idx="19">
                    <c:v>15.03.2017</c:v>
                  </c:pt>
                  <c:pt idx="21">
                    <c:v>(blank)</c:v>
                  </c:pt>
                  <c:pt idx="22">
                    <c:v>21.08.2017</c:v>
                  </c:pt>
                </c:lvl>
              </c:multiLvlStrCache>
            </c:multiLvlStrRef>
          </c:cat>
          <c:val>
            <c:numRef>
              <c:f>pt.lvl3_generic_10!$E$8:$E$54</c:f>
              <c:numCache>
                <c:formatCode>General</c:formatCode>
                <c:ptCount val="46"/>
                <c:pt idx="0">
                  <c:v>0.85</c:v>
                </c:pt>
                <c:pt idx="1">
                  <c:v>0.85</c:v>
                </c:pt>
                <c:pt idx="2">
                  <c:v>0.84999999999999976</c:v>
                </c:pt>
                <c:pt idx="3">
                  <c:v>0.84999999999999976</c:v>
                </c:pt>
                <c:pt idx="4">
                  <c:v>0.84999999999999987</c:v>
                </c:pt>
                <c:pt idx="5">
                  <c:v>0.84999999999999987</c:v>
                </c:pt>
                <c:pt idx="6">
                  <c:v>0.84999999999999987</c:v>
                </c:pt>
                <c:pt idx="7">
                  <c:v>0.84999999999999976</c:v>
                </c:pt>
                <c:pt idx="8">
                  <c:v>0.84999999999999976</c:v>
                </c:pt>
                <c:pt idx="9">
                  <c:v>0.84999999999999987</c:v>
                </c:pt>
                <c:pt idx="10">
                  <c:v>0.84999999999999987</c:v>
                </c:pt>
                <c:pt idx="11">
                  <c:v>0.84999999999999987</c:v>
                </c:pt>
                <c:pt idx="12">
                  <c:v>0.84999999999999987</c:v>
                </c:pt>
                <c:pt idx="13">
                  <c:v>0.84999999999999987</c:v>
                </c:pt>
                <c:pt idx="14">
                  <c:v>0.84999999999999987</c:v>
                </c:pt>
                <c:pt idx="15">
                  <c:v>0.84999999999999987</c:v>
                </c:pt>
                <c:pt idx="16">
                  <c:v>0.84999999999999987</c:v>
                </c:pt>
                <c:pt idx="17">
                  <c:v>0.84999999999999987</c:v>
                </c:pt>
                <c:pt idx="18">
                  <c:v>0.84999999999999987</c:v>
                </c:pt>
                <c:pt idx="19">
                  <c:v>0.85</c:v>
                </c:pt>
                <c:pt idx="20">
                  <c:v>0.85</c:v>
                </c:pt>
                <c:pt idx="22">
                  <c:v>0.79999999999999993</c:v>
                </c:pt>
                <c:pt idx="23">
                  <c:v>0.79999999999999993</c:v>
                </c:pt>
                <c:pt idx="24">
                  <c:v>0.79999999999999993</c:v>
                </c:pt>
                <c:pt idx="25">
                  <c:v>0.79999999999999993</c:v>
                </c:pt>
                <c:pt idx="26">
                  <c:v>0.79999999999999993</c:v>
                </c:pt>
                <c:pt idx="27">
                  <c:v>0.79999999999999993</c:v>
                </c:pt>
                <c:pt idx="28">
                  <c:v>0.79999999999999993</c:v>
                </c:pt>
                <c:pt idx="29">
                  <c:v>0.79999999999999993</c:v>
                </c:pt>
                <c:pt idx="30">
                  <c:v>0.79999999999999993</c:v>
                </c:pt>
                <c:pt idx="31">
                  <c:v>0.79999999999999993</c:v>
                </c:pt>
                <c:pt idx="32">
                  <c:v>0.79999999999999993</c:v>
                </c:pt>
                <c:pt idx="33">
                  <c:v>0.79999999999999993</c:v>
                </c:pt>
                <c:pt idx="34">
                  <c:v>0.79999999999999993</c:v>
                </c:pt>
                <c:pt idx="35">
                  <c:v>0.79999999999999993</c:v>
                </c:pt>
                <c:pt idx="36">
                  <c:v>0.79999999999999993</c:v>
                </c:pt>
                <c:pt idx="37">
                  <c:v>0.79999999999999993</c:v>
                </c:pt>
                <c:pt idx="38">
                  <c:v>0.79999999999999993</c:v>
                </c:pt>
                <c:pt idx="39">
                  <c:v>0.79999999999999993</c:v>
                </c:pt>
                <c:pt idx="40">
                  <c:v>0.79999999999999993</c:v>
                </c:pt>
                <c:pt idx="41">
                  <c:v>0.79999999999999993</c:v>
                </c:pt>
                <c:pt idx="42">
                  <c:v>0.79999999999999993</c:v>
                </c:pt>
                <c:pt idx="43">
                  <c:v>0.79999999999999993</c:v>
                </c:pt>
                <c:pt idx="44">
                  <c:v>0.79999999999999993</c:v>
                </c:pt>
                <c:pt idx="45">
                  <c:v>0.79999999999999993</c:v>
                </c:pt>
              </c:numCache>
            </c:numRef>
          </c:val>
          <c:smooth val="0"/>
          <c:extLst>
            <c:ext xmlns:c16="http://schemas.microsoft.com/office/drawing/2014/chart" uri="{C3380CC4-5D6E-409C-BE32-E72D297353CC}">
              <c16:uniqueId val="{00000053-76E5-4770-B4F3-228CEF43736D}"/>
            </c:ext>
          </c:extLst>
        </c:ser>
        <c:dLbls>
          <c:showLegendKey val="0"/>
          <c:showVal val="0"/>
          <c:showCatName val="0"/>
          <c:showSerName val="0"/>
          <c:showPercent val="0"/>
          <c:showBubbleSize val="0"/>
        </c:dLbls>
        <c:marker val="1"/>
        <c:smooth val="0"/>
        <c:axId val="227399744"/>
        <c:axId val="227400136"/>
      </c:lineChart>
      <c:catAx>
        <c:axId val="227399744"/>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27400136"/>
        <c:crosses val="autoZero"/>
        <c:auto val="1"/>
        <c:lblAlgn val="ctr"/>
        <c:lblOffset val="100"/>
        <c:noMultiLvlLbl val="0"/>
      </c:catAx>
      <c:valAx>
        <c:axId val="227400136"/>
        <c:scaling>
          <c:orientation val="minMax"/>
          <c:max val="1.1000000000000001"/>
          <c:min val="0.5"/>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27399744"/>
        <c:crosses val="autoZero"/>
        <c:crossBetween val="between"/>
        <c:majorUnit val="0.1"/>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effectLst>
                  <a:outerShdw blurRad="50800" dist="38100" dir="5400000" algn="t" rotWithShape="0">
                    <a:prstClr val="black">
                      <a:alpha val="40000"/>
                    </a:prstClr>
                  </a:outerShdw>
                </a:effectLst>
              </a:defRPr>
            </a:pPr>
            <a:r>
              <a:rPr lang="cs-CZ" sz="1600">
                <a:effectLst>
                  <a:outerShdw blurRad="50800" dist="38100" dir="5400000" algn="t" rotWithShape="0">
                    <a:prstClr val="black">
                      <a:alpha val="40000"/>
                    </a:prstClr>
                  </a:outerShdw>
                </a:effectLst>
              </a:rPr>
              <a:t>Budova</a:t>
            </a:r>
            <a:r>
              <a:rPr lang="cs-CZ" sz="1600" baseline="0">
                <a:effectLst>
                  <a:outerShdw blurRad="50800" dist="38100" dir="5400000" algn="t" rotWithShape="0">
                    <a:prstClr val="black">
                      <a:alpha val="40000"/>
                    </a:prstClr>
                  </a:outerShdw>
                </a:effectLst>
              </a:rPr>
              <a:t> C</a:t>
            </a:r>
            <a:endParaRPr lang="cs-CZ" sz="1600">
              <a:effectLst>
                <a:outerShdw blurRad="50800" dist="38100" dir="5400000" algn="t" rotWithShape="0">
                  <a:prstClr val="black">
                    <a:alpha val="40000"/>
                  </a:prstClr>
                </a:outerShdw>
              </a:effectLst>
            </a:endParaRPr>
          </a:p>
        </c:rich>
      </c:tx>
      <c:layout>
        <c:manualLayout>
          <c:xMode val="edge"/>
          <c:yMode val="edge"/>
          <c:x val="0.37864435019018883"/>
          <c:y val="0.47037037037037038"/>
        </c:manualLayout>
      </c:layout>
      <c:overlay val="0"/>
    </c:title>
    <c:autoTitleDeleted val="0"/>
    <c:plotArea>
      <c:layout>
        <c:manualLayout>
          <c:layoutTarget val="inner"/>
          <c:xMode val="edge"/>
          <c:yMode val="edge"/>
          <c:x val="0.12476970560303891"/>
          <c:y val="7.0480769230769234E-3"/>
          <c:w val="0.70449121557454886"/>
          <c:h val="0.99295192307692304"/>
        </c:manualLayout>
      </c:layout>
      <c:doughnutChart>
        <c:varyColors val="1"/>
        <c:ser>
          <c:idx val="0"/>
          <c:order val="0"/>
          <c:tx>
            <c:v>Series1</c:v>
          </c:tx>
          <c:spPr>
            <a:solidFill>
              <a:srgbClr val="9BBB59"/>
            </a:solidFill>
            <a:ln>
              <a:noFill/>
            </a:ln>
          </c:spPr>
          <c:dPt>
            <c:idx val="0"/>
            <c:bubble3D val="0"/>
            <c:spPr>
              <a:solidFill>
                <a:srgbClr val="9BBB59"/>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604D-43E7-95E7-8A8B129B6488}"/>
              </c:ext>
            </c:extLst>
          </c:dPt>
          <c:dPt>
            <c:idx val="1"/>
            <c:bubble3D val="0"/>
            <c:spPr>
              <a:solidFill>
                <a:srgbClr val="C0504D"/>
              </a:solidFill>
              <a:ln>
                <a:noFill/>
              </a:ln>
              <a:effectLst>
                <a:outerShdw blurRad="40000" dist="23000" dir="5400000" rotWithShape="0">
                  <a:srgbClr val="000000">
                    <a:alpha val="35000"/>
                  </a:srgbClr>
                </a:outerShdw>
              </a:effectLst>
              <a:scene3d>
                <a:camera prst="orthographicFront"/>
                <a:lightRig rig="threePt" dir="t">
                  <a:rot lat="0" lon="0" rev="1200000"/>
                </a:lightRig>
              </a:scene3d>
              <a:sp3d/>
            </c:spPr>
            <c:extLst>
              <c:ext xmlns:c16="http://schemas.microsoft.com/office/drawing/2014/chart" uri="{C3380CC4-5D6E-409C-BE32-E72D297353CC}">
                <c16:uniqueId val="{00000003-604D-43E7-95E7-8A8B129B6488}"/>
              </c:ext>
            </c:extLst>
          </c:dPt>
          <c:dPt>
            <c:idx val="2"/>
            <c:bubble3D val="0"/>
            <c:spPr>
              <a:solidFill>
                <a:srgbClr val="9BBB59"/>
              </a:solidFill>
              <a:ln>
                <a:noFill/>
              </a:ln>
              <a:effectLst/>
              <a:scene3d>
                <a:camera prst="orthographicFront"/>
                <a:lightRig rig="threePt" dir="t">
                  <a:rot lat="0" lon="0" rev="1200000"/>
                </a:lightRig>
              </a:scene3d>
              <a:sp3d/>
            </c:spPr>
            <c:extLst>
              <c:ext xmlns:c16="http://schemas.microsoft.com/office/drawing/2014/chart" uri="{C3380CC4-5D6E-409C-BE32-E72D297353CC}">
                <c16:uniqueId val="{00000005-604D-43E7-95E7-8A8B129B6488}"/>
              </c:ext>
            </c:extLst>
          </c:dPt>
          <c:dPt>
            <c:idx val="3"/>
            <c:bubble3D val="0"/>
            <c:spPr>
              <a:noFill/>
              <a:ln>
                <a:noFill/>
              </a:ln>
              <a:effectLst/>
              <a:scene3d>
                <a:camera prst="orthographicFront">
                  <a:rot lat="0" lon="0" rev="0"/>
                </a:camera>
                <a:lightRig rig="threePt" dir="t">
                  <a:rot lat="0" lon="0" rev="1200000"/>
                </a:lightRig>
              </a:scene3d>
            </c:spPr>
            <c:extLst>
              <c:ext xmlns:c16="http://schemas.microsoft.com/office/drawing/2014/chart" uri="{C3380CC4-5D6E-409C-BE32-E72D297353CC}">
                <c16:uniqueId val="{00000007-604D-43E7-95E7-8A8B129B6488}"/>
              </c:ext>
            </c:extLst>
          </c:dPt>
          <c:dPt>
            <c:idx val="4"/>
            <c:bubble3D val="0"/>
            <c:spPr>
              <a:solidFill>
                <a:srgbClr val="9BBB59"/>
              </a:solidFill>
              <a:ln>
                <a:noFill/>
              </a:ln>
              <a:effectLst/>
            </c:spPr>
            <c:extLst>
              <c:ext xmlns:c16="http://schemas.microsoft.com/office/drawing/2014/chart" uri="{C3380CC4-5D6E-409C-BE32-E72D297353CC}">
                <c16:uniqueId val="{00000009-604D-43E7-95E7-8A8B129B6488}"/>
              </c:ext>
            </c:extLst>
          </c:dPt>
          <c:val>
            <c:numRef>
              <c:f>data.chart!$C$7:$F$7</c:f>
              <c:numCache>
                <c:formatCode>General</c:formatCode>
                <c:ptCount val="4"/>
                <c:pt idx="0">
                  <c:v>0</c:v>
                </c:pt>
                <c:pt idx="1">
                  <c:v>0</c:v>
                </c:pt>
                <c:pt idx="2">
                  <c:v>100</c:v>
                </c:pt>
                <c:pt idx="3">
                  <c:v>100</c:v>
                </c:pt>
              </c:numCache>
            </c:numRef>
          </c:val>
          <c:extLst>
            <c:ext xmlns:c16="http://schemas.microsoft.com/office/drawing/2014/chart" uri="{C3380CC4-5D6E-409C-BE32-E72D297353CC}">
              <c16:uniqueId val="{0000000A-604D-43E7-95E7-8A8B129B6488}"/>
            </c:ext>
          </c:extLst>
        </c:ser>
        <c:dLbls>
          <c:showLegendKey val="0"/>
          <c:showVal val="0"/>
          <c:showCatName val="0"/>
          <c:showSerName val="0"/>
          <c:showPercent val="0"/>
          <c:showBubbleSize val="0"/>
          <c:showLeaderLines val="1"/>
        </c:dLbls>
        <c:firstSliceAng val="270"/>
        <c:holeSize val="75"/>
      </c:doughnutChart>
      <c:pieChart>
        <c:varyColors val="1"/>
        <c:ser>
          <c:idx val="1"/>
          <c:order val="1"/>
          <c:tx>
            <c:v>Series2</c:v>
          </c:tx>
          <c:spPr>
            <a:noFill/>
            <a:effectLst/>
            <a:scene3d>
              <a:camera prst="orthographicFront"/>
              <a:lightRig rig="threePt" dir="t"/>
            </a:scene3d>
          </c:spPr>
          <c:dPt>
            <c:idx val="0"/>
            <c:bubble3D val="0"/>
            <c:spPr>
              <a:noFill/>
              <a:effectLst/>
            </c:spPr>
            <c:extLst>
              <c:ext xmlns:c16="http://schemas.microsoft.com/office/drawing/2014/chart" uri="{C3380CC4-5D6E-409C-BE32-E72D297353CC}">
                <c16:uniqueId val="{0000000C-604D-43E7-95E7-8A8B129B6488}"/>
              </c:ext>
            </c:extLst>
          </c:dPt>
          <c:dPt>
            <c:idx val="1"/>
            <c:bubble3D val="0"/>
            <c:spPr>
              <a:gradFill rotWithShape="1">
                <a:gsLst>
                  <a:gs pos="0">
                    <a:schemeClr val="dk1">
                      <a:shade val="51000"/>
                      <a:satMod val="130000"/>
                    </a:schemeClr>
                  </a:gs>
                  <a:gs pos="80000">
                    <a:schemeClr val="dk1">
                      <a:shade val="93000"/>
                      <a:satMod val="130000"/>
                    </a:schemeClr>
                  </a:gs>
                  <a:gs pos="100000">
                    <a:schemeClr val="dk1">
                      <a:shade val="94000"/>
                      <a:satMod val="135000"/>
                    </a:schemeClr>
                  </a:gs>
                </a:gsLst>
                <a:lin ang="16200000" scaled="0"/>
              </a:gradFill>
              <a:effectLst/>
              <a:scene3d>
                <a:camera prst="orthographicFront"/>
                <a:lightRig rig="threePt" dir="t"/>
              </a:scene3d>
              <a:sp3d>
                <a:bevelT w="63500" h="25400"/>
              </a:sp3d>
            </c:spPr>
            <c:extLst>
              <c:ext xmlns:c16="http://schemas.microsoft.com/office/drawing/2014/chart" uri="{C3380CC4-5D6E-409C-BE32-E72D297353CC}">
                <c16:uniqueId val="{0000000E-604D-43E7-95E7-8A8B129B6488}"/>
              </c:ext>
            </c:extLst>
          </c:dPt>
          <c:dPt>
            <c:idx val="2"/>
            <c:bubble3D val="0"/>
            <c:spPr>
              <a:noFill/>
              <a:effectLst/>
            </c:spPr>
            <c:extLst>
              <c:ext xmlns:c16="http://schemas.microsoft.com/office/drawing/2014/chart" uri="{C3380CC4-5D6E-409C-BE32-E72D297353CC}">
                <c16:uniqueId val="{00000010-604D-43E7-95E7-8A8B129B6488}"/>
              </c:ext>
            </c:extLst>
          </c:dPt>
          <c:val>
            <c:numRef>
              <c:f>data.chart!$G$7:$I$7</c:f>
              <c:numCache>
                <c:formatCode>General</c:formatCode>
                <c:ptCount val="3"/>
                <c:pt idx="0">
                  <c:v>0</c:v>
                </c:pt>
                <c:pt idx="1">
                  <c:v>1.2</c:v>
                </c:pt>
                <c:pt idx="2">
                  <c:v>198.8</c:v>
                </c:pt>
              </c:numCache>
            </c:numRef>
          </c:val>
          <c:extLst>
            <c:ext xmlns:c16="http://schemas.microsoft.com/office/drawing/2014/chart" uri="{C3380CC4-5D6E-409C-BE32-E72D297353CC}">
              <c16:uniqueId val="{00000011-604D-43E7-95E7-8A8B129B6488}"/>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showDLblsOverMax val="0"/>
  </c:chart>
  <c:spPr>
    <a:solidFill>
      <a:schemeClr val="lt1"/>
    </a:solidFill>
    <a:ln w="25400" cap="flat" cmpd="sng" algn="ctr">
      <a:noFill/>
      <a:prstDash val="solid"/>
    </a:ln>
    <a:effectLst/>
  </c:spPr>
  <c:txPr>
    <a:bodyPr/>
    <a:lstStyle/>
    <a:p>
      <a:pPr>
        <a:defRPr>
          <a:solidFill>
            <a:schemeClr val="dk1"/>
          </a:solidFill>
          <a:latin typeface="+mn-lt"/>
          <a:ea typeface="+mn-ea"/>
          <a:cs typeface="+mn-cs"/>
        </a:defRPr>
      </a:pPr>
      <a:endParaRPr lang="cs-CZ"/>
    </a:p>
  </c:txPr>
  <c:printSettings>
    <c:headerFooter/>
    <c:pageMargins b="0.78740157499999996" l="0.7" r="0.7" t="0.78740157499999996" header="0.3" footer="0.3"/>
    <c:pageSetup/>
  </c:printSettings>
  <c:userShapes r:id="rId1"/>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legend_chart!$B$9</c:f>
              <c:strCache>
                <c:ptCount val="1"/>
                <c:pt idx="0">
                  <c:v>Pickování</c:v>
                </c:pt>
              </c:strCache>
            </c:strRef>
          </c:tx>
          <c:spPr>
            <a:solidFill>
              <a:srgbClr val="0070C0"/>
            </a:solidFill>
            <a:ln>
              <a:solidFill>
                <a:srgbClr val="0070C0"/>
              </a:solidFill>
            </a:ln>
            <a:effectLst/>
          </c:spPr>
          <c:invertIfNegative val="0"/>
          <c:cat>
            <c:numRef>
              <c:f>legend_chart!$A$10:$A$22</c:f>
              <c:numCache>
                <c:formatCode>h:mm</c:formatCode>
                <c:ptCount val="13"/>
                <c:pt idx="0">
                  <c:v>0.29166666666666669</c:v>
                </c:pt>
                <c:pt idx="1">
                  <c:v>0.33333333333333298</c:v>
                </c:pt>
                <c:pt idx="2">
                  <c:v>0.375</c:v>
                </c:pt>
                <c:pt idx="3">
                  <c:v>0.41666666666666702</c:v>
                </c:pt>
                <c:pt idx="4">
                  <c:v>0.45833333333333298</c:v>
                </c:pt>
                <c:pt idx="5">
                  <c:v>0.5</c:v>
                </c:pt>
                <c:pt idx="6">
                  <c:v>0.54166666666666696</c:v>
                </c:pt>
                <c:pt idx="7">
                  <c:v>0.58333333333333304</c:v>
                </c:pt>
                <c:pt idx="8">
                  <c:v>0.625</c:v>
                </c:pt>
                <c:pt idx="9">
                  <c:v>0.66666666666666696</c:v>
                </c:pt>
                <c:pt idx="10">
                  <c:v>0.70833333333333304</c:v>
                </c:pt>
                <c:pt idx="11">
                  <c:v>0.75</c:v>
                </c:pt>
                <c:pt idx="12">
                  <c:v>0.79166666666666696</c:v>
                </c:pt>
              </c:numCache>
            </c:numRef>
          </c:cat>
          <c:val>
            <c:numRef>
              <c:f>legend_chart!$B$10:$B$22</c:f>
              <c:numCache>
                <c:formatCode>0</c:formatCode>
                <c:ptCount val="13"/>
                <c:pt idx="0">
                  <c:v>30</c:v>
                </c:pt>
                <c:pt idx="1">
                  <c:v>20</c:v>
                </c:pt>
                <c:pt idx="2">
                  <c:v>27</c:v>
                </c:pt>
                <c:pt idx="3">
                  <c:v>52</c:v>
                </c:pt>
                <c:pt idx="4">
                  <c:v>34</c:v>
                </c:pt>
                <c:pt idx="5">
                  <c:v>46</c:v>
                </c:pt>
                <c:pt idx="6">
                  <c:v>29</c:v>
                </c:pt>
                <c:pt idx="7">
                  <c:v>10</c:v>
                </c:pt>
                <c:pt idx="8">
                  <c:v>65</c:v>
                </c:pt>
                <c:pt idx="9">
                  <c:v>38</c:v>
                </c:pt>
                <c:pt idx="10">
                  <c:v>46</c:v>
                </c:pt>
                <c:pt idx="11">
                  <c:v>23</c:v>
                </c:pt>
                <c:pt idx="12">
                  <c:v>42</c:v>
                </c:pt>
              </c:numCache>
            </c:numRef>
          </c:val>
          <c:extLst>
            <c:ext xmlns:c16="http://schemas.microsoft.com/office/drawing/2014/chart" uri="{C3380CC4-5D6E-409C-BE32-E72D297353CC}">
              <c16:uniqueId val="{00000000-CB1B-4DB6-9919-B9C012156C75}"/>
            </c:ext>
          </c:extLst>
        </c:ser>
        <c:ser>
          <c:idx val="1"/>
          <c:order val="1"/>
          <c:tx>
            <c:strRef>
              <c:f>legend_chart!$C$9</c:f>
              <c:strCache>
                <c:ptCount val="1"/>
                <c:pt idx="0">
                  <c:v>Uklízení</c:v>
                </c:pt>
              </c:strCache>
            </c:strRef>
          </c:tx>
          <c:spPr>
            <a:solidFill>
              <a:srgbClr val="C00000"/>
            </a:solidFill>
            <a:ln>
              <a:solidFill>
                <a:srgbClr val="C00000"/>
              </a:solidFill>
            </a:ln>
            <a:effectLst/>
          </c:spPr>
          <c:invertIfNegative val="0"/>
          <c:cat>
            <c:numRef>
              <c:f>legend_chart!$A$10:$A$22</c:f>
              <c:numCache>
                <c:formatCode>h:mm</c:formatCode>
                <c:ptCount val="13"/>
                <c:pt idx="0">
                  <c:v>0.29166666666666669</c:v>
                </c:pt>
                <c:pt idx="1">
                  <c:v>0.33333333333333298</c:v>
                </c:pt>
                <c:pt idx="2">
                  <c:v>0.375</c:v>
                </c:pt>
                <c:pt idx="3">
                  <c:v>0.41666666666666702</c:v>
                </c:pt>
                <c:pt idx="4">
                  <c:v>0.45833333333333298</c:v>
                </c:pt>
                <c:pt idx="5">
                  <c:v>0.5</c:v>
                </c:pt>
                <c:pt idx="6">
                  <c:v>0.54166666666666696</c:v>
                </c:pt>
                <c:pt idx="7">
                  <c:v>0.58333333333333304</c:v>
                </c:pt>
                <c:pt idx="8">
                  <c:v>0.625</c:v>
                </c:pt>
                <c:pt idx="9">
                  <c:v>0.66666666666666696</c:v>
                </c:pt>
                <c:pt idx="10">
                  <c:v>0.70833333333333304</c:v>
                </c:pt>
                <c:pt idx="11">
                  <c:v>0.75</c:v>
                </c:pt>
                <c:pt idx="12">
                  <c:v>0.79166666666666696</c:v>
                </c:pt>
              </c:numCache>
            </c:numRef>
          </c:cat>
          <c:val>
            <c:numRef>
              <c:f>legend_chart!$C$10:$C$22</c:f>
              <c:numCache>
                <c:formatCode>0</c:formatCode>
                <c:ptCount val="13"/>
                <c:pt idx="0">
                  <c:v>30</c:v>
                </c:pt>
                <c:pt idx="1">
                  <c:v>20</c:v>
                </c:pt>
                <c:pt idx="2">
                  <c:v>27</c:v>
                </c:pt>
                <c:pt idx="3">
                  <c:v>52</c:v>
                </c:pt>
                <c:pt idx="4">
                  <c:v>34</c:v>
                </c:pt>
                <c:pt idx="5">
                  <c:v>46</c:v>
                </c:pt>
                <c:pt idx="6">
                  <c:v>29</c:v>
                </c:pt>
                <c:pt idx="7">
                  <c:v>10</c:v>
                </c:pt>
                <c:pt idx="8">
                  <c:v>65</c:v>
                </c:pt>
                <c:pt idx="9">
                  <c:v>38</c:v>
                </c:pt>
                <c:pt idx="10">
                  <c:v>46</c:v>
                </c:pt>
                <c:pt idx="11">
                  <c:v>23</c:v>
                </c:pt>
                <c:pt idx="12">
                  <c:v>42</c:v>
                </c:pt>
              </c:numCache>
            </c:numRef>
          </c:val>
          <c:extLst>
            <c:ext xmlns:c16="http://schemas.microsoft.com/office/drawing/2014/chart" uri="{C3380CC4-5D6E-409C-BE32-E72D297353CC}">
              <c16:uniqueId val="{00000001-CB1B-4DB6-9919-B9C012156C75}"/>
            </c:ext>
          </c:extLst>
        </c:ser>
        <c:dLbls>
          <c:showLegendKey val="0"/>
          <c:showVal val="0"/>
          <c:showCatName val="0"/>
          <c:showSerName val="0"/>
          <c:showPercent val="0"/>
          <c:showBubbleSize val="0"/>
        </c:dLbls>
        <c:gapWidth val="150"/>
        <c:overlap val="100"/>
        <c:axId val="235684712"/>
        <c:axId val="235685104"/>
      </c:barChart>
      <c:lineChart>
        <c:grouping val="standard"/>
        <c:varyColors val="0"/>
        <c:ser>
          <c:idx val="2"/>
          <c:order val="2"/>
          <c:tx>
            <c:strRef>
              <c:f>legend_chart!$D$9</c:f>
              <c:strCache>
                <c:ptCount val="1"/>
                <c:pt idx="0">
                  <c:v>Zátěž cíl</c:v>
                </c:pt>
              </c:strCache>
            </c:strRef>
          </c:tx>
          <c:spPr>
            <a:ln w="28575" cap="rnd">
              <a:solidFill>
                <a:schemeClr val="tx1"/>
              </a:solidFill>
              <a:round/>
            </a:ln>
            <a:effectLst/>
          </c:spPr>
          <c:marker>
            <c:symbol val="none"/>
          </c:marker>
          <c:dPt>
            <c:idx val="7"/>
            <c:marker>
              <c:symbol val="none"/>
            </c:marker>
            <c:bubble3D val="0"/>
            <c:spPr>
              <a:ln w="28575" cap="rnd">
                <a:solidFill>
                  <a:schemeClr val="tx1"/>
                </a:solidFill>
                <a:round/>
              </a:ln>
              <a:effectLst/>
            </c:spPr>
            <c:extLst>
              <c:ext xmlns:c16="http://schemas.microsoft.com/office/drawing/2014/chart" uri="{C3380CC4-5D6E-409C-BE32-E72D297353CC}">
                <c16:uniqueId val="{00000003-CB1B-4DB6-9919-B9C012156C75}"/>
              </c:ext>
            </c:extLst>
          </c:dPt>
          <c:cat>
            <c:numRef>
              <c:f>legend_chart!$A$10:$A$22</c:f>
              <c:numCache>
                <c:formatCode>h:mm</c:formatCode>
                <c:ptCount val="13"/>
                <c:pt idx="0">
                  <c:v>0.29166666666666669</c:v>
                </c:pt>
                <c:pt idx="1">
                  <c:v>0.33333333333333298</c:v>
                </c:pt>
                <c:pt idx="2">
                  <c:v>0.375</c:v>
                </c:pt>
                <c:pt idx="3">
                  <c:v>0.41666666666666702</c:v>
                </c:pt>
                <c:pt idx="4">
                  <c:v>0.45833333333333298</c:v>
                </c:pt>
                <c:pt idx="5">
                  <c:v>0.5</c:v>
                </c:pt>
                <c:pt idx="6">
                  <c:v>0.54166666666666696</c:v>
                </c:pt>
                <c:pt idx="7">
                  <c:v>0.58333333333333304</c:v>
                </c:pt>
                <c:pt idx="8">
                  <c:v>0.625</c:v>
                </c:pt>
                <c:pt idx="9">
                  <c:v>0.66666666666666696</c:v>
                </c:pt>
                <c:pt idx="10">
                  <c:v>0.70833333333333304</c:v>
                </c:pt>
                <c:pt idx="11">
                  <c:v>0.75</c:v>
                </c:pt>
                <c:pt idx="12">
                  <c:v>0.79166666666666696</c:v>
                </c:pt>
              </c:numCache>
            </c:numRef>
          </c:cat>
          <c:val>
            <c:numRef>
              <c:f>legend_chart!$D$10:$D$22</c:f>
              <c:numCache>
                <c:formatCode>0%</c:formatCode>
                <c:ptCount val="13"/>
                <c:pt idx="0">
                  <c:v>0.95</c:v>
                </c:pt>
                <c:pt idx="1">
                  <c:v>0.95</c:v>
                </c:pt>
                <c:pt idx="2">
                  <c:v>0.95</c:v>
                </c:pt>
                <c:pt idx="3">
                  <c:v>0.95</c:v>
                </c:pt>
                <c:pt idx="4">
                  <c:v>0.95</c:v>
                </c:pt>
                <c:pt idx="5">
                  <c:v>0.95</c:v>
                </c:pt>
                <c:pt idx="6">
                  <c:v>0.95</c:v>
                </c:pt>
                <c:pt idx="7">
                  <c:v>0.95</c:v>
                </c:pt>
                <c:pt idx="8">
                  <c:v>0.95</c:v>
                </c:pt>
                <c:pt idx="9">
                  <c:v>0.95</c:v>
                </c:pt>
                <c:pt idx="10">
                  <c:v>0.95</c:v>
                </c:pt>
                <c:pt idx="11">
                  <c:v>0.95</c:v>
                </c:pt>
                <c:pt idx="12">
                  <c:v>0.95</c:v>
                </c:pt>
              </c:numCache>
            </c:numRef>
          </c:val>
          <c:smooth val="0"/>
          <c:extLst>
            <c:ext xmlns:c16="http://schemas.microsoft.com/office/drawing/2014/chart" uri="{C3380CC4-5D6E-409C-BE32-E72D297353CC}">
              <c16:uniqueId val="{00000004-CB1B-4DB6-9919-B9C012156C75}"/>
            </c:ext>
          </c:extLst>
        </c:ser>
        <c:ser>
          <c:idx val="3"/>
          <c:order val="3"/>
          <c:tx>
            <c:strRef>
              <c:f>legend_chart!$E$9</c:f>
              <c:strCache>
                <c:ptCount val="1"/>
                <c:pt idx="0">
                  <c:v>Zátěž</c:v>
                </c:pt>
              </c:strCache>
            </c:strRef>
          </c:tx>
          <c:spPr>
            <a:ln w="28575" cap="rnd">
              <a:solidFill>
                <a:srgbClr val="FFC000"/>
              </a:solidFill>
              <a:round/>
            </a:ln>
            <a:effectLst/>
          </c:spPr>
          <c:marker>
            <c:symbol val="circle"/>
            <c:size val="5"/>
            <c:spPr>
              <a:solidFill>
                <a:srgbClr val="00B050"/>
              </a:solidFill>
              <a:ln w="9525">
                <a:solidFill>
                  <a:srgbClr val="FFC000"/>
                </a:solidFill>
              </a:ln>
              <a:effectLst/>
            </c:spPr>
          </c:marker>
          <c:dPt>
            <c:idx val="7"/>
            <c:marker>
              <c:symbol val="circle"/>
              <c:size val="5"/>
              <c:spPr>
                <a:solidFill>
                  <a:srgbClr val="C00000"/>
                </a:solidFill>
                <a:ln w="9525">
                  <a:solidFill>
                    <a:srgbClr val="FFC000"/>
                  </a:solidFill>
                </a:ln>
                <a:effectLst/>
              </c:spPr>
            </c:marker>
            <c:bubble3D val="0"/>
            <c:extLst>
              <c:ext xmlns:c16="http://schemas.microsoft.com/office/drawing/2014/chart" uri="{C3380CC4-5D6E-409C-BE32-E72D297353CC}">
                <c16:uniqueId val="{00000005-CB1B-4DB6-9919-B9C012156C75}"/>
              </c:ext>
            </c:extLst>
          </c:dPt>
          <c:cat>
            <c:numRef>
              <c:f>legend_chart!$A$10:$A$22</c:f>
              <c:numCache>
                <c:formatCode>h:mm</c:formatCode>
                <c:ptCount val="13"/>
                <c:pt idx="0">
                  <c:v>0.29166666666666669</c:v>
                </c:pt>
                <c:pt idx="1">
                  <c:v>0.33333333333333298</c:v>
                </c:pt>
                <c:pt idx="2">
                  <c:v>0.375</c:v>
                </c:pt>
                <c:pt idx="3">
                  <c:v>0.41666666666666702</c:v>
                </c:pt>
                <c:pt idx="4">
                  <c:v>0.45833333333333298</c:v>
                </c:pt>
                <c:pt idx="5">
                  <c:v>0.5</c:v>
                </c:pt>
                <c:pt idx="6">
                  <c:v>0.54166666666666696</c:v>
                </c:pt>
                <c:pt idx="7">
                  <c:v>0.58333333333333304</c:v>
                </c:pt>
                <c:pt idx="8">
                  <c:v>0.625</c:v>
                </c:pt>
                <c:pt idx="9">
                  <c:v>0.66666666666666696</c:v>
                </c:pt>
                <c:pt idx="10">
                  <c:v>0.70833333333333304</c:v>
                </c:pt>
                <c:pt idx="11">
                  <c:v>0.75</c:v>
                </c:pt>
                <c:pt idx="12">
                  <c:v>0.79166666666666696</c:v>
                </c:pt>
              </c:numCache>
            </c:numRef>
          </c:cat>
          <c:val>
            <c:numRef>
              <c:f>legend_chart!$E$10:$E$22</c:f>
              <c:numCache>
                <c:formatCode>0%</c:formatCode>
                <c:ptCount val="13"/>
                <c:pt idx="0">
                  <c:v>0.9</c:v>
                </c:pt>
                <c:pt idx="1">
                  <c:v>0.9</c:v>
                </c:pt>
                <c:pt idx="2">
                  <c:v>0.92</c:v>
                </c:pt>
                <c:pt idx="3">
                  <c:v>0.89</c:v>
                </c:pt>
                <c:pt idx="4">
                  <c:v>0.67</c:v>
                </c:pt>
                <c:pt idx="5">
                  <c:v>0.72</c:v>
                </c:pt>
                <c:pt idx="6">
                  <c:v>0.9</c:v>
                </c:pt>
                <c:pt idx="7">
                  <c:v>1.05</c:v>
                </c:pt>
                <c:pt idx="8">
                  <c:v>0.9</c:v>
                </c:pt>
                <c:pt idx="9">
                  <c:v>0.93</c:v>
                </c:pt>
                <c:pt idx="10">
                  <c:v>0.92</c:v>
                </c:pt>
                <c:pt idx="11">
                  <c:v>0.92</c:v>
                </c:pt>
                <c:pt idx="12">
                  <c:v>0.89</c:v>
                </c:pt>
              </c:numCache>
            </c:numRef>
          </c:val>
          <c:smooth val="0"/>
          <c:extLst>
            <c:ext xmlns:c16="http://schemas.microsoft.com/office/drawing/2014/chart" uri="{C3380CC4-5D6E-409C-BE32-E72D297353CC}">
              <c16:uniqueId val="{00000006-CB1B-4DB6-9919-B9C012156C75}"/>
            </c:ext>
          </c:extLst>
        </c:ser>
        <c:dLbls>
          <c:showLegendKey val="0"/>
          <c:showVal val="0"/>
          <c:showCatName val="0"/>
          <c:showSerName val="0"/>
          <c:showPercent val="0"/>
          <c:showBubbleSize val="0"/>
        </c:dLbls>
        <c:marker val="1"/>
        <c:smooth val="0"/>
        <c:axId val="235685888"/>
        <c:axId val="235685496"/>
      </c:lineChart>
      <c:catAx>
        <c:axId val="235684712"/>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35685104"/>
        <c:crosses val="autoZero"/>
        <c:auto val="1"/>
        <c:lblAlgn val="ctr"/>
        <c:lblOffset val="100"/>
        <c:noMultiLvlLbl val="0"/>
      </c:catAx>
      <c:valAx>
        <c:axId val="2356851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35684712"/>
        <c:crosses val="autoZero"/>
        <c:crossBetween val="between"/>
      </c:valAx>
      <c:valAx>
        <c:axId val="235685496"/>
        <c:scaling>
          <c:orientation val="minMax"/>
        </c:scaling>
        <c:delete val="0"/>
        <c:axPos val="r"/>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235685888"/>
        <c:crosses val="max"/>
        <c:crossBetween val="between"/>
      </c:valAx>
      <c:catAx>
        <c:axId val="235685888"/>
        <c:scaling>
          <c:orientation val="minMax"/>
        </c:scaling>
        <c:delete val="1"/>
        <c:axPos val="b"/>
        <c:numFmt formatCode="h:mm" sourceLinked="1"/>
        <c:majorTickMark val="out"/>
        <c:minorTickMark val="none"/>
        <c:tickLblPos val="nextTo"/>
        <c:crossAx val="235685496"/>
        <c:crosses val="autoZero"/>
        <c:auto val="1"/>
        <c:lblAlgn val="ctr"/>
        <c:lblOffset val="100"/>
        <c:noMultiLvlLbl val="0"/>
      </c:cat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05195384225999"/>
          <c:y val="0.21337620028221252"/>
          <c:w val="0.73882419918156306"/>
          <c:h val="0.67983862214252189"/>
        </c:manualLayout>
      </c:layout>
      <c:barChart>
        <c:barDir val="col"/>
        <c:grouping val="clustered"/>
        <c:varyColors val="0"/>
        <c:ser>
          <c:idx val="0"/>
          <c:order val="0"/>
          <c:tx>
            <c:strRef>
              <c:f>legend_chart!$B$24</c:f>
              <c:strCache>
                <c:ptCount val="1"/>
                <c:pt idx="0">
                  <c:v>Zprac. úkoly</c:v>
                </c:pt>
              </c:strCache>
            </c:strRef>
          </c:tx>
          <c:spPr>
            <a:solidFill>
              <a:srgbClr val="0070C0"/>
            </a:solidFill>
            <a:ln>
              <a:solidFill>
                <a:srgbClr val="0070C0"/>
              </a:solidFill>
            </a:ln>
            <a:effectLst/>
          </c:spPr>
          <c:invertIfNegative val="0"/>
          <c:cat>
            <c:numRef>
              <c:f>legend_chart!$A$25:$A$37</c:f>
              <c:numCache>
                <c:formatCode>h:mm</c:formatCode>
                <c:ptCount val="13"/>
                <c:pt idx="0">
                  <c:v>0.29166666666666669</c:v>
                </c:pt>
                <c:pt idx="1">
                  <c:v>0.33333333333333298</c:v>
                </c:pt>
                <c:pt idx="2">
                  <c:v>0.375</c:v>
                </c:pt>
                <c:pt idx="3">
                  <c:v>0.41666666666666702</c:v>
                </c:pt>
                <c:pt idx="4">
                  <c:v>0.45833333333333298</c:v>
                </c:pt>
                <c:pt idx="5">
                  <c:v>0.5</c:v>
                </c:pt>
                <c:pt idx="6">
                  <c:v>0.54166666666666696</c:v>
                </c:pt>
                <c:pt idx="7">
                  <c:v>0.58333333333333304</c:v>
                </c:pt>
                <c:pt idx="8">
                  <c:v>0.625</c:v>
                </c:pt>
                <c:pt idx="9">
                  <c:v>0.66666666666666696</c:v>
                </c:pt>
                <c:pt idx="10">
                  <c:v>0.70833333333333304</c:v>
                </c:pt>
                <c:pt idx="11">
                  <c:v>0.75</c:v>
                </c:pt>
                <c:pt idx="12">
                  <c:v>0.79166666666666696</c:v>
                </c:pt>
              </c:numCache>
            </c:numRef>
          </c:cat>
          <c:val>
            <c:numRef>
              <c:f>legend_chart!$B$25:$B$37</c:f>
              <c:numCache>
                <c:formatCode>0</c:formatCode>
                <c:ptCount val="13"/>
                <c:pt idx="0">
                  <c:v>30</c:v>
                </c:pt>
                <c:pt idx="1">
                  <c:v>20</c:v>
                </c:pt>
                <c:pt idx="2">
                  <c:v>27</c:v>
                </c:pt>
                <c:pt idx="3">
                  <c:v>52</c:v>
                </c:pt>
                <c:pt idx="4">
                  <c:v>34</c:v>
                </c:pt>
                <c:pt idx="5">
                  <c:v>46</c:v>
                </c:pt>
                <c:pt idx="6">
                  <c:v>29</c:v>
                </c:pt>
                <c:pt idx="7">
                  <c:v>10</c:v>
                </c:pt>
                <c:pt idx="8">
                  <c:v>65</c:v>
                </c:pt>
                <c:pt idx="9">
                  <c:v>38</c:v>
                </c:pt>
                <c:pt idx="10">
                  <c:v>46</c:v>
                </c:pt>
                <c:pt idx="11">
                  <c:v>23</c:v>
                </c:pt>
                <c:pt idx="12">
                  <c:v>42</c:v>
                </c:pt>
              </c:numCache>
            </c:numRef>
          </c:val>
          <c:extLst>
            <c:ext xmlns:c16="http://schemas.microsoft.com/office/drawing/2014/chart" uri="{C3380CC4-5D6E-409C-BE32-E72D297353CC}">
              <c16:uniqueId val="{00000000-E359-4CD8-AB0B-8AC28FDD5222}"/>
            </c:ext>
          </c:extLst>
        </c:ser>
        <c:ser>
          <c:idx val="1"/>
          <c:order val="1"/>
          <c:tx>
            <c:strRef>
              <c:f>legend_chart!$C$24</c:f>
              <c:strCache>
                <c:ptCount val="1"/>
                <c:pt idx="0">
                  <c:v>Úkoly</c:v>
                </c:pt>
              </c:strCache>
            </c:strRef>
          </c:tx>
          <c:spPr>
            <a:solidFill>
              <a:srgbClr val="C00000"/>
            </a:solidFill>
            <a:ln>
              <a:solidFill>
                <a:srgbClr val="0070C0"/>
              </a:solidFill>
            </a:ln>
            <a:effectLst/>
          </c:spPr>
          <c:invertIfNegative val="0"/>
          <c:cat>
            <c:numRef>
              <c:f>legend_chart!$A$25:$A$37</c:f>
              <c:numCache>
                <c:formatCode>h:mm</c:formatCode>
                <c:ptCount val="13"/>
                <c:pt idx="0">
                  <c:v>0.29166666666666669</c:v>
                </c:pt>
                <c:pt idx="1">
                  <c:v>0.33333333333333298</c:v>
                </c:pt>
                <c:pt idx="2">
                  <c:v>0.375</c:v>
                </c:pt>
                <c:pt idx="3">
                  <c:v>0.41666666666666702</c:v>
                </c:pt>
                <c:pt idx="4">
                  <c:v>0.45833333333333298</c:v>
                </c:pt>
                <c:pt idx="5">
                  <c:v>0.5</c:v>
                </c:pt>
                <c:pt idx="6">
                  <c:v>0.54166666666666696</c:v>
                </c:pt>
                <c:pt idx="7">
                  <c:v>0.58333333333333304</c:v>
                </c:pt>
                <c:pt idx="8">
                  <c:v>0.625</c:v>
                </c:pt>
                <c:pt idx="9">
                  <c:v>0.66666666666666696</c:v>
                </c:pt>
                <c:pt idx="10">
                  <c:v>0.70833333333333304</c:v>
                </c:pt>
                <c:pt idx="11">
                  <c:v>0.75</c:v>
                </c:pt>
                <c:pt idx="12">
                  <c:v>0.79166666666666696</c:v>
                </c:pt>
              </c:numCache>
            </c:numRef>
          </c:cat>
          <c:val>
            <c:numRef>
              <c:f>legend_chart!$C$25:$C$37</c:f>
              <c:numCache>
                <c:formatCode>0</c:formatCode>
                <c:ptCount val="13"/>
                <c:pt idx="0">
                  <c:v>30</c:v>
                </c:pt>
                <c:pt idx="1">
                  <c:v>20</c:v>
                </c:pt>
                <c:pt idx="2">
                  <c:v>27</c:v>
                </c:pt>
                <c:pt idx="3">
                  <c:v>52</c:v>
                </c:pt>
                <c:pt idx="4">
                  <c:v>34</c:v>
                </c:pt>
                <c:pt idx="5">
                  <c:v>46</c:v>
                </c:pt>
                <c:pt idx="6">
                  <c:v>29</c:v>
                </c:pt>
                <c:pt idx="7">
                  <c:v>10</c:v>
                </c:pt>
                <c:pt idx="8">
                  <c:v>65</c:v>
                </c:pt>
                <c:pt idx="9">
                  <c:v>38</c:v>
                </c:pt>
                <c:pt idx="10">
                  <c:v>46</c:v>
                </c:pt>
                <c:pt idx="11">
                  <c:v>23</c:v>
                </c:pt>
                <c:pt idx="12">
                  <c:v>42</c:v>
                </c:pt>
              </c:numCache>
            </c:numRef>
          </c:val>
          <c:extLst>
            <c:ext xmlns:c16="http://schemas.microsoft.com/office/drawing/2014/chart" uri="{C3380CC4-5D6E-409C-BE32-E72D297353CC}">
              <c16:uniqueId val="{00000001-E359-4CD8-AB0B-8AC28FDD5222}"/>
            </c:ext>
          </c:extLst>
        </c:ser>
        <c:dLbls>
          <c:showLegendKey val="0"/>
          <c:showVal val="0"/>
          <c:showCatName val="0"/>
          <c:showSerName val="0"/>
          <c:showPercent val="0"/>
          <c:showBubbleSize val="0"/>
        </c:dLbls>
        <c:gapWidth val="150"/>
        <c:axId val="235686672"/>
        <c:axId val="235687064"/>
      </c:barChart>
      <c:catAx>
        <c:axId val="235686672"/>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35687064"/>
        <c:crosses val="autoZero"/>
        <c:auto val="1"/>
        <c:lblAlgn val="ctr"/>
        <c:lblOffset val="100"/>
        <c:noMultiLvlLbl val="0"/>
      </c:catAx>
      <c:valAx>
        <c:axId val="23568706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35686672"/>
        <c:crosses val="autoZero"/>
        <c:crossBetween val="between"/>
      </c:valAx>
      <c:spPr>
        <a:noFill/>
        <a:ln>
          <a:noFill/>
        </a:ln>
        <a:effectLst/>
      </c:spPr>
    </c:plotArea>
    <c:legend>
      <c:legendPos val="l"/>
      <c:layout>
        <c:manualLayout>
          <c:xMode val="edge"/>
          <c:yMode val="edge"/>
          <c:x val="3.4696296757699367E-3"/>
          <c:y val="4.7373023480508841E-2"/>
          <c:w val="0.10758622519367504"/>
          <c:h val="0.91256610055999154"/>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574905276782766"/>
          <c:y val="0.21337620028221252"/>
          <c:w val="0.5415743748002424"/>
          <c:h val="0.67983862214252189"/>
        </c:manualLayout>
      </c:layout>
      <c:barChart>
        <c:barDir val="col"/>
        <c:grouping val="stacked"/>
        <c:varyColors val="0"/>
        <c:ser>
          <c:idx val="0"/>
          <c:order val="0"/>
          <c:tx>
            <c:strRef>
              <c:f>legend_chart!$B$1</c:f>
              <c:strCache>
                <c:ptCount val="1"/>
                <c:pt idx="0">
                  <c:v>Do 60 min zprac</c:v>
                </c:pt>
              </c:strCache>
            </c:strRef>
          </c:tx>
          <c:spPr>
            <a:solidFill>
              <a:srgbClr val="92D050"/>
            </a:solidFill>
            <a:ln>
              <a:noFill/>
            </a:ln>
            <a:effectLst/>
          </c:spPr>
          <c:invertIfNegative val="0"/>
          <c:cat>
            <c:numRef>
              <c:f>legend_chart!$A$2:$A$7</c:f>
              <c:numCache>
                <c:formatCode>h:mm</c:formatCode>
                <c:ptCount val="6"/>
                <c:pt idx="0">
                  <c:v>0.29166666666666669</c:v>
                </c:pt>
                <c:pt idx="1">
                  <c:v>0.33333333333333298</c:v>
                </c:pt>
                <c:pt idx="2">
                  <c:v>0.375</c:v>
                </c:pt>
                <c:pt idx="3">
                  <c:v>0.41666666666666702</c:v>
                </c:pt>
                <c:pt idx="4">
                  <c:v>0.45833333333333298</c:v>
                </c:pt>
                <c:pt idx="5">
                  <c:v>0.5</c:v>
                </c:pt>
              </c:numCache>
            </c:numRef>
          </c:cat>
          <c:val>
            <c:numRef>
              <c:f>legend_chart!$B$2:$B$7</c:f>
              <c:numCache>
                <c:formatCode>0</c:formatCode>
                <c:ptCount val="6"/>
                <c:pt idx="0">
                  <c:v>30</c:v>
                </c:pt>
                <c:pt idx="1">
                  <c:v>20</c:v>
                </c:pt>
                <c:pt idx="2">
                  <c:v>27</c:v>
                </c:pt>
                <c:pt idx="3">
                  <c:v>52</c:v>
                </c:pt>
                <c:pt idx="4">
                  <c:v>34</c:v>
                </c:pt>
                <c:pt idx="5">
                  <c:v>46</c:v>
                </c:pt>
              </c:numCache>
            </c:numRef>
          </c:val>
          <c:extLst>
            <c:ext xmlns:c16="http://schemas.microsoft.com/office/drawing/2014/chart" uri="{C3380CC4-5D6E-409C-BE32-E72D297353CC}">
              <c16:uniqueId val="{00000000-FAAC-43F3-8B71-CC95047CA520}"/>
            </c:ext>
          </c:extLst>
        </c:ser>
        <c:ser>
          <c:idx val="1"/>
          <c:order val="1"/>
          <c:tx>
            <c:strRef>
              <c:f>legend_chart!$C$1</c:f>
              <c:strCache>
                <c:ptCount val="1"/>
                <c:pt idx="0">
                  <c:v>Do 90 min zprac</c:v>
                </c:pt>
              </c:strCache>
            </c:strRef>
          </c:tx>
          <c:spPr>
            <a:solidFill>
              <a:srgbClr val="FFC000"/>
            </a:solidFill>
            <a:ln>
              <a:noFill/>
            </a:ln>
            <a:effectLst/>
          </c:spPr>
          <c:invertIfNegative val="0"/>
          <c:cat>
            <c:numRef>
              <c:f>legend_chart!$A$2:$A$7</c:f>
              <c:numCache>
                <c:formatCode>h:mm</c:formatCode>
                <c:ptCount val="6"/>
                <c:pt idx="0">
                  <c:v>0.29166666666666669</c:v>
                </c:pt>
                <c:pt idx="1">
                  <c:v>0.33333333333333298</c:v>
                </c:pt>
                <c:pt idx="2">
                  <c:v>0.375</c:v>
                </c:pt>
                <c:pt idx="3">
                  <c:v>0.41666666666666702</c:v>
                </c:pt>
                <c:pt idx="4">
                  <c:v>0.45833333333333298</c:v>
                </c:pt>
                <c:pt idx="5">
                  <c:v>0.5</c:v>
                </c:pt>
              </c:numCache>
            </c:numRef>
          </c:cat>
          <c:val>
            <c:numRef>
              <c:f>legend_chart!$C$2:$C$7</c:f>
              <c:numCache>
                <c:formatCode>0</c:formatCode>
                <c:ptCount val="6"/>
                <c:pt idx="0">
                  <c:v>30</c:v>
                </c:pt>
                <c:pt idx="1">
                  <c:v>20</c:v>
                </c:pt>
                <c:pt idx="2">
                  <c:v>27</c:v>
                </c:pt>
                <c:pt idx="3">
                  <c:v>52</c:v>
                </c:pt>
                <c:pt idx="4">
                  <c:v>34</c:v>
                </c:pt>
                <c:pt idx="5">
                  <c:v>46</c:v>
                </c:pt>
              </c:numCache>
            </c:numRef>
          </c:val>
          <c:extLst>
            <c:ext xmlns:c16="http://schemas.microsoft.com/office/drawing/2014/chart" uri="{C3380CC4-5D6E-409C-BE32-E72D297353CC}">
              <c16:uniqueId val="{00000001-FAAC-43F3-8B71-CC95047CA520}"/>
            </c:ext>
          </c:extLst>
        </c:ser>
        <c:ser>
          <c:idx val="4"/>
          <c:order val="2"/>
          <c:tx>
            <c:strRef>
              <c:f>legend_chart!$D$1</c:f>
              <c:strCache>
                <c:ptCount val="1"/>
                <c:pt idx="0">
                  <c:v>Nad 90 min zprac</c:v>
                </c:pt>
              </c:strCache>
            </c:strRef>
          </c:tx>
          <c:spPr>
            <a:solidFill>
              <a:srgbClr val="CC0000"/>
            </a:solidFill>
            <a:ln>
              <a:noFill/>
            </a:ln>
            <a:effectLst/>
          </c:spPr>
          <c:invertIfNegative val="0"/>
          <c:cat>
            <c:numRef>
              <c:f>legend_chart!$A$2:$A$7</c:f>
              <c:numCache>
                <c:formatCode>h:mm</c:formatCode>
                <c:ptCount val="6"/>
                <c:pt idx="0">
                  <c:v>0.29166666666666669</c:v>
                </c:pt>
                <c:pt idx="1">
                  <c:v>0.33333333333333298</c:v>
                </c:pt>
                <c:pt idx="2">
                  <c:v>0.375</c:v>
                </c:pt>
                <c:pt idx="3">
                  <c:v>0.41666666666666702</c:v>
                </c:pt>
                <c:pt idx="4">
                  <c:v>0.45833333333333298</c:v>
                </c:pt>
                <c:pt idx="5">
                  <c:v>0.5</c:v>
                </c:pt>
              </c:numCache>
            </c:numRef>
          </c:cat>
          <c:val>
            <c:numRef>
              <c:f>legend_chart!$D$2:$D$7</c:f>
              <c:numCache>
                <c:formatCode>0</c:formatCode>
                <c:ptCount val="6"/>
                <c:pt idx="0">
                  <c:v>30</c:v>
                </c:pt>
                <c:pt idx="1">
                  <c:v>20</c:v>
                </c:pt>
                <c:pt idx="2">
                  <c:v>27</c:v>
                </c:pt>
                <c:pt idx="3">
                  <c:v>52</c:v>
                </c:pt>
                <c:pt idx="4">
                  <c:v>34</c:v>
                </c:pt>
                <c:pt idx="5">
                  <c:v>46</c:v>
                </c:pt>
              </c:numCache>
            </c:numRef>
          </c:val>
          <c:extLst>
            <c:ext xmlns:c16="http://schemas.microsoft.com/office/drawing/2014/chart" uri="{C3380CC4-5D6E-409C-BE32-E72D297353CC}">
              <c16:uniqueId val="{00000002-FAAC-43F3-8B71-CC95047CA520}"/>
            </c:ext>
          </c:extLst>
        </c:ser>
        <c:dLbls>
          <c:showLegendKey val="0"/>
          <c:showVal val="0"/>
          <c:showCatName val="0"/>
          <c:showSerName val="0"/>
          <c:showPercent val="0"/>
          <c:showBubbleSize val="0"/>
        </c:dLbls>
        <c:gapWidth val="150"/>
        <c:overlap val="100"/>
        <c:axId val="235687848"/>
        <c:axId val="236262048"/>
      </c:barChart>
      <c:lineChart>
        <c:grouping val="standard"/>
        <c:varyColors val="0"/>
        <c:ser>
          <c:idx val="2"/>
          <c:order val="3"/>
          <c:tx>
            <c:strRef>
              <c:f>legend_chart!$E$1</c:f>
              <c:strCache>
                <c:ptCount val="1"/>
                <c:pt idx="0">
                  <c:v>Do 60 min</c:v>
                </c:pt>
              </c:strCache>
            </c:strRef>
          </c:tx>
          <c:spPr>
            <a:ln w="28575" cap="rnd">
              <a:solidFill>
                <a:srgbClr val="9BBB59"/>
              </a:solidFill>
              <a:round/>
            </a:ln>
            <a:effectLst/>
          </c:spPr>
          <c:marker>
            <c:symbol val="circle"/>
            <c:size val="5"/>
            <c:spPr>
              <a:solidFill>
                <a:schemeClr val="tx1"/>
              </a:solidFill>
              <a:ln w="9525">
                <a:solidFill>
                  <a:srgbClr val="9BBB59"/>
                </a:solidFill>
              </a:ln>
              <a:effectLst/>
            </c:spPr>
          </c:marker>
          <c:cat>
            <c:numRef>
              <c:f>legend_chart!$A$2:$A$7</c:f>
              <c:numCache>
                <c:formatCode>h:mm</c:formatCode>
                <c:ptCount val="6"/>
                <c:pt idx="0">
                  <c:v>0.29166666666666669</c:v>
                </c:pt>
                <c:pt idx="1">
                  <c:v>0.33333333333333298</c:v>
                </c:pt>
                <c:pt idx="2">
                  <c:v>0.375</c:v>
                </c:pt>
                <c:pt idx="3">
                  <c:v>0.41666666666666702</c:v>
                </c:pt>
                <c:pt idx="4">
                  <c:v>0.45833333333333298</c:v>
                </c:pt>
                <c:pt idx="5">
                  <c:v>0.5</c:v>
                </c:pt>
              </c:numCache>
            </c:numRef>
          </c:cat>
          <c:val>
            <c:numRef>
              <c:f>legend_chart!$E$2:$E$7</c:f>
              <c:numCache>
                <c:formatCode>0%</c:formatCode>
                <c:ptCount val="6"/>
                <c:pt idx="0">
                  <c:v>0.88</c:v>
                </c:pt>
                <c:pt idx="1">
                  <c:v>0.88</c:v>
                </c:pt>
                <c:pt idx="2">
                  <c:v>0.88</c:v>
                </c:pt>
                <c:pt idx="3">
                  <c:v>0.88</c:v>
                </c:pt>
                <c:pt idx="4">
                  <c:v>0.88</c:v>
                </c:pt>
                <c:pt idx="5">
                  <c:v>0.88</c:v>
                </c:pt>
              </c:numCache>
            </c:numRef>
          </c:val>
          <c:smooth val="0"/>
          <c:extLst>
            <c:ext xmlns:c16="http://schemas.microsoft.com/office/drawing/2014/chart" uri="{C3380CC4-5D6E-409C-BE32-E72D297353CC}">
              <c16:uniqueId val="{00000003-FAAC-43F3-8B71-CC95047CA520}"/>
            </c:ext>
          </c:extLst>
        </c:ser>
        <c:ser>
          <c:idx val="3"/>
          <c:order val="4"/>
          <c:tx>
            <c:strRef>
              <c:f>legend_chart!$F$1</c:f>
              <c:strCache>
                <c:ptCount val="1"/>
                <c:pt idx="0">
                  <c:v>Do 90 min</c:v>
                </c:pt>
              </c:strCache>
            </c:strRef>
          </c:tx>
          <c:spPr>
            <a:ln w="28575" cap="rnd">
              <a:solidFill>
                <a:srgbClr val="FFC000"/>
              </a:solidFill>
              <a:round/>
            </a:ln>
            <a:effectLst/>
          </c:spPr>
          <c:marker>
            <c:symbol val="circle"/>
            <c:size val="5"/>
            <c:spPr>
              <a:solidFill>
                <a:schemeClr val="tx1"/>
              </a:solidFill>
              <a:ln w="9525">
                <a:solidFill>
                  <a:srgbClr val="FFC000"/>
                </a:solidFill>
              </a:ln>
              <a:effectLst/>
            </c:spPr>
          </c:marker>
          <c:dPt>
            <c:idx val="4"/>
            <c:marker>
              <c:symbol val="circle"/>
              <c:size val="5"/>
              <c:spPr>
                <a:solidFill>
                  <a:schemeClr val="tx1"/>
                </a:solidFill>
                <a:ln w="9525">
                  <a:solidFill>
                    <a:srgbClr val="FFC000"/>
                  </a:solidFill>
                </a:ln>
                <a:effectLst/>
              </c:spPr>
            </c:marker>
            <c:bubble3D val="0"/>
            <c:extLst>
              <c:ext xmlns:c16="http://schemas.microsoft.com/office/drawing/2014/chart" uri="{C3380CC4-5D6E-409C-BE32-E72D297353CC}">
                <c16:uniqueId val="{00000004-FAAC-43F3-8B71-CC95047CA520}"/>
              </c:ext>
            </c:extLst>
          </c:dPt>
          <c:dPt>
            <c:idx val="5"/>
            <c:marker>
              <c:symbol val="circle"/>
              <c:size val="5"/>
              <c:spPr>
                <a:solidFill>
                  <a:schemeClr val="tx1"/>
                </a:solidFill>
                <a:ln w="9525">
                  <a:solidFill>
                    <a:srgbClr val="FFC000"/>
                  </a:solidFill>
                </a:ln>
                <a:effectLst/>
              </c:spPr>
            </c:marker>
            <c:bubble3D val="0"/>
            <c:extLst>
              <c:ext xmlns:c16="http://schemas.microsoft.com/office/drawing/2014/chart" uri="{C3380CC4-5D6E-409C-BE32-E72D297353CC}">
                <c16:uniqueId val="{00000005-FAAC-43F3-8B71-CC95047CA520}"/>
              </c:ext>
            </c:extLst>
          </c:dPt>
          <c:cat>
            <c:numRef>
              <c:f>legend_chart!$A$2:$A$7</c:f>
              <c:numCache>
                <c:formatCode>h:mm</c:formatCode>
                <c:ptCount val="6"/>
                <c:pt idx="0">
                  <c:v>0.29166666666666669</c:v>
                </c:pt>
                <c:pt idx="1">
                  <c:v>0.33333333333333298</c:v>
                </c:pt>
                <c:pt idx="2">
                  <c:v>0.375</c:v>
                </c:pt>
                <c:pt idx="3">
                  <c:v>0.41666666666666702</c:v>
                </c:pt>
                <c:pt idx="4">
                  <c:v>0.45833333333333298</c:v>
                </c:pt>
                <c:pt idx="5">
                  <c:v>0.5</c:v>
                </c:pt>
              </c:numCache>
            </c:numRef>
          </c:cat>
          <c:val>
            <c:numRef>
              <c:f>legend_chart!$F$2:$F$7</c:f>
              <c:numCache>
                <c:formatCode>0%</c:formatCode>
                <c:ptCount val="6"/>
                <c:pt idx="0">
                  <c:v>0.9</c:v>
                </c:pt>
                <c:pt idx="1">
                  <c:v>0.9</c:v>
                </c:pt>
                <c:pt idx="2">
                  <c:v>0.92</c:v>
                </c:pt>
                <c:pt idx="3">
                  <c:v>0.89</c:v>
                </c:pt>
                <c:pt idx="4">
                  <c:v>0.67</c:v>
                </c:pt>
                <c:pt idx="5">
                  <c:v>0.72</c:v>
                </c:pt>
              </c:numCache>
            </c:numRef>
          </c:val>
          <c:smooth val="0"/>
          <c:extLst>
            <c:ext xmlns:c16="http://schemas.microsoft.com/office/drawing/2014/chart" uri="{C3380CC4-5D6E-409C-BE32-E72D297353CC}">
              <c16:uniqueId val="{00000006-FAAC-43F3-8B71-CC95047CA520}"/>
            </c:ext>
          </c:extLst>
        </c:ser>
        <c:ser>
          <c:idx val="5"/>
          <c:order val="5"/>
          <c:tx>
            <c:strRef>
              <c:f>legend_chart!$G$1</c:f>
              <c:strCache>
                <c:ptCount val="1"/>
                <c:pt idx="0">
                  <c:v>Nad 90 min</c:v>
                </c:pt>
              </c:strCache>
            </c:strRef>
          </c:tx>
          <c:spPr>
            <a:ln w="28575" cap="rnd">
              <a:solidFill>
                <a:srgbClr val="CC0000"/>
              </a:solidFill>
              <a:round/>
            </a:ln>
            <a:effectLst/>
          </c:spPr>
          <c:marker>
            <c:symbol val="circle"/>
            <c:size val="5"/>
            <c:spPr>
              <a:solidFill>
                <a:schemeClr val="tx1"/>
              </a:solidFill>
              <a:ln w="9525">
                <a:solidFill>
                  <a:srgbClr val="CC0000"/>
                </a:solidFill>
              </a:ln>
              <a:effectLst/>
            </c:spPr>
          </c:marker>
          <c:cat>
            <c:numRef>
              <c:f>legend_chart!$A$2:$A$7</c:f>
              <c:numCache>
                <c:formatCode>h:mm</c:formatCode>
                <c:ptCount val="6"/>
                <c:pt idx="0">
                  <c:v>0.29166666666666669</c:v>
                </c:pt>
                <c:pt idx="1">
                  <c:v>0.33333333333333298</c:v>
                </c:pt>
                <c:pt idx="2">
                  <c:v>0.375</c:v>
                </c:pt>
                <c:pt idx="3">
                  <c:v>0.41666666666666702</c:v>
                </c:pt>
                <c:pt idx="4">
                  <c:v>0.45833333333333298</c:v>
                </c:pt>
                <c:pt idx="5">
                  <c:v>0.5</c:v>
                </c:pt>
              </c:numCache>
            </c:numRef>
          </c:cat>
          <c:val>
            <c:numRef>
              <c:f>legend_chart!$G$2:$G$7</c:f>
              <c:numCache>
                <c:formatCode>0%</c:formatCode>
                <c:ptCount val="6"/>
                <c:pt idx="0">
                  <c:v>0.91</c:v>
                </c:pt>
                <c:pt idx="1">
                  <c:v>0.85</c:v>
                </c:pt>
                <c:pt idx="2">
                  <c:v>0.96</c:v>
                </c:pt>
                <c:pt idx="3">
                  <c:v>1</c:v>
                </c:pt>
                <c:pt idx="4">
                  <c:v>0.59</c:v>
                </c:pt>
                <c:pt idx="5">
                  <c:v>0.83</c:v>
                </c:pt>
              </c:numCache>
            </c:numRef>
          </c:val>
          <c:smooth val="0"/>
          <c:extLst>
            <c:ext xmlns:c16="http://schemas.microsoft.com/office/drawing/2014/chart" uri="{C3380CC4-5D6E-409C-BE32-E72D297353CC}">
              <c16:uniqueId val="{00000007-FAAC-43F3-8B71-CC95047CA520}"/>
            </c:ext>
          </c:extLst>
        </c:ser>
        <c:dLbls>
          <c:showLegendKey val="0"/>
          <c:showVal val="0"/>
          <c:showCatName val="0"/>
          <c:showSerName val="0"/>
          <c:showPercent val="0"/>
          <c:showBubbleSize val="0"/>
        </c:dLbls>
        <c:marker val="1"/>
        <c:smooth val="0"/>
        <c:axId val="236262832"/>
        <c:axId val="236262440"/>
      </c:lineChart>
      <c:catAx>
        <c:axId val="235687848"/>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36262048"/>
        <c:crosses val="autoZero"/>
        <c:auto val="1"/>
        <c:lblAlgn val="ctr"/>
        <c:lblOffset val="100"/>
        <c:noMultiLvlLbl val="0"/>
      </c:catAx>
      <c:valAx>
        <c:axId val="2362620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35687848"/>
        <c:crosses val="autoZero"/>
        <c:crossBetween val="between"/>
      </c:valAx>
      <c:valAx>
        <c:axId val="236262440"/>
        <c:scaling>
          <c:orientation val="minMax"/>
          <c:max val="1.1000000000000001"/>
          <c:min val="0.5"/>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236262832"/>
        <c:crosses val="max"/>
        <c:crossBetween val="between"/>
        <c:majorUnit val="0.1"/>
      </c:valAx>
      <c:catAx>
        <c:axId val="236262832"/>
        <c:scaling>
          <c:orientation val="minMax"/>
        </c:scaling>
        <c:delete val="1"/>
        <c:axPos val="b"/>
        <c:numFmt formatCode="h:mm" sourceLinked="1"/>
        <c:majorTickMark val="out"/>
        <c:minorTickMark val="none"/>
        <c:tickLblPos val="nextTo"/>
        <c:crossAx val="236262440"/>
        <c:crosses val="autoZero"/>
        <c:auto val="1"/>
        <c:lblAlgn val="ctr"/>
        <c:lblOffset val="100"/>
        <c:noMultiLvlLbl val="0"/>
      </c:catAx>
      <c:spPr>
        <a:noFill/>
        <a:ln>
          <a:noFill/>
        </a:ln>
        <a:effectLst/>
      </c:spPr>
    </c:plotArea>
    <c:legend>
      <c:legendPos val="l"/>
      <c:legendEntry>
        <c:idx val="0"/>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cs-CZ"/>
          </a:p>
        </c:txPr>
      </c:legendEntry>
      <c:legendEntry>
        <c:idx val="3"/>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cs-CZ"/>
          </a:p>
        </c:txPr>
      </c:legendEntry>
      <c:legendEntry>
        <c:idx val="4"/>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cs-CZ"/>
          </a:p>
        </c:txPr>
      </c:legendEntry>
      <c:layout>
        <c:manualLayout>
          <c:xMode val="edge"/>
          <c:yMode val="edge"/>
          <c:x val="6.7370520622938605E-3"/>
          <c:y val="6.1562610229276893E-2"/>
          <c:w val="0.2677482199196593"/>
          <c:h val="0.90483950617283948"/>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1.3_3_2.xlsm]pt.generic_add_data3!pt.generic_add_data3</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chemeClr val="accent1"/>
          </a:solidFill>
          <a:ln w="28575" cap="rnd">
            <a:solidFill>
              <a:srgbClr val="000000"/>
            </a:solidFill>
            <a:round/>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6"/>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7"/>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8"/>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9"/>
        <c:spPr>
          <a:solidFill>
            <a:schemeClr val="accent1"/>
          </a:solidFill>
          <a:ln w="28575" cap="rnd">
            <a:solidFill>
              <a:srgbClr val="FFC000"/>
            </a:solidFill>
            <a:round/>
          </a:ln>
          <a:effectLst/>
        </c:spPr>
        <c:marker>
          <c:spPr>
            <a:solidFill>
              <a:srgbClr val="9CC746"/>
            </a:solidFill>
            <a:ln w="12700">
              <a:solidFill>
                <a:srgbClr val="9CC746"/>
              </a:solidFill>
              <a:prstDash val="solid"/>
            </a:ln>
            <a:effectLst/>
          </c:spPr>
        </c:marker>
      </c:pivotFmt>
      <c:pivotFmt>
        <c:idx val="10"/>
        <c:spPr>
          <a:solidFill>
            <a:schemeClr val="accent1"/>
          </a:solidFill>
          <a:ln w="28575" cap="rnd">
            <a:solidFill>
              <a:srgbClr val="FFC000"/>
            </a:solidFill>
            <a:round/>
          </a:ln>
          <a:effectLst/>
        </c:spPr>
        <c:marker>
          <c:spPr>
            <a:solidFill>
              <a:srgbClr val="9CC746"/>
            </a:solidFill>
            <a:ln w="12700">
              <a:solidFill>
                <a:srgbClr val="9CC746"/>
              </a:solidFill>
              <a:prstDash val="solid"/>
            </a:ln>
            <a:effectLst/>
          </c:spPr>
        </c:marker>
      </c:pivotFmt>
      <c:pivotFmt>
        <c:idx val="11"/>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2"/>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3"/>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4"/>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5"/>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6"/>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7"/>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8"/>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19"/>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0"/>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1"/>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2"/>
        <c:spPr>
          <a:solidFill>
            <a:schemeClr val="accent1"/>
          </a:solidFill>
          <a:ln w="28575" cap="rnd">
            <a:solidFill>
              <a:srgbClr val="FFC000"/>
            </a:solidFill>
            <a:round/>
          </a:ln>
          <a:effectLst/>
        </c:spPr>
        <c:marker>
          <c:spPr>
            <a:solidFill>
              <a:srgbClr val="9CC746"/>
            </a:solidFill>
            <a:ln w="9525">
              <a:solidFill>
                <a:srgbClr val="9CC746"/>
              </a:solidFill>
              <a:prstDash val="solid"/>
            </a:ln>
            <a:effectLst/>
          </c:spPr>
        </c:marker>
      </c:pivotFmt>
      <c:pivotFmt>
        <c:idx val="23"/>
        <c:spPr>
          <a:solidFill>
            <a:schemeClr val="accent1"/>
          </a:solidFill>
          <a:ln w="28575" cap="rnd">
            <a:solidFill>
              <a:srgbClr val="FFC000"/>
            </a:solidFill>
            <a:round/>
          </a:ln>
          <a:effectLst/>
        </c:spPr>
        <c:marker>
          <c:spPr>
            <a:solidFill>
              <a:srgbClr val="9CC746"/>
            </a:solidFill>
            <a:ln w="9525">
              <a:solidFill>
                <a:srgbClr val="9CC746"/>
              </a:solidFill>
              <a:prstDash val="solid"/>
            </a:ln>
            <a:effectLst/>
          </c:spPr>
        </c:marker>
      </c:pivotFmt>
      <c:pivotFmt>
        <c:idx val="24"/>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5"/>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6"/>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7"/>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8"/>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9"/>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30"/>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31"/>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2"/>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3"/>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4"/>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5"/>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6"/>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7"/>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8"/>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9"/>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0"/>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1"/>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2"/>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3"/>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4"/>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5"/>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6"/>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7"/>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8"/>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9"/>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0"/>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1"/>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2"/>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3"/>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4"/>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5"/>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6"/>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60"/>
        <c:spPr>
          <a:solidFill>
            <a:schemeClr val="accent1"/>
          </a:solidFill>
          <a:ln w="28575" cap="rnd">
            <a:solidFill>
              <a:srgbClr val="000000"/>
            </a:solidFill>
            <a:round/>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3"/>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4"/>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5"/>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6"/>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7"/>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8"/>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9"/>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0"/>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1"/>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2"/>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3"/>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4"/>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s>
    <c:plotArea>
      <c:layout>
        <c:manualLayout>
          <c:layoutTarget val="inner"/>
          <c:xMode val="edge"/>
          <c:yMode val="edge"/>
          <c:x val="0.19025142766725842"/>
          <c:y val="0.35959742551880791"/>
          <c:w val="0.75757045167197745"/>
          <c:h val="0.57216597315918183"/>
        </c:manualLayout>
      </c:layout>
      <c:barChart>
        <c:barDir val="col"/>
        <c:grouping val="stacked"/>
        <c:varyColors val="0"/>
        <c:ser>
          <c:idx val="0"/>
          <c:order val="0"/>
          <c:tx>
            <c:strRef>
              <c:f>pt.generic_add_data3!$C$7:$C$8</c:f>
              <c:strCache>
                <c:ptCount val="1"/>
                <c:pt idx="0">
                  <c:v>Grand Total</c:v>
                </c:pt>
              </c:strCache>
            </c:strRef>
          </c:tx>
          <c:spPr>
            <a:solidFill>
              <a:schemeClr val="accent1"/>
            </a:solidFill>
            <a:ln>
              <a:noFill/>
            </a:ln>
            <a:effectLst/>
          </c:spPr>
          <c:invertIfNegative val="0"/>
          <c:cat>
            <c:strRef>
              <c:f>pt.generic_add_data3!$A$9:$B$9</c:f>
              <c:strCache>
                <c:ptCount val="1"/>
                <c:pt idx="0">
                  <c:v>Grand Total</c:v>
                </c:pt>
              </c:strCache>
            </c:strRef>
          </c:cat>
          <c:val>
            <c:numRef>
              <c:f>pt.generic_add_data3!$C$9</c:f>
              <c:numCache>
                <c:formatCode>General</c:formatCode>
                <c:ptCount val="1"/>
              </c:numCache>
            </c:numRef>
          </c:val>
          <c:extLst>
            <c:ext xmlns:c16="http://schemas.microsoft.com/office/drawing/2014/chart" uri="{C3380CC4-5D6E-409C-BE32-E72D297353CC}">
              <c16:uniqueId val="{0000001A-9AF6-46A4-B507-383A5BE37887}"/>
            </c:ext>
          </c:extLst>
        </c:ser>
        <c:dLbls>
          <c:showLegendKey val="0"/>
          <c:showVal val="0"/>
          <c:showCatName val="0"/>
          <c:showSerName val="0"/>
          <c:showPercent val="0"/>
          <c:showBubbleSize val="0"/>
        </c:dLbls>
        <c:gapWidth val="200"/>
        <c:overlap val="100"/>
        <c:axId val="236847320"/>
        <c:axId val="236847712"/>
      </c:barChart>
      <c:catAx>
        <c:axId val="236847320"/>
        <c:scaling>
          <c:orientation val="minMax"/>
        </c:scaling>
        <c:delete val="0"/>
        <c:axPos val="b"/>
        <c:numFmt formatCode="h" sourceLinked="0"/>
        <c:majorTickMark val="out"/>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36847712"/>
        <c:crosses val="autoZero"/>
        <c:auto val="1"/>
        <c:lblAlgn val="ctr"/>
        <c:lblOffset val="100"/>
        <c:noMultiLvlLbl val="0"/>
      </c:catAx>
      <c:valAx>
        <c:axId val="236847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36847320"/>
        <c:crosses val="autoZero"/>
        <c:crossBetween val="between"/>
      </c:valAx>
      <c:spPr>
        <a:noFill/>
        <a:ln w="25400">
          <a:noFill/>
        </a:ln>
        <a:effectLst/>
      </c:spPr>
    </c:plotArea>
    <c:legend>
      <c:legendPos val="l"/>
      <c:layout>
        <c:manualLayout>
          <c:xMode val="edge"/>
          <c:yMode val="edge"/>
          <c:x val="1.0448101523736318E-2"/>
          <c:y val="0.17250242397801344"/>
          <c:w val="0.10363633950780608"/>
          <c:h val="0.1619927663578952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1.3_3_2.xlsm]pt.generic_add_data2!pt.generic_add_data2</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2"/>
            </a:solidFill>
            <a:round/>
          </a:ln>
          <a:effectLst/>
        </c:spPr>
        <c:marker>
          <c:symbol val="none"/>
        </c:marker>
      </c:pivotFmt>
      <c:pivotFmt>
        <c:idx val="2"/>
        <c:spPr>
          <a:ln w="28575" cap="rnd">
            <a:solidFill>
              <a:srgbClr val="FFC000"/>
            </a:solidFill>
            <a:round/>
          </a:ln>
          <a:effectLst/>
        </c:spPr>
        <c:marker>
          <c:symbol val="circle"/>
          <c:size val="5"/>
          <c:spPr>
            <a:ln>
              <a:solidFill>
                <a:srgbClr val="FFC000"/>
              </a:solidFill>
            </a:ln>
          </c:spPr>
        </c:marker>
      </c:pivotFmt>
      <c:pivotFmt>
        <c:idx val="3"/>
        <c:spPr>
          <a:ln w="28575" cap="rnd">
            <a:solidFill>
              <a:srgbClr val="000000"/>
            </a:solidFill>
            <a:round/>
          </a:ln>
          <a:effectLst/>
        </c:spPr>
        <c:marker>
          <c:symbol val="none"/>
        </c:marker>
      </c:pivotFmt>
      <c:pivotFmt>
        <c:idx val="4"/>
        <c:marker>
          <c:symbol val="none"/>
        </c:marker>
      </c:pivotFmt>
      <c:pivotFmt>
        <c:idx val="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9"/>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0"/>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2"/>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3"/>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2"/>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3"/>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1"/>
        <c:spPr>
          <a:ln w="28575" cap="rnd">
            <a:solidFill>
              <a:srgbClr val="FFC000"/>
            </a:solidFill>
            <a:round/>
          </a:ln>
          <a:effectLst/>
        </c:spPr>
        <c:marker>
          <c:spPr>
            <a:solidFill>
              <a:srgbClr val="9CC746"/>
            </a:solidFill>
            <a:ln>
              <a:solidFill>
                <a:srgbClr val="FFC000"/>
              </a:solidFill>
              <a:prstDash val="solid"/>
            </a:ln>
          </c:spPr>
        </c:marker>
      </c:pivotFmt>
      <c:pivotFmt>
        <c:idx val="32"/>
        <c:spPr>
          <a:ln w="28575" cap="rnd">
            <a:solidFill>
              <a:srgbClr val="FFC000"/>
            </a:solidFill>
            <a:round/>
          </a:ln>
          <a:effectLst/>
        </c:spPr>
        <c:marker>
          <c:spPr>
            <a:solidFill>
              <a:srgbClr val="9CC746"/>
            </a:solidFill>
            <a:ln>
              <a:solidFill>
                <a:srgbClr val="FFC000"/>
              </a:solidFill>
              <a:prstDash val="solid"/>
            </a:ln>
          </c:spPr>
        </c:marker>
      </c:pivotFmt>
      <c:pivotFmt>
        <c:idx val="33"/>
        <c:spPr>
          <a:ln w="28575" cap="rnd">
            <a:solidFill>
              <a:srgbClr val="FFC000"/>
            </a:solidFill>
            <a:round/>
          </a:ln>
          <a:effectLst/>
        </c:spPr>
        <c:marker>
          <c:spPr>
            <a:solidFill>
              <a:srgbClr val="9CC746"/>
            </a:solidFill>
            <a:ln>
              <a:solidFill>
                <a:srgbClr val="FFC000"/>
              </a:solidFill>
              <a:prstDash val="solid"/>
            </a:ln>
          </c:spPr>
        </c:marker>
      </c:pivotFmt>
      <c:pivotFmt>
        <c:idx val="34"/>
        <c:spPr>
          <a:ln w="28575" cap="rnd">
            <a:solidFill>
              <a:srgbClr val="FFC000"/>
            </a:solidFill>
            <a:round/>
          </a:ln>
          <a:effectLst/>
        </c:spPr>
        <c:marker>
          <c:spPr>
            <a:solidFill>
              <a:srgbClr val="9CC746"/>
            </a:solidFill>
            <a:ln>
              <a:solidFill>
                <a:srgbClr val="FFC000"/>
              </a:solidFill>
              <a:prstDash val="solid"/>
            </a:ln>
          </c:spPr>
        </c:marker>
      </c:pivotFmt>
      <c:pivotFmt>
        <c:idx val="35"/>
        <c:spPr>
          <a:ln w="28575" cap="rnd">
            <a:solidFill>
              <a:srgbClr val="FFC000"/>
            </a:solidFill>
            <a:round/>
          </a:ln>
          <a:effectLst/>
        </c:spPr>
        <c:marker>
          <c:spPr>
            <a:solidFill>
              <a:srgbClr val="9CC746"/>
            </a:solidFill>
            <a:ln>
              <a:solidFill>
                <a:srgbClr val="FFC000"/>
              </a:solidFill>
              <a:prstDash val="solid"/>
            </a:ln>
          </c:spPr>
        </c:marker>
      </c:pivotFmt>
      <c:pivotFmt>
        <c:idx val="36"/>
        <c:spPr>
          <a:ln w="28575" cap="rnd">
            <a:solidFill>
              <a:srgbClr val="FFC000"/>
            </a:solidFill>
            <a:round/>
          </a:ln>
          <a:effectLst/>
        </c:spPr>
        <c:marker>
          <c:spPr>
            <a:solidFill>
              <a:srgbClr val="9CC746"/>
            </a:solidFill>
            <a:ln>
              <a:solidFill>
                <a:srgbClr val="FFC000"/>
              </a:solidFill>
              <a:prstDash val="solid"/>
            </a:ln>
          </c:spPr>
        </c:marker>
      </c:pivotFmt>
      <c:pivotFmt>
        <c:idx val="37"/>
        <c:spPr>
          <a:ln w="28575" cap="rnd">
            <a:solidFill>
              <a:srgbClr val="FFC000"/>
            </a:solidFill>
            <a:round/>
          </a:ln>
          <a:effectLst/>
        </c:spPr>
        <c:marker>
          <c:spPr>
            <a:solidFill>
              <a:srgbClr val="9B2D2A"/>
            </a:solidFill>
            <a:ln>
              <a:solidFill>
                <a:srgbClr val="FFC000"/>
              </a:solidFill>
              <a:prstDash val="solid"/>
            </a:ln>
          </c:spPr>
        </c:marker>
      </c:pivotFmt>
      <c:pivotFmt>
        <c:idx val="38"/>
        <c:spPr>
          <a:ln w="28575" cap="rnd">
            <a:solidFill>
              <a:srgbClr val="FFC000"/>
            </a:solidFill>
            <a:round/>
          </a:ln>
          <a:effectLst/>
        </c:spPr>
        <c:marker>
          <c:spPr>
            <a:solidFill>
              <a:srgbClr val="9CC746"/>
            </a:solidFill>
            <a:ln>
              <a:solidFill>
                <a:srgbClr val="FFC000"/>
              </a:solidFill>
              <a:prstDash val="solid"/>
            </a:ln>
          </c:spPr>
        </c:marker>
      </c:pivotFmt>
      <c:pivotFmt>
        <c:idx val="39"/>
        <c:spPr>
          <a:ln w="28575" cap="rnd">
            <a:solidFill>
              <a:srgbClr val="FFC000"/>
            </a:solidFill>
            <a:round/>
          </a:ln>
          <a:effectLst/>
        </c:spPr>
        <c:marker>
          <c:spPr>
            <a:solidFill>
              <a:srgbClr val="9CC746"/>
            </a:solidFill>
            <a:ln>
              <a:solidFill>
                <a:srgbClr val="FFC000"/>
              </a:solidFill>
              <a:prstDash val="solid"/>
            </a:ln>
          </c:spPr>
        </c:marker>
      </c:pivotFmt>
      <c:pivotFmt>
        <c:idx val="40"/>
        <c:spPr>
          <a:ln w="28575" cap="rnd">
            <a:solidFill>
              <a:srgbClr val="FFC000"/>
            </a:solidFill>
            <a:round/>
          </a:ln>
          <a:effectLst/>
        </c:spPr>
        <c:marker>
          <c:spPr>
            <a:solidFill>
              <a:srgbClr val="9CC746"/>
            </a:solidFill>
            <a:ln>
              <a:solidFill>
                <a:srgbClr val="FFC000"/>
              </a:solidFill>
              <a:prstDash val="solid"/>
            </a:ln>
          </c:spPr>
        </c:marker>
      </c:pivotFmt>
      <c:pivotFmt>
        <c:idx val="41"/>
        <c:spPr>
          <a:ln w="28575" cap="rnd">
            <a:solidFill>
              <a:srgbClr val="FFC000"/>
            </a:solidFill>
            <a:round/>
          </a:ln>
          <a:effectLst/>
        </c:spPr>
        <c:marker>
          <c:spPr>
            <a:solidFill>
              <a:srgbClr val="9CC746"/>
            </a:solidFill>
            <a:ln>
              <a:solidFill>
                <a:srgbClr val="FFC000"/>
              </a:solidFill>
              <a:prstDash val="solid"/>
            </a:ln>
          </c:spPr>
        </c:marker>
      </c:pivotFmt>
      <c:pivotFmt>
        <c:idx val="42"/>
        <c:spPr>
          <a:ln w="28575" cap="rnd">
            <a:solidFill>
              <a:srgbClr val="FFC000"/>
            </a:solidFill>
            <a:round/>
          </a:ln>
          <a:effectLst/>
        </c:spPr>
        <c:marker>
          <c:spPr>
            <a:solidFill>
              <a:srgbClr val="9CC746"/>
            </a:solidFill>
            <a:ln>
              <a:solidFill>
                <a:srgbClr val="FFC000"/>
              </a:solidFill>
              <a:prstDash val="solid"/>
            </a:ln>
          </c:spPr>
        </c:marker>
      </c:pivotFmt>
      <c:pivotFmt>
        <c:idx val="43"/>
        <c:spPr>
          <a:ln w="28575" cap="rnd">
            <a:solidFill>
              <a:srgbClr val="FFC000"/>
            </a:solidFill>
            <a:round/>
          </a:ln>
          <a:effectLst/>
        </c:spPr>
        <c:marker>
          <c:spPr>
            <a:solidFill>
              <a:srgbClr val="9CC746"/>
            </a:solidFill>
            <a:ln>
              <a:solidFill>
                <a:srgbClr val="FFC000"/>
              </a:solidFill>
              <a:prstDash val="solid"/>
            </a:ln>
          </c:spPr>
        </c:marker>
      </c:pivotFmt>
      <c:pivotFmt>
        <c:idx val="44"/>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7"/>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8"/>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9"/>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50"/>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1"/>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2"/>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3"/>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4"/>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7"/>
        <c:marker>
          <c:symbol val="none"/>
        </c:marker>
      </c:pivotFmt>
      <c:pivotFmt>
        <c:idx val="58"/>
        <c:marker>
          <c:symbol val="none"/>
        </c:marker>
      </c:pivotFmt>
      <c:pivotFmt>
        <c:idx val="59"/>
        <c:marker>
          <c:symbol val="none"/>
        </c:marker>
      </c:pivotFmt>
      <c:pivotFmt>
        <c:idx val="60"/>
        <c:spPr>
          <a:ln>
            <a:solidFill>
              <a:srgbClr val="FFC000"/>
            </a:solidFill>
          </a:ln>
        </c:spPr>
        <c:marker>
          <c:symbol val="circle"/>
          <c:size val="5"/>
          <c:spPr>
            <a:ln>
              <a:solidFill>
                <a:srgbClr val="FFC000"/>
              </a:solidFill>
            </a:ln>
          </c:spPr>
        </c:marker>
      </c:pivotFmt>
      <c:pivotFmt>
        <c:idx val="61"/>
        <c:spPr>
          <a:ln>
            <a:solidFill>
              <a:srgbClr val="000000"/>
            </a:solidFill>
          </a:ln>
        </c:spPr>
        <c:marker>
          <c:symbol val="none"/>
        </c:marker>
      </c:pivotFmt>
      <c:pivotFmt>
        <c:idx val="62"/>
        <c:marker>
          <c:symbol val="none"/>
        </c:marker>
      </c:pivotFmt>
      <c:pivotFmt>
        <c:idx val="63"/>
        <c:spPr>
          <a:solidFill>
            <a:srgbClr val="9CC746"/>
          </a:solidFill>
          <a:ln>
            <a:solidFill>
              <a:srgbClr val="FFC000"/>
            </a:solidFill>
          </a:ln>
        </c:spPr>
        <c:marker>
          <c:spPr>
            <a:solidFill>
              <a:srgbClr val="9CC746"/>
            </a:solidFill>
            <a:ln>
              <a:solidFill>
                <a:srgbClr val="FFC000"/>
              </a:solidFill>
              <a:prstDash val="solid"/>
            </a:ln>
          </c:spPr>
        </c:marker>
      </c:pivotFmt>
      <c:pivotFmt>
        <c:idx val="64"/>
        <c:spPr>
          <a:solidFill>
            <a:srgbClr val="9CC746"/>
          </a:solidFill>
          <a:ln>
            <a:solidFill>
              <a:srgbClr val="FFC000"/>
            </a:solidFill>
          </a:ln>
        </c:spPr>
        <c:marker>
          <c:spPr>
            <a:solidFill>
              <a:srgbClr val="9CC746"/>
            </a:solidFill>
            <a:ln>
              <a:solidFill>
                <a:srgbClr val="FFC000"/>
              </a:solidFill>
              <a:prstDash val="solid"/>
            </a:ln>
          </c:spPr>
        </c:marker>
      </c:pivotFmt>
      <c:pivotFmt>
        <c:idx val="65"/>
        <c:spPr>
          <a:solidFill>
            <a:srgbClr val="9CC746"/>
          </a:solidFill>
          <a:ln>
            <a:solidFill>
              <a:srgbClr val="FFC000"/>
            </a:solidFill>
          </a:ln>
        </c:spPr>
        <c:marker>
          <c:spPr>
            <a:solidFill>
              <a:srgbClr val="9CC746"/>
            </a:solidFill>
            <a:ln>
              <a:solidFill>
                <a:srgbClr val="FFC000"/>
              </a:solidFill>
              <a:prstDash val="solid"/>
            </a:ln>
          </c:spPr>
        </c:marker>
      </c:pivotFmt>
      <c:pivotFmt>
        <c:idx val="66"/>
        <c:spPr>
          <a:solidFill>
            <a:srgbClr val="9CC746"/>
          </a:solidFill>
          <a:ln>
            <a:solidFill>
              <a:srgbClr val="FFC000"/>
            </a:solidFill>
          </a:ln>
        </c:spPr>
        <c:marker>
          <c:spPr>
            <a:solidFill>
              <a:srgbClr val="9CC746"/>
            </a:solidFill>
            <a:ln>
              <a:solidFill>
                <a:srgbClr val="FFC000"/>
              </a:solidFill>
              <a:prstDash val="solid"/>
            </a:ln>
          </c:spPr>
        </c:marker>
      </c:pivotFmt>
      <c:pivotFmt>
        <c:idx val="67"/>
        <c:spPr>
          <a:solidFill>
            <a:srgbClr val="9CC746"/>
          </a:solidFill>
          <a:ln>
            <a:solidFill>
              <a:srgbClr val="FFC000"/>
            </a:solidFill>
          </a:ln>
        </c:spPr>
        <c:marker>
          <c:spPr>
            <a:solidFill>
              <a:srgbClr val="9CC746"/>
            </a:solidFill>
            <a:ln>
              <a:solidFill>
                <a:srgbClr val="FFC000"/>
              </a:solidFill>
              <a:prstDash val="solid"/>
            </a:ln>
          </c:spPr>
        </c:marker>
      </c:pivotFmt>
      <c:pivotFmt>
        <c:idx val="68"/>
        <c:spPr>
          <a:solidFill>
            <a:srgbClr val="9CC746"/>
          </a:solidFill>
          <a:ln>
            <a:solidFill>
              <a:srgbClr val="FFC000"/>
            </a:solidFill>
          </a:ln>
        </c:spPr>
        <c:marker>
          <c:spPr>
            <a:solidFill>
              <a:srgbClr val="9CC746"/>
            </a:solidFill>
            <a:ln>
              <a:solidFill>
                <a:srgbClr val="FFC000"/>
              </a:solidFill>
              <a:prstDash val="solid"/>
            </a:ln>
          </c:spPr>
        </c:marker>
      </c:pivotFmt>
      <c:pivotFmt>
        <c:idx val="69"/>
        <c:spPr>
          <a:solidFill>
            <a:srgbClr val="9B2D2A"/>
          </a:solidFill>
          <a:ln>
            <a:solidFill>
              <a:srgbClr val="FFC000"/>
            </a:solidFill>
          </a:ln>
        </c:spPr>
        <c:marker>
          <c:spPr>
            <a:solidFill>
              <a:srgbClr val="9B2D2A"/>
            </a:solidFill>
            <a:ln>
              <a:solidFill>
                <a:srgbClr val="FFC000"/>
              </a:solidFill>
              <a:prstDash val="solid"/>
            </a:ln>
          </c:spPr>
        </c:marker>
      </c:pivotFmt>
      <c:pivotFmt>
        <c:idx val="70"/>
        <c:spPr>
          <a:solidFill>
            <a:srgbClr val="9CC746"/>
          </a:solidFill>
          <a:ln>
            <a:solidFill>
              <a:srgbClr val="FFC000"/>
            </a:solidFill>
          </a:ln>
        </c:spPr>
        <c:marker>
          <c:spPr>
            <a:solidFill>
              <a:srgbClr val="9CC746"/>
            </a:solidFill>
            <a:ln>
              <a:solidFill>
                <a:srgbClr val="FFC000"/>
              </a:solidFill>
              <a:prstDash val="solid"/>
            </a:ln>
          </c:spPr>
        </c:marker>
      </c:pivotFmt>
      <c:pivotFmt>
        <c:idx val="71"/>
        <c:spPr>
          <a:solidFill>
            <a:srgbClr val="9CC746"/>
          </a:solidFill>
          <a:ln>
            <a:solidFill>
              <a:srgbClr val="FFC000"/>
            </a:solidFill>
          </a:ln>
        </c:spPr>
        <c:marker>
          <c:spPr>
            <a:solidFill>
              <a:srgbClr val="9CC746"/>
            </a:solidFill>
            <a:ln>
              <a:solidFill>
                <a:srgbClr val="FFC000"/>
              </a:solidFill>
              <a:prstDash val="solid"/>
            </a:ln>
          </c:spPr>
        </c:marker>
      </c:pivotFmt>
      <c:pivotFmt>
        <c:idx val="72"/>
        <c:spPr>
          <a:solidFill>
            <a:srgbClr val="9CC746"/>
          </a:solidFill>
          <a:ln>
            <a:solidFill>
              <a:srgbClr val="FFC000"/>
            </a:solidFill>
          </a:ln>
        </c:spPr>
        <c:marker>
          <c:spPr>
            <a:solidFill>
              <a:srgbClr val="9CC746"/>
            </a:solidFill>
            <a:ln>
              <a:solidFill>
                <a:srgbClr val="FFC000"/>
              </a:solidFill>
              <a:prstDash val="solid"/>
            </a:ln>
          </c:spPr>
        </c:marker>
      </c:pivotFmt>
      <c:pivotFmt>
        <c:idx val="73"/>
        <c:spPr>
          <a:solidFill>
            <a:srgbClr val="9CC746"/>
          </a:solidFill>
          <a:ln>
            <a:solidFill>
              <a:srgbClr val="FFC000"/>
            </a:solidFill>
          </a:ln>
        </c:spPr>
        <c:marker>
          <c:spPr>
            <a:solidFill>
              <a:srgbClr val="9CC746"/>
            </a:solidFill>
            <a:ln>
              <a:solidFill>
                <a:srgbClr val="FFC000"/>
              </a:solidFill>
              <a:prstDash val="solid"/>
            </a:ln>
          </c:spPr>
        </c:marker>
      </c:pivotFmt>
      <c:pivotFmt>
        <c:idx val="74"/>
        <c:spPr>
          <a:solidFill>
            <a:srgbClr val="9CC746"/>
          </a:solidFill>
          <a:ln>
            <a:solidFill>
              <a:srgbClr val="FFC000"/>
            </a:solidFill>
          </a:ln>
        </c:spPr>
        <c:marker>
          <c:spPr>
            <a:solidFill>
              <a:srgbClr val="9CC746"/>
            </a:solidFill>
            <a:ln>
              <a:solidFill>
                <a:srgbClr val="FFC000"/>
              </a:solidFill>
              <a:prstDash val="solid"/>
            </a:ln>
          </c:spPr>
        </c:marker>
      </c:pivotFmt>
      <c:pivotFmt>
        <c:idx val="75"/>
        <c:spPr>
          <a:solidFill>
            <a:srgbClr val="9CC746"/>
          </a:solidFill>
          <a:ln>
            <a:solidFill>
              <a:srgbClr val="FFC000"/>
            </a:solidFill>
          </a:ln>
        </c:spPr>
        <c:marker>
          <c:spPr>
            <a:solidFill>
              <a:srgbClr val="9CC746"/>
            </a:solidFill>
            <a:ln>
              <a:solidFill>
                <a:srgbClr val="FFC000"/>
              </a:solidFill>
              <a:prstDash val="solid"/>
            </a:ln>
          </c:spPr>
        </c:marker>
      </c:pivotFmt>
    </c:pivotFmts>
    <c:plotArea>
      <c:layout/>
      <c:barChart>
        <c:barDir val="col"/>
        <c:grouping val="stacked"/>
        <c:varyColors val="0"/>
        <c:ser>
          <c:idx val="0"/>
          <c:order val="0"/>
          <c:tx>
            <c:strRef>
              <c:f>pt.generic_add_data2!$C$7:$C$8</c:f>
              <c:strCache>
                <c:ptCount val="1"/>
                <c:pt idx="0">
                  <c:v>Grand Total</c:v>
                </c:pt>
              </c:strCache>
            </c:strRef>
          </c:tx>
          <c:invertIfNegative val="0"/>
          <c:cat>
            <c:strRef>
              <c:f>pt.generic_add_data2!$A$9:$B$9</c:f>
              <c:strCache>
                <c:ptCount val="1"/>
                <c:pt idx="0">
                  <c:v>Grand Total</c:v>
                </c:pt>
              </c:strCache>
            </c:strRef>
          </c:cat>
          <c:val>
            <c:numRef>
              <c:f>pt.generic_add_data2!$C$9</c:f>
              <c:numCache>
                <c:formatCode>General</c:formatCode>
                <c:ptCount val="1"/>
              </c:numCache>
            </c:numRef>
          </c:val>
          <c:extLst>
            <c:ext xmlns:c16="http://schemas.microsoft.com/office/drawing/2014/chart" uri="{C3380CC4-5D6E-409C-BE32-E72D297353CC}">
              <c16:uniqueId val="{00000000-D757-46A8-B4DA-7B175532B04A}"/>
            </c:ext>
          </c:extLst>
        </c:ser>
        <c:dLbls>
          <c:showLegendKey val="0"/>
          <c:showVal val="0"/>
          <c:showCatName val="0"/>
          <c:showSerName val="0"/>
          <c:showPercent val="0"/>
          <c:showBubbleSize val="0"/>
        </c:dLbls>
        <c:gapWidth val="200"/>
        <c:overlap val="100"/>
        <c:axId val="236845360"/>
        <c:axId val="236845752"/>
      </c:barChart>
      <c:catAx>
        <c:axId val="236845360"/>
        <c:scaling>
          <c:orientation val="minMax"/>
        </c:scaling>
        <c:delete val="0"/>
        <c:axPos val="b"/>
        <c:numFmt formatCode="h" sourceLinked="0"/>
        <c:majorTickMark val="out"/>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36845752"/>
        <c:crosses val="autoZero"/>
        <c:auto val="1"/>
        <c:lblAlgn val="ctr"/>
        <c:lblOffset val="100"/>
        <c:noMultiLvlLbl val="0"/>
      </c:catAx>
      <c:valAx>
        <c:axId val="236845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36845360"/>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1.3_3_2.xlsm]pt.generic_add_data4!pt.generic_add_data4</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2"/>
            </a:solidFill>
            <a:round/>
          </a:ln>
          <a:effectLst/>
        </c:spPr>
        <c:marker>
          <c:symbol val="none"/>
        </c:marker>
      </c:pivotFmt>
      <c:pivotFmt>
        <c:idx val="2"/>
        <c:spPr>
          <a:ln w="28575" cap="rnd">
            <a:solidFill>
              <a:srgbClr val="FFC000"/>
            </a:solidFill>
            <a:round/>
          </a:ln>
          <a:effectLst/>
        </c:spPr>
        <c:marker>
          <c:symbol val="circle"/>
          <c:size val="5"/>
          <c:spPr>
            <a:ln>
              <a:solidFill>
                <a:srgbClr val="FFC000"/>
              </a:solidFill>
            </a:ln>
          </c:spPr>
        </c:marker>
      </c:pivotFmt>
      <c:pivotFmt>
        <c:idx val="3"/>
        <c:spPr>
          <a:ln w="28575" cap="rnd">
            <a:solidFill>
              <a:srgbClr val="000000"/>
            </a:solidFill>
            <a:round/>
          </a:ln>
          <a:effectLst/>
        </c:spPr>
        <c:marker>
          <c:symbol val="none"/>
        </c:marker>
      </c:pivotFmt>
      <c:pivotFmt>
        <c:idx val="4"/>
        <c:marker>
          <c:symbol val="none"/>
        </c:marker>
      </c:pivotFmt>
      <c:pivotFmt>
        <c:idx val="5"/>
        <c:marker>
          <c:symbol val="none"/>
        </c:marker>
      </c:pivotFmt>
    </c:pivotFmts>
    <c:plotArea>
      <c:layout/>
      <c:barChart>
        <c:barDir val="col"/>
        <c:grouping val="stacked"/>
        <c:varyColors val="0"/>
        <c:ser>
          <c:idx val="0"/>
          <c:order val="0"/>
          <c:tx>
            <c:strRef>
              <c:f>pt.generic_add_data4!$C$7:$C$8</c:f>
              <c:strCache>
                <c:ptCount val="1"/>
                <c:pt idx="0">
                  <c:v>Grand Total</c:v>
                </c:pt>
              </c:strCache>
            </c:strRef>
          </c:tx>
          <c:invertIfNegative val="0"/>
          <c:cat>
            <c:strRef>
              <c:f>pt.generic_add_data4!$A$9:$B$9</c:f>
              <c:strCache>
                <c:ptCount val="1"/>
                <c:pt idx="0">
                  <c:v>Grand Total</c:v>
                </c:pt>
              </c:strCache>
            </c:strRef>
          </c:cat>
          <c:val>
            <c:numRef>
              <c:f>pt.generic_add_data4!$C$9</c:f>
              <c:numCache>
                <c:formatCode>General</c:formatCode>
                <c:ptCount val="1"/>
              </c:numCache>
            </c:numRef>
          </c:val>
          <c:extLst>
            <c:ext xmlns:c16="http://schemas.microsoft.com/office/drawing/2014/chart" uri="{C3380CC4-5D6E-409C-BE32-E72D297353CC}">
              <c16:uniqueId val="{00000000-C3F2-4944-A256-82A8B6A9B7A3}"/>
            </c:ext>
          </c:extLst>
        </c:ser>
        <c:dLbls>
          <c:showLegendKey val="0"/>
          <c:showVal val="0"/>
          <c:showCatName val="0"/>
          <c:showSerName val="0"/>
          <c:showPercent val="0"/>
          <c:showBubbleSize val="0"/>
        </c:dLbls>
        <c:gapWidth val="200"/>
        <c:overlap val="100"/>
        <c:axId val="228855904"/>
        <c:axId val="228856296"/>
      </c:barChart>
      <c:catAx>
        <c:axId val="228855904"/>
        <c:scaling>
          <c:orientation val="minMax"/>
        </c:scaling>
        <c:delete val="0"/>
        <c:axPos val="b"/>
        <c:numFmt formatCode="h" sourceLinked="0"/>
        <c:majorTickMark val="out"/>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28856296"/>
        <c:crosses val="autoZero"/>
        <c:auto val="1"/>
        <c:lblAlgn val="ctr"/>
        <c:lblOffset val="100"/>
        <c:noMultiLvlLbl val="0"/>
      </c:catAx>
      <c:valAx>
        <c:axId val="228856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28855904"/>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1.3_3_2.xlsm]pt.generic_add_data5!pt.generic_add_data5</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2"/>
            </a:solidFill>
            <a:round/>
          </a:ln>
          <a:effectLst/>
        </c:spPr>
        <c:marker>
          <c:symbol val="none"/>
        </c:marker>
      </c:pivotFmt>
      <c:pivotFmt>
        <c:idx val="2"/>
        <c:spPr>
          <a:ln w="28575" cap="rnd">
            <a:solidFill>
              <a:srgbClr val="FFC000"/>
            </a:solidFill>
            <a:round/>
          </a:ln>
          <a:effectLst/>
        </c:spPr>
        <c:marker>
          <c:symbol val="circle"/>
          <c:size val="5"/>
          <c:spPr>
            <a:ln>
              <a:solidFill>
                <a:srgbClr val="FFC000"/>
              </a:solidFill>
            </a:ln>
          </c:spPr>
        </c:marker>
      </c:pivotFmt>
      <c:pivotFmt>
        <c:idx val="3"/>
        <c:spPr>
          <a:ln w="28575" cap="rnd">
            <a:solidFill>
              <a:srgbClr val="000000"/>
            </a:solidFill>
            <a:round/>
          </a:ln>
          <a:effectLst/>
        </c:spPr>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spPr>
          <a:ln>
            <a:solidFill>
              <a:srgbClr val="FFC000"/>
            </a:solidFill>
          </a:ln>
        </c:spPr>
        <c:marker>
          <c:symbol val="circle"/>
          <c:size val="5"/>
          <c:spPr>
            <a:ln>
              <a:solidFill>
                <a:srgbClr val="FFC000"/>
              </a:solidFill>
            </a:ln>
          </c:spPr>
        </c:marker>
      </c:pivotFmt>
      <c:pivotFmt>
        <c:idx val="11"/>
        <c:spPr>
          <a:ln>
            <a:solidFill>
              <a:srgbClr val="000000"/>
            </a:solidFill>
          </a:ln>
        </c:spPr>
        <c:marker>
          <c:symbol val="none"/>
        </c:marker>
      </c:pivotFmt>
      <c:pivotFmt>
        <c:idx val="12"/>
        <c:spPr>
          <a:ln>
            <a:solidFill>
              <a:srgbClr val="FFC000"/>
            </a:solidFill>
          </a:ln>
        </c:spPr>
        <c:marker>
          <c:spPr>
            <a:solidFill>
              <a:srgbClr val="9CC746"/>
            </a:solidFill>
            <a:ln>
              <a:solidFill>
                <a:srgbClr val="FFC000"/>
              </a:solidFill>
              <a:prstDash val="solid"/>
            </a:ln>
          </c:spPr>
        </c:marker>
      </c:pivotFmt>
      <c:pivotFmt>
        <c:idx val="13"/>
        <c:spPr>
          <a:ln>
            <a:solidFill>
              <a:srgbClr val="FFC000"/>
            </a:solidFill>
          </a:ln>
        </c:spPr>
        <c:marker>
          <c:spPr>
            <a:solidFill>
              <a:srgbClr val="9CC746"/>
            </a:solidFill>
            <a:ln>
              <a:solidFill>
                <a:srgbClr val="FFC000"/>
              </a:solidFill>
              <a:prstDash val="solid"/>
            </a:ln>
          </c:spPr>
        </c:marker>
      </c:pivotFmt>
      <c:pivotFmt>
        <c:idx val="14"/>
        <c:spPr>
          <a:ln>
            <a:solidFill>
              <a:srgbClr val="FFC000"/>
            </a:solidFill>
          </a:ln>
        </c:spPr>
        <c:marker>
          <c:spPr>
            <a:solidFill>
              <a:srgbClr val="9CC746"/>
            </a:solidFill>
            <a:ln>
              <a:solidFill>
                <a:srgbClr val="FFC000"/>
              </a:solidFill>
              <a:prstDash val="solid"/>
            </a:ln>
          </c:spPr>
        </c:marker>
      </c:pivotFmt>
      <c:pivotFmt>
        <c:idx val="15"/>
        <c:spPr>
          <a:ln>
            <a:solidFill>
              <a:srgbClr val="FFC000"/>
            </a:solidFill>
          </a:ln>
        </c:spPr>
        <c:marker>
          <c:spPr>
            <a:solidFill>
              <a:srgbClr val="9CC746"/>
            </a:solidFill>
            <a:ln>
              <a:solidFill>
                <a:srgbClr val="FFC000"/>
              </a:solidFill>
              <a:prstDash val="solid"/>
            </a:ln>
          </c:spPr>
        </c:marker>
      </c:pivotFmt>
      <c:pivotFmt>
        <c:idx val="16"/>
        <c:spPr>
          <a:ln>
            <a:solidFill>
              <a:srgbClr val="FFC000"/>
            </a:solidFill>
          </a:ln>
        </c:spPr>
        <c:marker>
          <c:spPr>
            <a:solidFill>
              <a:srgbClr val="9CC746"/>
            </a:solidFill>
            <a:ln>
              <a:solidFill>
                <a:srgbClr val="FFC000"/>
              </a:solidFill>
              <a:prstDash val="solid"/>
            </a:ln>
          </c:spPr>
        </c:marker>
      </c:pivotFmt>
      <c:pivotFmt>
        <c:idx val="17"/>
        <c:spPr>
          <a:ln>
            <a:solidFill>
              <a:srgbClr val="FFC000"/>
            </a:solidFill>
          </a:ln>
        </c:spPr>
        <c:marker>
          <c:spPr>
            <a:solidFill>
              <a:srgbClr val="9CC746"/>
            </a:solidFill>
            <a:ln>
              <a:solidFill>
                <a:srgbClr val="FFC000"/>
              </a:solidFill>
              <a:prstDash val="solid"/>
            </a:ln>
          </c:spPr>
        </c:marker>
      </c:pivotFmt>
      <c:pivotFmt>
        <c:idx val="18"/>
        <c:spPr>
          <a:ln>
            <a:solidFill>
              <a:srgbClr val="FFC000"/>
            </a:solidFill>
          </a:ln>
        </c:spPr>
        <c:marker>
          <c:spPr>
            <a:solidFill>
              <a:srgbClr val="9CC746"/>
            </a:solidFill>
            <a:ln>
              <a:solidFill>
                <a:srgbClr val="FFC000"/>
              </a:solidFill>
              <a:prstDash val="solid"/>
            </a:ln>
          </c:spPr>
        </c:marker>
      </c:pivotFmt>
      <c:pivotFmt>
        <c:idx val="19"/>
        <c:spPr>
          <a:ln>
            <a:solidFill>
              <a:srgbClr val="FFC000"/>
            </a:solidFill>
          </a:ln>
        </c:spPr>
        <c:marker>
          <c:spPr>
            <a:solidFill>
              <a:srgbClr val="9CC746"/>
            </a:solidFill>
            <a:ln>
              <a:solidFill>
                <a:srgbClr val="FFC000"/>
              </a:solidFill>
              <a:prstDash val="solid"/>
            </a:ln>
          </c:spPr>
        </c:marker>
      </c:pivotFmt>
      <c:pivotFmt>
        <c:idx val="20"/>
        <c:spPr>
          <a:ln>
            <a:solidFill>
              <a:srgbClr val="FFC000"/>
            </a:solidFill>
          </a:ln>
        </c:spPr>
        <c:marker>
          <c:spPr>
            <a:solidFill>
              <a:srgbClr val="9CC746"/>
            </a:solidFill>
            <a:ln>
              <a:solidFill>
                <a:srgbClr val="FFC000"/>
              </a:solidFill>
              <a:prstDash val="solid"/>
            </a:ln>
          </c:spPr>
        </c:marker>
      </c:pivotFmt>
      <c:pivotFmt>
        <c:idx val="21"/>
        <c:spPr>
          <a:ln>
            <a:solidFill>
              <a:srgbClr val="FFC000"/>
            </a:solidFill>
          </a:ln>
        </c:spPr>
        <c:marker>
          <c:spPr>
            <a:solidFill>
              <a:srgbClr val="9CC746"/>
            </a:solidFill>
            <a:ln>
              <a:solidFill>
                <a:srgbClr val="FFC000"/>
              </a:solidFill>
              <a:prstDash val="solid"/>
            </a:ln>
          </c:spPr>
        </c:marker>
      </c:pivotFmt>
      <c:pivotFmt>
        <c:idx val="22"/>
        <c:spPr>
          <a:ln>
            <a:solidFill>
              <a:srgbClr val="FFC000"/>
            </a:solidFill>
          </a:ln>
        </c:spPr>
        <c:marker>
          <c:spPr>
            <a:solidFill>
              <a:srgbClr val="9CC746"/>
            </a:solidFill>
            <a:ln>
              <a:solidFill>
                <a:srgbClr val="FFC000"/>
              </a:solidFill>
              <a:prstDash val="solid"/>
            </a:ln>
          </c:spPr>
        </c:marker>
      </c:pivotFmt>
      <c:pivotFmt>
        <c:idx val="23"/>
        <c:spPr>
          <a:ln>
            <a:solidFill>
              <a:srgbClr val="FFC000"/>
            </a:solidFill>
          </a:ln>
        </c:spPr>
        <c:marker>
          <c:spPr>
            <a:solidFill>
              <a:srgbClr val="9CC746"/>
            </a:solidFill>
            <a:ln>
              <a:solidFill>
                <a:srgbClr val="FFC000"/>
              </a:solidFill>
              <a:prstDash val="solid"/>
            </a:ln>
          </c:spPr>
        </c:marker>
      </c:pivotFmt>
      <c:pivotFmt>
        <c:idx val="24"/>
        <c:spPr>
          <a:ln>
            <a:solidFill>
              <a:srgbClr val="FFC000"/>
            </a:solidFill>
          </a:ln>
        </c:spPr>
        <c:marker>
          <c:spPr>
            <a:solidFill>
              <a:srgbClr val="9CC746"/>
            </a:solidFill>
            <a:ln>
              <a:solidFill>
                <a:srgbClr val="FFC000"/>
              </a:solidFill>
              <a:prstDash val="solid"/>
            </a:ln>
          </c:spPr>
        </c:marker>
      </c:pivotFmt>
      <c:pivotFmt>
        <c:idx val="25"/>
        <c:marker>
          <c:symbol val="none"/>
        </c:marker>
      </c:pivotFmt>
    </c:pivotFmts>
    <c:plotArea>
      <c:layout/>
      <c:barChart>
        <c:barDir val="col"/>
        <c:grouping val="stacked"/>
        <c:varyColors val="0"/>
        <c:ser>
          <c:idx val="0"/>
          <c:order val="0"/>
          <c:tx>
            <c:strRef>
              <c:f>pt.generic_add_data5!$B$7:$B$8</c:f>
              <c:strCache>
                <c:ptCount val="1"/>
                <c:pt idx="0">
                  <c:v>Odvezeno</c:v>
                </c:pt>
              </c:strCache>
            </c:strRef>
          </c:tx>
          <c:invertIfNegative val="0"/>
          <c:cat>
            <c:multiLvlStrRef>
              <c:f>pt.generic_add_data5!$A$9:$A$23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pt.generic_add_data5!$B$9:$B$23</c:f>
              <c:numCache>
                <c:formatCode>General</c:formatCode>
                <c:ptCount val="13"/>
                <c:pt idx="0">
                  <c:v>135</c:v>
                </c:pt>
                <c:pt idx="1">
                  <c:v>135</c:v>
                </c:pt>
                <c:pt idx="2">
                  <c:v>135</c:v>
                </c:pt>
                <c:pt idx="3">
                  <c:v>135</c:v>
                </c:pt>
                <c:pt idx="4">
                  <c:v>135</c:v>
                </c:pt>
                <c:pt idx="5">
                  <c:v>135</c:v>
                </c:pt>
                <c:pt idx="6">
                  <c:v>70</c:v>
                </c:pt>
                <c:pt idx="7">
                  <c:v>145</c:v>
                </c:pt>
                <c:pt idx="8">
                  <c:v>145</c:v>
                </c:pt>
                <c:pt idx="9">
                  <c:v>135</c:v>
                </c:pt>
                <c:pt idx="10">
                  <c:v>135</c:v>
                </c:pt>
                <c:pt idx="11">
                  <c:v>135</c:v>
                </c:pt>
                <c:pt idx="12">
                  <c:v>135</c:v>
                </c:pt>
              </c:numCache>
            </c:numRef>
          </c:val>
          <c:extLst>
            <c:ext xmlns:c16="http://schemas.microsoft.com/office/drawing/2014/chart" uri="{C3380CC4-5D6E-409C-BE32-E72D297353CC}">
              <c16:uniqueId val="{00000000-4FDE-478B-B3A4-901D3677D33B}"/>
            </c:ext>
          </c:extLst>
        </c:ser>
        <c:ser>
          <c:idx val="1"/>
          <c:order val="1"/>
          <c:tx>
            <c:strRef>
              <c:f>pt.generic_add_data5!$C$7:$C$8</c:f>
              <c:strCache>
                <c:ptCount val="1"/>
                <c:pt idx="0">
                  <c:v>Příjezd</c:v>
                </c:pt>
              </c:strCache>
            </c:strRef>
          </c:tx>
          <c:invertIfNegative val="0"/>
          <c:cat>
            <c:multiLvlStrRef>
              <c:f>pt.generic_add_data5!$A$9:$A$23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pt.generic_add_data5!$C$9:$C$23</c:f>
              <c:numCache>
                <c:formatCode>General</c:formatCode>
                <c:ptCount val="13"/>
                <c:pt idx="0">
                  <c:v>135</c:v>
                </c:pt>
                <c:pt idx="1">
                  <c:v>135</c:v>
                </c:pt>
                <c:pt idx="2">
                  <c:v>135</c:v>
                </c:pt>
                <c:pt idx="3">
                  <c:v>135</c:v>
                </c:pt>
                <c:pt idx="4">
                  <c:v>135</c:v>
                </c:pt>
                <c:pt idx="5">
                  <c:v>135</c:v>
                </c:pt>
                <c:pt idx="6">
                  <c:v>180</c:v>
                </c:pt>
                <c:pt idx="7">
                  <c:v>90</c:v>
                </c:pt>
                <c:pt idx="8">
                  <c:v>135</c:v>
                </c:pt>
                <c:pt idx="9">
                  <c:v>135</c:v>
                </c:pt>
                <c:pt idx="10">
                  <c:v>135</c:v>
                </c:pt>
                <c:pt idx="11">
                  <c:v>135</c:v>
                </c:pt>
                <c:pt idx="12">
                  <c:v>135</c:v>
                </c:pt>
              </c:numCache>
            </c:numRef>
          </c:val>
          <c:extLst>
            <c:ext xmlns:c16="http://schemas.microsoft.com/office/drawing/2014/chart" uri="{C3380CC4-5D6E-409C-BE32-E72D297353CC}">
              <c16:uniqueId val="{00000013-A7BE-42A8-8C49-549A72475E84}"/>
            </c:ext>
          </c:extLst>
        </c:ser>
        <c:ser>
          <c:idx val="2"/>
          <c:order val="2"/>
          <c:tx>
            <c:strRef>
              <c:f>pt.generic_add_data5!$D$7:$D$8</c:f>
              <c:strCache>
                <c:ptCount val="1"/>
                <c:pt idx="0">
                  <c:v>Uloženo</c:v>
                </c:pt>
              </c:strCache>
            </c:strRef>
          </c:tx>
          <c:invertIfNegative val="0"/>
          <c:cat>
            <c:multiLvlStrRef>
              <c:f>pt.generic_add_data5!$A$9:$A$23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pt.generic_add_data5!$D$9:$D$23</c:f>
              <c:numCache>
                <c:formatCode>General</c:formatCode>
                <c:ptCount val="13"/>
                <c:pt idx="0">
                  <c:v>135</c:v>
                </c:pt>
                <c:pt idx="1">
                  <c:v>135</c:v>
                </c:pt>
                <c:pt idx="2">
                  <c:v>135</c:v>
                </c:pt>
                <c:pt idx="3">
                  <c:v>135</c:v>
                </c:pt>
                <c:pt idx="4">
                  <c:v>135</c:v>
                </c:pt>
                <c:pt idx="5">
                  <c:v>115</c:v>
                </c:pt>
                <c:pt idx="6">
                  <c:v>90</c:v>
                </c:pt>
                <c:pt idx="7">
                  <c:v>145</c:v>
                </c:pt>
                <c:pt idx="8">
                  <c:v>145</c:v>
                </c:pt>
                <c:pt idx="9">
                  <c:v>135</c:v>
                </c:pt>
                <c:pt idx="10">
                  <c:v>135</c:v>
                </c:pt>
                <c:pt idx="11">
                  <c:v>135</c:v>
                </c:pt>
                <c:pt idx="12">
                  <c:v>135</c:v>
                </c:pt>
              </c:numCache>
            </c:numRef>
          </c:val>
          <c:extLst>
            <c:ext xmlns:c16="http://schemas.microsoft.com/office/drawing/2014/chart" uri="{C3380CC4-5D6E-409C-BE32-E72D297353CC}">
              <c16:uniqueId val="{00000014-A7BE-42A8-8C49-549A72475E84}"/>
            </c:ext>
          </c:extLst>
        </c:ser>
        <c:ser>
          <c:idx val="3"/>
          <c:order val="3"/>
          <c:tx>
            <c:strRef>
              <c:f>pt.generic_add_data5!$E$7:$E$8</c:f>
              <c:strCache>
                <c:ptCount val="1"/>
                <c:pt idx="0">
                  <c:v>Vykládá se</c:v>
                </c:pt>
              </c:strCache>
            </c:strRef>
          </c:tx>
          <c:invertIfNegative val="0"/>
          <c:cat>
            <c:multiLvlStrRef>
              <c:f>pt.generic_add_data5!$A$9:$A$23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pt.generic_add_data5!$E$9:$E$23</c:f>
              <c:numCache>
                <c:formatCode>General</c:formatCode>
                <c:ptCount val="13"/>
                <c:pt idx="0">
                  <c:v>135</c:v>
                </c:pt>
                <c:pt idx="1">
                  <c:v>135</c:v>
                </c:pt>
                <c:pt idx="2">
                  <c:v>135</c:v>
                </c:pt>
                <c:pt idx="3">
                  <c:v>135</c:v>
                </c:pt>
                <c:pt idx="4">
                  <c:v>135</c:v>
                </c:pt>
                <c:pt idx="5">
                  <c:v>135</c:v>
                </c:pt>
                <c:pt idx="6">
                  <c:v>180</c:v>
                </c:pt>
                <c:pt idx="7">
                  <c:v>90</c:v>
                </c:pt>
                <c:pt idx="8">
                  <c:v>135</c:v>
                </c:pt>
                <c:pt idx="9">
                  <c:v>135</c:v>
                </c:pt>
                <c:pt idx="10">
                  <c:v>135</c:v>
                </c:pt>
                <c:pt idx="11">
                  <c:v>135</c:v>
                </c:pt>
                <c:pt idx="12">
                  <c:v>135</c:v>
                </c:pt>
              </c:numCache>
            </c:numRef>
          </c:val>
          <c:extLst>
            <c:ext xmlns:c16="http://schemas.microsoft.com/office/drawing/2014/chart" uri="{C3380CC4-5D6E-409C-BE32-E72D297353CC}">
              <c16:uniqueId val="{00000015-A7BE-42A8-8C49-549A72475E84}"/>
            </c:ext>
          </c:extLst>
        </c:ser>
        <c:ser>
          <c:idx val="4"/>
          <c:order val="4"/>
          <c:tx>
            <c:strRef>
              <c:f>pt.generic_add_data5!$F$7:$F$8</c:f>
              <c:strCache>
                <c:ptCount val="1"/>
                <c:pt idx="0">
                  <c:v>Vyskladněno</c:v>
                </c:pt>
              </c:strCache>
            </c:strRef>
          </c:tx>
          <c:invertIfNegative val="0"/>
          <c:cat>
            <c:multiLvlStrRef>
              <c:f>pt.generic_add_data5!$A$9:$A$23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pt.generic_add_data5!$F$9:$F$23</c:f>
              <c:numCache>
                <c:formatCode>General</c:formatCode>
                <c:ptCount val="13"/>
                <c:pt idx="0">
                  <c:v>135</c:v>
                </c:pt>
                <c:pt idx="1">
                  <c:v>135</c:v>
                </c:pt>
                <c:pt idx="2">
                  <c:v>135</c:v>
                </c:pt>
                <c:pt idx="3">
                  <c:v>135</c:v>
                </c:pt>
                <c:pt idx="4">
                  <c:v>135</c:v>
                </c:pt>
                <c:pt idx="5">
                  <c:v>155</c:v>
                </c:pt>
                <c:pt idx="6">
                  <c:v>135</c:v>
                </c:pt>
                <c:pt idx="7">
                  <c:v>125</c:v>
                </c:pt>
                <c:pt idx="8">
                  <c:v>125</c:v>
                </c:pt>
                <c:pt idx="9">
                  <c:v>135</c:v>
                </c:pt>
                <c:pt idx="10">
                  <c:v>135</c:v>
                </c:pt>
                <c:pt idx="11">
                  <c:v>135</c:v>
                </c:pt>
                <c:pt idx="12">
                  <c:v>135</c:v>
                </c:pt>
              </c:numCache>
            </c:numRef>
          </c:val>
          <c:extLst>
            <c:ext xmlns:c16="http://schemas.microsoft.com/office/drawing/2014/chart" uri="{C3380CC4-5D6E-409C-BE32-E72D297353CC}">
              <c16:uniqueId val="{00000016-A7BE-42A8-8C49-549A72475E84}"/>
            </c:ext>
          </c:extLst>
        </c:ser>
        <c:dLbls>
          <c:showLegendKey val="0"/>
          <c:showVal val="0"/>
          <c:showCatName val="0"/>
          <c:showSerName val="0"/>
          <c:showPercent val="0"/>
          <c:showBubbleSize val="0"/>
        </c:dLbls>
        <c:gapWidth val="200"/>
        <c:overlap val="100"/>
        <c:axId val="235683144"/>
        <c:axId val="235683536"/>
      </c:barChart>
      <c:lineChart>
        <c:grouping val="standard"/>
        <c:varyColors val="0"/>
        <c:ser>
          <c:idx val="5"/>
          <c:order val="5"/>
          <c:tx>
            <c:strRef>
              <c:f>pt.generic_add_data5!$G$7:$G$8</c:f>
              <c:strCache>
                <c:ptCount val="1"/>
                <c:pt idx="0">
                  <c:v>Zátěž</c:v>
                </c:pt>
              </c:strCache>
            </c:strRef>
          </c:tx>
          <c:spPr>
            <a:ln>
              <a:solidFill>
                <a:srgbClr val="FFC000"/>
              </a:solidFill>
            </a:ln>
          </c:spPr>
          <c:marker>
            <c:symbol val="circle"/>
            <c:size val="5"/>
            <c:spPr>
              <a:ln>
                <a:solidFill>
                  <a:srgbClr val="FFC000"/>
                </a:solidFill>
              </a:ln>
            </c:spPr>
          </c:marker>
          <c:dPt>
            <c:idx val="0"/>
            <c:marker>
              <c:spPr>
                <a:solidFill>
                  <a:srgbClr val="9CC746"/>
                </a:solidFill>
                <a:ln>
                  <a:solidFill>
                    <a:srgbClr val="FFC000"/>
                  </a:solidFill>
                  <a:prstDash val="solid"/>
                </a:ln>
              </c:spPr>
            </c:marker>
            <c:bubble3D val="0"/>
            <c:extLst>
              <c:ext xmlns:c16="http://schemas.microsoft.com/office/drawing/2014/chart" uri="{C3380CC4-5D6E-409C-BE32-E72D297353CC}">
                <c16:uniqueId val="{00000019-A7BE-42A8-8C49-549A72475E84}"/>
              </c:ext>
            </c:extLst>
          </c:dPt>
          <c:dPt>
            <c:idx val="1"/>
            <c:marker>
              <c:spPr>
                <a:solidFill>
                  <a:srgbClr val="9CC746"/>
                </a:solidFill>
                <a:ln>
                  <a:solidFill>
                    <a:srgbClr val="FFC000"/>
                  </a:solidFill>
                  <a:prstDash val="solid"/>
                </a:ln>
              </c:spPr>
            </c:marker>
            <c:bubble3D val="0"/>
            <c:extLst>
              <c:ext xmlns:c16="http://schemas.microsoft.com/office/drawing/2014/chart" uri="{C3380CC4-5D6E-409C-BE32-E72D297353CC}">
                <c16:uniqueId val="{0000001A-A7BE-42A8-8C49-549A72475E84}"/>
              </c:ext>
            </c:extLst>
          </c:dPt>
          <c:dPt>
            <c:idx val="2"/>
            <c:marker>
              <c:spPr>
                <a:solidFill>
                  <a:srgbClr val="9CC746"/>
                </a:solidFill>
                <a:ln>
                  <a:solidFill>
                    <a:srgbClr val="FFC000"/>
                  </a:solidFill>
                  <a:prstDash val="solid"/>
                </a:ln>
              </c:spPr>
            </c:marker>
            <c:bubble3D val="0"/>
            <c:extLst>
              <c:ext xmlns:c16="http://schemas.microsoft.com/office/drawing/2014/chart" uri="{C3380CC4-5D6E-409C-BE32-E72D297353CC}">
                <c16:uniqueId val="{0000001B-A7BE-42A8-8C49-549A72475E84}"/>
              </c:ext>
            </c:extLst>
          </c:dPt>
          <c:dPt>
            <c:idx val="3"/>
            <c:marker>
              <c:spPr>
                <a:solidFill>
                  <a:srgbClr val="9CC746"/>
                </a:solidFill>
                <a:ln>
                  <a:solidFill>
                    <a:srgbClr val="FFC000"/>
                  </a:solidFill>
                  <a:prstDash val="solid"/>
                </a:ln>
              </c:spPr>
            </c:marker>
            <c:bubble3D val="0"/>
            <c:extLst>
              <c:ext xmlns:c16="http://schemas.microsoft.com/office/drawing/2014/chart" uri="{C3380CC4-5D6E-409C-BE32-E72D297353CC}">
                <c16:uniqueId val="{0000001C-A7BE-42A8-8C49-549A72475E84}"/>
              </c:ext>
            </c:extLst>
          </c:dPt>
          <c:dPt>
            <c:idx val="4"/>
            <c:marker>
              <c:spPr>
                <a:solidFill>
                  <a:srgbClr val="9CC746"/>
                </a:solidFill>
                <a:ln>
                  <a:solidFill>
                    <a:srgbClr val="FFC000"/>
                  </a:solidFill>
                  <a:prstDash val="solid"/>
                </a:ln>
              </c:spPr>
            </c:marker>
            <c:bubble3D val="0"/>
            <c:extLst>
              <c:ext xmlns:c16="http://schemas.microsoft.com/office/drawing/2014/chart" uri="{C3380CC4-5D6E-409C-BE32-E72D297353CC}">
                <c16:uniqueId val="{0000001D-A7BE-42A8-8C49-549A72475E84}"/>
              </c:ext>
            </c:extLst>
          </c:dPt>
          <c:dPt>
            <c:idx val="5"/>
            <c:marker>
              <c:spPr>
                <a:solidFill>
                  <a:srgbClr val="9CC746"/>
                </a:solidFill>
                <a:ln>
                  <a:solidFill>
                    <a:srgbClr val="FFC000"/>
                  </a:solidFill>
                  <a:prstDash val="solid"/>
                </a:ln>
              </c:spPr>
            </c:marker>
            <c:bubble3D val="0"/>
            <c:extLst>
              <c:ext xmlns:c16="http://schemas.microsoft.com/office/drawing/2014/chart" uri="{C3380CC4-5D6E-409C-BE32-E72D297353CC}">
                <c16:uniqueId val="{0000001E-A7BE-42A8-8C49-549A72475E84}"/>
              </c:ext>
            </c:extLst>
          </c:dPt>
          <c:dPt>
            <c:idx val="6"/>
            <c:marker>
              <c:spPr>
                <a:solidFill>
                  <a:srgbClr val="9CC746"/>
                </a:solidFill>
                <a:ln>
                  <a:solidFill>
                    <a:srgbClr val="FFC000"/>
                  </a:solidFill>
                  <a:prstDash val="solid"/>
                </a:ln>
              </c:spPr>
            </c:marker>
            <c:bubble3D val="0"/>
            <c:extLst>
              <c:ext xmlns:c16="http://schemas.microsoft.com/office/drawing/2014/chart" uri="{C3380CC4-5D6E-409C-BE32-E72D297353CC}">
                <c16:uniqueId val="{0000001F-A7BE-42A8-8C49-549A72475E84}"/>
              </c:ext>
            </c:extLst>
          </c:dPt>
          <c:dPt>
            <c:idx val="7"/>
            <c:marker>
              <c:spPr>
                <a:solidFill>
                  <a:srgbClr val="9CC746"/>
                </a:solidFill>
                <a:ln>
                  <a:solidFill>
                    <a:srgbClr val="FFC000"/>
                  </a:solidFill>
                  <a:prstDash val="solid"/>
                </a:ln>
              </c:spPr>
            </c:marker>
            <c:bubble3D val="0"/>
            <c:extLst>
              <c:ext xmlns:c16="http://schemas.microsoft.com/office/drawing/2014/chart" uri="{C3380CC4-5D6E-409C-BE32-E72D297353CC}">
                <c16:uniqueId val="{00000020-A7BE-42A8-8C49-549A72475E84}"/>
              </c:ext>
            </c:extLst>
          </c:dPt>
          <c:dPt>
            <c:idx val="8"/>
            <c:marker>
              <c:spPr>
                <a:solidFill>
                  <a:srgbClr val="9CC746"/>
                </a:solidFill>
                <a:ln>
                  <a:solidFill>
                    <a:srgbClr val="FFC000"/>
                  </a:solidFill>
                  <a:prstDash val="solid"/>
                </a:ln>
              </c:spPr>
            </c:marker>
            <c:bubble3D val="0"/>
            <c:extLst>
              <c:ext xmlns:c16="http://schemas.microsoft.com/office/drawing/2014/chart" uri="{C3380CC4-5D6E-409C-BE32-E72D297353CC}">
                <c16:uniqueId val="{00000021-A7BE-42A8-8C49-549A72475E84}"/>
              </c:ext>
            </c:extLst>
          </c:dPt>
          <c:dPt>
            <c:idx val="9"/>
            <c:marker>
              <c:spPr>
                <a:solidFill>
                  <a:srgbClr val="9CC746"/>
                </a:solidFill>
                <a:ln>
                  <a:solidFill>
                    <a:srgbClr val="FFC000"/>
                  </a:solidFill>
                  <a:prstDash val="solid"/>
                </a:ln>
              </c:spPr>
            </c:marker>
            <c:bubble3D val="0"/>
            <c:extLst>
              <c:ext xmlns:c16="http://schemas.microsoft.com/office/drawing/2014/chart" uri="{C3380CC4-5D6E-409C-BE32-E72D297353CC}">
                <c16:uniqueId val="{00000022-A7BE-42A8-8C49-549A72475E84}"/>
              </c:ext>
            </c:extLst>
          </c:dPt>
          <c:dPt>
            <c:idx val="10"/>
            <c:marker>
              <c:spPr>
                <a:solidFill>
                  <a:srgbClr val="9CC746"/>
                </a:solidFill>
                <a:ln>
                  <a:solidFill>
                    <a:srgbClr val="FFC000"/>
                  </a:solidFill>
                  <a:prstDash val="solid"/>
                </a:ln>
              </c:spPr>
            </c:marker>
            <c:bubble3D val="0"/>
            <c:extLst>
              <c:ext xmlns:c16="http://schemas.microsoft.com/office/drawing/2014/chart" uri="{C3380CC4-5D6E-409C-BE32-E72D297353CC}">
                <c16:uniqueId val="{00000023-A7BE-42A8-8C49-549A72475E84}"/>
              </c:ext>
            </c:extLst>
          </c:dPt>
          <c:dPt>
            <c:idx val="11"/>
            <c:marker>
              <c:spPr>
                <a:solidFill>
                  <a:srgbClr val="9CC746"/>
                </a:solidFill>
                <a:ln>
                  <a:solidFill>
                    <a:srgbClr val="FFC000"/>
                  </a:solidFill>
                  <a:prstDash val="solid"/>
                </a:ln>
              </c:spPr>
            </c:marker>
            <c:bubble3D val="0"/>
            <c:extLst>
              <c:ext xmlns:c16="http://schemas.microsoft.com/office/drawing/2014/chart" uri="{C3380CC4-5D6E-409C-BE32-E72D297353CC}">
                <c16:uniqueId val="{00000024-A7BE-42A8-8C49-549A72475E84}"/>
              </c:ext>
            </c:extLst>
          </c:dPt>
          <c:dPt>
            <c:idx val="12"/>
            <c:marker>
              <c:spPr>
                <a:solidFill>
                  <a:srgbClr val="9CC746"/>
                </a:solidFill>
                <a:ln>
                  <a:solidFill>
                    <a:srgbClr val="FFC000"/>
                  </a:solidFill>
                  <a:prstDash val="solid"/>
                </a:ln>
              </c:spPr>
            </c:marker>
            <c:bubble3D val="0"/>
            <c:extLst>
              <c:ext xmlns:c16="http://schemas.microsoft.com/office/drawing/2014/chart" uri="{C3380CC4-5D6E-409C-BE32-E72D297353CC}">
                <c16:uniqueId val="{00000025-A7BE-42A8-8C49-549A72475E84}"/>
              </c:ext>
            </c:extLst>
          </c:dPt>
          <c:cat>
            <c:multiLvlStrRef>
              <c:f>pt.generic_add_data5!$A$9:$A$23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pt.generic_add_data5!$G$9:$G$23</c:f>
              <c:numCache>
                <c:formatCode>General</c:formatCode>
                <c:ptCount val="13"/>
                <c:pt idx="0">
                  <c:v>4.7</c:v>
                </c:pt>
                <c:pt idx="1">
                  <c:v>4.7</c:v>
                </c:pt>
                <c:pt idx="2">
                  <c:v>4.7</c:v>
                </c:pt>
                <c:pt idx="3">
                  <c:v>4.7</c:v>
                </c:pt>
                <c:pt idx="4">
                  <c:v>4.7</c:v>
                </c:pt>
                <c:pt idx="5">
                  <c:v>4.7</c:v>
                </c:pt>
                <c:pt idx="6">
                  <c:v>4.54</c:v>
                </c:pt>
                <c:pt idx="7">
                  <c:v>4.59</c:v>
                </c:pt>
                <c:pt idx="8">
                  <c:v>4.84</c:v>
                </c:pt>
                <c:pt idx="9">
                  <c:v>4.7</c:v>
                </c:pt>
                <c:pt idx="10">
                  <c:v>4.7</c:v>
                </c:pt>
                <c:pt idx="11">
                  <c:v>4.7</c:v>
                </c:pt>
                <c:pt idx="12">
                  <c:v>4.7</c:v>
                </c:pt>
              </c:numCache>
            </c:numRef>
          </c:val>
          <c:smooth val="0"/>
          <c:extLst>
            <c:ext xmlns:c16="http://schemas.microsoft.com/office/drawing/2014/chart" uri="{C3380CC4-5D6E-409C-BE32-E72D297353CC}">
              <c16:uniqueId val="{00000017-A7BE-42A8-8C49-549A72475E84}"/>
            </c:ext>
          </c:extLst>
        </c:ser>
        <c:ser>
          <c:idx val="6"/>
          <c:order val="6"/>
          <c:tx>
            <c:strRef>
              <c:f>pt.generic_add_data5!$H$7:$H$8</c:f>
              <c:strCache>
                <c:ptCount val="1"/>
                <c:pt idx="0">
                  <c:v>Zátěž cíl</c:v>
                </c:pt>
              </c:strCache>
            </c:strRef>
          </c:tx>
          <c:spPr>
            <a:ln>
              <a:solidFill>
                <a:srgbClr val="000000"/>
              </a:solidFill>
            </a:ln>
          </c:spPr>
          <c:marker>
            <c:symbol val="none"/>
          </c:marker>
          <c:cat>
            <c:multiLvlStrRef>
              <c:f>pt.generic_add_data5!$A$9:$A$23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pt.generic_add_data5!$H$9:$H$23</c:f>
              <c:numCache>
                <c:formatCode>General</c:formatCode>
                <c:ptCount val="13"/>
                <c:pt idx="0">
                  <c:v>5.5</c:v>
                </c:pt>
                <c:pt idx="1">
                  <c:v>5.5</c:v>
                </c:pt>
                <c:pt idx="2">
                  <c:v>5.5</c:v>
                </c:pt>
                <c:pt idx="3">
                  <c:v>5.5</c:v>
                </c:pt>
                <c:pt idx="4">
                  <c:v>5.5</c:v>
                </c:pt>
                <c:pt idx="5">
                  <c:v>5.5</c:v>
                </c:pt>
                <c:pt idx="6">
                  <c:v>5.5</c:v>
                </c:pt>
                <c:pt idx="7">
                  <c:v>5.5</c:v>
                </c:pt>
                <c:pt idx="8">
                  <c:v>5.5</c:v>
                </c:pt>
                <c:pt idx="9">
                  <c:v>5.5</c:v>
                </c:pt>
                <c:pt idx="10">
                  <c:v>5.5</c:v>
                </c:pt>
                <c:pt idx="11">
                  <c:v>5.5</c:v>
                </c:pt>
                <c:pt idx="12">
                  <c:v>5.5</c:v>
                </c:pt>
              </c:numCache>
            </c:numRef>
          </c:val>
          <c:smooth val="0"/>
          <c:extLst>
            <c:ext xmlns:c16="http://schemas.microsoft.com/office/drawing/2014/chart" uri="{C3380CC4-5D6E-409C-BE32-E72D297353CC}">
              <c16:uniqueId val="{00000018-A7BE-42A8-8C49-549A72475E84}"/>
            </c:ext>
          </c:extLst>
        </c:ser>
        <c:dLbls>
          <c:showLegendKey val="0"/>
          <c:showVal val="0"/>
          <c:showCatName val="0"/>
          <c:showSerName val="0"/>
          <c:showPercent val="0"/>
          <c:showBubbleSize val="0"/>
        </c:dLbls>
        <c:marker val="1"/>
        <c:smooth val="0"/>
        <c:axId val="520217488"/>
        <c:axId val="520209288"/>
      </c:lineChart>
      <c:catAx>
        <c:axId val="235683144"/>
        <c:scaling>
          <c:orientation val="minMax"/>
        </c:scaling>
        <c:delete val="0"/>
        <c:axPos val="b"/>
        <c:numFmt formatCode="h" sourceLinked="0"/>
        <c:majorTickMark val="out"/>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35683536"/>
        <c:crosses val="autoZero"/>
        <c:auto val="1"/>
        <c:lblAlgn val="ctr"/>
        <c:lblOffset val="100"/>
        <c:noMultiLvlLbl val="0"/>
      </c:catAx>
      <c:valAx>
        <c:axId val="2356835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35683144"/>
        <c:crosses val="autoZero"/>
        <c:crossBetween val="between"/>
      </c:valAx>
      <c:valAx>
        <c:axId val="520209288"/>
        <c:scaling>
          <c:orientation val="minMax"/>
        </c:scaling>
        <c:delete val="0"/>
        <c:axPos val="r"/>
        <c:numFmt formatCode="0%" sourceLinked="0"/>
        <c:majorTickMark val="out"/>
        <c:minorTickMark val="none"/>
        <c:tickLblPos val="nextTo"/>
        <c:crossAx val="520217488"/>
        <c:crosses val="max"/>
        <c:crossBetween val="between"/>
      </c:valAx>
      <c:catAx>
        <c:axId val="520217488"/>
        <c:scaling>
          <c:orientation val="minMax"/>
        </c:scaling>
        <c:delete val="1"/>
        <c:axPos val="b"/>
        <c:numFmt formatCode="General" sourceLinked="1"/>
        <c:majorTickMark val="out"/>
        <c:minorTickMark val="none"/>
        <c:tickLblPos val="nextTo"/>
        <c:crossAx val="520209288"/>
        <c:crosses val="autoZero"/>
        <c:auto val="1"/>
        <c:lblAlgn val="ctr"/>
        <c:lblOffset val="100"/>
        <c:noMultiLvlLbl val="0"/>
      </c:cat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1.3_3_2.xlsm]pt.generic_add_data6!pt.generic_add_data6</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2"/>
            </a:solidFill>
            <a:round/>
          </a:ln>
          <a:effectLst/>
        </c:spPr>
        <c:marker>
          <c:symbol val="none"/>
        </c:marker>
      </c:pivotFmt>
      <c:pivotFmt>
        <c:idx val="2"/>
        <c:spPr>
          <a:ln w="28575" cap="rnd">
            <a:solidFill>
              <a:srgbClr val="FFC000"/>
            </a:solidFill>
            <a:round/>
          </a:ln>
          <a:effectLst/>
        </c:spPr>
        <c:marker>
          <c:symbol val="circle"/>
          <c:size val="5"/>
          <c:spPr>
            <a:ln>
              <a:solidFill>
                <a:srgbClr val="FFC000"/>
              </a:solidFill>
            </a:ln>
          </c:spPr>
        </c:marker>
      </c:pivotFmt>
      <c:pivotFmt>
        <c:idx val="3"/>
        <c:spPr>
          <a:ln w="28575" cap="rnd">
            <a:solidFill>
              <a:srgbClr val="000000"/>
            </a:solidFill>
            <a:round/>
          </a:ln>
          <a:effectLst/>
        </c:spPr>
        <c:marker>
          <c:symbol val="none"/>
        </c:marker>
      </c:pivotFmt>
      <c:pivotFmt>
        <c:idx val="4"/>
        <c:marker>
          <c:symbol val="none"/>
        </c:marker>
      </c:pivotFmt>
      <c:pivotFmt>
        <c:idx val="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9"/>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0"/>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2"/>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3"/>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2"/>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3"/>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1"/>
        <c:spPr>
          <a:ln w="28575" cap="rnd">
            <a:solidFill>
              <a:srgbClr val="FFC000"/>
            </a:solidFill>
            <a:round/>
          </a:ln>
          <a:effectLst/>
        </c:spPr>
        <c:marker>
          <c:spPr>
            <a:solidFill>
              <a:srgbClr val="9CC746"/>
            </a:solidFill>
            <a:ln>
              <a:solidFill>
                <a:srgbClr val="FFC000"/>
              </a:solidFill>
              <a:prstDash val="solid"/>
            </a:ln>
          </c:spPr>
        </c:marker>
      </c:pivotFmt>
      <c:pivotFmt>
        <c:idx val="32"/>
        <c:spPr>
          <a:ln w="28575" cap="rnd">
            <a:solidFill>
              <a:srgbClr val="FFC000"/>
            </a:solidFill>
            <a:round/>
          </a:ln>
          <a:effectLst/>
        </c:spPr>
        <c:marker>
          <c:spPr>
            <a:solidFill>
              <a:srgbClr val="9CC746"/>
            </a:solidFill>
            <a:ln>
              <a:solidFill>
                <a:srgbClr val="FFC000"/>
              </a:solidFill>
              <a:prstDash val="solid"/>
            </a:ln>
          </c:spPr>
        </c:marker>
      </c:pivotFmt>
      <c:pivotFmt>
        <c:idx val="33"/>
        <c:spPr>
          <a:ln w="28575" cap="rnd">
            <a:solidFill>
              <a:srgbClr val="FFC000"/>
            </a:solidFill>
            <a:round/>
          </a:ln>
          <a:effectLst/>
        </c:spPr>
        <c:marker>
          <c:spPr>
            <a:solidFill>
              <a:srgbClr val="9CC746"/>
            </a:solidFill>
            <a:ln>
              <a:solidFill>
                <a:srgbClr val="FFC000"/>
              </a:solidFill>
              <a:prstDash val="solid"/>
            </a:ln>
          </c:spPr>
        </c:marker>
      </c:pivotFmt>
      <c:pivotFmt>
        <c:idx val="34"/>
        <c:spPr>
          <a:ln w="28575" cap="rnd">
            <a:solidFill>
              <a:srgbClr val="FFC000"/>
            </a:solidFill>
            <a:round/>
          </a:ln>
          <a:effectLst/>
        </c:spPr>
        <c:marker>
          <c:spPr>
            <a:solidFill>
              <a:srgbClr val="9CC746"/>
            </a:solidFill>
            <a:ln>
              <a:solidFill>
                <a:srgbClr val="FFC000"/>
              </a:solidFill>
              <a:prstDash val="solid"/>
            </a:ln>
          </c:spPr>
        </c:marker>
      </c:pivotFmt>
      <c:pivotFmt>
        <c:idx val="35"/>
        <c:spPr>
          <a:ln w="28575" cap="rnd">
            <a:solidFill>
              <a:srgbClr val="FFC000"/>
            </a:solidFill>
            <a:round/>
          </a:ln>
          <a:effectLst/>
        </c:spPr>
        <c:marker>
          <c:spPr>
            <a:solidFill>
              <a:srgbClr val="9CC746"/>
            </a:solidFill>
            <a:ln>
              <a:solidFill>
                <a:srgbClr val="FFC000"/>
              </a:solidFill>
              <a:prstDash val="solid"/>
            </a:ln>
          </c:spPr>
        </c:marker>
      </c:pivotFmt>
      <c:pivotFmt>
        <c:idx val="36"/>
        <c:spPr>
          <a:ln w="28575" cap="rnd">
            <a:solidFill>
              <a:srgbClr val="FFC000"/>
            </a:solidFill>
            <a:round/>
          </a:ln>
          <a:effectLst/>
        </c:spPr>
        <c:marker>
          <c:spPr>
            <a:solidFill>
              <a:srgbClr val="9CC746"/>
            </a:solidFill>
            <a:ln>
              <a:solidFill>
                <a:srgbClr val="FFC000"/>
              </a:solidFill>
              <a:prstDash val="solid"/>
            </a:ln>
          </c:spPr>
        </c:marker>
      </c:pivotFmt>
      <c:pivotFmt>
        <c:idx val="37"/>
        <c:spPr>
          <a:ln w="28575" cap="rnd">
            <a:solidFill>
              <a:srgbClr val="FFC000"/>
            </a:solidFill>
            <a:round/>
          </a:ln>
          <a:effectLst/>
        </c:spPr>
        <c:marker>
          <c:spPr>
            <a:solidFill>
              <a:srgbClr val="9CC746"/>
            </a:solidFill>
            <a:ln>
              <a:solidFill>
                <a:srgbClr val="FFC000"/>
              </a:solidFill>
              <a:prstDash val="solid"/>
            </a:ln>
          </c:spPr>
        </c:marker>
      </c:pivotFmt>
      <c:pivotFmt>
        <c:idx val="38"/>
        <c:spPr>
          <a:ln w="28575" cap="rnd">
            <a:solidFill>
              <a:srgbClr val="FFC000"/>
            </a:solidFill>
            <a:round/>
          </a:ln>
          <a:effectLst/>
        </c:spPr>
        <c:marker>
          <c:spPr>
            <a:solidFill>
              <a:srgbClr val="9CC746"/>
            </a:solidFill>
            <a:ln>
              <a:solidFill>
                <a:srgbClr val="FFC000"/>
              </a:solidFill>
              <a:prstDash val="solid"/>
            </a:ln>
          </c:spPr>
        </c:marker>
      </c:pivotFmt>
      <c:pivotFmt>
        <c:idx val="39"/>
        <c:spPr>
          <a:ln w="28575" cap="rnd">
            <a:solidFill>
              <a:srgbClr val="FFC000"/>
            </a:solidFill>
            <a:round/>
          </a:ln>
          <a:effectLst/>
        </c:spPr>
        <c:marker>
          <c:spPr>
            <a:solidFill>
              <a:srgbClr val="9CC746"/>
            </a:solidFill>
            <a:ln>
              <a:solidFill>
                <a:srgbClr val="FFC000"/>
              </a:solidFill>
              <a:prstDash val="solid"/>
            </a:ln>
          </c:spPr>
        </c:marker>
      </c:pivotFmt>
      <c:pivotFmt>
        <c:idx val="40"/>
        <c:spPr>
          <a:ln w="28575" cap="rnd">
            <a:solidFill>
              <a:srgbClr val="FFC000"/>
            </a:solidFill>
            <a:round/>
          </a:ln>
          <a:effectLst/>
        </c:spPr>
        <c:marker>
          <c:spPr>
            <a:solidFill>
              <a:srgbClr val="9CC746"/>
            </a:solidFill>
            <a:ln>
              <a:solidFill>
                <a:srgbClr val="FFC000"/>
              </a:solidFill>
              <a:prstDash val="solid"/>
            </a:ln>
          </c:spPr>
        </c:marker>
      </c:pivotFmt>
      <c:pivotFmt>
        <c:idx val="41"/>
        <c:spPr>
          <a:ln w="28575" cap="rnd">
            <a:solidFill>
              <a:srgbClr val="FFC000"/>
            </a:solidFill>
            <a:round/>
          </a:ln>
          <a:effectLst/>
        </c:spPr>
        <c:marker>
          <c:spPr>
            <a:solidFill>
              <a:srgbClr val="9CC746"/>
            </a:solidFill>
            <a:ln>
              <a:solidFill>
                <a:srgbClr val="FFC000"/>
              </a:solidFill>
              <a:prstDash val="solid"/>
            </a:ln>
          </c:spPr>
        </c:marker>
      </c:pivotFmt>
      <c:pivotFmt>
        <c:idx val="42"/>
        <c:spPr>
          <a:ln w="28575" cap="rnd">
            <a:solidFill>
              <a:srgbClr val="FFC000"/>
            </a:solidFill>
            <a:round/>
          </a:ln>
          <a:effectLst/>
        </c:spPr>
        <c:marker>
          <c:spPr>
            <a:solidFill>
              <a:srgbClr val="9CC746"/>
            </a:solidFill>
            <a:ln>
              <a:solidFill>
                <a:srgbClr val="FFC000"/>
              </a:solidFill>
              <a:prstDash val="solid"/>
            </a:ln>
          </c:spPr>
        </c:marker>
      </c:pivotFmt>
      <c:pivotFmt>
        <c:idx val="43"/>
        <c:spPr>
          <a:ln w="28575" cap="rnd">
            <a:solidFill>
              <a:srgbClr val="FFC000"/>
            </a:solidFill>
            <a:round/>
          </a:ln>
          <a:effectLst/>
        </c:spPr>
        <c:marker>
          <c:spPr>
            <a:solidFill>
              <a:srgbClr val="9CC746"/>
            </a:solidFill>
            <a:ln>
              <a:solidFill>
                <a:srgbClr val="FFC000"/>
              </a:solidFill>
              <a:prstDash val="solid"/>
            </a:ln>
          </c:spPr>
        </c:marker>
      </c:pivotFmt>
      <c:pivotFmt>
        <c:idx val="44"/>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7"/>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8"/>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9"/>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0"/>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1"/>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2"/>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3"/>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4"/>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spPr>
          <a:ln>
            <a:solidFill>
              <a:srgbClr val="FFC000"/>
            </a:solidFill>
          </a:ln>
        </c:spPr>
        <c:marker>
          <c:symbol val="circle"/>
          <c:size val="5"/>
          <c:spPr>
            <a:ln>
              <a:solidFill>
                <a:srgbClr val="FFC000"/>
              </a:solidFill>
            </a:ln>
          </c:spPr>
        </c:marker>
      </c:pivotFmt>
      <c:pivotFmt>
        <c:idx val="63"/>
        <c:spPr>
          <a:ln>
            <a:solidFill>
              <a:srgbClr val="000000"/>
            </a:solidFill>
          </a:ln>
        </c:spPr>
        <c:marker>
          <c:symbol val="none"/>
        </c:marker>
      </c:pivotFmt>
      <c:pivotFmt>
        <c:idx val="64"/>
        <c:spPr>
          <a:ln>
            <a:solidFill>
              <a:srgbClr val="FFC000"/>
            </a:solidFill>
          </a:ln>
        </c:spPr>
        <c:marker>
          <c:spPr>
            <a:solidFill>
              <a:srgbClr val="9CC746"/>
            </a:solidFill>
            <a:ln>
              <a:solidFill>
                <a:srgbClr val="FFC000"/>
              </a:solidFill>
              <a:prstDash val="solid"/>
            </a:ln>
          </c:spPr>
        </c:marker>
      </c:pivotFmt>
      <c:pivotFmt>
        <c:idx val="65"/>
        <c:spPr>
          <a:ln>
            <a:solidFill>
              <a:srgbClr val="FFC000"/>
            </a:solidFill>
          </a:ln>
        </c:spPr>
        <c:marker>
          <c:spPr>
            <a:solidFill>
              <a:srgbClr val="9CC746"/>
            </a:solidFill>
            <a:ln>
              <a:solidFill>
                <a:srgbClr val="FFC000"/>
              </a:solidFill>
              <a:prstDash val="solid"/>
            </a:ln>
          </c:spPr>
        </c:marker>
      </c:pivotFmt>
      <c:pivotFmt>
        <c:idx val="66"/>
        <c:spPr>
          <a:ln>
            <a:solidFill>
              <a:srgbClr val="FFC000"/>
            </a:solidFill>
          </a:ln>
        </c:spPr>
        <c:marker>
          <c:spPr>
            <a:solidFill>
              <a:srgbClr val="9CC746"/>
            </a:solidFill>
            <a:ln>
              <a:solidFill>
                <a:srgbClr val="FFC000"/>
              </a:solidFill>
              <a:prstDash val="solid"/>
            </a:ln>
          </c:spPr>
        </c:marker>
      </c:pivotFmt>
      <c:pivotFmt>
        <c:idx val="67"/>
        <c:spPr>
          <a:ln>
            <a:solidFill>
              <a:srgbClr val="FFC000"/>
            </a:solidFill>
          </a:ln>
        </c:spPr>
        <c:marker>
          <c:spPr>
            <a:solidFill>
              <a:srgbClr val="9CC746"/>
            </a:solidFill>
            <a:ln>
              <a:solidFill>
                <a:srgbClr val="FFC000"/>
              </a:solidFill>
              <a:prstDash val="solid"/>
            </a:ln>
          </c:spPr>
        </c:marker>
      </c:pivotFmt>
      <c:pivotFmt>
        <c:idx val="68"/>
        <c:spPr>
          <a:ln>
            <a:solidFill>
              <a:srgbClr val="FFC000"/>
            </a:solidFill>
          </a:ln>
        </c:spPr>
        <c:marker>
          <c:spPr>
            <a:solidFill>
              <a:srgbClr val="9CC746"/>
            </a:solidFill>
            <a:ln>
              <a:solidFill>
                <a:srgbClr val="FFC000"/>
              </a:solidFill>
              <a:prstDash val="solid"/>
            </a:ln>
          </c:spPr>
        </c:marker>
      </c:pivotFmt>
      <c:pivotFmt>
        <c:idx val="69"/>
        <c:spPr>
          <a:ln>
            <a:solidFill>
              <a:srgbClr val="FFC000"/>
            </a:solidFill>
          </a:ln>
        </c:spPr>
        <c:marker>
          <c:spPr>
            <a:solidFill>
              <a:srgbClr val="9CC746"/>
            </a:solidFill>
            <a:ln>
              <a:solidFill>
                <a:srgbClr val="FFC000"/>
              </a:solidFill>
              <a:prstDash val="solid"/>
            </a:ln>
          </c:spPr>
        </c:marker>
      </c:pivotFmt>
      <c:pivotFmt>
        <c:idx val="70"/>
        <c:spPr>
          <a:ln>
            <a:solidFill>
              <a:srgbClr val="FFC000"/>
            </a:solidFill>
          </a:ln>
        </c:spPr>
        <c:marker>
          <c:spPr>
            <a:solidFill>
              <a:srgbClr val="9CC746"/>
            </a:solidFill>
            <a:ln>
              <a:solidFill>
                <a:srgbClr val="FFC000"/>
              </a:solidFill>
              <a:prstDash val="solid"/>
            </a:ln>
          </c:spPr>
        </c:marker>
      </c:pivotFmt>
      <c:pivotFmt>
        <c:idx val="71"/>
        <c:spPr>
          <a:ln>
            <a:solidFill>
              <a:srgbClr val="FFC000"/>
            </a:solidFill>
          </a:ln>
        </c:spPr>
        <c:marker>
          <c:spPr>
            <a:solidFill>
              <a:srgbClr val="9CC746"/>
            </a:solidFill>
            <a:ln>
              <a:solidFill>
                <a:srgbClr val="FFC000"/>
              </a:solidFill>
              <a:prstDash val="solid"/>
            </a:ln>
          </c:spPr>
        </c:marker>
      </c:pivotFmt>
      <c:pivotFmt>
        <c:idx val="72"/>
        <c:spPr>
          <a:ln>
            <a:solidFill>
              <a:srgbClr val="FFC000"/>
            </a:solidFill>
          </a:ln>
        </c:spPr>
        <c:marker>
          <c:spPr>
            <a:solidFill>
              <a:srgbClr val="9CC746"/>
            </a:solidFill>
            <a:ln>
              <a:solidFill>
                <a:srgbClr val="FFC000"/>
              </a:solidFill>
              <a:prstDash val="solid"/>
            </a:ln>
          </c:spPr>
        </c:marker>
      </c:pivotFmt>
      <c:pivotFmt>
        <c:idx val="73"/>
        <c:spPr>
          <a:ln>
            <a:solidFill>
              <a:srgbClr val="FFC000"/>
            </a:solidFill>
          </a:ln>
        </c:spPr>
        <c:marker>
          <c:spPr>
            <a:solidFill>
              <a:srgbClr val="9CC746"/>
            </a:solidFill>
            <a:ln>
              <a:solidFill>
                <a:srgbClr val="FFC000"/>
              </a:solidFill>
              <a:prstDash val="solid"/>
            </a:ln>
          </c:spPr>
        </c:marker>
      </c:pivotFmt>
      <c:pivotFmt>
        <c:idx val="74"/>
        <c:spPr>
          <a:ln>
            <a:solidFill>
              <a:srgbClr val="FFC000"/>
            </a:solidFill>
          </a:ln>
        </c:spPr>
        <c:marker>
          <c:spPr>
            <a:solidFill>
              <a:srgbClr val="9CC746"/>
            </a:solidFill>
            <a:ln>
              <a:solidFill>
                <a:srgbClr val="FFC000"/>
              </a:solidFill>
              <a:prstDash val="solid"/>
            </a:ln>
          </c:spPr>
        </c:marker>
      </c:pivotFmt>
      <c:pivotFmt>
        <c:idx val="75"/>
        <c:spPr>
          <a:ln>
            <a:solidFill>
              <a:srgbClr val="FFC000"/>
            </a:solidFill>
          </a:ln>
        </c:spPr>
        <c:marker>
          <c:spPr>
            <a:solidFill>
              <a:srgbClr val="9CC746"/>
            </a:solidFill>
            <a:ln>
              <a:solidFill>
                <a:srgbClr val="FFC000"/>
              </a:solidFill>
              <a:prstDash val="solid"/>
            </a:ln>
          </c:spPr>
        </c:marker>
      </c:pivotFmt>
      <c:pivotFmt>
        <c:idx val="76"/>
        <c:spPr>
          <a:ln>
            <a:solidFill>
              <a:srgbClr val="FFC000"/>
            </a:solidFill>
          </a:ln>
        </c:spPr>
        <c:marker>
          <c:spPr>
            <a:solidFill>
              <a:srgbClr val="9CC746"/>
            </a:solidFill>
            <a:ln>
              <a:solidFill>
                <a:srgbClr val="FFC000"/>
              </a:solidFill>
              <a:prstDash val="solid"/>
            </a:ln>
          </c:spPr>
        </c:marker>
      </c:pivotFmt>
      <c:pivotFmt>
        <c:idx val="77"/>
        <c:marker>
          <c:symbol val="none"/>
        </c:marker>
      </c:pivotFmt>
    </c:pivotFmts>
    <c:plotArea>
      <c:layout/>
      <c:barChart>
        <c:barDir val="col"/>
        <c:grouping val="stacked"/>
        <c:varyColors val="0"/>
        <c:ser>
          <c:idx val="0"/>
          <c:order val="0"/>
          <c:tx>
            <c:strRef>
              <c:f>pt.generic_add_data6!$C$7:$C$8</c:f>
              <c:strCache>
                <c:ptCount val="1"/>
                <c:pt idx="0">
                  <c:v>Odvezeno</c:v>
                </c:pt>
              </c:strCache>
            </c:strRef>
          </c:tx>
          <c:invertIfNegative val="0"/>
          <c:cat>
            <c:multiLvlStrRef>
              <c:f>pt.generic_add_data6!$A$9:$B$22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pt.generic_add_data6!$C$9:$C$22</c:f>
              <c:numCache>
                <c:formatCode>General</c:formatCode>
                <c:ptCount val="13"/>
                <c:pt idx="0">
                  <c:v>135</c:v>
                </c:pt>
                <c:pt idx="1">
                  <c:v>135</c:v>
                </c:pt>
                <c:pt idx="2">
                  <c:v>135</c:v>
                </c:pt>
                <c:pt idx="3">
                  <c:v>135</c:v>
                </c:pt>
                <c:pt idx="4">
                  <c:v>135</c:v>
                </c:pt>
                <c:pt idx="5">
                  <c:v>135</c:v>
                </c:pt>
                <c:pt idx="6">
                  <c:v>70</c:v>
                </c:pt>
                <c:pt idx="7">
                  <c:v>145</c:v>
                </c:pt>
                <c:pt idx="8">
                  <c:v>145</c:v>
                </c:pt>
                <c:pt idx="9">
                  <c:v>135</c:v>
                </c:pt>
                <c:pt idx="10">
                  <c:v>135</c:v>
                </c:pt>
                <c:pt idx="11">
                  <c:v>135</c:v>
                </c:pt>
                <c:pt idx="12">
                  <c:v>135</c:v>
                </c:pt>
              </c:numCache>
            </c:numRef>
          </c:val>
          <c:extLst>
            <c:ext xmlns:c16="http://schemas.microsoft.com/office/drawing/2014/chart" uri="{C3380CC4-5D6E-409C-BE32-E72D297353CC}">
              <c16:uniqueId val="{0000001A-FE12-4078-972C-59E4A9F21B0C}"/>
            </c:ext>
          </c:extLst>
        </c:ser>
        <c:ser>
          <c:idx val="1"/>
          <c:order val="1"/>
          <c:tx>
            <c:strRef>
              <c:f>pt.generic_add_data6!$D$7:$D$8</c:f>
              <c:strCache>
                <c:ptCount val="1"/>
                <c:pt idx="0">
                  <c:v>Příjezd</c:v>
                </c:pt>
              </c:strCache>
            </c:strRef>
          </c:tx>
          <c:invertIfNegative val="0"/>
          <c:cat>
            <c:multiLvlStrRef>
              <c:f>pt.generic_add_data6!$A$9:$B$22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pt.generic_add_data6!$D$9:$D$22</c:f>
              <c:numCache>
                <c:formatCode>General</c:formatCode>
                <c:ptCount val="13"/>
                <c:pt idx="0">
                  <c:v>135</c:v>
                </c:pt>
                <c:pt idx="1">
                  <c:v>135</c:v>
                </c:pt>
                <c:pt idx="2">
                  <c:v>135</c:v>
                </c:pt>
                <c:pt idx="3">
                  <c:v>135</c:v>
                </c:pt>
                <c:pt idx="4">
                  <c:v>135</c:v>
                </c:pt>
                <c:pt idx="5">
                  <c:v>135</c:v>
                </c:pt>
                <c:pt idx="6">
                  <c:v>180</c:v>
                </c:pt>
                <c:pt idx="7">
                  <c:v>90</c:v>
                </c:pt>
                <c:pt idx="8">
                  <c:v>135</c:v>
                </c:pt>
                <c:pt idx="9">
                  <c:v>135</c:v>
                </c:pt>
                <c:pt idx="10">
                  <c:v>135</c:v>
                </c:pt>
                <c:pt idx="11">
                  <c:v>135</c:v>
                </c:pt>
                <c:pt idx="12">
                  <c:v>135</c:v>
                </c:pt>
              </c:numCache>
            </c:numRef>
          </c:val>
          <c:extLst>
            <c:ext xmlns:c16="http://schemas.microsoft.com/office/drawing/2014/chart" uri="{C3380CC4-5D6E-409C-BE32-E72D297353CC}">
              <c16:uniqueId val="{00000013-B446-46D4-8EF2-2B4C601F6B0E}"/>
            </c:ext>
          </c:extLst>
        </c:ser>
        <c:ser>
          <c:idx val="2"/>
          <c:order val="2"/>
          <c:tx>
            <c:strRef>
              <c:f>pt.generic_add_data6!$E$7:$E$8</c:f>
              <c:strCache>
                <c:ptCount val="1"/>
                <c:pt idx="0">
                  <c:v>Uloženo</c:v>
                </c:pt>
              </c:strCache>
            </c:strRef>
          </c:tx>
          <c:invertIfNegative val="0"/>
          <c:cat>
            <c:multiLvlStrRef>
              <c:f>pt.generic_add_data6!$A$9:$B$22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pt.generic_add_data6!$E$9:$E$22</c:f>
              <c:numCache>
                <c:formatCode>General</c:formatCode>
                <c:ptCount val="13"/>
                <c:pt idx="0">
                  <c:v>135</c:v>
                </c:pt>
                <c:pt idx="1">
                  <c:v>135</c:v>
                </c:pt>
                <c:pt idx="2">
                  <c:v>135</c:v>
                </c:pt>
                <c:pt idx="3">
                  <c:v>135</c:v>
                </c:pt>
                <c:pt idx="4">
                  <c:v>135</c:v>
                </c:pt>
                <c:pt idx="5">
                  <c:v>115</c:v>
                </c:pt>
                <c:pt idx="6">
                  <c:v>90</c:v>
                </c:pt>
                <c:pt idx="7">
                  <c:v>145</c:v>
                </c:pt>
                <c:pt idx="8">
                  <c:v>145</c:v>
                </c:pt>
                <c:pt idx="9">
                  <c:v>135</c:v>
                </c:pt>
                <c:pt idx="10">
                  <c:v>135</c:v>
                </c:pt>
                <c:pt idx="11">
                  <c:v>135</c:v>
                </c:pt>
                <c:pt idx="12">
                  <c:v>135</c:v>
                </c:pt>
              </c:numCache>
            </c:numRef>
          </c:val>
          <c:extLst>
            <c:ext xmlns:c16="http://schemas.microsoft.com/office/drawing/2014/chart" uri="{C3380CC4-5D6E-409C-BE32-E72D297353CC}">
              <c16:uniqueId val="{00000014-B446-46D4-8EF2-2B4C601F6B0E}"/>
            </c:ext>
          </c:extLst>
        </c:ser>
        <c:ser>
          <c:idx val="3"/>
          <c:order val="3"/>
          <c:tx>
            <c:strRef>
              <c:f>pt.generic_add_data6!$F$7:$F$8</c:f>
              <c:strCache>
                <c:ptCount val="1"/>
                <c:pt idx="0">
                  <c:v>Vykládá se</c:v>
                </c:pt>
              </c:strCache>
            </c:strRef>
          </c:tx>
          <c:invertIfNegative val="0"/>
          <c:cat>
            <c:multiLvlStrRef>
              <c:f>pt.generic_add_data6!$A$9:$B$22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pt.generic_add_data6!$F$9:$F$22</c:f>
              <c:numCache>
                <c:formatCode>General</c:formatCode>
                <c:ptCount val="13"/>
                <c:pt idx="0">
                  <c:v>135</c:v>
                </c:pt>
                <c:pt idx="1">
                  <c:v>135</c:v>
                </c:pt>
                <c:pt idx="2">
                  <c:v>135</c:v>
                </c:pt>
                <c:pt idx="3">
                  <c:v>135</c:v>
                </c:pt>
                <c:pt idx="4">
                  <c:v>135</c:v>
                </c:pt>
                <c:pt idx="5">
                  <c:v>135</c:v>
                </c:pt>
                <c:pt idx="6">
                  <c:v>180</c:v>
                </c:pt>
                <c:pt idx="7">
                  <c:v>90</c:v>
                </c:pt>
                <c:pt idx="8">
                  <c:v>135</c:v>
                </c:pt>
                <c:pt idx="9">
                  <c:v>135</c:v>
                </c:pt>
                <c:pt idx="10">
                  <c:v>135</c:v>
                </c:pt>
                <c:pt idx="11">
                  <c:v>135</c:v>
                </c:pt>
                <c:pt idx="12">
                  <c:v>135</c:v>
                </c:pt>
              </c:numCache>
            </c:numRef>
          </c:val>
          <c:extLst>
            <c:ext xmlns:c16="http://schemas.microsoft.com/office/drawing/2014/chart" uri="{C3380CC4-5D6E-409C-BE32-E72D297353CC}">
              <c16:uniqueId val="{00000015-B446-46D4-8EF2-2B4C601F6B0E}"/>
            </c:ext>
          </c:extLst>
        </c:ser>
        <c:ser>
          <c:idx val="4"/>
          <c:order val="4"/>
          <c:tx>
            <c:strRef>
              <c:f>pt.generic_add_data6!$G$7:$G$8</c:f>
              <c:strCache>
                <c:ptCount val="1"/>
                <c:pt idx="0">
                  <c:v>Vyskladněno</c:v>
                </c:pt>
              </c:strCache>
            </c:strRef>
          </c:tx>
          <c:invertIfNegative val="0"/>
          <c:cat>
            <c:multiLvlStrRef>
              <c:f>pt.generic_add_data6!$A$9:$B$22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pt.generic_add_data6!$G$9:$G$22</c:f>
              <c:numCache>
                <c:formatCode>General</c:formatCode>
                <c:ptCount val="13"/>
                <c:pt idx="0">
                  <c:v>135</c:v>
                </c:pt>
                <c:pt idx="1">
                  <c:v>135</c:v>
                </c:pt>
                <c:pt idx="2">
                  <c:v>135</c:v>
                </c:pt>
                <c:pt idx="3">
                  <c:v>135</c:v>
                </c:pt>
                <c:pt idx="4">
                  <c:v>135</c:v>
                </c:pt>
                <c:pt idx="5">
                  <c:v>155</c:v>
                </c:pt>
                <c:pt idx="6">
                  <c:v>135</c:v>
                </c:pt>
                <c:pt idx="7">
                  <c:v>125</c:v>
                </c:pt>
                <c:pt idx="8">
                  <c:v>125</c:v>
                </c:pt>
                <c:pt idx="9">
                  <c:v>135</c:v>
                </c:pt>
                <c:pt idx="10">
                  <c:v>135</c:v>
                </c:pt>
                <c:pt idx="11">
                  <c:v>135</c:v>
                </c:pt>
                <c:pt idx="12">
                  <c:v>135</c:v>
                </c:pt>
              </c:numCache>
            </c:numRef>
          </c:val>
          <c:extLst>
            <c:ext xmlns:c16="http://schemas.microsoft.com/office/drawing/2014/chart" uri="{C3380CC4-5D6E-409C-BE32-E72D297353CC}">
              <c16:uniqueId val="{00000016-B446-46D4-8EF2-2B4C601F6B0E}"/>
            </c:ext>
          </c:extLst>
        </c:ser>
        <c:dLbls>
          <c:showLegendKey val="0"/>
          <c:showVal val="0"/>
          <c:showCatName val="0"/>
          <c:showSerName val="0"/>
          <c:showPercent val="0"/>
          <c:showBubbleSize val="0"/>
        </c:dLbls>
        <c:gapWidth val="150"/>
        <c:overlap val="100"/>
        <c:axId val="235333616"/>
        <c:axId val="235334008"/>
      </c:barChart>
      <c:lineChart>
        <c:grouping val="standard"/>
        <c:varyColors val="0"/>
        <c:ser>
          <c:idx val="5"/>
          <c:order val="5"/>
          <c:tx>
            <c:strRef>
              <c:f>pt.generic_add_data6!$H$7:$H$8</c:f>
              <c:strCache>
                <c:ptCount val="1"/>
                <c:pt idx="0">
                  <c:v>Zátěž</c:v>
                </c:pt>
              </c:strCache>
            </c:strRef>
          </c:tx>
          <c:spPr>
            <a:ln>
              <a:solidFill>
                <a:srgbClr val="FFC000"/>
              </a:solidFill>
            </a:ln>
          </c:spPr>
          <c:marker>
            <c:symbol val="circle"/>
            <c:size val="5"/>
            <c:spPr>
              <a:ln>
                <a:solidFill>
                  <a:srgbClr val="FFC000"/>
                </a:solidFill>
              </a:ln>
            </c:spPr>
          </c:marker>
          <c:dPt>
            <c:idx val="0"/>
            <c:marker>
              <c:spPr>
                <a:solidFill>
                  <a:srgbClr val="9CC746"/>
                </a:solidFill>
                <a:ln>
                  <a:solidFill>
                    <a:srgbClr val="FFC000"/>
                  </a:solidFill>
                  <a:prstDash val="solid"/>
                </a:ln>
              </c:spPr>
            </c:marker>
            <c:bubble3D val="0"/>
            <c:extLst>
              <c:ext xmlns:c16="http://schemas.microsoft.com/office/drawing/2014/chart" uri="{C3380CC4-5D6E-409C-BE32-E72D297353CC}">
                <c16:uniqueId val="{00000019-B446-46D4-8EF2-2B4C601F6B0E}"/>
              </c:ext>
            </c:extLst>
          </c:dPt>
          <c:dPt>
            <c:idx val="1"/>
            <c:marker>
              <c:spPr>
                <a:solidFill>
                  <a:srgbClr val="9CC746"/>
                </a:solidFill>
                <a:ln>
                  <a:solidFill>
                    <a:srgbClr val="FFC000"/>
                  </a:solidFill>
                  <a:prstDash val="solid"/>
                </a:ln>
              </c:spPr>
            </c:marker>
            <c:bubble3D val="0"/>
            <c:extLst>
              <c:ext xmlns:c16="http://schemas.microsoft.com/office/drawing/2014/chart" uri="{C3380CC4-5D6E-409C-BE32-E72D297353CC}">
                <c16:uniqueId val="{0000001A-B446-46D4-8EF2-2B4C601F6B0E}"/>
              </c:ext>
            </c:extLst>
          </c:dPt>
          <c:dPt>
            <c:idx val="2"/>
            <c:marker>
              <c:spPr>
                <a:solidFill>
                  <a:srgbClr val="9CC746"/>
                </a:solidFill>
                <a:ln>
                  <a:solidFill>
                    <a:srgbClr val="FFC000"/>
                  </a:solidFill>
                  <a:prstDash val="solid"/>
                </a:ln>
              </c:spPr>
            </c:marker>
            <c:bubble3D val="0"/>
            <c:extLst>
              <c:ext xmlns:c16="http://schemas.microsoft.com/office/drawing/2014/chart" uri="{C3380CC4-5D6E-409C-BE32-E72D297353CC}">
                <c16:uniqueId val="{0000001B-B446-46D4-8EF2-2B4C601F6B0E}"/>
              </c:ext>
            </c:extLst>
          </c:dPt>
          <c:dPt>
            <c:idx val="3"/>
            <c:marker>
              <c:spPr>
                <a:solidFill>
                  <a:srgbClr val="9CC746"/>
                </a:solidFill>
                <a:ln>
                  <a:solidFill>
                    <a:srgbClr val="FFC000"/>
                  </a:solidFill>
                  <a:prstDash val="solid"/>
                </a:ln>
              </c:spPr>
            </c:marker>
            <c:bubble3D val="0"/>
            <c:extLst>
              <c:ext xmlns:c16="http://schemas.microsoft.com/office/drawing/2014/chart" uri="{C3380CC4-5D6E-409C-BE32-E72D297353CC}">
                <c16:uniqueId val="{0000001C-B446-46D4-8EF2-2B4C601F6B0E}"/>
              </c:ext>
            </c:extLst>
          </c:dPt>
          <c:dPt>
            <c:idx val="4"/>
            <c:marker>
              <c:spPr>
                <a:solidFill>
                  <a:srgbClr val="9CC746"/>
                </a:solidFill>
                <a:ln>
                  <a:solidFill>
                    <a:srgbClr val="FFC000"/>
                  </a:solidFill>
                  <a:prstDash val="solid"/>
                </a:ln>
              </c:spPr>
            </c:marker>
            <c:bubble3D val="0"/>
            <c:extLst>
              <c:ext xmlns:c16="http://schemas.microsoft.com/office/drawing/2014/chart" uri="{C3380CC4-5D6E-409C-BE32-E72D297353CC}">
                <c16:uniqueId val="{0000001D-B446-46D4-8EF2-2B4C601F6B0E}"/>
              </c:ext>
            </c:extLst>
          </c:dPt>
          <c:dPt>
            <c:idx val="5"/>
            <c:marker>
              <c:spPr>
                <a:solidFill>
                  <a:srgbClr val="9CC746"/>
                </a:solidFill>
                <a:ln>
                  <a:solidFill>
                    <a:srgbClr val="FFC000"/>
                  </a:solidFill>
                  <a:prstDash val="solid"/>
                </a:ln>
              </c:spPr>
            </c:marker>
            <c:bubble3D val="0"/>
            <c:extLst>
              <c:ext xmlns:c16="http://schemas.microsoft.com/office/drawing/2014/chart" uri="{C3380CC4-5D6E-409C-BE32-E72D297353CC}">
                <c16:uniqueId val="{0000001E-B446-46D4-8EF2-2B4C601F6B0E}"/>
              </c:ext>
            </c:extLst>
          </c:dPt>
          <c:dPt>
            <c:idx val="6"/>
            <c:marker>
              <c:spPr>
                <a:solidFill>
                  <a:srgbClr val="9CC746"/>
                </a:solidFill>
                <a:ln>
                  <a:solidFill>
                    <a:srgbClr val="FFC000"/>
                  </a:solidFill>
                  <a:prstDash val="solid"/>
                </a:ln>
              </c:spPr>
            </c:marker>
            <c:bubble3D val="0"/>
            <c:extLst>
              <c:ext xmlns:c16="http://schemas.microsoft.com/office/drawing/2014/chart" uri="{C3380CC4-5D6E-409C-BE32-E72D297353CC}">
                <c16:uniqueId val="{0000001F-B446-46D4-8EF2-2B4C601F6B0E}"/>
              </c:ext>
            </c:extLst>
          </c:dPt>
          <c:dPt>
            <c:idx val="7"/>
            <c:marker>
              <c:spPr>
                <a:solidFill>
                  <a:srgbClr val="9CC746"/>
                </a:solidFill>
                <a:ln>
                  <a:solidFill>
                    <a:srgbClr val="FFC000"/>
                  </a:solidFill>
                  <a:prstDash val="solid"/>
                </a:ln>
              </c:spPr>
            </c:marker>
            <c:bubble3D val="0"/>
            <c:extLst>
              <c:ext xmlns:c16="http://schemas.microsoft.com/office/drawing/2014/chart" uri="{C3380CC4-5D6E-409C-BE32-E72D297353CC}">
                <c16:uniqueId val="{00000020-B446-46D4-8EF2-2B4C601F6B0E}"/>
              </c:ext>
            </c:extLst>
          </c:dPt>
          <c:dPt>
            <c:idx val="8"/>
            <c:marker>
              <c:spPr>
                <a:solidFill>
                  <a:srgbClr val="9CC746"/>
                </a:solidFill>
                <a:ln>
                  <a:solidFill>
                    <a:srgbClr val="FFC000"/>
                  </a:solidFill>
                  <a:prstDash val="solid"/>
                </a:ln>
              </c:spPr>
            </c:marker>
            <c:bubble3D val="0"/>
            <c:extLst>
              <c:ext xmlns:c16="http://schemas.microsoft.com/office/drawing/2014/chart" uri="{C3380CC4-5D6E-409C-BE32-E72D297353CC}">
                <c16:uniqueId val="{00000021-B446-46D4-8EF2-2B4C601F6B0E}"/>
              </c:ext>
            </c:extLst>
          </c:dPt>
          <c:dPt>
            <c:idx val="9"/>
            <c:marker>
              <c:spPr>
                <a:solidFill>
                  <a:srgbClr val="9CC746"/>
                </a:solidFill>
                <a:ln>
                  <a:solidFill>
                    <a:srgbClr val="FFC000"/>
                  </a:solidFill>
                  <a:prstDash val="solid"/>
                </a:ln>
              </c:spPr>
            </c:marker>
            <c:bubble3D val="0"/>
            <c:extLst>
              <c:ext xmlns:c16="http://schemas.microsoft.com/office/drawing/2014/chart" uri="{C3380CC4-5D6E-409C-BE32-E72D297353CC}">
                <c16:uniqueId val="{00000022-B446-46D4-8EF2-2B4C601F6B0E}"/>
              </c:ext>
            </c:extLst>
          </c:dPt>
          <c:dPt>
            <c:idx val="10"/>
            <c:marker>
              <c:spPr>
                <a:solidFill>
                  <a:srgbClr val="9CC746"/>
                </a:solidFill>
                <a:ln>
                  <a:solidFill>
                    <a:srgbClr val="FFC000"/>
                  </a:solidFill>
                  <a:prstDash val="solid"/>
                </a:ln>
              </c:spPr>
            </c:marker>
            <c:bubble3D val="0"/>
            <c:extLst>
              <c:ext xmlns:c16="http://schemas.microsoft.com/office/drawing/2014/chart" uri="{C3380CC4-5D6E-409C-BE32-E72D297353CC}">
                <c16:uniqueId val="{00000023-B446-46D4-8EF2-2B4C601F6B0E}"/>
              </c:ext>
            </c:extLst>
          </c:dPt>
          <c:dPt>
            <c:idx val="11"/>
            <c:marker>
              <c:spPr>
                <a:solidFill>
                  <a:srgbClr val="9CC746"/>
                </a:solidFill>
                <a:ln>
                  <a:solidFill>
                    <a:srgbClr val="FFC000"/>
                  </a:solidFill>
                  <a:prstDash val="solid"/>
                </a:ln>
              </c:spPr>
            </c:marker>
            <c:bubble3D val="0"/>
            <c:extLst>
              <c:ext xmlns:c16="http://schemas.microsoft.com/office/drawing/2014/chart" uri="{C3380CC4-5D6E-409C-BE32-E72D297353CC}">
                <c16:uniqueId val="{00000024-B446-46D4-8EF2-2B4C601F6B0E}"/>
              </c:ext>
            </c:extLst>
          </c:dPt>
          <c:dPt>
            <c:idx val="12"/>
            <c:marker>
              <c:spPr>
                <a:solidFill>
                  <a:srgbClr val="9CC746"/>
                </a:solidFill>
                <a:ln>
                  <a:solidFill>
                    <a:srgbClr val="FFC000"/>
                  </a:solidFill>
                  <a:prstDash val="solid"/>
                </a:ln>
              </c:spPr>
            </c:marker>
            <c:bubble3D val="0"/>
            <c:extLst>
              <c:ext xmlns:c16="http://schemas.microsoft.com/office/drawing/2014/chart" uri="{C3380CC4-5D6E-409C-BE32-E72D297353CC}">
                <c16:uniqueId val="{00000025-B446-46D4-8EF2-2B4C601F6B0E}"/>
              </c:ext>
            </c:extLst>
          </c:dPt>
          <c:cat>
            <c:multiLvlStrRef>
              <c:f>pt.generic_add_data6!$A$9:$B$22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pt.generic_add_data6!$H$9:$H$22</c:f>
              <c:numCache>
                <c:formatCode>General</c:formatCode>
                <c:ptCount val="13"/>
                <c:pt idx="0">
                  <c:v>4.7</c:v>
                </c:pt>
                <c:pt idx="1">
                  <c:v>4.7</c:v>
                </c:pt>
                <c:pt idx="2">
                  <c:v>4.7</c:v>
                </c:pt>
                <c:pt idx="3">
                  <c:v>4.7</c:v>
                </c:pt>
                <c:pt idx="4">
                  <c:v>4.7</c:v>
                </c:pt>
                <c:pt idx="5">
                  <c:v>4.7</c:v>
                </c:pt>
                <c:pt idx="6">
                  <c:v>4.54</c:v>
                </c:pt>
                <c:pt idx="7">
                  <c:v>4.59</c:v>
                </c:pt>
                <c:pt idx="8">
                  <c:v>4.84</c:v>
                </c:pt>
                <c:pt idx="9">
                  <c:v>4.7</c:v>
                </c:pt>
                <c:pt idx="10">
                  <c:v>4.7</c:v>
                </c:pt>
                <c:pt idx="11">
                  <c:v>4.7</c:v>
                </c:pt>
                <c:pt idx="12">
                  <c:v>4.7</c:v>
                </c:pt>
              </c:numCache>
            </c:numRef>
          </c:val>
          <c:smooth val="0"/>
          <c:extLst>
            <c:ext xmlns:c16="http://schemas.microsoft.com/office/drawing/2014/chart" uri="{C3380CC4-5D6E-409C-BE32-E72D297353CC}">
              <c16:uniqueId val="{00000017-B446-46D4-8EF2-2B4C601F6B0E}"/>
            </c:ext>
          </c:extLst>
        </c:ser>
        <c:ser>
          <c:idx val="6"/>
          <c:order val="6"/>
          <c:tx>
            <c:strRef>
              <c:f>pt.generic_add_data6!$I$7:$I$8</c:f>
              <c:strCache>
                <c:ptCount val="1"/>
                <c:pt idx="0">
                  <c:v>Zátěž cíl</c:v>
                </c:pt>
              </c:strCache>
            </c:strRef>
          </c:tx>
          <c:spPr>
            <a:ln>
              <a:solidFill>
                <a:srgbClr val="000000"/>
              </a:solidFill>
            </a:ln>
          </c:spPr>
          <c:marker>
            <c:symbol val="none"/>
          </c:marker>
          <c:cat>
            <c:multiLvlStrRef>
              <c:f>pt.generic_add_data6!$A$9:$B$22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pt.generic_add_data6!$I$9:$I$22</c:f>
              <c:numCache>
                <c:formatCode>General</c:formatCode>
                <c:ptCount val="13"/>
                <c:pt idx="0">
                  <c:v>5.5</c:v>
                </c:pt>
                <c:pt idx="1">
                  <c:v>5.5</c:v>
                </c:pt>
                <c:pt idx="2">
                  <c:v>5.5</c:v>
                </c:pt>
                <c:pt idx="3">
                  <c:v>5.5</c:v>
                </c:pt>
                <c:pt idx="4">
                  <c:v>5.5</c:v>
                </c:pt>
                <c:pt idx="5">
                  <c:v>5.5</c:v>
                </c:pt>
                <c:pt idx="6">
                  <c:v>5.5</c:v>
                </c:pt>
                <c:pt idx="7">
                  <c:v>5.5</c:v>
                </c:pt>
                <c:pt idx="8">
                  <c:v>5.5</c:v>
                </c:pt>
                <c:pt idx="9">
                  <c:v>5.5</c:v>
                </c:pt>
                <c:pt idx="10">
                  <c:v>5.5</c:v>
                </c:pt>
                <c:pt idx="11">
                  <c:v>5.5</c:v>
                </c:pt>
                <c:pt idx="12">
                  <c:v>5.5</c:v>
                </c:pt>
              </c:numCache>
            </c:numRef>
          </c:val>
          <c:smooth val="0"/>
          <c:extLst>
            <c:ext xmlns:c16="http://schemas.microsoft.com/office/drawing/2014/chart" uri="{C3380CC4-5D6E-409C-BE32-E72D297353CC}">
              <c16:uniqueId val="{00000018-B446-46D4-8EF2-2B4C601F6B0E}"/>
            </c:ext>
          </c:extLst>
        </c:ser>
        <c:dLbls>
          <c:showLegendKey val="0"/>
          <c:showVal val="0"/>
          <c:showCatName val="0"/>
          <c:showSerName val="0"/>
          <c:showPercent val="0"/>
          <c:showBubbleSize val="0"/>
        </c:dLbls>
        <c:marker val="1"/>
        <c:smooth val="0"/>
        <c:axId val="520223720"/>
        <c:axId val="520219784"/>
      </c:lineChart>
      <c:catAx>
        <c:axId val="235333616"/>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35334008"/>
        <c:crosses val="autoZero"/>
        <c:auto val="1"/>
        <c:lblAlgn val="ctr"/>
        <c:lblOffset val="100"/>
        <c:noMultiLvlLbl val="0"/>
      </c:catAx>
      <c:valAx>
        <c:axId val="235334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35333616"/>
        <c:crosses val="autoZero"/>
        <c:crossBetween val="between"/>
      </c:valAx>
      <c:valAx>
        <c:axId val="520219784"/>
        <c:scaling>
          <c:orientation val="minMax"/>
        </c:scaling>
        <c:delete val="0"/>
        <c:axPos val="r"/>
        <c:numFmt formatCode="0%" sourceLinked="0"/>
        <c:majorTickMark val="out"/>
        <c:minorTickMark val="none"/>
        <c:tickLblPos val="nextTo"/>
        <c:crossAx val="520223720"/>
        <c:crosses val="max"/>
        <c:crossBetween val="between"/>
      </c:valAx>
      <c:catAx>
        <c:axId val="520223720"/>
        <c:scaling>
          <c:orientation val="minMax"/>
        </c:scaling>
        <c:delete val="1"/>
        <c:axPos val="b"/>
        <c:numFmt formatCode="General" sourceLinked="1"/>
        <c:majorTickMark val="out"/>
        <c:minorTickMark val="none"/>
        <c:tickLblPos val="nextTo"/>
        <c:crossAx val="520219784"/>
        <c:crosses val="autoZero"/>
        <c:auto val="1"/>
        <c:lblAlgn val="ctr"/>
        <c:lblOffset val="100"/>
        <c:noMultiLvlLbl val="0"/>
      </c:cat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1.3_3_2.xlsm]pt.generic_add_data7!pt.generic_add_data7</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2"/>
            </a:solidFill>
            <a:round/>
          </a:ln>
          <a:effectLst/>
        </c:spPr>
        <c:marker>
          <c:symbol val="none"/>
        </c:marker>
      </c:pivotFmt>
      <c:pivotFmt>
        <c:idx val="2"/>
        <c:spPr>
          <a:ln w="28575" cap="rnd">
            <a:solidFill>
              <a:srgbClr val="FFC000"/>
            </a:solidFill>
            <a:round/>
          </a:ln>
          <a:effectLst/>
        </c:spPr>
        <c:marker>
          <c:symbol val="circle"/>
          <c:size val="5"/>
          <c:spPr>
            <a:ln>
              <a:solidFill>
                <a:srgbClr val="FFC000"/>
              </a:solidFill>
            </a:ln>
          </c:spPr>
        </c:marker>
      </c:pivotFmt>
      <c:pivotFmt>
        <c:idx val="3"/>
        <c:spPr>
          <a:ln w="28575" cap="rnd">
            <a:solidFill>
              <a:srgbClr val="000000"/>
            </a:solidFill>
            <a:round/>
          </a:ln>
          <a:effectLst/>
        </c:spPr>
        <c:marker>
          <c:symbol val="none"/>
        </c:marker>
      </c:pivotFmt>
      <c:pivotFmt>
        <c:idx val="4"/>
        <c:marker>
          <c:symbol val="none"/>
        </c:marker>
      </c:pivotFmt>
      <c:pivotFmt>
        <c:idx val="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9"/>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0"/>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2"/>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3"/>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2"/>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3"/>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1"/>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2"/>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3"/>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4"/>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7"/>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8"/>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9"/>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0"/>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1"/>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2"/>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3"/>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4"/>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7"/>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8"/>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9"/>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0"/>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1"/>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2"/>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3"/>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4"/>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spPr>
          <a:ln>
            <a:solidFill>
              <a:srgbClr val="FFC000"/>
            </a:solidFill>
          </a:ln>
        </c:spPr>
        <c:marker>
          <c:symbol val="circle"/>
          <c:size val="5"/>
          <c:spPr>
            <a:ln>
              <a:solidFill>
                <a:srgbClr val="FFC000"/>
              </a:solidFill>
            </a:ln>
          </c:spPr>
        </c:marker>
      </c:pivotFmt>
      <c:pivotFmt>
        <c:idx val="63"/>
        <c:spPr>
          <a:ln>
            <a:solidFill>
              <a:srgbClr val="000000"/>
            </a:solidFill>
          </a:ln>
        </c:spPr>
        <c:marker>
          <c:symbol val="none"/>
        </c:marker>
      </c:pivotFmt>
      <c:pivotFmt>
        <c:idx val="64"/>
        <c:spPr>
          <a:ln>
            <a:solidFill>
              <a:srgbClr val="FFC000"/>
            </a:solidFill>
          </a:ln>
        </c:spPr>
        <c:marker>
          <c:spPr>
            <a:solidFill>
              <a:srgbClr val="9CC746"/>
            </a:solidFill>
            <a:ln>
              <a:solidFill>
                <a:srgbClr val="FFC000"/>
              </a:solidFill>
              <a:prstDash val="solid"/>
            </a:ln>
          </c:spPr>
        </c:marker>
      </c:pivotFmt>
      <c:pivotFmt>
        <c:idx val="65"/>
        <c:spPr>
          <a:ln>
            <a:solidFill>
              <a:srgbClr val="FFC000"/>
            </a:solidFill>
          </a:ln>
        </c:spPr>
        <c:marker>
          <c:spPr>
            <a:solidFill>
              <a:srgbClr val="9CC746"/>
            </a:solidFill>
            <a:ln>
              <a:solidFill>
                <a:srgbClr val="FFC000"/>
              </a:solidFill>
              <a:prstDash val="solid"/>
            </a:ln>
          </c:spPr>
        </c:marker>
      </c:pivotFmt>
      <c:pivotFmt>
        <c:idx val="66"/>
        <c:spPr>
          <a:ln>
            <a:solidFill>
              <a:srgbClr val="FFC000"/>
            </a:solidFill>
          </a:ln>
        </c:spPr>
        <c:marker>
          <c:spPr>
            <a:solidFill>
              <a:srgbClr val="9CC746"/>
            </a:solidFill>
            <a:ln>
              <a:solidFill>
                <a:srgbClr val="FFC000"/>
              </a:solidFill>
              <a:prstDash val="solid"/>
            </a:ln>
          </c:spPr>
        </c:marker>
      </c:pivotFmt>
      <c:pivotFmt>
        <c:idx val="67"/>
        <c:spPr>
          <a:ln>
            <a:solidFill>
              <a:srgbClr val="FFC000"/>
            </a:solidFill>
          </a:ln>
        </c:spPr>
        <c:marker>
          <c:spPr>
            <a:solidFill>
              <a:srgbClr val="9CC746"/>
            </a:solidFill>
            <a:ln>
              <a:solidFill>
                <a:srgbClr val="FFC000"/>
              </a:solidFill>
              <a:prstDash val="solid"/>
            </a:ln>
          </c:spPr>
        </c:marker>
      </c:pivotFmt>
      <c:pivotFmt>
        <c:idx val="68"/>
        <c:spPr>
          <a:ln>
            <a:solidFill>
              <a:srgbClr val="FFC000"/>
            </a:solidFill>
          </a:ln>
        </c:spPr>
        <c:marker>
          <c:spPr>
            <a:solidFill>
              <a:srgbClr val="9CC746"/>
            </a:solidFill>
            <a:ln>
              <a:solidFill>
                <a:srgbClr val="FFC000"/>
              </a:solidFill>
              <a:prstDash val="solid"/>
            </a:ln>
          </c:spPr>
        </c:marker>
      </c:pivotFmt>
      <c:pivotFmt>
        <c:idx val="69"/>
        <c:spPr>
          <a:ln>
            <a:solidFill>
              <a:srgbClr val="FFC000"/>
            </a:solidFill>
          </a:ln>
        </c:spPr>
        <c:marker>
          <c:spPr>
            <a:solidFill>
              <a:srgbClr val="9CC746"/>
            </a:solidFill>
            <a:ln>
              <a:solidFill>
                <a:srgbClr val="FFC000"/>
              </a:solidFill>
              <a:prstDash val="solid"/>
            </a:ln>
          </c:spPr>
        </c:marker>
      </c:pivotFmt>
      <c:pivotFmt>
        <c:idx val="70"/>
        <c:spPr>
          <a:ln>
            <a:solidFill>
              <a:srgbClr val="FFC000"/>
            </a:solidFill>
          </a:ln>
        </c:spPr>
        <c:marker>
          <c:spPr>
            <a:solidFill>
              <a:srgbClr val="9CC746"/>
            </a:solidFill>
            <a:ln>
              <a:solidFill>
                <a:srgbClr val="FFC000"/>
              </a:solidFill>
              <a:prstDash val="solid"/>
            </a:ln>
          </c:spPr>
        </c:marker>
      </c:pivotFmt>
      <c:pivotFmt>
        <c:idx val="71"/>
        <c:spPr>
          <a:ln>
            <a:solidFill>
              <a:srgbClr val="FFC000"/>
            </a:solidFill>
          </a:ln>
        </c:spPr>
        <c:marker>
          <c:spPr>
            <a:solidFill>
              <a:srgbClr val="9CC746"/>
            </a:solidFill>
            <a:ln>
              <a:solidFill>
                <a:srgbClr val="FFC000"/>
              </a:solidFill>
              <a:prstDash val="solid"/>
            </a:ln>
          </c:spPr>
        </c:marker>
      </c:pivotFmt>
      <c:pivotFmt>
        <c:idx val="72"/>
        <c:spPr>
          <a:ln>
            <a:solidFill>
              <a:srgbClr val="FFC000"/>
            </a:solidFill>
          </a:ln>
        </c:spPr>
        <c:marker>
          <c:spPr>
            <a:solidFill>
              <a:srgbClr val="9CC746"/>
            </a:solidFill>
            <a:ln>
              <a:solidFill>
                <a:srgbClr val="FFC000"/>
              </a:solidFill>
              <a:prstDash val="solid"/>
            </a:ln>
          </c:spPr>
        </c:marker>
      </c:pivotFmt>
      <c:pivotFmt>
        <c:idx val="73"/>
        <c:spPr>
          <a:ln>
            <a:solidFill>
              <a:srgbClr val="FFC000"/>
            </a:solidFill>
          </a:ln>
        </c:spPr>
        <c:marker>
          <c:spPr>
            <a:solidFill>
              <a:srgbClr val="9CC746"/>
            </a:solidFill>
            <a:ln>
              <a:solidFill>
                <a:srgbClr val="FFC000"/>
              </a:solidFill>
              <a:prstDash val="solid"/>
            </a:ln>
          </c:spPr>
        </c:marker>
      </c:pivotFmt>
      <c:pivotFmt>
        <c:idx val="74"/>
        <c:spPr>
          <a:ln>
            <a:solidFill>
              <a:srgbClr val="FFC000"/>
            </a:solidFill>
          </a:ln>
        </c:spPr>
        <c:marker>
          <c:spPr>
            <a:solidFill>
              <a:srgbClr val="9CC746"/>
            </a:solidFill>
            <a:ln>
              <a:solidFill>
                <a:srgbClr val="FFC000"/>
              </a:solidFill>
              <a:prstDash val="solid"/>
            </a:ln>
          </c:spPr>
        </c:marker>
      </c:pivotFmt>
      <c:pivotFmt>
        <c:idx val="75"/>
        <c:spPr>
          <a:ln>
            <a:solidFill>
              <a:srgbClr val="FFC000"/>
            </a:solidFill>
          </a:ln>
        </c:spPr>
        <c:marker>
          <c:spPr>
            <a:solidFill>
              <a:srgbClr val="9CC746"/>
            </a:solidFill>
            <a:ln>
              <a:solidFill>
                <a:srgbClr val="FFC000"/>
              </a:solidFill>
              <a:prstDash val="solid"/>
            </a:ln>
          </c:spPr>
        </c:marker>
      </c:pivotFmt>
      <c:pivotFmt>
        <c:idx val="76"/>
        <c:spPr>
          <a:ln>
            <a:solidFill>
              <a:srgbClr val="FFC000"/>
            </a:solidFill>
          </a:ln>
        </c:spPr>
        <c:marker>
          <c:spPr>
            <a:solidFill>
              <a:srgbClr val="9CC746"/>
            </a:solidFill>
            <a:ln>
              <a:solidFill>
                <a:srgbClr val="FFC000"/>
              </a:solidFill>
              <a:prstDash val="solid"/>
            </a:ln>
          </c:spPr>
        </c:marker>
      </c:pivotFmt>
      <c:pivotFmt>
        <c:idx val="77"/>
        <c:marker>
          <c:symbol val="none"/>
        </c:marker>
      </c:pivotFmt>
    </c:pivotFmts>
    <c:plotArea>
      <c:layout/>
      <c:barChart>
        <c:barDir val="col"/>
        <c:grouping val="stacked"/>
        <c:varyColors val="0"/>
        <c:ser>
          <c:idx val="0"/>
          <c:order val="0"/>
          <c:tx>
            <c:strRef>
              <c:f>pt.generic_add_data7!$C$7:$C$8</c:f>
              <c:strCache>
                <c:ptCount val="1"/>
                <c:pt idx="0">
                  <c:v>Odvezeno</c:v>
                </c:pt>
              </c:strCache>
            </c:strRef>
          </c:tx>
          <c:invertIfNegative val="0"/>
          <c:cat>
            <c:multiLvlStrRef>
              <c:f>pt.generic_add_data7!$A$9:$B$22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pt.generic_add_data7!$C$9:$C$22</c:f>
              <c:numCache>
                <c:formatCode>General</c:formatCode>
                <c:ptCount val="13"/>
                <c:pt idx="0">
                  <c:v>135</c:v>
                </c:pt>
                <c:pt idx="1">
                  <c:v>135</c:v>
                </c:pt>
                <c:pt idx="2">
                  <c:v>135</c:v>
                </c:pt>
                <c:pt idx="3">
                  <c:v>135</c:v>
                </c:pt>
                <c:pt idx="4">
                  <c:v>135</c:v>
                </c:pt>
                <c:pt idx="5">
                  <c:v>135</c:v>
                </c:pt>
                <c:pt idx="6">
                  <c:v>70</c:v>
                </c:pt>
                <c:pt idx="7">
                  <c:v>145</c:v>
                </c:pt>
                <c:pt idx="8">
                  <c:v>145</c:v>
                </c:pt>
                <c:pt idx="9">
                  <c:v>135</c:v>
                </c:pt>
                <c:pt idx="10">
                  <c:v>135</c:v>
                </c:pt>
                <c:pt idx="11">
                  <c:v>135</c:v>
                </c:pt>
                <c:pt idx="12">
                  <c:v>135</c:v>
                </c:pt>
              </c:numCache>
            </c:numRef>
          </c:val>
          <c:extLst>
            <c:ext xmlns:c16="http://schemas.microsoft.com/office/drawing/2014/chart" uri="{C3380CC4-5D6E-409C-BE32-E72D297353CC}">
              <c16:uniqueId val="{00000000-0E8F-4465-9976-7F887CF01FC3}"/>
            </c:ext>
          </c:extLst>
        </c:ser>
        <c:ser>
          <c:idx val="1"/>
          <c:order val="1"/>
          <c:tx>
            <c:strRef>
              <c:f>pt.generic_add_data7!$D$7:$D$8</c:f>
              <c:strCache>
                <c:ptCount val="1"/>
                <c:pt idx="0">
                  <c:v>Příjezd</c:v>
                </c:pt>
              </c:strCache>
            </c:strRef>
          </c:tx>
          <c:invertIfNegative val="0"/>
          <c:cat>
            <c:multiLvlStrRef>
              <c:f>pt.generic_add_data7!$A$9:$B$22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pt.generic_add_data7!$D$9:$D$22</c:f>
              <c:numCache>
                <c:formatCode>General</c:formatCode>
                <c:ptCount val="13"/>
                <c:pt idx="0">
                  <c:v>135</c:v>
                </c:pt>
                <c:pt idx="1">
                  <c:v>135</c:v>
                </c:pt>
                <c:pt idx="2">
                  <c:v>135</c:v>
                </c:pt>
                <c:pt idx="3">
                  <c:v>135</c:v>
                </c:pt>
                <c:pt idx="4">
                  <c:v>135</c:v>
                </c:pt>
                <c:pt idx="5">
                  <c:v>135</c:v>
                </c:pt>
                <c:pt idx="6">
                  <c:v>180</c:v>
                </c:pt>
                <c:pt idx="7">
                  <c:v>90</c:v>
                </c:pt>
                <c:pt idx="8">
                  <c:v>135</c:v>
                </c:pt>
                <c:pt idx="9">
                  <c:v>135</c:v>
                </c:pt>
                <c:pt idx="10">
                  <c:v>135</c:v>
                </c:pt>
                <c:pt idx="11">
                  <c:v>135</c:v>
                </c:pt>
                <c:pt idx="12">
                  <c:v>135</c:v>
                </c:pt>
              </c:numCache>
            </c:numRef>
          </c:val>
          <c:extLst>
            <c:ext xmlns:c16="http://schemas.microsoft.com/office/drawing/2014/chart" uri="{C3380CC4-5D6E-409C-BE32-E72D297353CC}">
              <c16:uniqueId val="{00000013-B3B7-41D6-A1CD-BCD1D8638E63}"/>
            </c:ext>
          </c:extLst>
        </c:ser>
        <c:ser>
          <c:idx val="2"/>
          <c:order val="2"/>
          <c:tx>
            <c:strRef>
              <c:f>pt.generic_add_data7!$E$7:$E$8</c:f>
              <c:strCache>
                <c:ptCount val="1"/>
                <c:pt idx="0">
                  <c:v>Uloženo</c:v>
                </c:pt>
              </c:strCache>
            </c:strRef>
          </c:tx>
          <c:invertIfNegative val="0"/>
          <c:cat>
            <c:multiLvlStrRef>
              <c:f>pt.generic_add_data7!$A$9:$B$22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pt.generic_add_data7!$E$9:$E$22</c:f>
              <c:numCache>
                <c:formatCode>General</c:formatCode>
                <c:ptCount val="13"/>
                <c:pt idx="0">
                  <c:v>135</c:v>
                </c:pt>
                <c:pt idx="1">
                  <c:v>135</c:v>
                </c:pt>
                <c:pt idx="2">
                  <c:v>135</c:v>
                </c:pt>
                <c:pt idx="3">
                  <c:v>135</c:v>
                </c:pt>
                <c:pt idx="4">
                  <c:v>135</c:v>
                </c:pt>
                <c:pt idx="5">
                  <c:v>115</c:v>
                </c:pt>
                <c:pt idx="6">
                  <c:v>90</c:v>
                </c:pt>
                <c:pt idx="7">
                  <c:v>145</c:v>
                </c:pt>
                <c:pt idx="8">
                  <c:v>145</c:v>
                </c:pt>
                <c:pt idx="9">
                  <c:v>135</c:v>
                </c:pt>
                <c:pt idx="10">
                  <c:v>135</c:v>
                </c:pt>
                <c:pt idx="11">
                  <c:v>135</c:v>
                </c:pt>
                <c:pt idx="12">
                  <c:v>135</c:v>
                </c:pt>
              </c:numCache>
            </c:numRef>
          </c:val>
          <c:extLst>
            <c:ext xmlns:c16="http://schemas.microsoft.com/office/drawing/2014/chart" uri="{C3380CC4-5D6E-409C-BE32-E72D297353CC}">
              <c16:uniqueId val="{00000014-B3B7-41D6-A1CD-BCD1D8638E63}"/>
            </c:ext>
          </c:extLst>
        </c:ser>
        <c:ser>
          <c:idx val="3"/>
          <c:order val="3"/>
          <c:tx>
            <c:strRef>
              <c:f>pt.generic_add_data7!$F$7:$F$8</c:f>
              <c:strCache>
                <c:ptCount val="1"/>
                <c:pt idx="0">
                  <c:v>Vykládá se</c:v>
                </c:pt>
              </c:strCache>
            </c:strRef>
          </c:tx>
          <c:invertIfNegative val="0"/>
          <c:cat>
            <c:multiLvlStrRef>
              <c:f>pt.generic_add_data7!$A$9:$B$22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pt.generic_add_data7!$F$9:$F$22</c:f>
              <c:numCache>
                <c:formatCode>General</c:formatCode>
                <c:ptCount val="13"/>
                <c:pt idx="0">
                  <c:v>135</c:v>
                </c:pt>
                <c:pt idx="1">
                  <c:v>135</c:v>
                </c:pt>
                <c:pt idx="2">
                  <c:v>135</c:v>
                </c:pt>
                <c:pt idx="3">
                  <c:v>135</c:v>
                </c:pt>
                <c:pt idx="4">
                  <c:v>135</c:v>
                </c:pt>
                <c:pt idx="5">
                  <c:v>135</c:v>
                </c:pt>
                <c:pt idx="6">
                  <c:v>180</c:v>
                </c:pt>
                <c:pt idx="7">
                  <c:v>90</c:v>
                </c:pt>
                <c:pt idx="8">
                  <c:v>135</c:v>
                </c:pt>
                <c:pt idx="9">
                  <c:v>135</c:v>
                </c:pt>
                <c:pt idx="10">
                  <c:v>135</c:v>
                </c:pt>
                <c:pt idx="11">
                  <c:v>135</c:v>
                </c:pt>
                <c:pt idx="12">
                  <c:v>135</c:v>
                </c:pt>
              </c:numCache>
            </c:numRef>
          </c:val>
          <c:extLst>
            <c:ext xmlns:c16="http://schemas.microsoft.com/office/drawing/2014/chart" uri="{C3380CC4-5D6E-409C-BE32-E72D297353CC}">
              <c16:uniqueId val="{00000015-B3B7-41D6-A1CD-BCD1D8638E63}"/>
            </c:ext>
          </c:extLst>
        </c:ser>
        <c:ser>
          <c:idx val="4"/>
          <c:order val="4"/>
          <c:tx>
            <c:strRef>
              <c:f>pt.generic_add_data7!$G$7:$G$8</c:f>
              <c:strCache>
                <c:ptCount val="1"/>
                <c:pt idx="0">
                  <c:v>Vyskladněno</c:v>
                </c:pt>
              </c:strCache>
            </c:strRef>
          </c:tx>
          <c:invertIfNegative val="0"/>
          <c:cat>
            <c:multiLvlStrRef>
              <c:f>pt.generic_add_data7!$A$9:$B$22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pt.generic_add_data7!$G$9:$G$22</c:f>
              <c:numCache>
                <c:formatCode>General</c:formatCode>
                <c:ptCount val="13"/>
                <c:pt idx="0">
                  <c:v>135</c:v>
                </c:pt>
                <c:pt idx="1">
                  <c:v>135</c:v>
                </c:pt>
                <c:pt idx="2">
                  <c:v>135</c:v>
                </c:pt>
                <c:pt idx="3">
                  <c:v>135</c:v>
                </c:pt>
                <c:pt idx="4">
                  <c:v>135</c:v>
                </c:pt>
                <c:pt idx="5">
                  <c:v>155</c:v>
                </c:pt>
                <c:pt idx="6">
                  <c:v>135</c:v>
                </c:pt>
                <c:pt idx="7">
                  <c:v>125</c:v>
                </c:pt>
                <c:pt idx="8">
                  <c:v>125</c:v>
                </c:pt>
                <c:pt idx="9">
                  <c:v>135</c:v>
                </c:pt>
                <c:pt idx="10">
                  <c:v>135</c:v>
                </c:pt>
                <c:pt idx="11">
                  <c:v>135</c:v>
                </c:pt>
                <c:pt idx="12">
                  <c:v>135</c:v>
                </c:pt>
              </c:numCache>
            </c:numRef>
          </c:val>
          <c:extLst>
            <c:ext xmlns:c16="http://schemas.microsoft.com/office/drawing/2014/chart" uri="{C3380CC4-5D6E-409C-BE32-E72D297353CC}">
              <c16:uniqueId val="{00000016-B3B7-41D6-A1CD-BCD1D8638E63}"/>
            </c:ext>
          </c:extLst>
        </c:ser>
        <c:dLbls>
          <c:showLegendKey val="0"/>
          <c:showVal val="0"/>
          <c:showCatName val="0"/>
          <c:showSerName val="0"/>
          <c:showPercent val="0"/>
          <c:showBubbleSize val="0"/>
        </c:dLbls>
        <c:gapWidth val="150"/>
        <c:overlap val="100"/>
        <c:axId val="229266968"/>
        <c:axId val="229267360"/>
      </c:barChart>
      <c:lineChart>
        <c:grouping val="standard"/>
        <c:varyColors val="0"/>
        <c:ser>
          <c:idx val="5"/>
          <c:order val="5"/>
          <c:tx>
            <c:strRef>
              <c:f>pt.generic_add_data7!$H$7:$H$8</c:f>
              <c:strCache>
                <c:ptCount val="1"/>
                <c:pt idx="0">
                  <c:v>Zátěž</c:v>
                </c:pt>
              </c:strCache>
            </c:strRef>
          </c:tx>
          <c:spPr>
            <a:ln>
              <a:solidFill>
                <a:srgbClr val="FFC000"/>
              </a:solidFill>
            </a:ln>
          </c:spPr>
          <c:marker>
            <c:symbol val="circle"/>
            <c:size val="5"/>
            <c:spPr>
              <a:ln>
                <a:solidFill>
                  <a:srgbClr val="FFC000"/>
                </a:solidFill>
              </a:ln>
            </c:spPr>
          </c:marker>
          <c:dPt>
            <c:idx val="0"/>
            <c:marker>
              <c:spPr>
                <a:solidFill>
                  <a:srgbClr val="9CC746"/>
                </a:solidFill>
                <a:ln>
                  <a:solidFill>
                    <a:srgbClr val="FFC000"/>
                  </a:solidFill>
                  <a:prstDash val="solid"/>
                </a:ln>
              </c:spPr>
            </c:marker>
            <c:bubble3D val="0"/>
            <c:extLst>
              <c:ext xmlns:c16="http://schemas.microsoft.com/office/drawing/2014/chart" uri="{C3380CC4-5D6E-409C-BE32-E72D297353CC}">
                <c16:uniqueId val="{00000019-B3B7-41D6-A1CD-BCD1D8638E63}"/>
              </c:ext>
            </c:extLst>
          </c:dPt>
          <c:dPt>
            <c:idx val="1"/>
            <c:marker>
              <c:spPr>
                <a:solidFill>
                  <a:srgbClr val="9CC746"/>
                </a:solidFill>
                <a:ln>
                  <a:solidFill>
                    <a:srgbClr val="FFC000"/>
                  </a:solidFill>
                  <a:prstDash val="solid"/>
                </a:ln>
              </c:spPr>
            </c:marker>
            <c:bubble3D val="0"/>
            <c:extLst>
              <c:ext xmlns:c16="http://schemas.microsoft.com/office/drawing/2014/chart" uri="{C3380CC4-5D6E-409C-BE32-E72D297353CC}">
                <c16:uniqueId val="{0000001A-B3B7-41D6-A1CD-BCD1D8638E63}"/>
              </c:ext>
            </c:extLst>
          </c:dPt>
          <c:dPt>
            <c:idx val="2"/>
            <c:marker>
              <c:spPr>
                <a:solidFill>
                  <a:srgbClr val="9CC746"/>
                </a:solidFill>
                <a:ln>
                  <a:solidFill>
                    <a:srgbClr val="FFC000"/>
                  </a:solidFill>
                  <a:prstDash val="solid"/>
                </a:ln>
              </c:spPr>
            </c:marker>
            <c:bubble3D val="0"/>
            <c:extLst>
              <c:ext xmlns:c16="http://schemas.microsoft.com/office/drawing/2014/chart" uri="{C3380CC4-5D6E-409C-BE32-E72D297353CC}">
                <c16:uniqueId val="{0000001B-B3B7-41D6-A1CD-BCD1D8638E63}"/>
              </c:ext>
            </c:extLst>
          </c:dPt>
          <c:dPt>
            <c:idx val="3"/>
            <c:marker>
              <c:spPr>
                <a:solidFill>
                  <a:srgbClr val="9CC746"/>
                </a:solidFill>
                <a:ln>
                  <a:solidFill>
                    <a:srgbClr val="FFC000"/>
                  </a:solidFill>
                  <a:prstDash val="solid"/>
                </a:ln>
              </c:spPr>
            </c:marker>
            <c:bubble3D val="0"/>
            <c:extLst>
              <c:ext xmlns:c16="http://schemas.microsoft.com/office/drawing/2014/chart" uri="{C3380CC4-5D6E-409C-BE32-E72D297353CC}">
                <c16:uniqueId val="{0000001C-B3B7-41D6-A1CD-BCD1D8638E63}"/>
              </c:ext>
            </c:extLst>
          </c:dPt>
          <c:dPt>
            <c:idx val="4"/>
            <c:marker>
              <c:spPr>
                <a:solidFill>
                  <a:srgbClr val="9CC746"/>
                </a:solidFill>
                <a:ln>
                  <a:solidFill>
                    <a:srgbClr val="FFC000"/>
                  </a:solidFill>
                  <a:prstDash val="solid"/>
                </a:ln>
              </c:spPr>
            </c:marker>
            <c:bubble3D val="0"/>
            <c:extLst>
              <c:ext xmlns:c16="http://schemas.microsoft.com/office/drawing/2014/chart" uri="{C3380CC4-5D6E-409C-BE32-E72D297353CC}">
                <c16:uniqueId val="{0000001D-B3B7-41D6-A1CD-BCD1D8638E63}"/>
              </c:ext>
            </c:extLst>
          </c:dPt>
          <c:dPt>
            <c:idx val="5"/>
            <c:marker>
              <c:spPr>
                <a:solidFill>
                  <a:srgbClr val="9CC746"/>
                </a:solidFill>
                <a:ln>
                  <a:solidFill>
                    <a:srgbClr val="FFC000"/>
                  </a:solidFill>
                  <a:prstDash val="solid"/>
                </a:ln>
              </c:spPr>
            </c:marker>
            <c:bubble3D val="0"/>
            <c:extLst>
              <c:ext xmlns:c16="http://schemas.microsoft.com/office/drawing/2014/chart" uri="{C3380CC4-5D6E-409C-BE32-E72D297353CC}">
                <c16:uniqueId val="{0000001E-B3B7-41D6-A1CD-BCD1D8638E63}"/>
              </c:ext>
            </c:extLst>
          </c:dPt>
          <c:dPt>
            <c:idx val="6"/>
            <c:marker>
              <c:spPr>
                <a:solidFill>
                  <a:srgbClr val="9CC746"/>
                </a:solidFill>
                <a:ln>
                  <a:solidFill>
                    <a:srgbClr val="FFC000"/>
                  </a:solidFill>
                  <a:prstDash val="solid"/>
                </a:ln>
              </c:spPr>
            </c:marker>
            <c:bubble3D val="0"/>
            <c:extLst>
              <c:ext xmlns:c16="http://schemas.microsoft.com/office/drawing/2014/chart" uri="{C3380CC4-5D6E-409C-BE32-E72D297353CC}">
                <c16:uniqueId val="{0000001F-B3B7-41D6-A1CD-BCD1D8638E63}"/>
              </c:ext>
            </c:extLst>
          </c:dPt>
          <c:dPt>
            <c:idx val="7"/>
            <c:marker>
              <c:spPr>
                <a:solidFill>
                  <a:srgbClr val="9CC746"/>
                </a:solidFill>
                <a:ln>
                  <a:solidFill>
                    <a:srgbClr val="FFC000"/>
                  </a:solidFill>
                  <a:prstDash val="solid"/>
                </a:ln>
              </c:spPr>
            </c:marker>
            <c:bubble3D val="0"/>
            <c:extLst>
              <c:ext xmlns:c16="http://schemas.microsoft.com/office/drawing/2014/chart" uri="{C3380CC4-5D6E-409C-BE32-E72D297353CC}">
                <c16:uniqueId val="{00000020-B3B7-41D6-A1CD-BCD1D8638E63}"/>
              </c:ext>
            </c:extLst>
          </c:dPt>
          <c:dPt>
            <c:idx val="8"/>
            <c:marker>
              <c:spPr>
                <a:solidFill>
                  <a:srgbClr val="9CC746"/>
                </a:solidFill>
                <a:ln>
                  <a:solidFill>
                    <a:srgbClr val="FFC000"/>
                  </a:solidFill>
                  <a:prstDash val="solid"/>
                </a:ln>
              </c:spPr>
            </c:marker>
            <c:bubble3D val="0"/>
            <c:extLst>
              <c:ext xmlns:c16="http://schemas.microsoft.com/office/drawing/2014/chart" uri="{C3380CC4-5D6E-409C-BE32-E72D297353CC}">
                <c16:uniqueId val="{00000021-B3B7-41D6-A1CD-BCD1D8638E63}"/>
              </c:ext>
            </c:extLst>
          </c:dPt>
          <c:dPt>
            <c:idx val="9"/>
            <c:marker>
              <c:spPr>
                <a:solidFill>
                  <a:srgbClr val="9CC746"/>
                </a:solidFill>
                <a:ln>
                  <a:solidFill>
                    <a:srgbClr val="FFC000"/>
                  </a:solidFill>
                  <a:prstDash val="solid"/>
                </a:ln>
              </c:spPr>
            </c:marker>
            <c:bubble3D val="0"/>
            <c:extLst>
              <c:ext xmlns:c16="http://schemas.microsoft.com/office/drawing/2014/chart" uri="{C3380CC4-5D6E-409C-BE32-E72D297353CC}">
                <c16:uniqueId val="{00000022-B3B7-41D6-A1CD-BCD1D8638E63}"/>
              </c:ext>
            </c:extLst>
          </c:dPt>
          <c:dPt>
            <c:idx val="10"/>
            <c:marker>
              <c:spPr>
                <a:solidFill>
                  <a:srgbClr val="9CC746"/>
                </a:solidFill>
                <a:ln>
                  <a:solidFill>
                    <a:srgbClr val="FFC000"/>
                  </a:solidFill>
                  <a:prstDash val="solid"/>
                </a:ln>
              </c:spPr>
            </c:marker>
            <c:bubble3D val="0"/>
            <c:extLst>
              <c:ext xmlns:c16="http://schemas.microsoft.com/office/drawing/2014/chart" uri="{C3380CC4-5D6E-409C-BE32-E72D297353CC}">
                <c16:uniqueId val="{00000023-B3B7-41D6-A1CD-BCD1D8638E63}"/>
              </c:ext>
            </c:extLst>
          </c:dPt>
          <c:dPt>
            <c:idx val="11"/>
            <c:marker>
              <c:spPr>
                <a:solidFill>
                  <a:srgbClr val="9CC746"/>
                </a:solidFill>
                <a:ln>
                  <a:solidFill>
                    <a:srgbClr val="FFC000"/>
                  </a:solidFill>
                  <a:prstDash val="solid"/>
                </a:ln>
              </c:spPr>
            </c:marker>
            <c:bubble3D val="0"/>
            <c:extLst>
              <c:ext xmlns:c16="http://schemas.microsoft.com/office/drawing/2014/chart" uri="{C3380CC4-5D6E-409C-BE32-E72D297353CC}">
                <c16:uniqueId val="{00000024-B3B7-41D6-A1CD-BCD1D8638E63}"/>
              </c:ext>
            </c:extLst>
          </c:dPt>
          <c:dPt>
            <c:idx val="12"/>
            <c:marker>
              <c:spPr>
                <a:solidFill>
                  <a:srgbClr val="9CC746"/>
                </a:solidFill>
                <a:ln>
                  <a:solidFill>
                    <a:srgbClr val="FFC000"/>
                  </a:solidFill>
                  <a:prstDash val="solid"/>
                </a:ln>
              </c:spPr>
            </c:marker>
            <c:bubble3D val="0"/>
            <c:extLst>
              <c:ext xmlns:c16="http://schemas.microsoft.com/office/drawing/2014/chart" uri="{C3380CC4-5D6E-409C-BE32-E72D297353CC}">
                <c16:uniqueId val="{00000025-B3B7-41D6-A1CD-BCD1D8638E63}"/>
              </c:ext>
            </c:extLst>
          </c:dPt>
          <c:cat>
            <c:multiLvlStrRef>
              <c:f>pt.generic_add_data7!$A$9:$B$22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pt.generic_add_data7!$H$9:$H$22</c:f>
              <c:numCache>
                <c:formatCode>General</c:formatCode>
                <c:ptCount val="13"/>
                <c:pt idx="0">
                  <c:v>4.7</c:v>
                </c:pt>
                <c:pt idx="1">
                  <c:v>4.7</c:v>
                </c:pt>
                <c:pt idx="2">
                  <c:v>4.7</c:v>
                </c:pt>
                <c:pt idx="3">
                  <c:v>4.7</c:v>
                </c:pt>
                <c:pt idx="4">
                  <c:v>4.7</c:v>
                </c:pt>
                <c:pt idx="5">
                  <c:v>4.7</c:v>
                </c:pt>
                <c:pt idx="6">
                  <c:v>4.54</c:v>
                </c:pt>
                <c:pt idx="7">
                  <c:v>4.59</c:v>
                </c:pt>
                <c:pt idx="8">
                  <c:v>4.84</c:v>
                </c:pt>
                <c:pt idx="9">
                  <c:v>4.7</c:v>
                </c:pt>
                <c:pt idx="10">
                  <c:v>4.7</c:v>
                </c:pt>
                <c:pt idx="11">
                  <c:v>4.7</c:v>
                </c:pt>
                <c:pt idx="12">
                  <c:v>4.7</c:v>
                </c:pt>
              </c:numCache>
            </c:numRef>
          </c:val>
          <c:smooth val="0"/>
          <c:extLst>
            <c:ext xmlns:c16="http://schemas.microsoft.com/office/drawing/2014/chart" uri="{C3380CC4-5D6E-409C-BE32-E72D297353CC}">
              <c16:uniqueId val="{00000017-B3B7-41D6-A1CD-BCD1D8638E63}"/>
            </c:ext>
          </c:extLst>
        </c:ser>
        <c:ser>
          <c:idx val="6"/>
          <c:order val="6"/>
          <c:tx>
            <c:strRef>
              <c:f>pt.generic_add_data7!$I$7:$I$8</c:f>
              <c:strCache>
                <c:ptCount val="1"/>
                <c:pt idx="0">
                  <c:v>Zátěž cíl</c:v>
                </c:pt>
              </c:strCache>
            </c:strRef>
          </c:tx>
          <c:spPr>
            <a:ln>
              <a:solidFill>
                <a:srgbClr val="000000"/>
              </a:solidFill>
            </a:ln>
          </c:spPr>
          <c:marker>
            <c:symbol val="none"/>
          </c:marker>
          <c:cat>
            <c:multiLvlStrRef>
              <c:f>pt.generic_add_data7!$A$9:$B$22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pt.generic_add_data7!$I$9:$I$22</c:f>
              <c:numCache>
                <c:formatCode>General</c:formatCode>
                <c:ptCount val="13"/>
                <c:pt idx="0">
                  <c:v>5.5</c:v>
                </c:pt>
                <c:pt idx="1">
                  <c:v>5.5</c:v>
                </c:pt>
                <c:pt idx="2">
                  <c:v>5.5</c:v>
                </c:pt>
                <c:pt idx="3">
                  <c:v>5.5</c:v>
                </c:pt>
                <c:pt idx="4">
                  <c:v>5.5</c:v>
                </c:pt>
                <c:pt idx="5">
                  <c:v>5.5</c:v>
                </c:pt>
                <c:pt idx="6">
                  <c:v>5.5</c:v>
                </c:pt>
                <c:pt idx="7">
                  <c:v>5.5</c:v>
                </c:pt>
                <c:pt idx="8">
                  <c:v>5.5</c:v>
                </c:pt>
                <c:pt idx="9">
                  <c:v>5.5</c:v>
                </c:pt>
                <c:pt idx="10">
                  <c:v>5.5</c:v>
                </c:pt>
                <c:pt idx="11">
                  <c:v>5.5</c:v>
                </c:pt>
                <c:pt idx="12">
                  <c:v>5.5</c:v>
                </c:pt>
              </c:numCache>
            </c:numRef>
          </c:val>
          <c:smooth val="0"/>
          <c:extLst>
            <c:ext xmlns:c16="http://schemas.microsoft.com/office/drawing/2014/chart" uri="{C3380CC4-5D6E-409C-BE32-E72D297353CC}">
              <c16:uniqueId val="{00000018-B3B7-41D6-A1CD-BCD1D8638E63}"/>
            </c:ext>
          </c:extLst>
        </c:ser>
        <c:dLbls>
          <c:showLegendKey val="0"/>
          <c:showVal val="0"/>
          <c:showCatName val="0"/>
          <c:showSerName val="0"/>
          <c:showPercent val="0"/>
          <c:showBubbleSize val="0"/>
        </c:dLbls>
        <c:marker val="1"/>
        <c:smooth val="0"/>
        <c:axId val="520223392"/>
        <c:axId val="520215848"/>
      </c:lineChart>
      <c:catAx>
        <c:axId val="229266968"/>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29267360"/>
        <c:crosses val="autoZero"/>
        <c:auto val="1"/>
        <c:lblAlgn val="ctr"/>
        <c:lblOffset val="100"/>
        <c:noMultiLvlLbl val="0"/>
      </c:catAx>
      <c:valAx>
        <c:axId val="229267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29266968"/>
        <c:crosses val="autoZero"/>
        <c:crossBetween val="between"/>
      </c:valAx>
      <c:valAx>
        <c:axId val="520215848"/>
        <c:scaling>
          <c:orientation val="minMax"/>
        </c:scaling>
        <c:delete val="0"/>
        <c:axPos val="r"/>
        <c:numFmt formatCode="0%" sourceLinked="0"/>
        <c:majorTickMark val="out"/>
        <c:minorTickMark val="none"/>
        <c:tickLblPos val="nextTo"/>
        <c:crossAx val="520223392"/>
        <c:crosses val="max"/>
        <c:crossBetween val="between"/>
      </c:valAx>
      <c:catAx>
        <c:axId val="520223392"/>
        <c:scaling>
          <c:orientation val="minMax"/>
        </c:scaling>
        <c:delete val="1"/>
        <c:axPos val="b"/>
        <c:numFmt formatCode="General" sourceLinked="1"/>
        <c:majorTickMark val="out"/>
        <c:minorTickMark val="none"/>
        <c:tickLblPos val="nextTo"/>
        <c:crossAx val="520215848"/>
        <c:crosses val="autoZero"/>
        <c:auto val="1"/>
        <c:lblAlgn val="ctr"/>
        <c:lblOffset val="100"/>
        <c:noMultiLvlLbl val="0"/>
      </c:cat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1.3_3_2.xlsm]pt.generic_add_data8!pt.generic_add_data8</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2"/>
            </a:solidFill>
            <a:round/>
          </a:ln>
          <a:effectLst/>
        </c:spPr>
        <c:marker>
          <c:symbol val="none"/>
        </c:marker>
      </c:pivotFmt>
      <c:pivotFmt>
        <c:idx val="2"/>
        <c:spPr>
          <a:ln w="28575" cap="rnd">
            <a:solidFill>
              <a:srgbClr val="FFC000"/>
            </a:solidFill>
            <a:round/>
          </a:ln>
          <a:effectLst/>
        </c:spPr>
        <c:marker>
          <c:symbol val="circle"/>
          <c:size val="5"/>
          <c:spPr>
            <a:ln>
              <a:solidFill>
                <a:srgbClr val="FFC000"/>
              </a:solidFill>
            </a:ln>
          </c:spPr>
        </c:marker>
      </c:pivotFmt>
      <c:pivotFmt>
        <c:idx val="3"/>
        <c:spPr>
          <a:ln w="28575" cap="rnd">
            <a:solidFill>
              <a:srgbClr val="000000"/>
            </a:solidFill>
            <a:round/>
          </a:ln>
          <a:effectLst/>
        </c:spPr>
        <c:marker>
          <c:symbol val="none"/>
        </c:marker>
      </c:pivotFmt>
      <c:pivotFmt>
        <c:idx val="4"/>
        <c:marker>
          <c:symbol val="none"/>
        </c:marker>
      </c:pivotFmt>
      <c:pivotFmt>
        <c:idx val="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9"/>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0"/>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2"/>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3"/>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2"/>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3"/>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1"/>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2"/>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3"/>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4"/>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7"/>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8"/>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9"/>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0"/>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1"/>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2"/>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3"/>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4"/>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spPr>
          <a:ln>
            <a:solidFill>
              <a:srgbClr val="FFC000"/>
            </a:solidFill>
          </a:ln>
        </c:spPr>
        <c:marker>
          <c:symbol val="circle"/>
          <c:size val="5"/>
          <c:spPr>
            <a:ln>
              <a:solidFill>
                <a:srgbClr val="FFC000"/>
              </a:solidFill>
            </a:ln>
          </c:spPr>
        </c:marker>
      </c:pivotFmt>
      <c:pivotFmt>
        <c:idx val="51"/>
        <c:spPr>
          <a:ln>
            <a:solidFill>
              <a:srgbClr val="000000"/>
            </a:solidFill>
          </a:ln>
        </c:spPr>
        <c:marker>
          <c:symbol val="none"/>
        </c:marker>
      </c:pivotFmt>
      <c:pivotFmt>
        <c:idx val="52"/>
        <c:spPr>
          <a:ln>
            <a:solidFill>
              <a:srgbClr val="FFC000"/>
            </a:solidFill>
          </a:ln>
        </c:spPr>
        <c:marker>
          <c:spPr>
            <a:solidFill>
              <a:srgbClr val="9CC746"/>
            </a:solidFill>
            <a:ln>
              <a:solidFill>
                <a:srgbClr val="FFC000"/>
              </a:solidFill>
              <a:prstDash val="solid"/>
            </a:ln>
          </c:spPr>
        </c:marker>
      </c:pivotFmt>
      <c:pivotFmt>
        <c:idx val="53"/>
        <c:spPr>
          <a:ln>
            <a:solidFill>
              <a:srgbClr val="FFC000"/>
            </a:solidFill>
          </a:ln>
        </c:spPr>
        <c:marker>
          <c:spPr>
            <a:solidFill>
              <a:srgbClr val="9CC746"/>
            </a:solidFill>
            <a:ln>
              <a:solidFill>
                <a:srgbClr val="FFC000"/>
              </a:solidFill>
              <a:prstDash val="solid"/>
            </a:ln>
          </c:spPr>
        </c:marker>
      </c:pivotFmt>
      <c:pivotFmt>
        <c:idx val="54"/>
        <c:spPr>
          <a:ln>
            <a:solidFill>
              <a:srgbClr val="FFC000"/>
            </a:solidFill>
          </a:ln>
        </c:spPr>
        <c:marker>
          <c:spPr>
            <a:solidFill>
              <a:srgbClr val="9CC746"/>
            </a:solidFill>
            <a:ln>
              <a:solidFill>
                <a:srgbClr val="FFC000"/>
              </a:solidFill>
              <a:prstDash val="solid"/>
            </a:ln>
          </c:spPr>
        </c:marker>
      </c:pivotFmt>
      <c:pivotFmt>
        <c:idx val="55"/>
        <c:spPr>
          <a:ln>
            <a:solidFill>
              <a:srgbClr val="FFC000"/>
            </a:solidFill>
          </a:ln>
        </c:spPr>
        <c:marker>
          <c:spPr>
            <a:solidFill>
              <a:srgbClr val="9CC746"/>
            </a:solidFill>
            <a:ln>
              <a:solidFill>
                <a:srgbClr val="FFC000"/>
              </a:solidFill>
              <a:prstDash val="solid"/>
            </a:ln>
          </c:spPr>
        </c:marker>
      </c:pivotFmt>
      <c:pivotFmt>
        <c:idx val="56"/>
        <c:spPr>
          <a:ln>
            <a:solidFill>
              <a:srgbClr val="FFC000"/>
            </a:solidFill>
          </a:ln>
        </c:spPr>
        <c:marker>
          <c:spPr>
            <a:solidFill>
              <a:srgbClr val="9CC746"/>
            </a:solidFill>
            <a:ln>
              <a:solidFill>
                <a:srgbClr val="FFC000"/>
              </a:solidFill>
              <a:prstDash val="solid"/>
            </a:ln>
          </c:spPr>
        </c:marker>
      </c:pivotFmt>
      <c:pivotFmt>
        <c:idx val="57"/>
        <c:spPr>
          <a:ln>
            <a:solidFill>
              <a:srgbClr val="FFC000"/>
            </a:solidFill>
          </a:ln>
        </c:spPr>
        <c:marker>
          <c:spPr>
            <a:solidFill>
              <a:srgbClr val="9CC746"/>
            </a:solidFill>
            <a:ln>
              <a:solidFill>
                <a:srgbClr val="FFC000"/>
              </a:solidFill>
              <a:prstDash val="solid"/>
            </a:ln>
          </c:spPr>
        </c:marker>
      </c:pivotFmt>
      <c:pivotFmt>
        <c:idx val="58"/>
        <c:spPr>
          <a:ln>
            <a:solidFill>
              <a:srgbClr val="FFC000"/>
            </a:solidFill>
          </a:ln>
        </c:spPr>
        <c:marker>
          <c:spPr>
            <a:solidFill>
              <a:srgbClr val="9CC746"/>
            </a:solidFill>
            <a:ln>
              <a:solidFill>
                <a:srgbClr val="FFC000"/>
              </a:solidFill>
              <a:prstDash val="solid"/>
            </a:ln>
          </c:spPr>
        </c:marker>
      </c:pivotFmt>
      <c:pivotFmt>
        <c:idx val="59"/>
        <c:spPr>
          <a:ln>
            <a:solidFill>
              <a:srgbClr val="FFC000"/>
            </a:solidFill>
          </a:ln>
        </c:spPr>
        <c:marker>
          <c:spPr>
            <a:solidFill>
              <a:srgbClr val="9CC746"/>
            </a:solidFill>
            <a:ln>
              <a:solidFill>
                <a:srgbClr val="FFC000"/>
              </a:solidFill>
              <a:prstDash val="solid"/>
            </a:ln>
          </c:spPr>
        </c:marker>
      </c:pivotFmt>
      <c:pivotFmt>
        <c:idx val="60"/>
        <c:spPr>
          <a:ln>
            <a:solidFill>
              <a:srgbClr val="FFC000"/>
            </a:solidFill>
          </a:ln>
        </c:spPr>
        <c:marker>
          <c:spPr>
            <a:solidFill>
              <a:srgbClr val="9CC746"/>
            </a:solidFill>
            <a:ln>
              <a:solidFill>
                <a:srgbClr val="FFC000"/>
              </a:solidFill>
              <a:prstDash val="solid"/>
            </a:ln>
          </c:spPr>
        </c:marker>
      </c:pivotFmt>
      <c:pivotFmt>
        <c:idx val="61"/>
        <c:spPr>
          <a:ln>
            <a:solidFill>
              <a:srgbClr val="FFC000"/>
            </a:solidFill>
          </a:ln>
        </c:spPr>
        <c:marker>
          <c:spPr>
            <a:solidFill>
              <a:srgbClr val="9CC746"/>
            </a:solidFill>
            <a:ln>
              <a:solidFill>
                <a:srgbClr val="FFC000"/>
              </a:solidFill>
              <a:prstDash val="solid"/>
            </a:ln>
          </c:spPr>
        </c:marker>
      </c:pivotFmt>
      <c:pivotFmt>
        <c:idx val="62"/>
        <c:spPr>
          <a:ln>
            <a:solidFill>
              <a:srgbClr val="FFC000"/>
            </a:solidFill>
          </a:ln>
        </c:spPr>
        <c:marker>
          <c:spPr>
            <a:solidFill>
              <a:srgbClr val="9CC746"/>
            </a:solidFill>
            <a:ln>
              <a:solidFill>
                <a:srgbClr val="FFC000"/>
              </a:solidFill>
              <a:prstDash val="solid"/>
            </a:ln>
          </c:spPr>
        </c:marker>
      </c:pivotFmt>
      <c:pivotFmt>
        <c:idx val="63"/>
        <c:spPr>
          <a:ln>
            <a:solidFill>
              <a:srgbClr val="FFC000"/>
            </a:solidFill>
          </a:ln>
        </c:spPr>
        <c:marker>
          <c:spPr>
            <a:solidFill>
              <a:srgbClr val="9CC746"/>
            </a:solidFill>
            <a:ln>
              <a:solidFill>
                <a:srgbClr val="FFC000"/>
              </a:solidFill>
              <a:prstDash val="solid"/>
            </a:ln>
          </c:spPr>
        </c:marker>
      </c:pivotFmt>
      <c:pivotFmt>
        <c:idx val="64"/>
        <c:spPr>
          <a:ln>
            <a:solidFill>
              <a:srgbClr val="FFC000"/>
            </a:solidFill>
          </a:ln>
        </c:spPr>
        <c:marker>
          <c:spPr>
            <a:solidFill>
              <a:srgbClr val="9CC746"/>
            </a:solidFill>
            <a:ln>
              <a:solidFill>
                <a:srgbClr val="FFC000"/>
              </a:solidFill>
              <a:prstDash val="solid"/>
            </a:ln>
          </c:spPr>
        </c:marker>
      </c:pivotFmt>
      <c:pivotFmt>
        <c:idx val="65"/>
        <c:marker>
          <c:symbol val="none"/>
        </c:marker>
      </c:pivotFmt>
    </c:pivotFmts>
    <c:plotArea>
      <c:layout/>
      <c:barChart>
        <c:barDir val="col"/>
        <c:grouping val="stacked"/>
        <c:varyColors val="0"/>
        <c:ser>
          <c:idx val="0"/>
          <c:order val="0"/>
          <c:tx>
            <c:strRef>
              <c:f>pt.generic_add_data8!$C$7:$C$8</c:f>
              <c:strCache>
                <c:ptCount val="1"/>
                <c:pt idx="0">
                  <c:v>Odvezeno</c:v>
                </c:pt>
              </c:strCache>
            </c:strRef>
          </c:tx>
          <c:invertIfNegative val="0"/>
          <c:cat>
            <c:multiLvlStrRef>
              <c:f>pt.generic_add_data8!$A$9:$B$22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pt.generic_add_data8!$C$9:$C$22</c:f>
              <c:numCache>
                <c:formatCode>General</c:formatCode>
                <c:ptCount val="13"/>
                <c:pt idx="0">
                  <c:v>135</c:v>
                </c:pt>
                <c:pt idx="1">
                  <c:v>135</c:v>
                </c:pt>
                <c:pt idx="2">
                  <c:v>135</c:v>
                </c:pt>
                <c:pt idx="3">
                  <c:v>135</c:v>
                </c:pt>
                <c:pt idx="4">
                  <c:v>135</c:v>
                </c:pt>
                <c:pt idx="5">
                  <c:v>135</c:v>
                </c:pt>
                <c:pt idx="6">
                  <c:v>70</c:v>
                </c:pt>
                <c:pt idx="7">
                  <c:v>145</c:v>
                </c:pt>
                <c:pt idx="8">
                  <c:v>145</c:v>
                </c:pt>
                <c:pt idx="9">
                  <c:v>135</c:v>
                </c:pt>
                <c:pt idx="10">
                  <c:v>135</c:v>
                </c:pt>
                <c:pt idx="11">
                  <c:v>135</c:v>
                </c:pt>
                <c:pt idx="12">
                  <c:v>135</c:v>
                </c:pt>
              </c:numCache>
            </c:numRef>
          </c:val>
          <c:extLst>
            <c:ext xmlns:c16="http://schemas.microsoft.com/office/drawing/2014/chart" uri="{C3380CC4-5D6E-409C-BE32-E72D297353CC}">
              <c16:uniqueId val="{00000000-BB24-46E8-8B2B-A0B5CAEE05B2}"/>
            </c:ext>
          </c:extLst>
        </c:ser>
        <c:ser>
          <c:idx val="1"/>
          <c:order val="1"/>
          <c:tx>
            <c:strRef>
              <c:f>pt.generic_add_data8!$D$7:$D$8</c:f>
              <c:strCache>
                <c:ptCount val="1"/>
                <c:pt idx="0">
                  <c:v>Příjezd</c:v>
                </c:pt>
              </c:strCache>
            </c:strRef>
          </c:tx>
          <c:invertIfNegative val="0"/>
          <c:cat>
            <c:multiLvlStrRef>
              <c:f>pt.generic_add_data8!$A$9:$B$22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pt.generic_add_data8!$D$9:$D$22</c:f>
              <c:numCache>
                <c:formatCode>General</c:formatCode>
                <c:ptCount val="13"/>
                <c:pt idx="0">
                  <c:v>135</c:v>
                </c:pt>
                <c:pt idx="1">
                  <c:v>135</c:v>
                </c:pt>
                <c:pt idx="2">
                  <c:v>135</c:v>
                </c:pt>
                <c:pt idx="3">
                  <c:v>135</c:v>
                </c:pt>
                <c:pt idx="4">
                  <c:v>135</c:v>
                </c:pt>
                <c:pt idx="5">
                  <c:v>135</c:v>
                </c:pt>
                <c:pt idx="6">
                  <c:v>180</c:v>
                </c:pt>
                <c:pt idx="7">
                  <c:v>90</c:v>
                </c:pt>
                <c:pt idx="8">
                  <c:v>135</c:v>
                </c:pt>
                <c:pt idx="9">
                  <c:v>135</c:v>
                </c:pt>
                <c:pt idx="10">
                  <c:v>135</c:v>
                </c:pt>
                <c:pt idx="11">
                  <c:v>135</c:v>
                </c:pt>
                <c:pt idx="12">
                  <c:v>135</c:v>
                </c:pt>
              </c:numCache>
            </c:numRef>
          </c:val>
          <c:extLst>
            <c:ext xmlns:c16="http://schemas.microsoft.com/office/drawing/2014/chart" uri="{C3380CC4-5D6E-409C-BE32-E72D297353CC}">
              <c16:uniqueId val="{00000013-3A36-491A-8854-FC35863EC2A5}"/>
            </c:ext>
          </c:extLst>
        </c:ser>
        <c:ser>
          <c:idx val="2"/>
          <c:order val="2"/>
          <c:tx>
            <c:strRef>
              <c:f>pt.generic_add_data8!$E$7:$E$8</c:f>
              <c:strCache>
                <c:ptCount val="1"/>
                <c:pt idx="0">
                  <c:v>Uloženo</c:v>
                </c:pt>
              </c:strCache>
            </c:strRef>
          </c:tx>
          <c:invertIfNegative val="0"/>
          <c:cat>
            <c:multiLvlStrRef>
              <c:f>pt.generic_add_data8!$A$9:$B$22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pt.generic_add_data8!$E$9:$E$22</c:f>
              <c:numCache>
                <c:formatCode>General</c:formatCode>
                <c:ptCount val="13"/>
                <c:pt idx="0">
                  <c:v>135</c:v>
                </c:pt>
                <c:pt idx="1">
                  <c:v>135</c:v>
                </c:pt>
                <c:pt idx="2">
                  <c:v>135</c:v>
                </c:pt>
                <c:pt idx="3">
                  <c:v>135</c:v>
                </c:pt>
                <c:pt idx="4">
                  <c:v>135</c:v>
                </c:pt>
                <c:pt idx="5">
                  <c:v>115</c:v>
                </c:pt>
                <c:pt idx="6">
                  <c:v>90</c:v>
                </c:pt>
                <c:pt idx="7">
                  <c:v>145</c:v>
                </c:pt>
                <c:pt idx="8">
                  <c:v>145</c:v>
                </c:pt>
                <c:pt idx="9">
                  <c:v>135</c:v>
                </c:pt>
                <c:pt idx="10">
                  <c:v>135</c:v>
                </c:pt>
                <c:pt idx="11">
                  <c:v>135</c:v>
                </c:pt>
                <c:pt idx="12">
                  <c:v>135</c:v>
                </c:pt>
              </c:numCache>
            </c:numRef>
          </c:val>
          <c:extLst>
            <c:ext xmlns:c16="http://schemas.microsoft.com/office/drawing/2014/chart" uri="{C3380CC4-5D6E-409C-BE32-E72D297353CC}">
              <c16:uniqueId val="{00000014-3A36-491A-8854-FC35863EC2A5}"/>
            </c:ext>
          </c:extLst>
        </c:ser>
        <c:ser>
          <c:idx val="3"/>
          <c:order val="3"/>
          <c:tx>
            <c:strRef>
              <c:f>pt.generic_add_data8!$F$7:$F$8</c:f>
              <c:strCache>
                <c:ptCount val="1"/>
                <c:pt idx="0">
                  <c:v>Vykládá se</c:v>
                </c:pt>
              </c:strCache>
            </c:strRef>
          </c:tx>
          <c:invertIfNegative val="0"/>
          <c:cat>
            <c:multiLvlStrRef>
              <c:f>pt.generic_add_data8!$A$9:$B$22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pt.generic_add_data8!$F$9:$F$22</c:f>
              <c:numCache>
                <c:formatCode>General</c:formatCode>
                <c:ptCount val="13"/>
                <c:pt idx="0">
                  <c:v>135</c:v>
                </c:pt>
                <c:pt idx="1">
                  <c:v>135</c:v>
                </c:pt>
                <c:pt idx="2">
                  <c:v>135</c:v>
                </c:pt>
                <c:pt idx="3">
                  <c:v>135</c:v>
                </c:pt>
                <c:pt idx="4">
                  <c:v>135</c:v>
                </c:pt>
                <c:pt idx="5">
                  <c:v>135</c:v>
                </c:pt>
                <c:pt idx="6">
                  <c:v>180</c:v>
                </c:pt>
                <c:pt idx="7">
                  <c:v>90</c:v>
                </c:pt>
                <c:pt idx="8">
                  <c:v>135</c:v>
                </c:pt>
                <c:pt idx="9">
                  <c:v>135</c:v>
                </c:pt>
                <c:pt idx="10">
                  <c:v>135</c:v>
                </c:pt>
                <c:pt idx="11">
                  <c:v>135</c:v>
                </c:pt>
                <c:pt idx="12">
                  <c:v>135</c:v>
                </c:pt>
              </c:numCache>
            </c:numRef>
          </c:val>
          <c:extLst>
            <c:ext xmlns:c16="http://schemas.microsoft.com/office/drawing/2014/chart" uri="{C3380CC4-5D6E-409C-BE32-E72D297353CC}">
              <c16:uniqueId val="{00000015-3A36-491A-8854-FC35863EC2A5}"/>
            </c:ext>
          </c:extLst>
        </c:ser>
        <c:ser>
          <c:idx val="4"/>
          <c:order val="4"/>
          <c:tx>
            <c:strRef>
              <c:f>pt.generic_add_data8!$G$7:$G$8</c:f>
              <c:strCache>
                <c:ptCount val="1"/>
                <c:pt idx="0">
                  <c:v>Vyskladněno</c:v>
                </c:pt>
              </c:strCache>
            </c:strRef>
          </c:tx>
          <c:invertIfNegative val="0"/>
          <c:cat>
            <c:multiLvlStrRef>
              <c:f>pt.generic_add_data8!$A$9:$B$22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pt.generic_add_data8!$G$9:$G$22</c:f>
              <c:numCache>
                <c:formatCode>General</c:formatCode>
                <c:ptCount val="13"/>
                <c:pt idx="0">
                  <c:v>135</c:v>
                </c:pt>
                <c:pt idx="1">
                  <c:v>135</c:v>
                </c:pt>
                <c:pt idx="2">
                  <c:v>135</c:v>
                </c:pt>
                <c:pt idx="3">
                  <c:v>135</c:v>
                </c:pt>
                <c:pt idx="4">
                  <c:v>135</c:v>
                </c:pt>
                <c:pt idx="5">
                  <c:v>155</c:v>
                </c:pt>
                <c:pt idx="6">
                  <c:v>135</c:v>
                </c:pt>
                <c:pt idx="7">
                  <c:v>125</c:v>
                </c:pt>
                <c:pt idx="8">
                  <c:v>125</c:v>
                </c:pt>
                <c:pt idx="9">
                  <c:v>135</c:v>
                </c:pt>
                <c:pt idx="10">
                  <c:v>135</c:v>
                </c:pt>
                <c:pt idx="11">
                  <c:v>135</c:v>
                </c:pt>
                <c:pt idx="12">
                  <c:v>135</c:v>
                </c:pt>
              </c:numCache>
            </c:numRef>
          </c:val>
          <c:extLst>
            <c:ext xmlns:c16="http://schemas.microsoft.com/office/drawing/2014/chart" uri="{C3380CC4-5D6E-409C-BE32-E72D297353CC}">
              <c16:uniqueId val="{00000016-3A36-491A-8854-FC35863EC2A5}"/>
            </c:ext>
          </c:extLst>
        </c:ser>
        <c:dLbls>
          <c:showLegendKey val="0"/>
          <c:showVal val="0"/>
          <c:showCatName val="0"/>
          <c:showSerName val="0"/>
          <c:showPercent val="0"/>
          <c:showBubbleSize val="0"/>
        </c:dLbls>
        <c:gapWidth val="150"/>
        <c:overlap val="100"/>
        <c:axId val="228857080"/>
        <c:axId val="228857472"/>
      </c:barChart>
      <c:lineChart>
        <c:grouping val="standard"/>
        <c:varyColors val="0"/>
        <c:ser>
          <c:idx val="5"/>
          <c:order val="5"/>
          <c:tx>
            <c:strRef>
              <c:f>pt.generic_add_data8!$H$7:$H$8</c:f>
              <c:strCache>
                <c:ptCount val="1"/>
                <c:pt idx="0">
                  <c:v>Zátěž</c:v>
                </c:pt>
              </c:strCache>
            </c:strRef>
          </c:tx>
          <c:spPr>
            <a:ln>
              <a:solidFill>
                <a:srgbClr val="FFC000"/>
              </a:solidFill>
            </a:ln>
          </c:spPr>
          <c:marker>
            <c:symbol val="circle"/>
            <c:size val="5"/>
            <c:spPr>
              <a:ln>
                <a:solidFill>
                  <a:srgbClr val="FFC000"/>
                </a:solidFill>
              </a:ln>
            </c:spPr>
          </c:marker>
          <c:dPt>
            <c:idx val="0"/>
            <c:marker>
              <c:spPr>
                <a:solidFill>
                  <a:srgbClr val="9CC746"/>
                </a:solidFill>
                <a:ln>
                  <a:solidFill>
                    <a:srgbClr val="FFC000"/>
                  </a:solidFill>
                  <a:prstDash val="solid"/>
                </a:ln>
              </c:spPr>
            </c:marker>
            <c:bubble3D val="0"/>
            <c:extLst>
              <c:ext xmlns:c16="http://schemas.microsoft.com/office/drawing/2014/chart" uri="{C3380CC4-5D6E-409C-BE32-E72D297353CC}">
                <c16:uniqueId val="{00000019-3A36-491A-8854-FC35863EC2A5}"/>
              </c:ext>
            </c:extLst>
          </c:dPt>
          <c:dPt>
            <c:idx val="1"/>
            <c:marker>
              <c:spPr>
                <a:solidFill>
                  <a:srgbClr val="9CC746"/>
                </a:solidFill>
                <a:ln>
                  <a:solidFill>
                    <a:srgbClr val="FFC000"/>
                  </a:solidFill>
                  <a:prstDash val="solid"/>
                </a:ln>
              </c:spPr>
            </c:marker>
            <c:bubble3D val="0"/>
            <c:extLst>
              <c:ext xmlns:c16="http://schemas.microsoft.com/office/drawing/2014/chart" uri="{C3380CC4-5D6E-409C-BE32-E72D297353CC}">
                <c16:uniqueId val="{0000001A-3A36-491A-8854-FC35863EC2A5}"/>
              </c:ext>
            </c:extLst>
          </c:dPt>
          <c:dPt>
            <c:idx val="2"/>
            <c:marker>
              <c:spPr>
                <a:solidFill>
                  <a:srgbClr val="9CC746"/>
                </a:solidFill>
                <a:ln>
                  <a:solidFill>
                    <a:srgbClr val="FFC000"/>
                  </a:solidFill>
                  <a:prstDash val="solid"/>
                </a:ln>
              </c:spPr>
            </c:marker>
            <c:bubble3D val="0"/>
            <c:extLst>
              <c:ext xmlns:c16="http://schemas.microsoft.com/office/drawing/2014/chart" uri="{C3380CC4-5D6E-409C-BE32-E72D297353CC}">
                <c16:uniqueId val="{0000001B-3A36-491A-8854-FC35863EC2A5}"/>
              </c:ext>
            </c:extLst>
          </c:dPt>
          <c:dPt>
            <c:idx val="3"/>
            <c:marker>
              <c:spPr>
                <a:solidFill>
                  <a:srgbClr val="9CC746"/>
                </a:solidFill>
                <a:ln>
                  <a:solidFill>
                    <a:srgbClr val="FFC000"/>
                  </a:solidFill>
                  <a:prstDash val="solid"/>
                </a:ln>
              </c:spPr>
            </c:marker>
            <c:bubble3D val="0"/>
            <c:extLst>
              <c:ext xmlns:c16="http://schemas.microsoft.com/office/drawing/2014/chart" uri="{C3380CC4-5D6E-409C-BE32-E72D297353CC}">
                <c16:uniqueId val="{0000001C-3A36-491A-8854-FC35863EC2A5}"/>
              </c:ext>
            </c:extLst>
          </c:dPt>
          <c:dPt>
            <c:idx val="4"/>
            <c:marker>
              <c:spPr>
                <a:solidFill>
                  <a:srgbClr val="9CC746"/>
                </a:solidFill>
                <a:ln>
                  <a:solidFill>
                    <a:srgbClr val="FFC000"/>
                  </a:solidFill>
                  <a:prstDash val="solid"/>
                </a:ln>
              </c:spPr>
            </c:marker>
            <c:bubble3D val="0"/>
            <c:extLst>
              <c:ext xmlns:c16="http://schemas.microsoft.com/office/drawing/2014/chart" uri="{C3380CC4-5D6E-409C-BE32-E72D297353CC}">
                <c16:uniqueId val="{0000001D-3A36-491A-8854-FC35863EC2A5}"/>
              </c:ext>
            </c:extLst>
          </c:dPt>
          <c:dPt>
            <c:idx val="5"/>
            <c:marker>
              <c:spPr>
                <a:solidFill>
                  <a:srgbClr val="9CC746"/>
                </a:solidFill>
                <a:ln>
                  <a:solidFill>
                    <a:srgbClr val="FFC000"/>
                  </a:solidFill>
                  <a:prstDash val="solid"/>
                </a:ln>
              </c:spPr>
            </c:marker>
            <c:bubble3D val="0"/>
            <c:extLst>
              <c:ext xmlns:c16="http://schemas.microsoft.com/office/drawing/2014/chart" uri="{C3380CC4-5D6E-409C-BE32-E72D297353CC}">
                <c16:uniqueId val="{0000001E-3A36-491A-8854-FC35863EC2A5}"/>
              </c:ext>
            </c:extLst>
          </c:dPt>
          <c:dPt>
            <c:idx val="6"/>
            <c:marker>
              <c:spPr>
                <a:solidFill>
                  <a:srgbClr val="9CC746"/>
                </a:solidFill>
                <a:ln>
                  <a:solidFill>
                    <a:srgbClr val="FFC000"/>
                  </a:solidFill>
                  <a:prstDash val="solid"/>
                </a:ln>
              </c:spPr>
            </c:marker>
            <c:bubble3D val="0"/>
            <c:extLst>
              <c:ext xmlns:c16="http://schemas.microsoft.com/office/drawing/2014/chart" uri="{C3380CC4-5D6E-409C-BE32-E72D297353CC}">
                <c16:uniqueId val="{0000001F-3A36-491A-8854-FC35863EC2A5}"/>
              </c:ext>
            </c:extLst>
          </c:dPt>
          <c:dPt>
            <c:idx val="7"/>
            <c:marker>
              <c:spPr>
                <a:solidFill>
                  <a:srgbClr val="9CC746"/>
                </a:solidFill>
                <a:ln>
                  <a:solidFill>
                    <a:srgbClr val="FFC000"/>
                  </a:solidFill>
                  <a:prstDash val="solid"/>
                </a:ln>
              </c:spPr>
            </c:marker>
            <c:bubble3D val="0"/>
            <c:extLst>
              <c:ext xmlns:c16="http://schemas.microsoft.com/office/drawing/2014/chart" uri="{C3380CC4-5D6E-409C-BE32-E72D297353CC}">
                <c16:uniqueId val="{00000020-3A36-491A-8854-FC35863EC2A5}"/>
              </c:ext>
            </c:extLst>
          </c:dPt>
          <c:dPt>
            <c:idx val="8"/>
            <c:marker>
              <c:spPr>
                <a:solidFill>
                  <a:srgbClr val="9CC746"/>
                </a:solidFill>
                <a:ln>
                  <a:solidFill>
                    <a:srgbClr val="FFC000"/>
                  </a:solidFill>
                  <a:prstDash val="solid"/>
                </a:ln>
              </c:spPr>
            </c:marker>
            <c:bubble3D val="0"/>
            <c:extLst>
              <c:ext xmlns:c16="http://schemas.microsoft.com/office/drawing/2014/chart" uri="{C3380CC4-5D6E-409C-BE32-E72D297353CC}">
                <c16:uniqueId val="{00000021-3A36-491A-8854-FC35863EC2A5}"/>
              </c:ext>
            </c:extLst>
          </c:dPt>
          <c:dPt>
            <c:idx val="9"/>
            <c:marker>
              <c:spPr>
                <a:solidFill>
                  <a:srgbClr val="9CC746"/>
                </a:solidFill>
                <a:ln>
                  <a:solidFill>
                    <a:srgbClr val="FFC000"/>
                  </a:solidFill>
                  <a:prstDash val="solid"/>
                </a:ln>
              </c:spPr>
            </c:marker>
            <c:bubble3D val="0"/>
            <c:extLst>
              <c:ext xmlns:c16="http://schemas.microsoft.com/office/drawing/2014/chart" uri="{C3380CC4-5D6E-409C-BE32-E72D297353CC}">
                <c16:uniqueId val="{00000022-3A36-491A-8854-FC35863EC2A5}"/>
              </c:ext>
            </c:extLst>
          </c:dPt>
          <c:dPt>
            <c:idx val="10"/>
            <c:marker>
              <c:spPr>
                <a:solidFill>
                  <a:srgbClr val="9CC746"/>
                </a:solidFill>
                <a:ln>
                  <a:solidFill>
                    <a:srgbClr val="FFC000"/>
                  </a:solidFill>
                  <a:prstDash val="solid"/>
                </a:ln>
              </c:spPr>
            </c:marker>
            <c:bubble3D val="0"/>
            <c:extLst>
              <c:ext xmlns:c16="http://schemas.microsoft.com/office/drawing/2014/chart" uri="{C3380CC4-5D6E-409C-BE32-E72D297353CC}">
                <c16:uniqueId val="{00000023-3A36-491A-8854-FC35863EC2A5}"/>
              </c:ext>
            </c:extLst>
          </c:dPt>
          <c:dPt>
            <c:idx val="11"/>
            <c:marker>
              <c:spPr>
                <a:solidFill>
                  <a:srgbClr val="9CC746"/>
                </a:solidFill>
                <a:ln>
                  <a:solidFill>
                    <a:srgbClr val="FFC000"/>
                  </a:solidFill>
                  <a:prstDash val="solid"/>
                </a:ln>
              </c:spPr>
            </c:marker>
            <c:bubble3D val="0"/>
            <c:extLst>
              <c:ext xmlns:c16="http://schemas.microsoft.com/office/drawing/2014/chart" uri="{C3380CC4-5D6E-409C-BE32-E72D297353CC}">
                <c16:uniqueId val="{00000024-3A36-491A-8854-FC35863EC2A5}"/>
              </c:ext>
            </c:extLst>
          </c:dPt>
          <c:dPt>
            <c:idx val="12"/>
            <c:marker>
              <c:spPr>
                <a:solidFill>
                  <a:srgbClr val="9CC746"/>
                </a:solidFill>
                <a:ln>
                  <a:solidFill>
                    <a:srgbClr val="FFC000"/>
                  </a:solidFill>
                  <a:prstDash val="solid"/>
                </a:ln>
              </c:spPr>
            </c:marker>
            <c:bubble3D val="0"/>
            <c:extLst>
              <c:ext xmlns:c16="http://schemas.microsoft.com/office/drawing/2014/chart" uri="{C3380CC4-5D6E-409C-BE32-E72D297353CC}">
                <c16:uniqueId val="{00000025-3A36-491A-8854-FC35863EC2A5}"/>
              </c:ext>
            </c:extLst>
          </c:dPt>
          <c:cat>
            <c:multiLvlStrRef>
              <c:f>pt.generic_add_data8!$A$9:$B$22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pt.generic_add_data8!$H$9:$H$22</c:f>
              <c:numCache>
                <c:formatCode>General</c:formatCode>
                <c:ptCount val="13"/>
                <c:pt idx="0">
                  <c:v>4.7</c:v>
                </c:pt>
                <c:pt idx="1">
                  <c:v>4.7</c:v>
                </c:pt>
                <c:pt idx="2">
                  <c:v>4.7</c:v>
                </c:pt>
                <c:pt idx="3">
                  <c:v>4.7</c:v>
                </c:pt>
                <c:pt idx="4">
                  <c:v>4.7</c:v>
                </c:pt>
                <c:pt idx="5">
                  <c:v>4.7</c:v>
                </c:pt>
                <c:pt idx="6">
                  <c:v>4.54</c:v>
                </c:pt>
                <c:pt idx="7">
                  <c:v>4.59</c:v>
                </c:pt>
                <c:pt idx="8">
                  <c:v>4.84</c:v>
                </c:pt>
                <c:pt idx="9">
                  <c:v>4.7</c:v>
                </c:pt>
                <c:pt idx="10">
                  <c:v>4.7</c:v>
                </c:pt>
                <c:pt idx="11">
                  <c:v>4.7</c:v>
                </c:pt>
                <c:pt idx="12">
                  <c:v>4.7</c:v>
                </c:pt>
              </c:numCache>
            </c:numRef>
          </c:val>
          <c:smooth val="0"/>
          <c:extLst>
            <c:ext xmlns:c16="http://schemas.microsoft.com/office/drawing/2014/chart" uri="{C3380CC4-5D6E-409C-BE32-E72D297353CC}">
              <c16:uniqueId val="{00000017-3A36-491A-8854-FC35863EC2A5}"/>
            </c:ext>
          </c:extLst>
        </c:ser>
        <c:ser>
          <c:idx val="6"/>
          <c:order val="6"/>
          <c:tx>
            <c:strRef>
              <c:f>pt.generic_add_data8!$I$7:$I$8</c:f>
              <c:strCache>
                <c:ptCount val="1"/>
                <c:pt idx="0">
                  <c:v>Zátěž cíl</c:v>
                </c:pt>
              </c:strCache>
            </c:strRef>
          </c:tx>
          <c:spPr>
            <a:ln>
              <a:solidFill>
                <a:srgbClr val="000000"/>
              </a:solidFill>
            </a:ln>
          </c:spPr>
          <c:marker>
            <c:symbol val="none"/>
          </c:marker>
          <c:cat>
            <c:multiLvlStrRef>
              <c:f>pt.generic_add_data8!$A$9:$B$22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pt.generic_add_data8!$I$9:$I$22</c:f>
              <c:numCache>
                <c:formatCode>General</c:formatCode>
                <c:ptCount val="13"/>
                <c:pt idx="0">
                  <c:v>5.5</c:v>
                </c:pt>
                <c:pt idx="1">
                  <c:v>5.5</c:v>
                </c:pt>
                <c:pt idx="2">
                  <c:v>5.5</c:v>
                </c:pt>
                <c:pt idx="3">
                  <c:v>5.5</c:v>
                </c:pt>
                <c:pt idx="4">
                  <c:v>5.5</c:v>
                </c:pt>
                <c:pt idx="5">
                  <c:v>5.5</c:v>
                </c:pt>
                <c:pt idx="6">
                  <c:v>5.5</c:v>
                </c:pt>
                <c:pt idx="7">
                  <c:v>5.5</c:v>
                </c:pt>
                <c:pt idx="8">
                  <c:v>5.5</c:v>
                </c:pt>
                <c:pt idx="9">
                  <c:v>5.5</c:v>
                </c:pt>
                <c:pt idx="10">
                  <c:v>5.5</c:v>
                </c:pt>
                <c:pt idx="11">
                  <c:v>5.5</c:v>
                </c:pt>
                <c:pt idx="12">
                  <c:v>5.5</c:v>
                </c:pt>
              </c:numCache>
            </c:numRef>
          </c:val>
          <c:smooth val="0"/>
          <c:extLst>
            <c:ext xmlns:c16="http://schemas.microsoft.com/office/drawing/2014/chart" uri="{C3380CC4-5D6E-409C-BE32-E72D297353CC}">
              <c16:uniqueId val="{00000018-3A36-491A-8854-FC35863EC2A5}"/>
            </c:ext>
          </c:extLst>
        </c:ser>
        <c:dLbls>
          <c:showLegendKey val="0"/>
          <c:showVal val="0"/>
          <c:showCatName val="0"/>
          <c:showSerName val="0"/>
          <c:showPercent val="0"/>
          <c:showBubbleSize val="0"/>
        </c:dLbls>
        <c:marker val="1"/>
        <c:smooth val="0"/>
        <c:axId val="520222408"/>
        <c:axId val="520221752"/>
      </c:lineChart>
      <c:catAx>
        <c:axId val="228857080"/>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28857472"/>
        <c:crosses val="autoZero"/>
        <c:auto val="1"/>
        <c:lblAlgn val="ctr"/>
        <c:lblOffset val="100"/>
        <c:noMultiLvlLbl val="0"/>
      </c:catAx>
      <c:valAx>
        <c:axId val="228857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28857080"/>
        <c:crosses val="autoZero"/>
        <c:crossBetween val="between"/>
      </c:valAx>
      <c:valAx>
        <c:axId val="520221752"/>
        <c:scaling>
          <c:orientation val="minMax"/>
        </c:scaling>
        <c:delete val="0"/>
        <c:axPos val="r"/>
        <c:numFmt formatCode="0%" sourceLinked="0"/>
        <c:majorTickMark val="out"/>
        <c:minorTickMark val="none"/>
        <c:tickLblPos val="nextTo"/>
        <c:crossAx val="520222408"/>
        <c:crosses val="max"/>
        <c:crossBetween val="between"/>
      </c:valAx>
      <c:catAx>
        <c:axId val="520222408"/>
        <c:scaling>
          <c:orientation val="minMax"/>
        </c:scaling>
        <c:delete val="1"/>
        <c:axPos val="b"/>
        <c:numFmt formatCode="General" sourceLinked="1"/>
        <c:majorTickMark val="out"/>
        <c:minorTickMark val="none"/>
        <c:tickLblPos val="nextTo"/>
        <c:crossAx val="520221752"/>
        <c:crosses val="autoZero"/>
        <c:auto val="1"/>
        <c:lblAlgn val="ctr"/>
        <c:lblOffset val="100"/>
        <c:noMultiLvlLbl val="0"/>
      </c:cat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1.3_3_2.xlsm]pt.generic_add_data9!pt.generic_add_data9</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2"/>
            </a:solidFill>
            <a:round/>
          </a:ln>
          <a:effectLst/>
        </c:spPr>
        <c:marker>
          <c:symbol val="none"/>
        </c:marker>
      </c:pivotFmt>
      <c:pivotFmt>
        <c:idx val="2"/>
        <c:spPr>
          <a:ln w="28575" cap="rnd">
            <a:solidFill>
              <a:srgbClr val="FFC000"/>
            </a:solidFill>
            <a:round/>
          </a:ln>
          <a:effectLst/>
        </c:spPr>
        <c:marker>
          <c:symbol val="circle"/>
          <c:size val="5"/>
          <c:spPr>
            <a:ln>
              <a:solidFill>
                <a:srgbClr val="FFC000"/>
              </a:solidFill>
            </a:ln>
          </c:spPr>
        </c:marker>
      </c:pivotFmt>
      <c:pivotFmt>
        <c:idx val="3"/>
        <c:spPr>
          <a:ln w="28575" cap="rnd">
            <a:solidFill>
              <a:srgbClr val="000000"/>
            </a:solidFill>
            <a:round/>
          </a:ln>
          <a:effectLst/>
        </c:spPr>
        <c:marker>
          <c:symbol val="none"/>
        </c:marker>
      </c:pivotFmt>
      <c:pivotFmt>
        <c:idx val="4"/>
        <c:marker>
          <c:symbol val="none"/>
        </c:marker>
      </c:pivotFmt>
      <c:pivotFmt>
        <c:idx val="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9"/>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0"/>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2"/>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3"/>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2"/>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3"/>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1"/>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2"/>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3"/>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4"/>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7"/>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8"/>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9"/>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0"/>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1"/>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2"/>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3"/>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4"/>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spPr>
          <a:ln>
            <a:solidFill>
              <a:srgbClr val="FFC000"/>
            </a:solidFill>
          </a:ln>
        </c:spPr>
        <c:marker>
          <c:symbol val="circle"/>
          <c:size val="5"/>
          <c:spPr>
            <a:ln>
              <a:solidFill>
                <a:srgbClr val="FFC000"/>
              </a:solidFill>
            </a:ln>
          </c:spPr>
        </c:marker>
      </c:pivotFmt>
      <c:pivotFmt>
        <c:idx val="51"/>
        <c:spPr>
          <a:ln>
            <a:solidFill>
              <a:srgbClr val="000000"/>
            </a:solidFill>
          </a:ln>
        </c:spPr>
        <c:marker>
          <c:symbol val="none"/>
        </c:marker>
      </c:pivotFmt>
      <c:pivotFmt>
        <c:idx val="52"/>
        <c:spPr>
          <a:ln>
            <a:solidFill>
              <a:srgbClr val="FFC000"/>
            </a:solidFill>
          </a:ln>
        </c:spPr>
        <c:marker>
          <c:spPr>
            <a:solidFill>
              <a:srgbClr val="9CC746"/>
            </a:solidFill>
            <a:ln>
              <a:solidFill>
                <a:srgbClr val="FFC000"/>
              </a:solidFill>
              <a:prstDash val="solid"/>
            </a:ln>
          </c:spPr>
        </c:marker>
      </c:pivotFmt>
      <c:pivotFmt>
        <c:idx val="53"/>
        <c:spPr>
          <a:ln>
            <a:solidFill>
              <a:srgbClr val="FFC000"/>
            </a:solidFill>
          </a:ln>
        </c:spPr>
        <c:marker>
          <c:spPr>
            <a:solidFill>
              <a:srgbClr val="9CC746"/>
            </a:solidFill>
            <a:ln>
              <a:solidFill>
                <a:srgbClr val="FFC000"/>
              </a:solidFill>
              <a:prstDash val="solid"/>
            </a:ln>
          </c:spPr>
        </c:marker>
      </c:pivotFmt>
      <c:pivotFmt>
        <c:idx val="54"/>
        <c:spPr>
          <a:ln>
            <a:solidFill>
              <a:srgbClr val="FFC000"/>
            </a:solidFill>
          </a:ln>
        </c:spPr>
        <c:marker>
          <c:spPr>
            <a:solidFill>
              <a:srgbClr val="9CC746"/>
            </a:solidFill>
            <a:ln>
              <a:solidFill>
                <a:srgbClr val="FFC000"/>
              </a:solidFill>
              <a:prstDash val="solid"/>
            </a:ln>
          </c:spPr>
        </c:marker>
      </c:pivotFmt>
      <c:pivotFmt>
        <c:idx val="55"/>
        <c:spPr>
          <a:ln>
            <a:solidFill>
              <a:srgbClr val="FFC000"/>
            </a:solidFill>
          </a:ln>
        </c:spPr>
        <c:marker>
          <c:spPr>
            <a:solidFill>
              <a:srgbClr val="9CC746"/>
            </a:solidFill>
            <a:ln>
              <a:solidFill>
                <a:srgbClr val="FFC000"/>
              </a:solidFill>
              <a:prstDash val="solid"/>
            </a:ln>
          </c:spPr>
        </c:marker>
      </c:pivotFmt>
      <c:pivotFmt>
        <c:idx val="56"/>
        <c:spPr>
          <a:ln>
            <a:solidFill>
              <a:srgbClr val="FFC000"/>
            </a:solidFill>
          </a:ln>
        </c:spPr>
        <c:marker>
          <c:spPr>
            <a:solidFill>
              <a:srgbClr val="9CC746"/>
            </a:solidFill>
            <a:ln>
              <a:solidFill>
                <a:srgbClr val="FFC000"/>
              </a:solidFill>
              <a:prstDash val="solid"/>
            </a:ln>
          </c:spPr>
        </c:marker>
      </c:pivotFmt>
      <c:pivotFmt>
        <c:idx val="57"/>
        <c:spPr>
          <a:ln>
            <a:solidFill>
              <a:srgbClr val="FFC000"/>
            </a:solidFill>
          </a:ln>
        </c:spPr>
        <c:marker>
          <c:spPr>
            <a:solidFill>
              <a:srgbClr val="9CC746"/>
            </a:solidFill>
            <a:ln>
              <a:solidFill>
                <a:srgbClr val="FFC000"/>
              </a:solidFill>
              <a:prstDash val="solid"/>
            </a:ln>
          </c:spPr>
        </c:marker>
      </c:pivotFmt>
      <c:pivotFmt>
        <c:idx val="58"/>
        <c:spPr>
          <a:ln>
            <a:solidFill>
              <a:srgbClr val="FFC000"/>
            </a:solidFill>
          </a:ln>
        </c:spPr>
        <c:marker>
          <c:spPr>
            <a:solidFill>
              <a:srgbClr val="9CC746"/>
            </a:solidFill>
            <a:ln>
              <a:solidFill>
                <a:srgbClr val="FFC000"/>
              </a:solidFill>
              <a:prstDash val="solid"/>
            </a:ln>
          </c:spPr>
        </c:marker>
      </c:pivotFmt>
      <c:pivotFmt>
        <c:idx val="59"/>
        <c:spPr>
          <a:ln>
            <a:solidFill>
              <a:srgbClr val="FFC000"/>
            </a:solidFill>
          </a:ln>
        </c:spPr>
        <c:marker>
          <c:spPr>
            <a:solidFill>
              <a:srgbClr val="9CC746"/>
            </a:solidFill>
            <a:ln>
              <a:solidFill>
                <a:srgbClr val="FFC000"/>
              </a:solidFill>
              <a:prstDash val="solid"/>
            </a:ln>
          </c:spPr>
        </c:marker>
      </c:pivotFmt>
      <c:pivotFmt>
        <c:idx val="60"/>
        <c:spPr>
          <a:ln>
            <a:solidFill>
              <a:srgbClr val="FFC000"/>
            </a:solidFill>
          </a:ln>
        </c:spPr>
        <c:marker>
          <c:spPr>
            <a:solidFill>
              <a:srgbClr val="9CC746"/>
            </a:solidFill>
            <a:ln>
              <a:solidFill>
                <a:srgbClr val="FFC000"/>
              </a:solidFill>
              <a:prstDash val="solid"/>
            </a:ln>
          </c:spPr>
        </c:marker>
      </c:pivotFmt>
      <c:pivotFmt>
        <c:idx val="61"/>
        <c:spPr>
          <a:ln>
            <a:solidFill>
              <a:srgbClr val="FFC000"/>
            </a:solidFill>
          </a:ln>
        </c:spPr>
        <c:marker>
          <c:spPr>
            <a:solidFill>
              <a:srgbClr val="9CC746"/>
            </a:solidFill>
            <a:ln>
              <a:solidFill>
                <a:srgbClr val="FFC000"/>
              </a:solidFill>
              <a:prstDash val="solid"/>
            </a:ln>
          </c:spPr>
        </c:marker>
      </c:pivotFmt>
      <c:pivotFmt>
        <c:idx val="62"/>
        <c:spPr>
          <a:ln>
            <a:solidFill>
              <a:srgbClr val="FFC000"/>
            </a:solidFill>
          </a:ln>
        </c:spPr>
        <c:marker>
          <c:spPr>
            <a:solidFill>
              <a:srgbClr val="9CC746"/>
            </a:solidFill>
            <a:ln>
              <a:solidFill>
                <a:srgbClr val="FFC000"/>
              </a:solidFill>
              <a:prstDash val="solid"/>
            </a:ln>
          </c:spPr>
        </c:marker>
      </c:pivotFmt>
      <c:pivotFmt>
        <c:idx val="63"/>
        <c:spPr>
          <a:ln>
            <a:solidFill>
              <a:srgbClr val="FFC000"/>
            </a:solidFill>
          </a:ln>
        </c:spPr>
        <c:marker>
          <c:spPr>
            <a:solidFill>
              <a:srgbClr val="9CC746"/>
            </a:solidFill>
            <a:ln>
              <a:solidFill>
                <a:srgbClr val="FFC000"/>
              </a:solidFill>
              <a:prstDash val="solid"/>
            </a:ln>
          </c:spPr>
        </c:marker>
      </c:pivotFmt>
      <c:pivotFmt>
        <c:idx val="64"/>
        <c:spPr>
          <a:ln>
            <a:solidFill>
              <a:srgbClr val="FFC000"/>
            </a:solidFill>
          </a:ln>
        </c:spPr>
        <c:marker>
          <c:spPr>
            <a:solidFill>
              <a:srgbClr val="9CC746"/>
            </a:solidFill>
            <a:ln>
              <a:solidFill>
                <a:srgbClr val="FFC000"/>
              </a:solidFill>
              <a:prstDash val="solid"/>
            </a:ln>
          </c:spPr>
        </c:marker>
      </c:pivotFmt>
      <c:pivotFmt>
        <c:idx val="65"/>
        <c:marker>
          <c:symbol val="none"/>
        </c:marker>
      </c:pivotFmt>
    </c:pivotFmts>
    <c:plotArea>
      <c:layout/>
      <c:barChart>
        <c:barDir val="col"/>
        <c:grouping val="stacked"/>
        <c:varyColors val="0"/>
        <c:ser>
          <c:idx val="0"/>
          <c:order val="0"/>
          <c:tx>
            <c:strRef>
              <c:f>pt.generic_add_data9!$C$7:$C$8</c:f>
              <c:strCache>
                <c:ptCount val="1"/>
                <c:pt idx="0">
                  <c:v>Odvezeno</c:v>
                </c:pt>
              </c:strCache>
            </c:strRef>
          </c:tx>
          <c:invertIfNegative val="0"/>
          <c:cat>
            <c:multiLvlStrRef>
              <c:f>pt.generic_add_data9!$A$9:$B$22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pt.generic_add_data9!$C$9:$C$22</c:f>
              <c:numCache>
                <c:formatCode>General</c:formatCode>
                <c:ptCount val="13"/>
                <c:pt idx="0">
                  <c:v>135</c:v>
                </c:pt>
                <c:pt idx="1">
                  <c:v>135</c:v>
                </c:pt>
                <c:pt idx="2">
                  <c:v>135</c:v>
                </c:pt>
                <c:pt idx="3">
                  <c:v>135</c:v>
                </c:pt>
                <c:pt idx="4">
                  <c:v>135</c:v>
                </c:pt>
                <c:pt idx="5">
                  <c:v>135</c:v>
                </c:pt>
                <c:pt idx="6">
                  <c:v>70</c:v>
                </c:pt>
                <c:pt idx="7">
                  <c:v>145</c:v>
                </c:pt>
                <c:pt idx="8">
                  <c:v>145</c:v>
                </c:pt>
                <c:pt idx="9">
                  <c:v>135</c:v>
                </c:pt>
                <c:pt idx="10">
                  <c:v>135</c:v>
                </c:pt>
                <c:pt idx="11">
                  <c:v>135</c:v>
                </c:pt>
                <c:pt idx="12">
                  <c:v>135</c:v>
                </c:pt>
              </c:numCache>
            </c:numRef>
          </c:val>
          <c:extLst>
            <c:ext xmlns:c16="http://schemas.microsoft.com/office/drawing/2014/chart" uri="{C3380CC4-5D6E-409C-BE32-E72D297353CC}">
              <c16:uniqueId val="{00000000-E3B6-4565-8B29-435D2DE0F8DA}"/>
            </c:ext>
          </c:extLst>
        </c:ser>
        <c:ser>
          <c:idx val="1"/>
          <c:order val="1"/>
          <c:tx>
            <c:strRef>
              <c:f>pt.generic_add_data9!$D$7:$D$8</c:f>
              <c:strCache>
                <c:ptCount val="1"/>
                <c:pt idx="0">
                  <c:v>Příjezd</c:v>
                </c:pt>
              </c:strCache>
            </c:strRef>
          </c:tx>
          <c:invertIfNegative val="0"/>
          <c:cat>
            <c:multiLvlStrRef>
              <c:f>pt.generic_add_data9!$A$9:$B$22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pt.generic_add_data9!$D$9:$D$22</c:f>
              <c:numCache>
                <c:formatCode>General</c:formatCode>
                <c:ptCount val="13"/>
                <c:pt idx="0">
                  <c:v>135</c:v>
                </c:pt>
                <c:pt idx="1">
                  <c:v>135</c:v>
                </c:pt>
                <c:pt idx="2">
                  <c:v>135</c:v>
                </c:pt>
                <c:pt idx="3">
                  <c:v>135</c:v>
                </c:pt>
                <c:pt idx="4">
                  <c:v>135</c:v>
                </c:pt>
                <c:pt idx="5">
                  <c:v>135</c:v>
                </c:pt>
                <c:pt idx="6">
                  <c:v>180</c:v>
                </c:pt>
                <c:pt idx="7">
                  <c:v>90</c:v>
                </c:pt>
                <c:pt idx="8">
                  <c:v>135</c:v>
                </c:pt>
                <c:pt idx="9">
                  <c:v>135</c:v>
                </c:pt>
                <c:pt idx="10">
                  <c:v>135</c:v>
                </c:pt>
                <c:pt idx="11">
                  <c:v>135</c:v>
                </c:pt>
                <c:pt idx="12">
                  <c:v>135</c:v>
                </c:pt>
              </c:numCache>
            </c:numRef>
          </c:val>
          <c:extLst>
            <c:ext xmlns:c16="http://schemas.microsoft.com/office/drawing/2014/chart" uri="{C3380CC4-5D6E-409C-BE32-E72D297353CC}">
              <c16:uniqueId val="{00000013-9CD1-43FB-A3BE-C5CE853938E1}"/>
            </c:ext>
          </c:extLst>
        </c:ser>
        <c:ser>
          <c:idx val="2"/>
          <c:order val="2"/>
          <c:tx>
            <c:strRef>
              <c:f>pt.generic_add_data9!$E$7:$E$8</c:f>
              <c:strCache>
                <c:ptCount val="1"/>
                <c:pt idx="0">
                  <c:v>Uloženo</c:v>
                </c:pt>
              </c:strCache>
            </c:strRef>
          </c:tx>
          <c:invertIfNegative val="0"/>
          <c:cat>
            <c:multiLvlStrRef>
              <c:f>pt.generic_add_data9!$A$9:$B$22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pt.generic_add_data9!$E$9:$E$22</c:f>
              <c:numCache>
                <c:formatCode>General</c:formatCode>
                <c:ptCount val="13"/>
                <c:pt idx="0">
                  <c:v>135</c:v>
                </c:pt>
                <c:pt idx="1">
                  <c:v>135</c:v>
                </c:pt>
                <c:pt idx="2">
                  <c:v>135</c:v>
                </c:pt>
                <c:pt idx="3">
                  <c:v>135</c:v>
                </c:pt>
                <c:pt idx="4">
                  <c:v>135</c:v>
                </c:pt>
                <c:pt idx="5">
                  <c:v>115</c:v>
                </c:pt>
                <c:pt idx="6">
                  <c:v>90</c:v>
                </c:pt>
                <c:pt idx="7">
                  <c:v>145</c:v>
                </c:pt>
                <c:pt idx="8">
                  <c:v>145</c:v>
                </c:pt>
                <c:pt idx="9">
                  <c:v>135</c:v>
                </c:pt>
                <c:pt idx="10">
                  <c:v>135</c:v>
                </c:pt>
                <c:pt idx="11">
                  <c:v>135</c:v>
                </c:pt>
                <c:pt idx="12">
                  <c:v>135</c:v>
                </c:pt>
              </c:numCache>
            </c:numRef>
          </c:val>
          <c:extLst>
            <c:ext xmlns:c16="http://schemas.microsoft.com/office/drawing/2014/chart" uri="{C3380CC4-5D6E-409C-BE32-E72D297353CC}">
              <c16:uniqueId val="{00000014-9CD1-43FB-A3BE-C5CE853938E1}"/>
            </c:ext>
          </c:extLst>
        </c:ser>
        <c:ser>
          <c:idx val="3"/>
          <c:order val="3"/>
          <c:tx>
            <c:strRef>
              <c:f>pt.generic_add_data9!$F$7:$F$8</c:f>
              <c:strCache>
                <c:ptCount val="1"/>
                <c:pt idx="0">
                  <c:v>Vykládá se</c:v>
                </c:pt>
              </c:strCache>
            </c:strRef>
          </c:tx>
          <c:invertIfNegative val="0"/>
          <c:cat>
            <c:multiLvlStrRef>
              <c:f>pt.generic_add_data9!$A$9:$B$22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pt.generic_add_data9!$F$9:$F$22</c:f>
              <c:numCache>
                <c:formatCode>General</c:formatCode>
                <c:ptCount val="13"/>
                <c:pt idx="0">
                  <c:v>135</c:v>
                </c:pt>
                <c:pt idx="1">
                  <c:v>135</c:v>
                </c:pt>
                <c:pt idx="2">
                  <c:v>135</c:v>
                </c:pt>
                <c:pt idx="3">
                  <c:v>135</c:v>
                </c:pt>
                <c:pt idx="4">
                  <c:v>135</c:v>
                </c:pt>
                <c:pt idx="5">
                  <c:v>135</c:v>
                </c:pt>
                <c:pt idx="6">
                  <c:v>180</c:v>
                </c:pt>
                <c:pt idx="7">
                  <c:v>90</c:v>
                </c:pt>
                <c:pt idx="8">
                  <c:v>135</c:v>
                </c:pt>
                <c:pt idx="9">
                  <c:v>135</c:v>
                </c:pt>
                <c:pt idx="10">
                  <c:v>135</c:v>
                </c:pt>
                <c:pt idx="11">
                  <c:v>135</c:v>
                </c:pt>
                <c:pt idx="12">
                  <c:v>135</c:v>
                </c:pt>
              </c:numCache>
            </c:numRef>
          </c:val>
          <c:extLst>
            <c:ext xmlns:c16="http://schemas.microsoft.com/office/drawing/2014/chart" uri="{C3380CC4-5D6E-409C-BE32-E72D297353CC}">
              <c16:uniqueId val="{00000015-9CD1-43FB-A3BE-C5CE853938E1}"/>
            </c:ext>
          </c:extLst>
        </c:ser>
        <c:ser>
          <c:idx val="4"/>
          <c:order val="4"/>
          <c:tx>
            <c:strRef>
              <c:f>pt.generic_add_data9!$G$7:$G$8</c:f>
              <c:strCache>
                <c:ptCount val="1"/>
                <c:pt idx="0">
                  <c:v>Vyskladněno</c:v>
                </c:pt>
              </c:strCache>
            </c:strRef>
          </c:tx>
          <c:invertIfNegative val="0"/>
          <c:cat>
            <c:multiLvlStrRef>
              <c:f>pt.generic_add_data9!$A$9:$B$22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pt.generic_add_data9!$G$9:$G$22</c:f>
              <c:numCache>
                <c:formatCode>General</c:formatCode>
                <c:ptCount val="13"/>
                <c:pt idx="0">
                  <c:v>135</c:v>
                </c:pt>
                <c:pt idx="1">
                  <c:v>135</c:v>
                </c:pt>
                <c:pt idx="2">
                  <c:v>135</c:v>
                </c:pt>
                <c:pt idx="3">
                  <c:v>135</c:v>
                </c:pt>
                <c:pt idx="4">
                  <c:v>135</c:v>
                </c:pt>
                <c:pt idx="5">
                  <c:v>155</c:v>
                </c:pt>
                <c:pt idx="6">
                  <c:v>135</c:v>
                </c:pt>
                <c:pt idx="7">
                  <c:v>125</c:v>
                </c:pt>
                <c:pt idx="8">
                  <c:v>125</c:v>
                </c:pt>
                <c:pt idx="9">
                  <c:v>135</c:v>
                </c:pt>
                <c:pt idx="10">
                  <c:v>135</c:v>
                </c:pt>
                <c:pt idx="11">
                  <c:v>135</c:v>
                </c:pt>
                <c:pt idx="12">
                  <c:v>135</c:v>
                </c:pt>
              </c:numCache>
            </c:numRef>
          </c:val>
          <c:extLst>
            <c:ext xmlns:c16="http://schemas.microsoft.com/office/drawing/2014/chart" uri="{C3380CC4-5D6E-409C-BE32-E72D297353CC}">
              <c16:uniqueId val="{00000016-9CD1-43FB-A3BE-C5CE853938E1}"/>
            </c:ext>
          </c:extLst>
        </c:ser>
        <c:dLbls>
          <c:showLegendKey val="0"/>
          <c:showVal val="0"/>
          <c:showCatName val="0"/>
          <c:showSerName val="0"/>
          <c:showPercent val="0"/>
          <c:showBubbleSize val="0"/>
        </c:dLbls>
        <c:gapWidth val="150"/>
        <c:overlap val="100"/>
        <c:axId val="227521104"/>
        <c:axId val="228853944"/>
      </c:barChart>
      <c:lineChart>
        <c:grouping val="standard"/>
        <c:varyColors val="0"/>
        <c:ser>
          <c:idx val="5"/>
          <c:order val="5"/>
          <c:tx>
            <c:strRef>
              <c:f>pt.generic_add_data9!$H$7:$H$8</c:f>
              <c:strCache>
                <c:ptCount val="1"/>
                <c:pt idx="0">
                  <c:v>Zátěž</c:v>
                </c:pt>
              </c:strCache>
            </c:strRef>
          </c:tx>
          <c:spPr>
            <a:ln>
              <a:solidFill>
                <a:srgbClr val="FFC000"/>
              </a:solidFill>
            </a:ln>
          </c:spPr>
          <c:marker>
            <c:symbol val="circle"/>
            <c:size val="5"/>
            <c:spPr>
              <a:ln>
                <a:solidFill>
                  <a:srgbClr val="FFC000"/>
                </a:solidFill>
              </a:ln>
            </c:spPr>
          </c:marker>
          <c:dPt>
            <c:idx val="0"/>
            <c:marker>
              <c:spPr>
                <a:solidFill>
                  <a:srgbClr val="9CC746"/>
                </a:solidFill>
                <a:ln>
                  <a:solidFill>
                    <a:srgbClr val="FFC000"/>
                  </a:solidFill>
                  <a:prstDash val="solid"/>
                </a:ln>
              </c:spPr>
            </c:marker>
            <c:bubble3D val="0"/>
            <c:extLst>
              <c:ext xmlns:c16="http://schemas.microsoft.com/office/drawing/2014/chart" uri="{C3380CC4-5D6E-409C-BE32-E72D297353CC}">
                <c16:uniqueId val="{00000019-9CD1-43FB-A3BE-C5CE853938E1}"/>
              </c:ext>
            </c:extLst>
          </c:dPt>
          <c:dPt>
            <c:idx val="1"/>
            <c:marker>
              <c:spPr>
                <a:solidFill>
                  <a:srgbClr val="9CC746"/>
                </a:solidFill>
                <a:ln>
                  <a:solidFill>
                    <a:srgbClr val="FFC000"/>
                  </a:solidFill>
                  <a:prstDash val="solid"/>
                </a:ln>
              </c:spPr>
            </c:marker>
            <c:bubble3D val="0"/>
            <c:extLst>
              <c:ext xmlns:c16="http://schemas.microsoft.com/office/drawing/2014/chart" uri="{C3380CC4-5D6E-409C-BE32-E72D297353CC}">
                <c16:uniqueId val="{0000001A-9CD1-43FB-A3BE-C5CE853938E1}"/>
              </c:ext>
            </c:extLst>
          </c:dPt>
          <c:dPt>
            <c:idx val="2"/>
            <c:marker>
              <c:spPr>
                <a:solidFill>
                  <a:srgbClr val="9CC746"/>
                </a:solidFill>
                <a:ln>
                  <a:solidFill>
                    <a:srgbClr val="FFC000"/>
                  </a:solidFill>
                  <a:prstDash val="solid"/>
                </a:ln>
              </c:spPr>
            </c:marker>
            <c:bubble3D val="0"/>
            <c:extLst>
              <c:ext xmlns:c16="http://schemas.microsoft.com/office/drawing/2014/chart" uri="{C3380CC4-5D6E-409C-BE32-E72D297353CC}">
                <c16:uniqueId val="{0000001B-9CD1-43FB-A3BE-C5CE853938E1}"/>
              </c:ext>
            </c:extLst>
          </c:dPt>
          <c:dPt>
            <c:idx val="3"/>
            <c:marker>
              <c:spPr>
                <a:solidFill>
                  <a:srgbClr val="9CC746"/>
                </a:solidFill>
                <a:ln>
                  <a:solidFill>
                    <a:srgbClr val="FFC000"/>
                  </a:solidFill>
                  <a:prstDash val="solid"/>
                </a:ln>
              </c:spPr>
            </c:marker>
            <c:bubble3D val="0"/>
            <c:extLst>
              <c:ext xmlns:c16="http://schemas.microsoft.com/office/drawing/2014/chart" uri="{C3380CC4-5D6E-409C-BE32-E72D297353CC}">
                <c16:uniqueId val="{0000001C-9CD1-43FB-A3BE-C5CE853938E1}"/>
              </c:ext>
            </c:extLst>
          </c:dPt>
          <c:dPt>
            <c:idx val="4"/>
            <c:marker>
              <c:spPr>
                <a:solidFill>
                  <a:srgbClr val="9CC746"/>
                </a:solidFill>
                <a:ln>
                  <a:solidFill>
                    <a:srgbClr val="FFC000"/>
                  </a:solidFill>
                  <a:prstDash val="solid"/>
                </a:ln>
              </c:spPr>
            </c:marker>
            <c:bubble3D val="0"/>
            <c:extLst>
              <c:ext xmlns:c16="http://schemas.microsoft.com/office/drawing/2014/chart" uri="{C3380CC4-5D6E-409C-BE32-E72D297353CC}">
                <c16:uniqueId val="{0000001D-9CD1-43FB-A3BE-C5CE853938E1}"/>
              </c:ext>
            </c:extLst>
          </c:dPt>
          <c:dPt>
            <c:idx val="5"/>
            <c:marker>
              <c:spPr>
                <a:solidFill>
                  <a:srgbClr val="9CC746"/>
                </a:solidFill>
                <a:ln>
                  <a:solidFill>
                    <a:srgbClr val="FFC000"/>
                  </a:solidFill>
                  <a:prstDash val="solid"/>
                </a:ln>
              </c:spPr>
            </c:marker>
            <c:bubble3D val="0"/>
            <c:extLst>
              <c:ext xmlns:c16="http://schemas.microsoft.com/office/drawing/2014/chart" uri="{C3380CC4-5D6E-409C-BE32-E72D297353CC}">
                <c16:uniqueId val="{0000001E-9CD1-43FB-A3BE-C5CE853938E1}"/>
              </c:ext>
            </c:extLst>
          </c:dPt>
          <c:dPt>
            <c:idx val="6"/>
            <c:marker>
              <c:spPr>
                <a:solidFill>
                  <a:srgbClr val="9CC746"/>
                </a:solidFill>
                <a:ln>
                  <a:solidFill>
                    <a:srgbClr val="FFC000"/>
                  </a:solidFill>
                  <a:prstDash val="solid"/>
                </a:ln>
              </c:spPr>
            </c:marker>
            <c:bubble3D val="0"/>
            <c:extLst>
              <c:ext xmlns:c16="http://schemas.microsoft.com/office/drawing/2014/chart" uri="{C3380CC4-5D6E-409C-BE32-E72D297353CC}">
                <c16:uniqueId val="{0000001F-9CD1-43FB-A3BE-C5CE853938E1}"/>
              </c:ext>
            </c:extLst>
          </c:dPt>
          <c:dPt>
            <c:idx val="7"/>
            <c:marker>
              <c:spPr>
                <a:solidFill>
                  <a:srgbClr val="9CC746"/>
                </a:solidFill>
                <a:ln>
                  <a:solidFill>
                    <a:srgbClr val="FFC000"/>
                  </a:solidFill>
                  <a:prstDash val="solid"/>
                </a:ln>
              </c:spPr>
            </c:marker>
            <c:bubble3D val="0"/>
            <c:extLst>
              <c:ext xmlns:c16="http://schemas.microsoft.com/office/drawing/2014/chart" uri="{C3380CC4-5D6E-409C-BE32-E72D297353CC}">
                <c16:uniqueId val="{00000020-9CD1-43FB-A3BE-C5CE853938E1}"/>
              </c:ext>
            </c:extLst>
          </c:dPt>
          <c:dPt>
            <c:idx val="8"/>
            <c:marker>
              <c:spPr>
                <a:solidFill>
                  <a:srgbClr val="9CC746"/>
                </a:solidFill>
                <a:ln>
                  <a:solidFill>
                    <a:srgbClr val="FFC000"/>
                  </a:solidFill>
                  <a:prstDash val="solid"/>
                </a:ln>
              </c:spPr>
            </c:marker>
            <c:bubble3D val="0"/>
            <c:extLst>
              <c:ext xmlns:c16="http://schemas.microsoft.com/office/drawing/2014/chart" uri="{C3380CC4-5D6E-409C-BE32-E72D297353CC}">
                <c16:uniqueId val="{00000021-9CD1-43FB-A3BE-C5CE853938E1}"/>
              </c:ext>
            </c:extLst>
          </c:dPt>
          <c:dPt>
            <c:idx val="9"/>
            <c:marker>
              <c:spPr>
                <a:solidFill>
                  <a:srgbClr val="9CC746"/>
                </a:solidFill>
                <a:ln>
                  <a:solidFill>
                    <a:srgbClr val="FFC000"/>
                  </a:solidFill>
                  <a:prstDash val="solid"/>
                </a:ln>
              </c:spPr>
            </c:marker>
            <c:bubble3D val="0"/>
            <c:extLst>
              <c:ext xmlns:c16="http://schemas.microsoft.com/office/drawing/2014/chart" uri="{C3380CC4-5D6E-409C-BE32-E72D297353CC}">
                <c16:uniqueId val="{00000022-9CD1-43FB-A3BE-C5CE853938E1}"/>
              </c:ext>
            </c:extLst>
          </c:dPt>
          <c:dPt>
            <c:idx val="10"/>
            <c:marker>
              <c:spPr>
                <a:solidFill>
                  <a:srgbClr val="9CC746"/>
                </a:solidFill>
                <a:ln>
                  <a:solidFill>
                    <a:srgbClr val="FFC000"/>
                  </a:solidFill>
                  <a:prstDash val="solid"/>
                </a:ln>
              </c:spPr>
            </c:marker>
            <c:bubble3D val="0"/>
            <c:extLst>
              <c:ext xmlns:c16="http://schemas.microsoft.com/office/drawing/2014/chart" uri="{C3380CC4-5D6E-409C-BE32-E72D297353CC}">
                <c16:uniqueId val="{00000023-9CD1-43FB-A3BE-C5CE853938E1}"/>
              </c:ext>
            </c:extLst>
          </c:dPt>
          <c:dPt>
            <c:idx val="11"/>
            <c:marker>
              <c:spPr>
                <a:solidFill>
                  <a:srgbClr val="9CC746"/>
                </a:solidFill>
                <a:ln>
                  <a:solidFill>
                    <a:srgbClr val="FFC000"/>
                  </a:solidFill>
                  <a:prstDash val="solid"/>
                </a:ln>
              </c:spPr>
            </c:marker>
            <c:bubble3D val="0"/>
            <c:extLst>
              <c:ext xmlns:c16="http://schemas.microsoft.com/office/drawing/2014/chart" uri="{C3380CC4-5D6E-409C-BE32-E72D297353CC}">
                <c16:uniqueId val="{00000024-9CD1-43FB-A3BE-C5CE853938E1}"/>
              </c:ext>
            </c:extLst>
          </c:dPt>
          <c:dPt>
            <c:idx val="12"/>
            <c:marker>
              <c:spPr>
                <a:solidFill>
                  <a:srgbClr val="9CC746"/>
                </a:solidFill>
                <a:ln>
                  <a:solidFill>
                    <a:srgbClr val="FFC000"/>
                  </a:solidFill>
                  <a:prstDash val="solid"/>
                </a:ln>
              </c:spPr>
            </c:marker>
            <c:bubble3D val="0"/>
            <c:extLst>
              <c:ext xmlns:c16="http://schemas.microsoft.com/office/drawing/2014/chart" uri="{C3380CC4-5D6E-409C-BE32-E72D297353CC}">
                <c16:uniqueId val="{00000025-9CD1-43FB-A3BE-C5CE853938E1}"/>
              </c:ext>
            </c:extLst>
          </c:dPt>
          <c:cat>
            <c:multiLvlStrRef>
              <c:f>pt.generic_add_data9!$A$9:$B$22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pt.generic_add_data9!$H$9:$H$22</c:f>
              <c:numCache>
                <c:formatCode>General</c:formatCode>
                <c:ptCount val="13"/>
                <c:pt idx="0">
                  <c:v>4.7</c:v>
                </c:pt>
                <c:pt idx="1">
                  <c:v>4.7</c:v>
                </c:pt>
                <c:pt idx="2">
                  <c:v>4.7</c:v>
                </c:pt>
                <c:pt idx="3">
                  <c:v>4.7</c:v>
                </c:pt>
                <c:pt idx="4">
                  <c:v>4.7</c:v>
                </c:pt>
                <c:pt idx="5">
                  <c:v>4.7</c:v>
                </c:pt>
                <c:pt idx="6">
                  <c:v>4.54</c:v>
                </c:pt>
                <c:pt idx="7">
                  <c:v>4.59</c:v>
                </c:pt>
                <c:pt idx="8">
                  <c:v>4.84</c:v>
                </c:pt>
                <c:pt idx="9">
                  <c:v>4.7</c:v>
                </c:pt>
                <c:pt idx="10">
                  <c:v>4.7</c:v>
                </c:pt>
                <c:pt idx="11">
                  <c:v>4.7</c:v>
                </c:pt>
                <c:pt idx="12">
                  <c:v>4.7</c:v>
                </c:pt>
              </c:numCache>
            </c:numRef>
          </c:val>
          <c:smooth val="0"/>
          <c:extLst>
            <c:ext xmlns:c16="http://schemas.microsoft.com/office/drawing/2014/chart" uri="{C3380CC4-5D6E-409C-BE32-E72D297353CC}">
              <c16:uniqueId val="{00000017-9CD1-43FB-A3BE-C5CE853938E1}"/>
            </c:ext>
          </c:extLst>
        </c:ser>
        <c:ser>
          <c:idx val="6"/>
          <c:order val="6"/>
          <c:tx>
            <c:strRef>
              <c:f>pt.generic_add_data9!$I$7:$I$8</c:f>
              <c:strCache>
                <c:ptCount val="1"/>
                <c:pt idx="0">
                  <c:v>Zátěž cíl</c:v>
                </c:pt>
              </c:strCache>
            </c:strRef>
          </c:tx>
          <c:spPr>
            <a:ln>
              <a:solidFill>
                <a:srgbClr val="000000"/>
              </a:solidFill>
            </a:ln>
          </c:spPr>
          <c:marker>
            <c:symbol val="none"/>
          </c:marker>
          <c:cat>
            <c:multiLvlStrRef>
              <c:f>pt.generic_add_data9!$A$9:$B$22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pt.generic_add_data9!$I$9:$I$22</c:f>
              <c:numCache>
                <c:formatCode>General</c:formatCode>
                <c:ptCount val="13"/>
                <c:pt idx="0">
                  <c:v>5.5</c:v>
                </c:pt>
                <c:pt idx="1">
                  <c:v>5.5</c:v>
                </c:pt>
                <c:pt idx="2">
                  <c:v>5.5</c:v>
                </c:pt>
                <c:pt idx="3">
                  <c:v>5.5</c:v>
                </c:pt>
                <c:pt idx="4">
                  <c:v>5.5</c:v>
                </c:pt>
                <c:pt idx="5">
                  <c:v>5.5</c:v>
                </c:pt>
                <c:pt idx="6">
                  <c:v>5.5</c:v>
                </c:pt>
                <c:pt idx="7">
                  <c:v>5.5</c:v>
                </c:pt>
                <c:pt idx="8">
                  <c:v>5.5</c:v>
                </c:pt>
                <c:pt idx="9">
                  <c:v>5.5</c:v>
                </c:pt>
                <c:pt idx="10">
                  <c:v>5.5</c:v>
                </c:pt>
                <c:pt idx="11">
                  <c:v>5.5</c:v>
                </c:pt>
                <c:pt idx="12">
                  <c:v>5.5</c:v>
                </c:pt>
              </c:numCache>
            </c:numRef>
          </c:val>
          <c:smooth val="0"/>
          <c:extLst>
            <c:ext xmlns:c16="http://schemas.microsoft.com/office/drawing/2014/chart" uri="{C3380CC4-5D6E-409C-BE32-E72D297353CC}">
              <c16:uniqueId val="{00000018-9CD1-43FB-A3BE-C5CE853938E1}"/>
            </c:ext>
          </c:extLst>
        </c:ser>
        <c:dLbls>
          <c:showLegendKey val="0"/>
          <c:showVal val="0"/>
          <c:showCatName val="0"/>
          <c:showSerName val="0"/>
          <c:showPercent val="0"/>
          <c:showBubbleSize val="0"/>
        </c:dLbls>
        <c:marker val="1"/>
        <c:smooth val="0"/>
        <c:axId val="520216832"/>
        <c:axId val="520216176"/>
      </c:lineChart>
      <c:catAx>
        <c:axId val="227521104"/>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28853944"/>
        <c:crosses val="autoZero"/>
        <c:auto val="1"/>
        <c:lblAlgn val="ctr"/>
        <c:lblOffset val="100"/>
        <c:noMultiLvlLbl val="0"/>
      </c:catAx>
      <c:valAx>
        <c:axId val="2288539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27521104"/>
        <c:crosses val="autoZero"/>
        <c:crossBetween val="between"/>
      </c:valAx>
      <c:valAx>
        <c:axId val="520216176"/>
        <c:scaling>
          <c:orientation val="minMax"/>
        </c:scaling>
        <c:delete val="0"/>
        <c:axPos val="r"/>
        <c:numFmt formatCode="0%" sourceLinked="0"/>
        <c:majorTickMark val="out"/>
        <c:minorTickMark val="none"/>
        <c:tickLblPos val="nextTo"/>
        <c:crossAx val="520216832"/>
        <c:crosses val="max"/>
        <c:crossBetween val="between"/>
      </c:valAx>
      <c:catAx>
        <c:axId val="520216832"/>
        <c:scaling>
          <c:orientation val="minMax"/>
        </c:scaling>
        <c:delete val="1"/>
        <c:axPos val="b"/>
        <c:numFmt formatCode="General" sourceLinked="1"/>
        <c:majorTickMark val="out"/>
        <c:minorTickMark val="none"/>
        <c:tickLblPos val="nextTo"/>
        <c:crossAx val="520216176"/>
        <c:crosses val="autoZero"/>
        <c:auto val="1"/>
        <c:lblAlgn val="ctr"/>
        <c:lblOffset val="100"/>
        <c:noMultiLvlLbl val="0"/>
      </c:cat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1.3_3_2.xlsm]pt.generic_add_data10!pt.generic_add_data10</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2"/>
            </a:solidFill>
            <a:round/>
          </a:ln>
          <a:effectLst/>
        </c:spPr>
        <c:marker>
          <c:symbol val="none"/>
        </c:marker>
      </c:pivotFmt>
      <c:pivotFmt>
        <c:idx val="2"/>
        <c:spPr>
          <a:ln w="28575" cap="rnd">
            <a:solidFill>
              <a:srgbClr val="FFC000"/>
            </a:solidFill>
            <a:round/>
          </a:ln>
          <a:effectLst/>
        </c:spPr>
        <c:marker>
          <c:symbol val="circle"/>
          <c:size val="5"/>
          <c:spPr>
            <a:ln>
              <a:solidFill>
                <a:srgbClr val="FFC000"/>
              </a:solidFill>
            </a:ln>
          </c:spPr>
        </c:marker>
      </c:pivotFmt>
      <c:pivotFmt>
        <c:idx val="3"/>
        <c:spPr>
          <a:ln w="28575" cap="rnd">
            <a:solidFill>
              <a:srgbClr val="000000"/>
            </a:solidFill>
            <a:round/>
          </a:ln>
          <a:effectLst/>
        </c:spPr>
        <c:marker>
          <c:symbol val="none"/>
        </c:marker>
      </c:pivotFmt>
      <c:pivotFmt>
        <c:idx val="4"/>
        <c:marker>
          <c:symbol val="none"/>
        </c:marker>
      </c:pivotFmt>
      <c:pivotFmt>
        <c:idx val="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9"/>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0"/>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2"/>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3"/>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2"/>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3"/>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1"/>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2"/>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3"/>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4"/>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7"/>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8"/>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9"/>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0"/>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1"/>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2"/>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3"/>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4"/>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spPr>
          <a:ln>
            <a:solidFill>
              <a:srgbClr val="FFC000"/>
            </a:solidFill>
          </a:ln>
        </c:spPr>
        <c:marker>
          <c:symbol val="circle"/>
          <c:size val="5"/>
          <c:spPr>
            <a:ln>
              <a:solidFill>
                <a:srgbClr val="FFC000"/>
              </a:solidFill>
            </a:ln>
          </c:spPr>
        </c:marker>
      </c:pivotFmt>
      <c:pivotFmt>
        <c:idx val="51"/>
        <c:spPr>
          <a:ln>
            <a:solidFill>
              <a:srgbClr val="000000"/>
            </a:solidFill>
          </a:ln>
        </c:spPr>
        <c:marker>
          <c:symbol val="none"/>
        </c:marker>
      </c:pivotFmt>
      <c:pivotFmt>
        <c:idx val="52"/>
        <c:spPr>
          <a:ln>
            <a:solidFill>
              <a:srgbClr val="FFC000"/>
            </a:solidFill>
          </a:ln>
        </c:spPr>
        <c:marker>
          <c:spPr>
            <a:solidFill>
              <a:srgbClr val="9CC746"/>
            </a:solidFill>
            <a:ln>
              <a:solidFill>
                <a:srgbClr val="FFC000"/>
              </a:solidFill>
              <a:prstDash val="solid"/>
            </a:ln>
          </c:spPr>
        </c:marker>
      </c:pivotFmt>
      <c:pivotFmt>
        <c:idx val="53"/>
        <c:spPr>
          <a:ln>
            <a:solidFill>
              <a:srgbClr val="FFC000"/>
            </a:solidFill>
          </a:ln>
        </c:spPr>
        <c:marker>
          <c:spPr>
            <a:solidFill>
              <a:srgbClr val="9CC746"/>
            </a:solidFill>
            <a:ln>
              <a:solidFill>
                <a:srgbClr val="FFC000"/>
              </a:solidFill>
              <a:prstDash val="solid"/>
            </a:ln>
          </c:spPr>
        </c:marker>
      </c:pivotFmt>
      <c:pivotFmt>
        <c:idx val="54"/>
        <c:spPr>
          <a:ln>
            <a:solidFill>
              <a:srgbClr val="FFC000"/>
            </a:solidFill>
          </a:ln>
        </c:spPr>
        <c:marker>
          <c:spPr>
            <a:solidFill>
              <a:srgbClr val="9CC746"/>
            </a:solidFill>
            <a:ln>
              <a:solidFill>
                <a:srgbClr val="FFC000"/>
              </a:solidFill>
              <a:prstDash val="solid"/>
            </a:ln>
          </c:spPr>
        </c:marker>
      </c:pivotFmt>
      <c:pivotFmt>
        <c:idx val="55"/>
        <c:spPr>
          <a:ln>
            <a:solidFill>
              <a:srgbClr val="FFC000"/>
            </a:solidFill>
          </a:ln>
        </c:spPr>
        <c:marker>
          <c:spPr>
            <a:solidFill>
              <a:srgbClr val="9CC746"/>
            </a:solidFill>
            <a:ln>
              <a:solidFill>
                <a:srgbClr val="FFC000"/>
              </a:solidFill>
              <a:prstDash val="solid"/>
            </a:ln>
          </c:spPr>
        </c:marker>
      </c:pivotFmt>
      <c:pivotFmt>
        <c:idx val="56"/>
        <c:spPr>
          <a:ln>
            <a:solidFill>
              <a:srgbClr val="FFC000"/>
            </a:solidFill>
          </a:ln>
        </c:spPr>
        <c:marker>
          <c:spPr>
            <a:solidFill>
              <a:srgbClr val="9CC746"/>
            </a:solidFill>
            <a:ln>
              <a:solidFill>
                <a:srgbClr val="FFC000"/>
              </a:solidFill>
              <a:prstDash val="solid"/>
            </a:ln>
          </c:spPr>
        </c:marker>
      </c:pivotFmt>
      <c:pivotFmt>
        <c:idx val="57"/>
        <c:spPr>
          <a:ln>
            <a:solidFill>
              <a:srgbClr val="FFC000"/>
            </a:solidFill>
          </a:ln>
        </c:spPr>
        <c:marker>
          <c:spPr>
            <a:solidFill>
              <a:srgbClr val="9CC746"/>
            </a:solidFill>
            <a:ln>
              <a:solidFill>
                <a:srgbClr val="FFC000"/>
              </a:solidFill>
              <a:prstDash val="solid"/>
            </a:ln>
          </c:spPr>
        </c:marker>
      </c:pivotFmt>
      <c:pivotFmt>
        <c:idx val="58"/>
        <c:spPr>
          <a:ln>
            <a:solidFill>
              <a:srgbClr val="FFC000"/>
            </a:solidFill>
          </a:ln>
        </c:spPr>
        <c:marker>
          <c:spPr>
            <a:solidFill>
              <a:srgbClr val="9CC746"/>
            </a:solidFill>
            <a:ln>
              <a:solidFill>
                <a:srgbClr val="FFC000"/>
              </a:solidFill>
              <a:prstDash val="solid"/>
            </a:ln>
          </c:spPr>
        </c:marker>
      </c:pivotFmt>
      <c:pivotFmt>
        <c:idx val="59"/>
        <c:spPr>
          <a:ln>
            <a:solidFill>
              <a:srgbClr val="FFC000"/>
            </a:solidFill>
          </a:ln>
        </c:spPr>
        <c:marker>
          <c:spPr>
            <a:solidFill>
              <a:srgbClr val="9CC746"/>
            </a:solidFill>
            <a:ln>
              <a:solidFill>
                <a:srgbClr val="FFC000"/>
              </a:solidFill>
              <a:prstDash val="solid"/>
            </a:ln>
          </c:spPr>
        </c:marker>
      </c:pivotFmt>
      <c:pivotFmt>
        <c:idx val="60"/>
        <c:spPr>
          <a:ln>
            <a:solidFill>
              <a:srgbClr val="FFC000"/>
            </a:solidFill>
          </a:ln>
        </c:spPr>
        <c:marker>
          <c:spPr>
            <a:solidFill>
              <a:srgbClr val="9CC746"/>
            </a:solidFill>
            <a:ln>
              <a:solidFill>
                <a:srgbClr val="FFC000"/>
              </a:solidFill>
              <a:prstDash val="solid"/>
            </a:ln>
          </c:spPr>
        </c:marker>
      </c:pivotFmt>
      <c:pivotFmt>
        <c:idx val="61"/>
        <c:spPr>
          <a:ln>
            <a:solidFill>
              <a:srgbClr val="FFC000"/>
            </a:solidFill>
          </a:ln>
        </c:spPr>
        <c:marker>
          <c:spPr>
            <a:solidFill>
              <a:srgbClr val="9CC746"/>
            </a:solidFill>
            <a:ln>
              <a:solidFill>
                <a:srgbClr val="FFC000"/>
              </a:solidFill>
              <a:prstDash val="solid"/>
            </a:ln>
          </c:spPr>
        </c:marker>
      </c:pivotFmt>
      <c:pivotFmt>
        <c:idx val="62"/>
        <c:spPr>
          <a:ln>
            <a:solidFill>
              <a:srgbClr val="FFC000"/>
            </a:solidFill>
          </a:ln>
        </c:spPr>
        <c:marker>
          <c:spPr>
            <a:solidFill>
              <a:srgbClr val="9CC746"/>
            </a:solidFill>
            <a:ln>
              <a:solidFill>
                <a:srgbClr val="FFC000"/>
              </a:solidFill>
              <a:prstDash val="solid"/>
            </a:ln>
          </c:spPr>
        </c:marker>
      </c:pivotFmt>
      <c:pivotFmt>
        <c:idx val="63"/>
        <c:spPr>
          <a:ln>
            <a:solidFill>
              <a:srgbClr val="FFC000"/>
            </a:solidFill>
          </a:ln>
        </c:spPr>
        <c:marker>
          <c:spPr>
            <a:solidFill>
              <a:srgbClr val="9CC746"/>
            </a:solidFill>
            <a:ln>
              <a:solidFill>
                <a:srgbClr val="FFC000"/>
              </a:solidFill>
              <a:prstDash val="solid"/>
            </a:ln>
          </c:spPr>
        </c:marker>
      </c:pivotFmt>
      <c:pivotFmt>
        <c:idx val="64"/>
        <c:spPr>
          <a:ln>
            <a:solidFill>
              <a:srgbClr val="FFC000"/>
            </a:solidFill>
          </a:ln>
        </c:spPr>
        <c:marker>
          <c:spPr>
            <a:solidFill>
              <a:srgbClr val="9CC746"/>
            </a:solidFill>
            <a:ln>
              <a:solidFill>
                <a:srgbClr val="FFC000"/>
              </a:solidFill>
              <a:prstDash val="solid"/>
            </a:ln>
          </c:spPr>
        </c:marker>
      </c:pivotFmt>
      <c:pivotFmt>
        <c:idx val="65"/>
        <c:marker>
          <c:symbol val="none"/>
        </c:marker>
      </c:pivotFmt>
    </c:pivotFmts>
    <c:plotArea>
      <c:layout/>
      <c:barChart>
        <c:barDir val="col"/>
        <c:grouping val="stacked"/>
        <c:varyColors val="0"/>
        <c:ser>
          <c:idx val="0"/>
          <c:order val="0"/>
          <c:tx>
            <c:strRef>
              <c:f>pt.generic_add_data10!$C$7:$C$8</c:f>
              <c:strCache>
                <c:ptCount val="1"/>
                <c:pt idx="0">
                  <c:v>Odvezeno</c:v>
                </c:pt>
              </c:strCache>
            </c:strRef>
          </c:tx>
          <c:invertIfNegative val="0"/>
          <c:cat>
            <c:multiLvlStrRef>
              <c:f>pt.generic_add_data10!$A$9:$B$22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pt.generic_add_data10!$C$9:$C$22</c:f>
              <c:numCache>
                <c:formatCode>General</c:formatCode>
                <c:ptCount val="13"/>
                <c:pt idx="0">
                  <c:v>135</c:v>
                </c:pt>
                <c:pt idx="1">
                  <c:v>135</c:v>
                </c:pt>
                <c:pt idx="2">
                  <c:v>135</c:v>
                </c:pt>
                <c:pt idx="3">
                  <c:v>135</c:v>
                </c:pt>
                <c:pt idx="4">
                  <c:v>135</c:v>
                </c:pt>
                <c:pt idx="5">
                  <c:v>135</c:v>
                </c:pt>
                <c:pt idx="6">
                  <c:v>70</c:v>
                </c:pt>
                <c:pt idx="7">
                  <c:v>145</c:v>
                </c:pt>
                <c:pt idx="8">
                  <c:v>145</c:v>
                </c:pt>
                <c:pt idx="9">
                  <c:v>135</c:v>
                </c:pt>
                <c:pt idx="10">
                  <c:v>135</c:v>
                </c:pt>
                <c:pt idx="11">
                  <c:v>135</c:v>
                </c:pt>
                <c:pt idx="12">
                  <c:v>135</c:v>
                </c:pt>
              </c:numCache>
            </c:numRef>
          </c:val>
          <c:extLst>
            <c:ext xmlns:c16="http://schemas.microsoft.com/office/drawing/2014/chart" uri="{C3380CC4-5D6E-409C-BE32-E72D297353CC}">
              <c16:uniqueId val="{00000000-6EFB-424D-8B1C-FB27BC5352CC}"/>
            </c:ext>
          </c:extLst>
        </c:ser>
        <c:ser>
          <c:idx val="1"/>
          <c:order val="1"/>
          <c:tx>
            <c:strRef>
              <c:f>pt.generic_add_data10!$D$7:$D$8</c:f>
              <c:strCache>
                <c:ptCount val="1"/>
                <c:pt idx="0">
                  <c:v>Příjezd</c:v>
                </c:pt>
              </c:strCache>
            </c:strRef>
          </c:tx>
          <c:invertIfNegative val="0"/>
          <c:cat>
            <c:multiLvlStrRef>
              <c:f>pt.generic_add_data10!$A$9:$B$22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pt.generic_add_data10!$D$9:$D$22</c:f>
              <c:numCache>
                <c:formatCode>General</c:formatCode>
                <c:ptCount val="13"/>
                <c:pt idx="0">
                  <c:v>135</c:v>
                </c:pt>
                <c:pt idx="1">
                  <c:v>135</c:v>
                </c:pt>
                <c:pt idx="2">
                  <c:v>135</c:v>
                </c:pt>
                <c:pt idx="3">
                  <c:v>135</c:v>
                </c:pt>
                <c:pt idx="4">
                  <c:v>135</c:v>
                </c:pt>
                <c:pt idx="5">
                  <c:v>135</c:v>
                </c:pt>
                <c:pt idx="6">
                  <c:v>180</c:v>
                </c:pt>
                <c:pt idx="7">
                  <c:v>90</c:v>
                </c:pt>
                <c:pt idx="8">
                  <c:v>135</c:v>
                </c:pt>
                <c:pt idx="9">
                  <c:v>135</c:v>
                </c:pt>
                <c:pt idx="10">
                  <c:v>135</c:v>
                </c:pt>
                <c:pt idx="11">
                  <c:v>135</c:v>
                </c:pt>
                <c:pt idx="12">
                  <c:v>135</c:v>
                </c:pt>
              </c:numCache>
            </c:numRef>
          </c:val>
          <c:extLst>
            <c:ext xmlns:c16="http://schemas.microsoft.com/office/drawing/2014/chart" uri="{C3380CC4-5D6E-409C-BE32-E72D297353CC}">
              <c16:uniqueId val="{00000013-F4B9-4E4A-AC7A-7CE56A2C138C}"/>
            </c:ext>
          </c:extLst>
        </c:ser>
        <c:ser>
          <c:idx val="2"/>
          <c:order val="2"/>
          <c:tx>
            <c:strRef>
              <c:f>pt.generic_add_data10!$E$7:$E$8</c:f>
              <c:strCache>
                <c:ptCount val="1"/>
                <c:pt idx="0">
                  <c:v>Uloženo</c:v>
                </c:pt>
              </c:strCache>
            </c:strRef>
          </c:tx>
          <c:invertIfNegative val="0"/>
          <c:cat>
            <c:multiLvlStrRef>
              <c:f>pt.generic_add_data10!$A$9:$B$22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pt.generic_add_data10!$E$9:$E$22</c:f>
              <c:numCache>
                <c:formatCode>General</c:formatCode>
                <c:ptCount val="13"/>
                <c:pt idx="0">
                  <c:v>135</c:v>
                </c:pt>
                <c:pt idx="1">
                  <c:v>135</c:v>
                </c:pt>
                <c:pt idx="2">
                  <c:v>135</c:v>
                </c:pt>
                <c:pt idx="3">
                  <c:v>135</c:v>
                </c:pt>
                <c:pt idx="4">
                  <c:v>135</c:v>
                </c:pt>
                <c:pt idx="5">
                  <c:v>115</c:v>
                </c:pt>
                <c:pt idx="6">
                  <c:v>90</c:v>
                </c:pt>
                <c:pt idx="7">
                  <c:v>145</c:v>
                </c:pt>
                <c:pt idx="8">
                  <c:v>145</c:v>
                </c:pt>
                <c:pt idx="9">
                  <c:v>135</c:v>
                </c:pt>
                <c:pt idx="10">
                  <c:v>135</c:v>
                </c:pt>
                <c:pt idx="11">
                  <c:v>135</c:v>
                </c:pt>
                <c:pt idx="12">
                  <c:v>135</c:v>
                </c:pt>
              </c:numCache>
            </c:numRef>
          </c:val>
          <c:extLst>
            <c:ext xmlns:c16="http://schemas.microsoft.com/office/drawing/2014/chart" uri="{C3380CC4-5D6E-409C-BE32-E72D297353CC}">
              <c16:uniqueId val="{00000014-F4B9-4E4A-AC7A-7CE56A2C138C}"/>
            </c:ext>
          </c:extLst>
        </c:ser>
        <c:ser>
          <c:idx val="3"/>
          <c:order val="3"/>
          <c:tx>
            <c:strRef>
              <c:f>pt.generic_add_data10!$F$7:$F$8</c:f>
              <c:strCache>
                <c:ptCount val="1"/>
                <c:pt idx="0">
                  <c:v>Vykládá se</c:v>
                </c:pt>
              </c:strCache>
            </c:strRef>
          </c:tx>
          <c:invertIfNegative val="0"/>
          <c:cat>
            <c:multiLvlStrRef>
              <c:f>pt.generic_add_data10!$A$9:$B$22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pt.generic_add_data10!$F$9:$F$22</c:f>
              <c:numCache>
                <c:formatCode>General</c:formatCode>
                <c:ptCount val="13"/>
                <c:pt idx="0">
                  <c:v>135</c:v>
                </c:pt>
                <c:pt idx="1">
                  <c:v>135</c:v>
                </c:pt>
                <c:pt idx="2">
                  <c:v>135</c:v>
                </c:pt>
                <c:pt idx="3">
                  <c:v>135</c:v>
                </c:pt>
                <c:pt idx="4">
                  <c:v>135</c:v>
                </c:pt>
                <c:pt idx="5">
                  <c:v>135</c:v>
                </c:pt>
                <c:pt idx="6">
                  <c:v>180</c:v>
                </c:pt>
                <c:pt idx="7">
                  <c:v>90</c:v>
                </c:pt>
                <c:pt idx="8">
                  <c:v>135</c:v>
                </c:pt>
                <c:pt idx="9">
                  <c:v>135</c:v>
                </c:pt>
                <c:pt idx="10">
                  <c:v>135</c:v>
                </c:pt>
                <c:pt idx="11">
                  <c:v>135</c:v>
                </c:pt>
                <c:pt idx="12">
                  <c:v>135</c:v>
                </c:pt>
              </c:numCache>
            </c:numRef>
          </c:val>
          <c:extLst>
            <c:ext xmlns:c16="http://schemas.microsoft.com/office/drawing/2014/chart" uri="{C3380CC4-5D6E-409C-BE32-E72D297353CC}">
              <c16:uniqueId val="{00000015-F4B9-4E4A-AC7A-7CE56A2C138C}"/>
            </c:ext>
          </c:extLst>
        </c:ser>
        <c:ser>
          <c:idx val="4"/>
          <c:order val="4"/>
          <c:tx>
            <c:strRef>
              <c:f>pt.generic_add_data10!$G$7:$G$8</c:f>
              <c:strCache>
                <c:ptCount val="1"/>
                <c:pt idx="0">
                  <c:v>Vyskladněno</c:v>
                </c:pt>
              </c:strCache>
            </c:strRef>
          </c:tx>
          <c:invertIfNegative val="0"/>
          <c:cat>
            <c:multiLvlStrRef>
              <c:f>pt.generic_add_data10!$A$9:$B$22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pt.generic_add_data10!$G$9:$G$22</c:f>
              <c:numCache>
                <c:formatCode>General</c:formatCode>
                <c:ptCount val="13"/>
                <c:pt idx="0">
                  <c:v>135</c:v>
                </c:pt>
                <c:pt idx="1">
                  <c:v>135</c:v>
                </c:pt>
                <c:pt idx="2">
                  <c:v>135</c:v>
                </c:pt>
                <c:pt idx="3">
                  <c:v>135</c:v>
                </c:pt>
                <c:pt idx="4">
                  <c:v>135</c:v>
                </c:pt>
                <c:pt idx="5">
                  <c:v>155</c:v>
                </c:pt>
                <c:pt idx="6">
                  <c:v>135</c:v>
                </c:pt>
                <c:pt idx="7">
                  <c:v>125</c:v>
                </c:pt>
                <c:pt idx="8">
                  <c:v>125</c:v>
                </c:pt>
                <c:pt idx="9">
                  <c:v>135</c:v>
                </c:pt>
                <c:pt idx="10">
                  <c:v>135</c:v>
                </c:pt>
                <c:pt idx="11">
                  <c:v>135</c:v>
                </c:pt>
                <c:pt idx="12">
                  <c:v>135</c:v>
                </c:pt>
              </c:numCache>
            </c:numRef>
          </c:val>
          <c:extLst>
            <c:ext xmlns:c16="http://schemas.microsoft.com/office/drawing/2014/chart" uri="{C3380CC4-5D6E-409C-BE32-E72D297353CC}">
              <c16:uniqueId val="{00000016-F4B9-4E4A-AC7A-7CE56A2C138C}"/>
            </c:ext>
          </c:extLst>
        </c:ser>
        <c:dLbls>
          <c:showLegendKey val="0"/>
          <c:showVal val="0"/>
          <c:showCatName val="0"/>
          <c:showSerName val="0"/>
          <c:showPercent val="0"/>
          <c:showBubbleSize val="0"/>
        </c:dLbls>
        <c:gapWidth val="150"/>
        <c:overlap val="100"/>
        <c:axId val="229269320"/>
        <c:axId val="229269712"/>
      </c:barChart>
      <c:lineChart>
        <c:grouping val="standard"/>
        <c:varyColors val="0"/>
        <c:ser>
          <c:idx val="5"/>
          <c:order val="5"/>
          <c:tx>
            <c:strRef>
              <c:f>pt.generic_add_data10!$H$7:$H$8</c:f>
              <c:strCache>
                <c:ptCount val="1"/>
                <c:pt idx="0">
                  <c:v>Zátěž</c:v>
                </c:pt>
              </c:strCache>
            </c:strRef>
          </c:tx>
          <c:spPr>
            <a:ln>
              <a:solidFill>
                <a:srgbClr val="FFC000"/>
              </a:solidFill>
            </a:ln>
          </c:spPr>
          <c:marker>
            <c:symbol val="circle"/>
            <c:size val="5"/>
            <c:spPr>
              <a:ln>
                <a:solidFill>
                  <a:srgbClr val="FFC000"/>
                </a:solidFill>
              </a:ln>
            </c:spPr>
          </c:marker>
          <c:dPt>
            <c:idx val="0"/>
            <c:marker>
              <c:spPr>
                <a:solidFill>
                  <a:srgbClr val="9CC746"/>
                </a:solidFill>
                <a:ln>
                  <a:solidFill>
                    <a:srgbClr val="FFC000"/>
                  </a:solidFill>
                  <a:prstDash val="solid"/>
                </a:ln>
              </c:spPr>
            </c:marker>
            <c:bubble3D val="0"/>
            <c:extLst>
              <c:ext xmlns:c16="http://schemas.microsoft.com/office/drawing/2014/chart" uri="{C3380CC4-5D6E-409C-BE32-E72D297353CC}">
                <c16:uniqueId val="{00000019-F4B9-4E4A-AC7A-7CE56A2C138C}"/>
              </c:ext>
            </c:extLst>
          </c:dPt>
          <c:dPt>
            <c:idx val="1"/>
            <c:marker>
              <c:spPr>
                <a:solidFill>
                  <a:srgbClr val="9CC746"/>
                </a:solidFill>
                <a:ln>
                  <a:solidFill>
                    <a:srgbClr val="FFC000"/>
                  </a:solidFill>
                  <a:prstDash val="solid"/>
                </a:ln>
              </c:spPr>
            </c:marker>
            <c:bubble3D val="0"/>
            <c:extLst>
              <c:ext xmlns:c16="http://schemas.microsoft.com/office/drawing/2014/chart" uri="{C3380CC4-5D6E-409C-BE32-E72D297353CC}">
                <c16:uniqueId val="{0000001A-F4B9-4E4A-AC7A-7CE56A2C138C}"/>
              </c:ext>
            </c:extLst>
          </c:dPt>
          <c:dPt>
            <c:idx val="2"/>
            <c:marker>
              <c:spPr>
                <a:solidFill>
                  <a:srgbClr val="9CC746"/>
                </a:solidFill>
                <a:ln>
                  <a:solidFill>
                    <a:srgbClr val="FFC000"/>
                  </a:solidFill>
                  <a:prstDash val="solid"/>
                </a:ln>
              </c:spPr>
            </c:marker>
            <c:bubble3D val="0"/>
            <c:extLst>
              <c:ext xmlns:c16="http://schemas.microsoft.com/office/drawing/2014/chart" uri="{C3380CC4-5D6E-409C-BE32-E72D297353CC}">
                <c16:uniqueId val="{0000001B-F4B9-4E4A-AC7A-7CE56A2C138C}"/>
              </c:ext>
            </c:extLst>
          </c:dPt>
          <c:dPt>
            <c:idx val="3"/>
            <c:marker>
              <c:spPr>
                <a:solidFill>
                  <a:srgbClr val="9CC746"/>
                </a:solidFill>
                <a:ln>
                  <a:solidFill>
                    <a:srgbClr val="FFC000"/>
                  </a:solidFill>
                  <a:prstDash val="solid"/>
                </a:ln>
              </c:spPr>
            </c:marker>
            <c:bubble3D val="0"/>
            <c:extLst>
              <c:ext xmlns:c16="http://schemas.microsoft.com/office/drawing/2014/chart" uri="{C3380CC4-5D6E-409C-BE32-E72D297353CC}">
                <c16:uniqueId val="{0000001C-F4B9-4E4A-AC7A-7CE56A2C138C}"/>
              </c:ext>
            </c:extLst>
          </c:dPt>
          <c:dPt>
            <c:idx val="4"/>
            <c:marker>
              <c:spPr>
                <a:solidFill>
                  <a:srgbClr val="9CC746"/>
                </a:solidFill>
                <a:ln>
                  <a:solidFill>
                    <a:srgbClr val="FFC000"/>
                  </a:solidFill>
                  <a:prstDash val="solid"/>
                </a:ln>
              </c:spPr>
            </c:marker>
            <c:bubble3D val="0"/>
            <c:extLst>
              <c:ext xmlns:c16="http://schemas.microsoft.com/office/drawing/2014/chart" uri="{C3380CC4-5D6E-409C-BE32-E72D297353CC}">
                <c16:uniqueId val="{0000001D-F4B9-4E4A-AC7A-7CE56A2C138C}"/>
              </c:ext>
            </c:extLst>
          </c:dPt>
          <c:dPt>
            <c:idx val="5"/>
            <c:marker>
              <c:spPr>
                <a:solidFill>
                  <a:srgbClr val="9CC746"/>
                </a:solidFill>
                <a:ln>
                  <a:solidFill>
                    <a:srgbClr val="FFC000"/>
                  </a:solidFill>
                  <a:prstDash val="solid"/>
                </a:ln>
              </c:spPr>
            </c:marker>
            <c:bubble3D val="0"/>
            <c:extLst>
              <c:ext xmlns:c16="http://schemas.microsoft.com/office/drawing/2014/chart" uri="{C3380CC4-5D6E-409C-BE32-E72D297353CC}">
                <c16:uniqueId val="{0000001E-F4B9-4E4A-AC7A-7CE56A2C138C}"/>
              </c:ext>
            </c:extLst>
          </c:dPt>
          <c:dPt>
            <c:idx val="6"/>
            <c:marker>
              <c:spPr>
                <a:solidFill>
                  <a:srgbClr val="9CC746"/>
                </a:solidFill>
                <a:ln>
                  <a:solidFill>
                    <a:srgbClr val="FFC000"/>
                  </a:solidFill>
                  <a:prstDash val="solid"/>
                </a:ln>
              </c:spPr>
            </c:marker>
            <c:bubble3D val="0"/>
            <c:extLst>
              <c:ext xmlns:c16="http://schemas.microsoft.com/office/drawing/2014/chart" uri="{C3380CC4-5D6E-409C-BE32-E72D297353CC}">
                <c16:uniqueId val="{0000001F-F4B9-4E4A-AC7A-7CE56A2C138C}"/>
              </c:ext>
            </c:extLst>
          </c:dPt>
          <c:dPt>
            <c:idx val="7"/>
            <c:marker>
              <c:spPr>
                <a:solidFill>
                  <a:srgbClr val="9CC746"/>
                </a:solidFill>
                <a:ln>
                  <a:solidFill>
                    <a:srgbClr val="FFC000"/>
                  </a:solidFill>
                  <a:prstDash val="solid"/>
                </a:ln>
              </c:spPr>
            </c:marker>
            <c:bubble3D val="0"/>
            <c:extLst>
              <c:ext xmlns:c16="http://schemas.microsoft.com/office/drawing/2014/chart" uri="{C3380CC4-5D6E-409C-BE32-E72D297353CC}">
                <c16:uniqueId val="{00000020-F4B9-4E4A-AC7A-7CE56A2C138C}"/>
              </c:ext>
            </c:extLst>
          </c:dPt>
          <c:dPt>
            <c:idx val="8"/>
            <c:marker>
              <c:spPr>
                <a:solidFill>
                  <a:srgbClr val="9CC746"/>
                </a:solidFill>
                <a:ln>
                  <a:solidFill>
                    <a:srgbClr val="FFC000"/>
                  </a:solidFill>
                  <a:prstDash val="solid"/>
                </a:ln>
              </c:spPr>
            </c:marker>
            <c:bubble3D val="0"/>
            <c:extLst>
              <c:ext xmlns:c16="http://schemas.microsoft.com/office/drawing/2014/chart" uri="{C3380CC4-5D6E-409C-BE32-E72D297353CC}">
                <c16:uniqueId val="{00000021-F4B9-4E4A-AC7A-7CE56A2C138C}"/>
              </c:ext>
            </c:extLst>
          </c:dPt>
          <c:dPt>
            <c:idx val="9"/>
            <c:marker>
              <c:spPr>
                <a:solidFill>
                  <a:srgbClr val="9CC746"/>
                </a:solidFill>
                <a:ln>
                  <a:solidFill>
                    <a:srgbClr val="FFC000"/>
                  </a:solidFill>
                  <a:prstDash val="solid"/>
                </a:ln>
              </c:spPr>
            </c:marker>
            <c:bubble3D val="0"/>
            <c:extLst>
              <c:ext xmlns:c16="http://schemas.microsoft.com/office/drawing/2014/chart" uri="{C3380CC4-5D6E-409C-BE32-E72D297353CC}">
                <c16:uniqueId val="{00000022-F4B9-4E4A-AC7A-7CE56A2C138C}"/>
              </c:ext>
            </c:extLst>
          </c:dPt>
          <c:dPt>
            <c:idx val="10"/>
            <c:marker>
              <c:spPr>
                <a:solidFill>
                  <a:srgbClr val="9CC746"/>
                </a:solidFill>
                <a:ln>
                  <a:solidFill>
                    <a:srgbClr val="FFC000"/>
                  </a:solidFill>
                  <a:prstDash val="solid"/>
                </a:ln>
              </c:spPr>
            </c:marker>
            <c:bubble3D val="0"/>
            <c:extLst>
              <c:ext xmlns:c16="http://schemas.microsoft.com/office/drawing/2014/chart" uri="{C3380CC4-5D6E-409C-BE32-E72D297353CC}">
                <c16:uniqueId val="{00000023-F4B9-4E4A-AC7A-7CE56A2C138C}"/>
              </c:ext>
            </c:extLst>
          </c:dPt>
          <c:dPt>
            <c:idx val="11"/>
            <c:marker>
              <c:spPr>
                <a:solidFill>
                  <a:srgbClr val="9CC746"/>
                </a:solidFill>
                <a:ln>
                  <a:solidFill>
                    <a:srgbClr val="FFC000"/>
                  </a:solidFill>
                  <a:prstDash val="solid"/>
                </a:ln>
              </c:spPr>
            </c:marker>
            <c:bubble3D val="0"/>
            <c:extLst>
              <c:ext xmlns:c16="http://schemas.microsoft.com/office/drawing/2014/chart" uri="{C3380CC4-5D6E-409C-BE32-E72D297353CC}">
                <c16:uniqueId val="{00000024-F4B9-4E4A-AC7A-7CE56A2C138C}"/>
              </c:ext>
            </c:extLst>
          </c:dPt>
          <c:dPt>
            <c:idx val="12"/>
            <c:marker>
              <c:spPr>
                <a:solidFill>
                  <a:srgbClr val="9CC746"/>
                </a:solidFill>
                <a:ln>
                  <a:solidFill>
                    <a:srgbClr val="FFC000"/>
                  </a:solidFill>
                  <a:prstDash val="solid"/>
                </a:ln>
              </c:spPr>
            </c:marker>
            <c:bubble3D val="0"/>
            <c:extLst>
              <c:ext xmlns:c16="http://schemas.microsoft.com/office/drawing/2014/chart" uri="{C3380CC4-5D6E-409C-BE32-E72D297353CC}">
                <c16:uniqueId val="{00000025-F4B9-4E4A-AC7A-7CE56A2C138C}"/>
              </c:ext>
            </c:extLst>
          </c:dPt>
          <c:cat>
            <c:multiLvlStrRef>
              <c:f>pt.generic_add_data10!$A$9:$B$22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pt.generic_add_data10!$H$9:$H$22</c:f>
              <c:numCache>
                <c:formatCode>General</c:formatCode>
                <c:ptCount val="13"/>
                <c:pt idx="0">
                  <c:v>4.7</c:v>
                </c:pt>
                <c:pt idx="1">
                  <c:v>4.7</c:v>
                </c:pt>
                <c:pt idx="2">
                  <c:v>4.7</c:v>
                </c:pt>
                <c:pt idx="3">
                  <c:v>4.7</c:v>
                </c:pt>
                <c:pt idx="4">
                  <c:v>4.7</c:v>
                </c:pt>
                <c:pt idx="5">
                  <c:v>4.7</c:v>
                </c:pt>
                <c:pt idx="6">
                  <c:v>4.54</c:v>
                </c:pt>
                <c:pt idx="7">
                  <c:v>4.59</c:v>
                </c:pt>
                <c:pt idx="8">
                  <c:v>4.84</c:v>
                </c:pt>
                <c:pt idx="9">
                  <c:v>4.7</c:v>
                </c:pt>
                <c:pt idx="10">
                  <c:v>4.7</c:v>
                </c:pt>
                <c:pt idx="11">
                  <c:v>4.7</c:v>
                </c:pt>
                <c:pt idx="12">
                  <c:v>4.7</c:v>
                </c:pt>
              </c:numCache>
            </c:numRef>
          </c:val>
          <c:smooth val="0"/>
          <c:extLst>
            <c:ext xmlns:c16="http://schemas.microsoft.com/office/drawing/2014/chart" uri="{C3380CC4-5D6E-409C-BE32-E72D297353CC}">
              <c16:uniqueId val="{00000017-F4B9-4E4A-AC7A-7CE56A2C138C}"/>
            </c:ext>
          </c:extLst>
        </c:ser>
        <c:ser>
          <c:idx val="6"/>
          <c:order val="6"/>
          <c:tx>
            <c:strRef>
              <c:f>pt.generic_add_data10!$I$7:$I$8</c:f>
              <c:strCache>
                <c:ptCount val="1"/>
                <c:pt idx="0">
                  <c:v>Zátěž cíl</c:v>
                </c:pt>
              </c:strCache>
            </c:strRef>
          </c:tx>
          <c:spPr>
            <a:ln>
              <a:solidFill>
                <a:srgbClr val="000000"/>
              </a:solidFill>
            </a:ln>
          </c:spPr>
          <c:marker>
            <c:symbol val="none"/>
          </c:marker>
          <c:cat>
            <c:multiLvlStrRef>
              <c:f>pt.generic_add_data10!$A$9:$B$22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pt.generic_add_data10!$I$9:$I$22</c:f>
              <c:numCache>
                <c:formatCode>General</c:formatCode>
                <c:ptCount val="13"/>
                <c:pt idx="0">
                  <c:v>5.5</c:v>
                </c:pt>
                <c:pt idx="1">
                  <c:v>5.5</c:v>
                </c:pt>
                <c:pt idx="2">
                  <c:v>5.5</c:v>
                </c:pt>
                <c:pt idx="3">
                  <c:v>5.5</c:v>
                </c:pt>
                <c:pt idx="4">
                  <c:v>5.5</c:v>
                </c:pt>
                <c:pt idx="5">
                  <c:v>5.5</c:v>
                </c:pt>
                <c:pt idx="6">
                  <c:v>5.5</c:v>
                </c:pt>
                <c:pt idx="7">
                  <c:v>5.5</c:v>
                </c:pt>
                <c:pt idx="8">
                  <c:v>5.5</c:v>
                </c:pt>
                <c:pt idx="9">
                  <c:v>5.5</c:v>
                </c:pt>
                <c:pt idx="10">
                  <c:v>5.5</c:v>
                </c:pt>
                <c:pt idx="11">
                  <c:v>5.5</c:v>
                </c:pt>
                <c:pt idx="12">
                  <c:v>5.5</c:v>
                </c:pt>
              </c:numCache>
            </c:numRef>
          </c:val>
          <c:smooth val="0"/>
          <c:extLst>
            <c:ext xmlns:c16="http://schemas.microsoft.com/office/drawing/2014/chart" uri="{C3380CC4-5D6E-409C-BE32-E72D297353CC}">
              <c16:uniqueId val="{00000018-F4B9-4E4A-AC7A-7CE56A2C138C}"/>
            </c:ext>
          </c:extLst>
        </c:ser>
        <c:dLbls>
          <c:showLegendKey val="0"/>
          <c:showVal val="0"/>
          <c:showCatName val="0"/>
          <c:showSerName val="0"/>
          <c:showPercent val="0"/>
          <c:showBubbleSize val="0"/>
        </c:dLbls>
        <c:marker val="1"/>
        <c:smooth val="0"/>
        <c:axId val="520220112"/>
        <c:axId val="520218144"/>
      </c:lineChart>
      <c:catAx>
        <c:axId val="229269320"/>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29269712"/>
        <c:crosses val="autoZero"/>
        <c:auto val="1"/>
        <c:lblAlgn val="ctr"/>
        <c:lblOffset val="100"/>
        <c:noMultiLvlLbl val="0"/>
      </c:catAx>
      <c:valAx>
        <c:axId val="229269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29269320"/>
        <c:crosses val="autoZero"/>
        <c:crossBetween val="between"/>
      </c:valAx>
      <c:valAx>
        <c:axId val="520218144"/>
        <c:scaling>
          <c:orientation val="minMax"/>
        </c:scaling>
        <c:delete val="0"/>
        <c:axPos val="r"/>
        <c:numFmt formatCode="0%" sourceLinked="0"/>
        <c:majorTickMark val="out"/>
        <c:minorTickMark val="none"/>
        <c:tickLblPos val="nextTo"/>
        <c:crossAx val="520220112"/>
        <c:crosses val="max"/>
        <c:crossBetween val="between"/>
      </c:valAx>
      <c:catAx>
        <c:axId val="520220112"/>
        <c:scaling>
          <c:orientation val="minMax"/>
        </c:scaling>
        <c:delete val="1"/>
        <c:axPos val="b"/>
        <c:numFmt formatCode="General" sourceLinked="1"/>
        <c:majorTickMark val="out"/>
        <c:minorTickMark val="none"/>
        <c:tickLblPos val="nextTo"/>
        <c:crossAx val="520218144"/>
        <c:crosses val="autoZero"/>
        <c:auto val="1"/>
        <c:lblAlgn val="ctr"/>
        <c:lblOffset val="100"/>
        <c:noMultiLvlLbl val="0"/>
      </c:cat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1.3_3_2.xlsm]pt.generic_add_data1!pt.generic_add_data1</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solidFill>
              <a:srgbClr val="FFC000"/>
            </a:solidFill>
          </a:ln>
          <a:effectLst/>
        </c:spPr>
        <c:marker>
          <c:symbol val="circle"/>
          <c:size val="5"/>
          <c:spPr>
            <a:solidFill>
              <a:schemeClr val="accent1"/>
            </a:solidFill>
            <a:ln w="9525">
              <a:solidFill>
                <a:srgbClr val="FFC000"/>
              </a:solidFill>
            </a:ln>
            <a:effectLst/>
          </c:spPr>
        </c:marker>
      </c:pivotFmt>
      <c:pivotFmt>
        <c:idx val="6"/>
        <c:spPr>
          <a:solidFill>
            <a:schemeClr val="accent1"/>
          </a:solidFill>
          <a:ln>
            <a:solidFill>
              <a:srgbClr val="000000"/>
            </a:solidFill>
          </a:ln>
          <a:effectLst/>
        </c:spPr>
        <c:marker>
          <c:symbol val="none"/>
        </c:marker>
      </c:pivotFmt>
      <c:pivotFmt>
        <c:idx val="7"/>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8"/>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9"/>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0"/>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1"/>
        <c:spPr>
          <a:solidFill>
            <a:schemeClr val="accent1"/>
          </a:solidFill>
          <a:ln w="28575" cap="rnd">
            <a:solidFill>
              <a:srgbClr val="FFC000"/>
            </a:solidFill>
            <a:round/>
          </a:ln>
          <a:effectLst/>
        </c:spPr>
        <c:marker>
          <c:spPr>
            <a:solidFill>
              <a:srgbClr val="9CC746"/>
            </a:solidFill>
            <a:ln w="12700">
              <a:solidFill>
                <a:srgbClr val="9CC746"/>
              </a:solidFill>
              <a:prstDash val="solid"/>
            </a:ln>
            <a:effectLst/>
          </c:spPr>
        </c:marker>
      </c:pivotFmt>
      <c:pivotFmt>
        <c:idx val="12"/>
        <c:spPr>
          <a:solidFill>
            <a:schemeClr val="accent1"/>
          </a:solidFill>
          <a:ln w="28575" cap="rnd">
            <a:solidFill>
              <a:srgbClr val="FFC000"/>
            </a:solidFill>
            <a:round/>
          </a:ln>
          <a:effectLst/>
        </c:spPr>
        <c:marker>
          <c:spPr>
            <a:solidFill>
              <a:srgbClr val="9CC746"/>
            </a:solidFill>
            <a:ln w="12700">
              <a:solidFill>
                <a:srgbClr val="9CC746"/>
              </a:solidFill>
              <a:prstDash val="solid"/>
            </a:ln>
            <a:effectLst/>
          </c:spPr>
        </c:marker>
      </c:pivotFmt>
      <c:pivotFmt>
        <c:idx val="13"/>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4"/>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5"/>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6"/>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7"/>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8"/>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9"/>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20"/>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1"/>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2"/>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3"/>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4"/>
        <c:spPr>
          <a:solidFill>
            <a:schemeClr val="accent1"/>
          </a:solidFill>
          <a:ln w="28575" cap="rnd">
            <a:solidFill>
              <a:srgbClr val="FFC000"/>
            </a:solidFill>
            <a:round/>
          </a:ln>
          <a:effectLst/>
        </c:spPr>
        <c:marker>
          <c:spPr>
            <a:solidFill>
              <a:srgbClr val="9CC746"/>
            </a:solidFill>
            <a:ln w="9525">
              <a:solidFill>
                <a:srgbClr val="9CC746"/>
              </a:solidFill>
              <a:prstDash val="solid"/>
            </a:ln>
            <a:effectLst/>
          </c:spPr>
        </c:marker>
      </c:pivotFmt>
      <c:pivotFmt>
        <c:idx val="25"/>
        <c:spPr>
          <a:solidFill>
            <a:schemeClr val="accent1"/>
          </a:solidFill>
          <a:ln w="28575" cap="rnd">
            <a:solidFill>
              <a:srgbClr val="FFC000"/>
            </a:solidFill>
            <a:round/>
          </a:ln>
          <a:effectLst/>
        </c:spPr>
        <c:marker>
          <c:spPr>
            <a:solidFill>
              <a:srgbClr val="9CC746"/>
            </a:solidFill>
            <a:ln w="9525">
              <a:solidFill>
                <a:srgbClr val="9CC746"/>
              </a:solidFill>
              <a:prstDash val="solid"/>
            </a:ln>
            <a:effectLst/>
          </c:spPr>
        </c:marker>
      </c:pivotFmt>
      <c:pivotFmt>
        <c:idx val="26"/>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7"/>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8"/>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9"/>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30"/>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31"/>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32"/>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33"/>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4"/>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5"/>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6"/>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7"/>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8"/>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9"/>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0"/>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1"/>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2"/>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3"/>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4"/>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5"/>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6"/>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7"/>
        <c:spPr>
          <a:solidFill>
            <a:schemeClr val="accent1"/>
          </a:solidFill>
          <a:ln>
            <a:noFill/>
          </a:ln>
          <a:effectLst/>
        </c:spPr>
        <c:marker>
          <c:symbol val="none"/>
        </c:marker>
      </c:pivotFmt>
      <c:pivotFmt>
        <c:idx val="48"/>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9"/>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0"/>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1"/>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2"/>
        <c:spPr>
          <a:solidFill>
            <a:srgbClr val="9B2D2A"/>
          </a:solidFill>
          <a:ln w="28575" cap="rnd">
            <a:solidFill>
              <a:srgbClr val="FFC000"/>
            </a:solidFill>
            <a:round/>
          </a:ln>
          <a:effectLst/>
        </c:spPr>
        <c:marker>
          <c:spPr>
            <a:solidFill>
              <a:srgbClr val="9B2D2A"/>
            </a:solidFill>
            <a:ln w="12700">
              <a:solidFill>
                <a:srgbClr val="FFC000"/>
              </a:solidFill>
              <a:prstDash val="solid"/>
            </a:ln>
            <a:effectLst/>
          </c:spPr>
        </c:marker>
      </c:pivotFmt>
      <c:pivotFmt>
        <c:idx val="53"/>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4"/>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5"/>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6"/>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7"/>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8"/>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9"/>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64"/>
        <c:spPr>
          <a:solidFill>
            <a:schemeClr val="accent1"/>
          </a:solidFill>
          <a:ln w="28575" cap="rnd">
            <a:solidFill>
              <a:srgbClr val="000000"/>
            </a:solidFill>
            <a:round/>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7"/>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8"/>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9"/>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0"/>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1"/>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2"/>
        <c:spPr>
          <a:solidFill>
            <a:schemeClr val="accent1"/>
          </a:solidFill>
          <a:ln w="28575" cap="rnd">
            <a:solidFill>
              <a:srgbClr val="FFC000"/>
            </a:solidFill>
            <a:round/>
          </a:ln>
          <a:effectLst/>
        </c:spPr>
        <c:marker>
          <c:spPr>
            <a:solidFill>
              <a:srgbClr val="9B2D2A"/>
            </a:solidFill>
            <a:ln w="9525">
              <a:solidFill>
                <a:srgbClr val="FFC000"/>
              </a:solidFill>
              <a:prstDash val="solid"/>
            </a:ln>
            <a:effectLst/>
          </c:spPr>
        </c:marker>
      </c:pivotFmt>
      <c:pivotFmt>
        <c:idx val="73"/>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4"/>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5"/>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6"/>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7"/>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8"/>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s>
    <c:plotArea>
      <c:layout>
        <c:manualLayout>
          <c:layoutTarget val="inner"/>
          <c:xMode val="edge"/>
          <c:yMode val="edge"/>
          <c:x val="0.18133834860998671"/>
          <c:y val="0.31514876304099038"/>
          <c:w val="0.7580052427320727"/>
          <c:h val="0.63152527316608142"/>
        </c:manualLayout>
      </c:layout>
      <c:barChart>
        <c:barDir val="col"/>
        <c:grouping val="stacked"/>
        <c:varyColors val="0"/>
        <c:ser>
          <c:idx val="0"/>
          <c:order val="0"/>
          <c:tx>
            <c:strRef>
              <c:f>pt.generic_add_data1!$D$8:$D$9</c:f>
              <c:strCache>
                <c:ptCount val="1"/>
                <c:pt idx="0">
                  <c:v>Grand Total</c:v>
                </c:pt>
              </c:strCache>
            </c:strRef>
          </c:tx>
          <c:spPr>
            <a:solidFill>
              <a:schemeClr val="accent1"/>
            </a:solidFill>
            <a:ln>
              <a:noFill/>
            </a:ln>
            <a:effectLst/>
          </c:spPr>
          <c:invertIfNegative val="0"/>
          <c:cat>
            <c:strRef>
              <c:f>pt.generic_add_data1!$B$10:$C$10</c:f>
              <c:strCache>
                <c:ptCount val="1"/>
                <c:pt idx="0">
                  <c:v>Grand Total</c:v>
                </c:pt>
              </c:strCache>
            </c:strRef>
          </c:cat>
          <c:val>
            <c:numRef>
              <c:f>pt.generic_add_data1!$D$10</c:f>
              <c:numCache>
                <c:formatCode>General</c:formatCode>
                <c:ptCount val="1"/>
              </c:numCache>
            </c:numRef>
          </c:val>
          <c:extLst>
            <c:ext xmlns:c16="http://schemas.microsoft.com/office/drawing/2014/chart" uri="{C3380CC4-5D6E-409C-BE32-E72D297353CC}">
              <c16:uniqueId val="{00000000-D321-4A28-B503-A5BBF8B54591}"/>
            </c:ext>
          </c:extLst>
        </c:ser>
        <c:dLbls>
          <c:showLegendKey val="0"/>
          <c:showVal val="0"/>
          <c:showCatName val="0"/>
          <c:showSerName val="0"/>
          <c:showPercent val="0"/>
          <c:showBubbleSize val="0"/>
        </c:dLbls>
        <c:gapWidth val="200"/>
        <c:overlap val="100"/>
        <c:axId val="237753904"/>
        <c:axId val="237754296"/>
      </c:barChart>
      <c:catAx>
        <c:axId val="237753904"/>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37754296"/>
        <c:crosses val="autoZero"/>
        <c:auto val="1"/>
        <c:lblAlgn val="ctr"/>
        <c:lblOffset val="100"/>
        <c:noMultiLvlLbl val="0"/>
      </c:catAx>
      <c:valAx>
        <c:axId val="237754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37753904"/>
        <c:crosses val="autoZero"/>
        <c:crossBetween val="between"/>
      </c:valAx>
      <c:spPr>
        <a:noFill/>
        <a:ln>
          <a:noFill/>
        </a:ln>
        <a:effectLst/>
      </c:spPr>
    </c:plotArea>
    <c:legend>
      <c:legendPos val="l"/>
      <c:layout>
        <c:manualLayout>
          <c:xMode val="edge"/>
          <c:yMode val="edge"/>
          <c:x val="1.0408886864474E-2"/>
          <c:y val="0.17358784239886188"/>
          <c:w val="0.10363633950780608"/>
          <c:h val="0.1623287157630352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1.3_3_2.xlsm]pt.generic_add_data11!pt.generic_add_data11</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a:solidFill>
              <a:srgbClr val="FFC000"/>
            </a:solidFill>
          </a:ln>
          <a:effectLst/>
        </c:spPr>
        <c:marker>
          <c:symbol val="circle"/>
          <c:size val="5"/>
          <c:spPr>
            <a:solidFill>
              <a:srgbClr val="000000"/>
            </a:solidFill>
            <a:ln w="9525">
              <a:solidFill>
                <a:srgbClr val="FFC000"/>
              </a:solidFill>
            </a:ln>
            <a:effectLst/>
          </c:spPr>
        </c:marker>
      </c:pivotFmt>
      <c:pivotFmt>
        <c:idx val="14"/>
        <c:spPr>
          <a:solidFill>
            <a:srgbClr val="9B2D2A"/>
          </a:solidFill>
          <a:ln>
            <a:solidFill>
              <a:srgbClr val="9B2D2A"/>
            </a:solidFill>
          </a:ln>
          <a:effectLst/>
        </c:spPr>
        <c:marker>
          <c:symbol val="none"/>
        </c:marker>
      </c:pivotFmt>
      <c:pivotFmt>
        <c:idx val="15"/>
        <c:spPr>
          <a:solidFill>
            <a:schemeClr val="accent1"/>
          </a:solidFill>
          <a:ln>
            <a:solidFill>
              <a:srgbClr val="9B2D2A"/>
            </a:solidFill>
          </a:ln>
          <a:effectLst/>
        </c:spPr>
        <c:marker>
          <c:symbol val="circle"/>
          <c:size val="5"/>
          <c:spPr>
            <a:solidFill>
              <a:srgbClr val="000000"/>
            </a:solidFill>
            <a:ln w="9525">
              <a:solidFill>
                <a:srgbClr val="9B2D2A"/>
              </a:solidFill>
            </a:ln>
            <a:effectLst/>
          </c:spPr>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a:solidFill>
              <a:srgbClr val="9CC746"/>
            </a:solidFill>
          </a:ln>
          <a:effectLst/>
        </c:spPr>
        <c:marker>
          <c:symbol val="circle"/>
          <c:size val="5"/>
          <c:spPr>
            <a:solidFill>
              <a:srgbClr val="000000"/>
            </a:solidFill>
            <a:ln w="9525">
              <a:solidFill>
                <a:srgbClr val="9CC746"/>
              </a:solidFill>
            </a:ln>
            <a:effectLst/>
          </c:spPr>
        </c:marker>
      </c:pivotFmt>
      <c:pivotFmt>
        <c:idx val="19"/>
        <c:spPr>
          <a:solidFill>
            <a:schemeClr val="accent1"/>
          </a:solidFill>
          <a:ln>
            <a:solidFill>
              <a:srgbClr val="9CC746"/>
            </a:solidFill>
          </a:ln>
          <a:effectLst/>
        </c:spPr>
        <c:marker>
          <c:spPr>
            <a:solidFill>
              <a:schemeClr val="accent1"/>
            </a:solidFill>
            <a:ln w="9525">
              <a:solidFill>
                <a:schemeClr val="accent1"/>
              </a:solidFill>
            </a:ln>
            <a:effectLst/>
          </c:spPr>
        </c:marker>
      </c:pivotFmt>
      <c:pivotFmt>
        <c:idx val="20"/>
        <c:spPr>
          <a:solidFill>
            <a:srgbClr val="FFC000"/>
          </a:solidFill>
          <a:ln>
            <a:solidFill>
              <a:srgbClr val="FFC000"/>
            </a:solidFill>
          </a:ln>
          <a:effectLst/>
        </c:spPr>
        <c:marker>
          <c:symbol val="none"/>
        </c:marker>
      </c:pivotFmt>
      <c:pivotFmt>
        <c:idx val="21"/>
        <c:spPr>
          <a:solidFill>
            <a:srgbClr val="9CC746"/>
          </a:solidFill>
          <a:ln>
            <a:solidFill>
              <a:srgbClr val="9CC746"/>
            </a:solidFill>
          </a:ln>
          <a:effectLst/>
        </c:spPr>
        <c:marker>
          <c:symbol val="none"/>
        </c:marker>
      </c:pivotFmt>
      <c:pivotFmt>
        <c:idx val="22"/>
        <c:spPr>
          <a:solidFill>
            <a:schemeClr val="accent1"/>
          </a:solidFill>
          <a:ln w="28575" cap="rnd">
            <a:solidFill>
              <a:srgbClr val="9CC746"/>
            </a:solidFill>
            <a:round/>
          </a:ln>
          <a:effectLst/>
        </c:spPr>
        <c:marker>
          <c:symbol val="none"/>
        </c:marker>
      </c:pivotFmt>
      <c:pivotFmt>
        <c:idx val="23"/>
        <c:spPr>
          <a:solidFill>
            <a:schemeClr val="accent1"/>
          </a:solidFill>
          <a:ln>
            <a:noFill/>
          </a:ln>
          <a:effectLst/>
        </c:spPr>
        <c:marker>
          <c:symbol val="none"/>
        </c:marker>
      </c:pivotFmt>
    </c:pivotFmts>
    <c:plotArea>
      <c:layout/>
      <c:barChart>
        <c:barDir val="col"/>
        <c:grouping val="stacked"/>
        <c:varyColors val="0"/>
        <c:ser>
          <c:idx val="0"/>
          <c:order val="0"/>
          <c:tx>
            <c:strRef>
              <c:f>pt.generic_add_data11!$C$7:$C$9</c:f>
              <c:strCache>
                <c:ptCount val="1"/>
                <c:pt idx="0">
                  <c:v>Grand Total</c:v>
                </c:pt>
              </c:strCache>
            </c:strRef>
          </c:tx>
          <c:spPr>
            <a:solidFill>
              <a:schemeClr val="accent1"/>
            </a:solidFill>
            <a:ln>
              <a:noFill/>
            </a:ln>
            <a:effectLst/>
          </c:spPr>
          <c:invertIfNegative val="0"/>
          <c:cat>
            <c:strRef>
              <c:f>pt.generic_add_data11!$A$10:$B$10</c:f>
              <c:strCache>
                <c:ptCount val="1"/>
                <c:pt idx="0">
                  <c:v>Grand Total</c:v>
                </c:pt>
              </c:strCache>
            </c:strRef>
          </c:cat>
          <c:val>
            <c:numRef>
              <c:f>pt.generic_add_data11!$C$10</c:f>
              <c:numCache>
                <c:formatCode>General</c:formatCode>
                <c:ptCount val="1"/>
              </c:numCache>
            </c:numRef>
          </c:val>
          <c:extLst>
            <c:ext xmlns:c16="http://schemas.microsoft.com/office/drawing/2014/chart" uri="{C3380CC4-5D6E-409C-BE32-E72D297353CC}">
              <c16:uniqueId val="{00000000-A49F-4183-98DD-B165785101B2}"/>
            </c:ext>
          </c:extLst>
        </c:ser>
        <c:dLbls>
          <c:showLegendKey val="0"/>
          <c:showVal val="0"/>
          <c:showCatName val="0"/>
          <c:showSerName val="0"/>
          <c:showPercent val="0"/>
          <c:showBubbleSize val="0"/>
        </c:dLbls>
        <c:gapWidth val="200"/>
        <c:overlap val="100"/>
        <c:axId val="236851240"/>
        <c:axId val="236851632"/>
      </c:barChart>
      <c:catAx>
        <c:axId val="236851240"/>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36851632"/>
        <c:crosses val="autoZero"/>
        <c:auto val="1"/>
        <c:lblAlgn val="ctr"/>
        <c:lblOffset val="100"/>
        <c:tickLblSkip val="2"/>
        <c:tickMarkSkip val="1"/>
        <c:noMultiLvlLbl val="0"/>
      </c:catAx>
      <c:valAx>
        <c:axId val="2368516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36851240"/>
        <c:crosses val="autoZero"/>
        <c:crossBetween val="between"/>
      </c:valAx>
      <c:spPr>
        <a:noFill/>
        <a:ln w="25400">
          <a:noFill/>
        </a:ln>
        <a:effectLst/>
      </c:spPr>
    </c:plotArea>
    <c:legend>
      <c:legendPos val="l"/>
      <c:layout>
        <c:manualLayout>
          <c:xMode val="edge"/>
          <c:yMode val="edge"/>
          <c:x val="1.0506920296184843E-2"/>
          <c:y val="9.0002295684113873E-2"/>
          <c:w val="0.10365168527674973"/>
          <c:h val="0.162487111057196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1.3_3_2.xlsm]pt.generic_add_data12!pt.generic_add_data12</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rgbClr val="FFC000"/>
          </a:solidFill>
          <a:ln>
            <a:solidFill>
              <a:srgbClr val="FFC000"/>
            </a:solidFill>
          </a:ln>
          <a:effectLst/>
        </c:spPr>
        <c:marker>
          <c:symbol val="none"/>
        </c:marker>
      </c:pivotFmt>
      <c:pivotFmt>
        <c:idx val="11"/>
        <c:spPr>
          <a:solidFill>
            <a:schemeClr val="accent1"/>
          </a:solidFill>
          <a:ln>
            <a:solidFill>
              <a:srgbClr val="FFC000"/>
            </a:solidFill>
          </a:ln>
          <a:effectLst/>
        </c:spPr>
        <c:marker>
          <c:symbol val="circle"/>
          <c:size val="5"/>
          <c:spPr>
            <a:solidFill>
              <a:srgbClr val="000000"/>
            </a:solidFill>
            <a:ln w="9525">
              <a:solidFill>
                <a:srgbClr val="FFC000"/>
              </a:solidFill>
            </a:ln>
            <a:effectLst/>
          </c:spPr>
        </c:marker>
      </c:pivotFmt>
      <c:pivotFmt>
        <c:idx val="12"/>
        <c:spPr>
          <a:solidFill>
            <a:srgbClr val="9B2D2A"/>
          </a:solidFill>
          <a:ln>
            <a:solidFill>
              <a:srgbClr val="9B2D2A"/>
            </a:solidFill>
          </a:ln>
          <a:effectLst/>
        </c:spPr>
        <c:marker>
          <c:symbol val="none"/>
        </c:marker>
      </c:pivotFmt>
      <c:pivotFmt>
        <c:idx val="13"/>
        <c:spPr>
          <a:solidFill>
            <a:schemeClr val="accent1"/>
          </a:solidFill>
          <a:ln>
            <a:solidFill>
              <a:srgbClr val="9B2D2A"/>
            </a:solidFill>
          </a:ln>
          <a:effectLst/>
        </c:spPr>
        <c:marker>
          <c:symbol val="circle"/>
          <c:size val="5"/>
          <c:spPr>
            <a:solidFill>
              <a:srgbClr val="000000"/>
            </a:solidFill>
            <a:ln w="9525">
              <a:solidFill>
                <a:srgbClr val="9B2D2A"/>
              </a:solidFill>
            </a:ln>
            <a:effectLst/>
          </c:spPr>
        </c:marker>
      </c:pivotFmt>
      <c:pivotFmt>
        <c:idx val="14"/>
        <c:spPr>
          <a:solidFill>
            <a:schemeClr val="accent1"/>
          </a:solidFill>
          <a:ln>
            <a:noFill/>
          </a:ln>
          <a:effectLst/>
        </c:spPr>
        <c:marker>
          <c:symbol val="none"/>
        </c:marker>
      </c:pivotFmt>
      <c:pivotFmt>
        <c:idx val="15"/>
        <c:spPr>
          <a:solidFill>
            <a:srgbClr val="9CC746"/>
          </a:solidFill>
          <a:ln>
            <a:solidFill>
              <a:srgbClr val="9CC746"/>
            </a:solidFill>
          </a:ln>
          <a:effectLst/>
        </c:spPr>
        <c:marker>
          <c:symbol val="none"/>
        </c:marker>
      </c:pivotFmt>
      <c:pivotFmt>
        <c:idx val="16"/>
        <c:spPr>
          <a:solidFill>
            <a:schemeClr val="accent1"/>
          </a:solidFill>
          <a:ln>
            <a:solidFill>
              <a:srgbClr val="9CC746"/>
            </a:solidFill>
          </a:ln>
          <a:effectLst/>
        </c:spPr>
        <c:marker>
          <c:symbol val="circle"/>
          <c:size val="5"/>
          <c:spPr>
            <a:solidFill>
              <a:srgbClr val="000000"/>
            </a:solidFill>
            <a:ln w="9525">
              <a:solidFill>
                <a:srgbClr val="9CC746"/>
              </a:solidFill>
            </a:ln>
            <a:effectLst/>
          </c:spPr>
        </c:marker>
      </c:pivotFmt>
      <c:pivotFmt>
        <c:idx val="17"/>
        <c:spPr>
          <a:solidFill>
            <a:schemeClr val="accent1"/>
          </a:solidFill>
          <a:ln>
            <a:solidFill>
              <a:srgbClr val="9CC746"/>
            </a:solidFill>
          </a:ln>
          <a:effectLst/>
        </c:spPr>
        <c:marker>
          <c:spPr>
            <a:solidFill>
              <a:schemeClr val="accent1"/>
            </a:solidFill>
            <a:ln w="9525">
              <a:solidFill>
                <a:schemeClr val="accent1"/>
              </a:solidFill>
            </a:ln>
            <a:effectLst/>
          </c:spPr>
        </c:marker>
      </c:pivotFmt>
      <c:pivotFmt>
        <c:idx val="18"/>
        <c:spPr>
          <a:solidFill>
            <a:srgbClr val="9B2D2A"/>
          </a:solidFill>
          <a:ln>
            <a:solidFill>
              <a:srgbClr val="9B2D2A"/>
            </a:solidFill>
          </a:ln>
          <a:effectLst/>
        </c:spPr>
        <c:marker>
          <c:symbol val="none"/>
        </c:marker>
      </c:pivotFmt>
      <c:pivotFmt>
        <c:idx val="19"/>
        <c:spPr>
          <a:solidFill>
            <a:srgbClr val="FFC000"/>
          </a:solidFill>
          <a:ln>
            <a:solidFill>
              <a:srgbClr val="FFC000"/>
            </a:solidFill>
          </a:ln>
          <a:effectLst/>
        </c:spPr>
        <c:marker>
          <c:symbol val="none"/>
        </c:marker>
      </c:pivotFmt>
      <c:pivotFmt>
        <c:idx val="20"/>
        <c:spPr>
          <a:solidFill>
            <a:schemeClr val="accent1"/>
          </a:solidFill>
          <a:ln w="28575" cap="rnd">
            <a:solidFill>
              <a:srgbClr val="FFC000"/>
            </a:solidFill>
            <a:round/>
          </a:ln>
          <a:effectLst/>
        </c:spPr>
        <c:marker>
          <c:symbol val="none"/>
        </c:marker>
      </c:pivotFmt>
      <c:pivotFmt>
        <c:idx val="21"/>
        <c:spPr>
          <a:solidFill>
            <a:srgbClr val="9CC746"/>
          </a:solidFill>
          <a:ln>
            <a:solidFill>
              <a:srgbClr val="9CC746"/>
            </a:solidFill>
          </a:ln>
          <a:effectLst/>
        </c:spPr>
        <c:marker>
          <c:symbol val="none"/>
        </c:marker>
      </c:pivotFmt>
      <c:pivotFmt>
        <c:idx val="22"/>
        <c:spPr>
          <a:solidFill>
            <a:schemeClr val="accent1"/>
          </a:solidFill>
          <a:ln w="28575" cap="rnd">
            <a:solidFill>
              <a:srgbClr val="9CC746"/>
            </a:solidFill>
            <a:round/>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s>
    <c:plotArea>
      <c:layout/>
      <c:barChart>
        <c:barDir val="col"/>
        <c:grouping val="stacked"/>
        <c:varyColors val="0"/>
        <c:ser>
          <c:idx val="0"/>
          <c:order val="0"/>
          <c:tx>
            <c:strRef>
              <c:f>pt.generic_add_data12!$C$7:$C$9</c:f>
              <c:strCache>
                <c:ptCount val="1"/>
                <c:pt idx="0">
                  <c:v>Grand Total</c:v>
                </c:pt>
              </c:strCache>
            </c:strRef>
          </c:tx>
          <c:spPr>
            <a:solidFill>
              <a:schemeClr val="accent1"/>
            </a:solidFill>
            <a:ln>
              <a:noFill/>
            </a:ln>
            <a:effectLst/>
          </c:spPr>
          <c:invertIfNegative val="0"/>
          <c:cat>
            <c:strRef>
              <c:f>pt.generic_add_data12!$A$10:$B$10</c:f>
              <c:strCache>
                <c:ptCount val="1"/>
                <c:pt idx="0">
                  <c:v>Grand Total</c:v>
                </c:pt>
              </c:strCache>
            </c:strRef>
          </c:cat>
          <c:val>
            <c:numRef>
              <c:f>pt.generic_add_data12!$C$10</c:f>
              <c:numCache>
                <c:formatCode>General</c:formatCode>
                <c:ptCount val="1"/>
              </c:numCache>
            </c:numRef>
          </c:val>
          <c:extLst>
            <c:ext xmlns:c16="http://schemas.microsoft.com/office/drawing/2014/chart" uri="{C3380CC4-5D6E-409C-BE32-E72D297353CC}">
              <c16:uniqueId val="{00000000-58FA-41D2-94C1-10A08F5163B9}"/>
            </c:ext>
          </c:extLst>
        </c:ser>
        <c:dLbls>
          <c:showLegendKey val="0"/>
          <c:showVal val="0"/>
          <c:showCatName val="0"/>
          <c:showSerName val="0"/>
          <c:showPercent val="0"/>
          <c:showBubbleSize val="0"/>
        </c:dLbls>
        <c:gapWidth val="200"/>
        <c:overlap val="100"/>
        <c:axId val="236849280"/>
        <c:axId val="236849672"/>
      </c:barChart>
      <c:catAx>
        <c:axId val="236849280"/>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36849672"/>
        <c:crosses val="autoZero"/>
        <c:auto val="1"/>
        <c:lblAlgn val="ctr"/>
        <c:lblOffset val="100"/>
        <c:tickLblSkip val="2"/>
        <c:tickMarkSkip val="1"/>
        <c:noMultiLvlLbl val="0"/>
      </c:catAx>
      <c:valAx>
        <c:axId val="236849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36849280"/>
        <c:crosses val="autoZero"/>
        <c:crossBetween val="between"/>
      </c:valAx>
      <c:spPr>
        <a:noFill/>
        <a:ln w="25400">
          <a:noFill/>
        </a:ln>
        <a:effectLst/>
      </c:spPr>
    </c:plotArea>
    <c:legend>
      <c:legendPos val="l"/>
      <c:layout>
        <c:manualLayout>
          <c:xMode val="edge"/>
          <c:yMode val="edge"/>
          <c:x val="1.0548482319802297E-2"/>
          <c:y val="9.0002295684113873E-2"/>
          <c:w val="0.10365168527674973"/>
          <c:h val="0.162487111057196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1.3_3_2.xlsm]pt.generic_add_data13!pt.generic_add_data13</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a:solidFill>
              <a:srgbClr val="FFC000"/>
            </a:solidFill>
          </a:ln>
          <a:effectLst/>
        </c:spPr>
        <c:marker>
          <c:symbol val="none"/>
        </c:marker>
      </c:pivotFmt>
      <c:pivotFmt>
        <c:idx val="14"/>
        <c:spPr>
          <a:solidFill>
            <a:srgbClr val="9B2D2A"/>
          </a:solidFill>
          <a:ln>
            <a:solidFill>
              <a:srgbClr val="9B2D2A"/>
            </a:solidFill>
          </a:ln>
          <a:effectLst/>
        </c:spPr>
        <c:marker>
          <c:symbol val="none"/>
        </c:marker>
      </c:pivotFmt>
      <c:pivotFmt>
        <c:idx val="15"/>
        <c:spPr>
          <a:solidFill>
            <a:schemeClr val="accent1"/>
          </a:solidFill>
          <a:ln>
            <a:solidFill>
              <a:srgbClr val="9B2D2A"/>
            </a:solidFill>
          </a:ln>
          <a:effectLst/>
        </c:spPr>
        <c:marker>
          <c:symbol val="circle"/>
          <c:size val="5"/>
          <c:spPr>
            <a:solidFill>
              <a:srgbClr val="000000"/>
            </a:solidFill>
            <a:ln w="9525">
              <a:solidFill>
                <a:srgbClr val="9B2D2A"/>
              </a:solidFill>
            </a:ln>
            <a:effectLst/>
          </c:spPr>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a:solidFill>
              <a:srgbClr val="9CC746"/>
            </a:solidFill>
          </a:ln>
          <a:effectLst/>
        </c:spPr>
        <c:marker>
          <c:symbol val="circle"/>
          <c:size val="5"/>
          <c:spPr>
            <a:solidFill>
              <a:srgbClr val="000000"/>
            </a:solidFill>
            <a:ln w="9525">
              <a:solidFill>
                <a:srgbClr val="9CC746"/>
              </a:solidFill>
            </a:ln>
            <a:effectLst/>
          </c:spPr>
        </c:marker>
      </c:pivotFmt>
      <c:pivotFmt>
        <c:idx val="19"/>
        <c:spPr>
          <a:solidFill>
            <a:srgbClr val="9B2D2A"/>
          </a:solidFill>
          <a:ln>
            <a:solidFill>
              <a:srgbClr val="9B2D2A"/>
            </a:solidFill>
          </a:ln>
          <a:effectLst/>
        </c:spPr>
        <c:marker>
          <c:symbol val="none"/>
        </c:marker>
      </c:pivotFmt>
      <c:pivotFmt>
        <c:idx val="20"/>
        <c:spPr>
          <a:solidFill>
            <a:srgbClr val="FFC000"/>
          </a:solidFill>
          <a:ln>
            <a:solidFill>
              <a:srgbClr val="FFC000"/>
            </a:solidFill>
          </a:ln>
          <a:effectLst/>
        </c:spPr>
        <c:marker>
          <c:symbol val="none"/>
        </c:marker>
      </c:pivotFmt>
      <c:pivotFmt>
        <c:idx val="21"/>
        <c:spPr>
          <a:solidFill>
            <a:srgbClr val="9CC746"/>
          </a:solidFill>
          <a:ln>
            <a:solidFill>
              <a:srgbClr val="9CC746"/>
            </a:solidFill>
          </a:ln>
          <a:effectLst/>
        </c:spPr>
        <c:marker>
          <c:symbol val="none"/>
        </c:marker>
      </c:pivotFmt>
      <c:pivotFmt>
        <c:idx val="22"/>
        <c:spPr>
          <a:solidFill>
            <a:schemeClr val="accent1"/>
          </a:solidFill>
          <a:ln w="28575" cap="rnd">
            <a:solidFill>
              <a:srgbClr val="9CC746"/>
            </a:solidFill>
            <a:round/>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s>
    <c:plotArea>
      <c:layout/>
      <c:barChart>
        <c:barDir val="col"/>
        <c:grouping val="stacked"/>
        <c:varyColors val="0"/>
        <c:ser>
          <c:idx val="0"/>
          <c:order val="0"/>
          <c:tx>
            <c:strRef>
              <c:f>pt.generic_add_data13!$C$7:$C$9</c:f>
              <c:strCache>
                <c:ptCount val="1"/>
                <c:pt idx="0">
                  <c:v>Grand Total</c:v>
                </c:pt>
              </c:strCache>
            </c:strRef>
          </c:tx>
          <c:spPr>
            <a:solidFill>
              <a:schemeClr val="accent1"/>
            </a:solidFill>
            <a:ln>
              <a:noFill/>
            </a:ln>
            <a:effectLst/>
          </c:spPr>
          <c:invertIfNegative val="0"/>
          <c:cat>
            <c:strRef>
              <c:f>pt.generic_add_data13!$A$10:$B$10</c:f>
              <c:strCache>
                <c:ptCount val="1"/>
                <c:pt idx="0">
                  <c:v>Grand Total</c:v>
                </c:pt>
              </c:strCache>
            </c:strRef>
          </c:cat>
          <c:val>
            <c:numRef>
              <c:f>pt.generic_add_data13!$C$10</c:f>
              <c:numCache>
                <c:formatCode>General</c:formatCode>
                <c:ptCount val="1"/>
              </c:numCache>
            </c:numRef>
          </c:val>
          <c:extLst>
            <c:ext xmlns:c16="http://schemas.microsoft.com/office/drawing/2014/chart" uri="{C3380CC4-5D6E-409C-BE32-E72D297353CC}">
              <c16:uniqueId val="{00000000-FDCC-4387-A3B2-C2B3425A7E2F}"/>
            </c:ext>
          </c:extLst>
        </c:ser>
        <c:dLbls>
          <c:showLegendKey val="0"/>
          <c:showVal val="0"/>
          <c:showCatName val="0"/>
          <c:showSerName val="0"/>
          <c:showPercent val="0"/>
          <c:showBubbleSize val="0"/>
        </c:dLbls>
        <c:gapWidth val="200"/>
        <c:overlap val="100"/>
        <c:axId val="236263616"/>
        <c:axId val="236264008"/>
      </c:barChart>
      <c:catAx>
        <c:axId val="236263616"/>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36264008"/>
        <c:crosses val="autoZero"/>
        <c:auto val="1"/>
        <c:lblAlgn val="ctr"/>
        <c:lblOffset val="100"/>
        <c:tickLblSkip val="2"/>
        <c:tickMarkSkip val="1"/>
        <c:noMultiLvlLbl val="0"/>
      </c:catAx>
      <c:valAx>
        <c:axId val="236264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36263616"/>
        <c:crosses val="autoZero"/>
        <c:crossBetween val="between"/>
      </c:valAx>
      <c:spPr>
        <a:noFill/>
        <a:ln w="25400">
          <a:noFill/>
        </a:ln>
        <a:effectLst/>
      </c:spPr>
    </c:plotArea>
    <c:legend>
      <c:legendPos val="l"/>
      <c:layout>
        <c:manualLayout>
          <c:xMode val="edge"/>
          <c:yMode val="edge"/>
          <c:x val="1.0506920296184843E-2"/>
          <c:y val="9.0002295684113873E-2"/>
          <c:w val="0.10365168527674973"/>
          <c:h val="0.1622379041110201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1.3_3_2.xlsm]pt.generic_add_data14!pt.generic_add_data14</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w="28575" cap="rnd">
            <a:solidFill>
              <a:srgbClr val="FFC000"/>
            </a:solidFill>
            <a:round/>
          </a:ln>
          <a:effectLst/>
        </c:spPr>
        <c:marker>
          <c:symbol val="none"/>
        </c:marker>
      </c:pivotFmt>
      <c:pivotFmt>
        <c:idx val="14"/>
        <c:spPr>
          <a:solidFill>
            <a:srgbClr val="9B2D2A"/>
          </a:solidFill>
          <a:ln>
            <a:solidFill>
              <a:srgbClr val="9B2D2A"/>
            </a:solidFill>
          </a:ln>
          <a:effectLst/>
        </c:spPr>
        <c:marker>
          <c:symbol val="none"/>
        </c:marker>
      </c:pivotFmt>
      <c:pivotFmt>
        <c:idx val="15"/>
        <c:spPr>
          <a:solidFill>
            <a:schemeClr val="accent1"/>
          </a:solidFill>
          <a:ln w="28575" cap="rnd">
            <a:solidFill>
              <a:srgbClr val="9B2D2A"/>
            </a:solidFill>
            <a:round/>
          </a:ln>
          <a:effectLst/>
        </c:spPr>
        <c:marker>
          <c:symbol val="none"/>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w="28575" cap="rnd">
            <a:solidFill>
              <a:srgbClr val="9CC746"/>
            </a:solidFill>
            <a:round/>
          </a:ln>
          <a:effectLst/>
        </c:spPr>
        <c:marker>
          <c:symbol val="none"/>
        </c:marker>
      </c:pivotFmt>
      <c:pivotFmt>
        <c:idx val="19"/>
        <c:spPr>
          <a:solidFill>
            <a:schemeClr val="accent1"/>
          </a:solidFill>
          <a:ln>
            <a:noFill/>
          </a:ln>
          <a:effectLst/>
        </c:spPr>
        <c:marker>
          <c:symbol val="none"/>
        </c:marker>
      </c:pivotFmt>
    </c:pivotFmts>
    <c:plotArea>
      <c:layout/>
      <c:barChart>
        <c:barDir val="col"/>
        <c:grouping val="stacked"/>
        <c:varyColors val="0"/>
        <c:ser>
          <c:idx val="0"/>
          <c:order val="0"/>
          <c:tx>
            <c:strRef>
              <c:f>pt.generic_add_data14!$C$7:$C$9</c:f>
              <c:strCache>
                <c:ptCount val="1"/>
                <c:pt idx="0">
                  <c:v>Grand Total</c:v>
                </c:pt>
              </c:strCache>
            </c:strRef>
          </c:tx>
          <c:spPr>
            <a:solidFill>
              <a:schemeClr val="accent1"/>
            </a:solidFill>
            <a:ln>
              <a:noFill/>
            </a:ln>
            <a:effectLst/>
          </c:spPr>
          <c:invertIfNegative val="0"/>
          <c:cat>
            <c:strRef>
              <c:f>pt.generic_add_data14!$A$10:$B$10</c:f>
              <c:strCache>
                <c:ptCount val="1"/>
                <c:pt idx="0">
                  <c:v>Grand Total</c:v>
                </c:pt>
              </c:strCache>
            </c:strRef>
          </c:cat>
          <c:val>
            <c:numRef>
              <c:f>pt.generic_add_data14!$C$10</c:f>
              <c:numCache>
                <c:formatCode>General</c:formatCode>
                <c:ptCount val="1"/>
              </c:numCache>
            </c:numRef>
          </c:val>
          <c:extLst>
            <c:ext xmlns:c16="http://schemas.microsoft.com/office/drawing/2014/chart" uri="{C3380CC4-5D6E-409C-BE32-E72D297353CC}">
              <c16:uniqueId val="{00000000-029F-4626-918F-CD6E95A751DC}"/>
            </c:ext>
          </c:extLst>
        </c:ser>
        <c:dLbls>
          <c:showLegendKey val="0"/>
          <c:showVal val="0"/>
          <c:showCatName val="0"/>
          <c:showSerName val="0"/>
          <c:showPercent val="0"/>
          <c:showBubbleSize val="0"/>
        </c:dLbls>
        <c:gapWidth val="200"/>
        <c:overlap val="100"/>
        <c:axId val="235681968"/>
        <c:axId val="235682360"/>
      </c:barChart>
      <c:catAx>
        <c:axId val="235681968"/>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35682360"/>
        <c:crosses val="autoZero"/>
        <c:auto val="1"/>
        <c:lblAlgn val="ctr"/>
        <c:lblOffset val="100"/>
        <c:tickLblSkip val="2"/>
        <c:tickMarkSkip val="1"/>
        <c:noMultiLvlLbl val="0"/>
      </c:catAx>
      <c:valAx>
        <c:axId val="235682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35681968"/>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1.3_3_2.xlsm]pt.generic_add_data15!pt.generic_add_data15</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w="28575" cap="rnd">
            <a:solidFill>
              <a:srgbClr val="FFC000"/>
            </a:solidFill>
            <a:round/>
          </a:ln>
          <a:effectLst/>
        </c:spPr>
        <c:marker>
          <c:symbol val="none"/>
        </c:marker>
      </c:pivotFmt>
      <c:pivotFmt>
        <c:idx val="14"/>
        <c:spPr>
          <a:solidFill>
            <a:srgbClr val="9B2D2A"/>
          </a:solidFill>
          <a:ln>
            <a:solidFill>
              <a:srgbClr val="9B2D2A"/>
            </a:solidFill>
          </a:ln>
          <a:effectLst/>
        </c:spPr>
        <c:marker>
          <c:symbol val="none"/>
        </c:marker>
      </c:pivotFmt>
      <c:pivotFmt>
        <c:idx val="15"/>
        <c:spPr>
          <a:solidFill>
            <a:schemeClr val="accent1"/>
          </a:solidFill>
          <a:ln w="28575" cap="rnd">
            <a:solidFill>
              <a:srgbClr val="9B2D2A"/>
            </a:solidFill>
            <a:round/>
          </a:ln>
          <a:effectLst/>
        </c:spPr>
        <c:marker>
          <c:symbol val="none"/>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w="28575" cap="rnd">
            <a:solidFill>
              <a:srgbClr val="9CC746"/>
            </a:solidFill>
            <a:round/>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s>
    <c:plotArea>
      <c:layout/>
      <c:barChart>
        <c:barDir val="col"/>
        <c:grouping val="stacked"/>
        <c:varyColors val="0"/>
        <c:ser>
          <c:idx val="0"/>
          <c:order val="0"/>
          <c:tx>
            <c:strRef>
              <c:f>pt.generic_add_data15!$C$7:$C$9</c:f>
              <c:strCache>
                <c:ptCount val="1"/>
                <c:pt idx="0">
                  <c:v>Nad 90 min - Done</c:v>
                </c:pt>
              </c:strCache>
            </c:strRef>
          </c:tx>
          <c:spPr>
            <a:solidFill>
              <a:schemeClr val="accent1"/>
            </a:solidFill>
            <a:ln>
              <a:noFill/>
            </a:ln>
            <a:effectLst/>
          </c:spPr>
          <c:invertIfNegative val="0"/>
          <c:cat>
            <c:multiLvlStrRef>
              <c:f>pt.generic_add_data15!$A$10:$B$23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pt.generic_add_data15!$C$10:$C$23</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E79D-4AF8-8047-6430A3FC00C8}"/>
            </c:ext>
          </c:extLst>
        </c:ser>
        <c:ser>
          <c:idx val="1"/>
          <c:order val="1"/>
          <c:tx>
            <c:strRef>
              <c:f>pt.generic_add_data15!$D$7:$D$9</c:f>
              <c:strCache>
                <c:ptCount val="1"/>
                <c:pt idx="0">
                  <c:v>Nad 90 min - Done - %</c:v>
                </c:pt>
              </c:strCache>
            </c:strRef>
          </c:tx>
          <c:spPr>
            <a:solidFill>
              <a:schemeClr val="accent2"/>
            </a:solidFill>
            <a:ln>
              <a:noFill/>
            </a:ln>
            <a:effectLst/>
          </c:spPr>
          <c:invertIfNegative val="0"/>
          <c:cat>
            <c:multiLvlStrRef>
              <c:f>pt.generic_add_data15!$A$10:$B$23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pt.generic_add_data15!$D$10:$D$23</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5-D0E4-4636-A60D-6FB481D3187F}"/>
            </c:ext>
          </c:extLst>
        </c:ser>
        <c:ser>
          <c:idx val="2"/>
          <c:order val="2"/>
          <c:tx>
            <c:strRef>
              <c:f>pt.generic_add_data15!$E$7:$E$9</c:f>
              <c:strCache>
                <c:ptCount val="1"/>
                <c:pt idx="0">
                  <c:v>Do 90 min - Done</c:v>
                </c:pt>
              </c:strCache>
            </c:strRef>
          </c:tx>
          <c:spPr>
            <a:solidFill>
              <a:schemeClr val="accent3"/>
            </a:solidFill>
            <a:ln>
              <a:noFill/>
            </a:ln>
            <a:effectLst/>
          </c:spPr>
          <c:invertIfNegative val="0"/>
          <c:cat>
            <c:multiLvlStrRef>
              <c:f>pt.generic_add_data15!$A$10:$B$23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pt.generic_add_data15!$E$10:$E$23</c:f>
              <c:numCache>
                <c:formatCode>General</c:formatCode>
                <c:ptCount val="13"/>
                <c:pt idx="0">
                  <c:v>0</c:v>
                </c:pt>
                <c:pt idx="1">
                  <c:v>0</c:v>
                </c:pt>
                <c:pt idx="2">
                  <c:v>0</c:v>
                </c:pt>
                <c:pt idx="3">
                  <c:v>0</c:v>
                </c:pt>
                <c:pt idx="4">
                  <c:v>0</c:v>
                </c:pt>
                <c:pt idx="5">
                  <c:v>0</c:v>
                </c:pt>
                <c:pt idx="6">
                  <c:v>20</c:v>
                </c:pt>
                <c:pt idx="7">
                  <c:v>58</c:v>
                </c:pt>
                <c:pt idx="8">
                  <c:v>38</c:v>
                </c:pt>
                <c:pt idx="9">
                  <c:v>18</c:v>
                </c:pt>
                <c:pt idx="10">
                  <c:v>18</c:v>
                </c:pt>
                <c:pt idx="11">
                  <c:v>18</c:v>
                </c:pt>
                <c:pt idx="12">
                  <c:v>18</c:v>
                </c:pt>
              </c:numCache>
            </c:numRef>
          </c:val>
          <c:extLst>
            <c:ext xmlns:c16="http://schemas.microsoft.com/office/drawing/2014/chart" uri="{C3380CC4-5D6E-409C-BE32-E72D297353CC}">
              <c16:uniqueId val="{00000006-D0E4-4636-A60D-6FB481D3187F}"/>
            </c:ext>
          </c:extLst>
        </c:ser>
        <c:ser>
          <c:idx val="3"/>
          <c:order val="3"/>
          <c:tx>
            <c:strRef>
              <c:f>pt.generic_add_data15!$F$7:$F$9</c:f>
              <c:strCache>
                <c:ptCount val="1"/>
                <c:pt idx="0">
                  <c:v>Do 90 min - Done - %</c:v>
                </c:pt>
              </c:strCache>
            </c:strRef>
          </c:tx>
          <c:spPr>
            <a:solidFill>
              <a:schemeClr val="accent4"/>
            </a:solidFill>
            <a:ln>
              <a:noFill/>
            </a:ln>
            <a:effectLst/>
          </c:spPr>
          <c:invertIfNegative val="0"/>
          <c:cat>
            <c:multiLvlStrRef>
              <c:f>pt.generic_add_data15!$A$10:$B$23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pt.generic_add_data15!$F$10:$F$23</c:f>
              <c:numCache>
                <c:formatCode>General</c:formatCode>
                <c:ptCount val="13"/>
                <c:pt idx="0">
                  <c:v>0</c:v>
                </c:pt>
                <c:pt idx="1">
                  <c:v>0</c:v>
                </c:pt>
                <c:pt idx="2">
                  <c:v>0</c:v>
                </c:pt>
                <c:pt idx="3">
                  <c:v>0</c:v>
                </c:pt>
                <c:pt idx="4">
                  <c:v>0</c:v>
                </c:pt>
                <c:pt idx="5">
                  <c:v>0</c:v>
                </c:pt>
                <c:pt idx="6">
                  <c:v>1</c:v>
                </c:pt>
                <c:pt idx="7">
                  <c:v>2</c:v>
                </c:pt>
                <c:pt idx="8">
                  <c:v>2</c:v>
                </c:pt>
                <c:pt idx="9">
                  <c:v>1</c:v>
                </c:pt>
                <c:pt idx="10">
                  <c:v>1</c:v>
                </c:pt>
                <c:pt idx="11">
                  <c:v>1</c:v>
                </c:pt>
                <c:pt idx="12">
                  <c:v>1</c:v>
                </c:pt>
              </c:numCache>
            </c:numRef>
          </c:val>
          <c:extLst>
            <c:ext xmlns:c16="http://schemas.microsoft.com/office/drawing/2014/chart" uri="{C3380CC4-5D6E-409C-BE32-E72D297353CC}">
              <c16:uniqueId val="{00000007-D0E4-4636-A60D-6FB481D3187F}"/>
            </c:ext>
          </c:extLst>
        </c:ser>
        <c:ser>
          <c:idx val="4"/>
          <c:order val="4"/>
          <c:tx>
            <c:strRef>
              <c:f>pt.generic_add_data15!$G$7:$G$9</c:f>
              <c:strCache>
                <c:ptCount val="1"/>
                <c:pt idx="0">
                  <c:v>Do 60 min - Done</c:v>
                </c:pt>
              </c:strCache>
            </c:strRef>
          </c:tx>
          <c:spPr>
            <a:solidFill>
              <a:schemeClr val="accent5"/>
            </a:solidFill>
            <a:ln>
              <a:noFill/>
            </a:ln>
            <a:effectLst/>
          </c:spPr>
          <c:invertIfNegative val="0"/>
          <c:cat>
            <c:multiLvlStrRef>
              <c:f>pt.generic_add_data15!$A$10:$B$23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pt.generic_add_data15!$G$10:$G$23</c:f>
              <c:numCache>
                <c:formatCode>General</c:formatCode>
                <c:ptCount val="13"/>
                <c:pt idx="0">
                  <c:v>675</c:v>
                </c:pt>
                <c:pt idx="1">
                  <c:v>675</c:v>
                </c:pt>
                <c:pt idx="2">
                  <c:v>675</c:v>
                </c:pt>
                <c:pt idx="3">
                  <c:v>675</c:v>
                </c:pt>
                <c:pt idx="4">
                  <c:v>675</c:v>
                </c:pt>
                <c:pt idx="5">
                  <c:v>675</c:v>
                </c:pt>
                <c:pt idx="6">
                  <c:v>635</c:v>
                </c:pt>
                <c:pt idx="7">
                  <c:v>537</c:v>
                </c:pt>
                <c:pt idx="8">
                  <c:v>647</c:v>
                </c:pt>
                <c:pt idx="9">
                  <c:v>657</c:v>
                </c:pt>
                <c:pt idx="10">
                  <c:v>657</c:v>
                </c:pt>
                <c:pt idx="11">
                  <c:v>657</c:v>
                </c:pt>
                <c:pt idx="12">
                  <c:v>657</c:v>
                </c:pt>
              </c:numCache>
            </c:numRef>
          </c:val>
          <c:extLst>
            <c:ext xmlns:c16="http://schemas.microsoft.com/office/drawing/2014/chart" uri="{C3380CC4-5D6E-409C-BE32-E72D297353CC}">
              <c16:uniqueId val="{00000008-D0E4-4636-A60D-6FB481D3187F}"/>
            </c:ext>
          </c:extLst>
        </c:ser>
        <c:ser>
          <c:idx val="5"/>
          <c:order val="5"/>
          <c:tx>
            <c:strRef>
              <c:f>pt.generic_add_data15!$H$7:$H$9</c:f>
              <c:strCache>
                <c:ptCount val="1"/>
                <c:pt idx="0">
                  <c:v>Do 60 min - Done - %</c:v>
                </c:pt>
              </c:strCache>
            </c:strRef>
          </c:tx>
          <c:spPr>
            <a:solidFill>
              <a:schemeClr val="accent6"/>
            </a:solidFill>
            <a:ln>
              <a:noFill/>
            </a:ln>
            <a:effectLst/>
          </c:spPr>
          <c:invertIfNegative val="0"/>
          <c:cat>
            <c:multiLvlStrRef>
              <c:f>pt.generic_add_data15!$A$10:$B$23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pt.generic_add_data15!$H$10:$H$23</c:f>
              <c:numCache>
                <c:formatCode>General</c:formatCode>
                <c:ptCount val="13"/>
                <c:pt idx="0">
                  <c:v>11</c:v>
                </c:pt>
                <c:pt idx="1">
                  <c:v>11</c:v>
                </c:pt>
                <c:pt idx="2">
                  <c:v>11</c:v>
                </c:pt>
                <c:pt idx="3">
                  <c:v>11</c:v>
                </c:pt>
                <c:pt idx="4">
                  <c:v>11</c:v>
                </c:pt>
                <c:pt idx="5">
                  <c:v>11.06</c:v>
                </c:pt>
                <c:pt idx="6">
                  <c:v>8.56</c:v>
                </c:pt>
                <c:pt idx="7">
                  <c:v>9.379999999999999</c:v>
                </c:pt>
                <c:pt idx="8">
                  <c:v>10.6</c:v>
                </c:pt>
                <c:pt idx="9">
                  <c:v>10.6</c:v>
                </c:pt>
                <c:pt idx="10">
                  <c:v>10.6</c:v>
                </c:pt>
                <c:pt idx="11">
                  <c:v>10.6</c:v>
                </c:pt>
                <c:pt idx="12">
                  <c:v>10.6</c:v>
                </c:pt>
              </c:numCache>
            </c:numRef>
          </c:val>
          <c:extLst>
            <c:ext xmlns:c16="http://schemas.microsoft.com/office/drawing/2014/chart" uri="{C3380CC4-5D6E-409C-BE32-E72D297353CC}">
              <c16:uniqueId val="{00000009-D0E4-4636-A60D-6FB481D3187F}"/>
            </c:ext>
          </c:extLst>
        </c:ser>
        <c:dLbls>
          <c:showLegendKey val="0"/>
          <c:showVal val="0"/>
          <c:showCatName val="0"/>
          <c:showSerName val="0"/>
          <c:showPercent val="0"/>
          <c:showBubbleSize val="0"/>
        </c:dLbls>
        <c:gapWidth val="200"/>
        <c:overlap val="100"/>
        <c:axId val="236265576"/>
        <c:axId val="236265968"/>
      </c:barChart>
      <c:catAx>
        <c:axId val="236265576"/>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36265968"/>
        <c:crosses val="autoZero"/>
        <c:auto val="1"/>
        <c:lblAlgn val="ctr"/>
        <c:lblOffset val="100"/>
        <c:tickLblSkip val="2"/>
        <c:tickMarkSkip val="1"/>
        <c:noMultiLvlLbl val="0"/>
      </c:catAx>
      <c:valAx>
        <c:axId val="2362659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36265576"/>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1.3_3_2.xlsm]pt.generic_add_data16!pt.generic_add_data16</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a:solidFill>
              <a:srgbClr val="FFC000"/>
            </a:solidFill>
          </a:ln>
          <a:effectLst/>
        </c:spPr>
        <c:marker>
          <c:symbol val="none"/>
        </c:marker>
      </c:pivotFmt>
      <c:pivotFmt>
        <c:idx val="14"/>
        <c:spPr>
          <a:solidFill>
            <a:srgbClr val="9B2D2A"/>
          </a:solidFill>
          <a:ln>
            <a:solidFill>
              <a:srgbClr val="9B2D2A"/>
            </a:solidFill>
          </a:ln>
          <a:effectLst/>
        </c:spPr>
        <c:marker>
          <c:symbol val="none"/>
        </c:marker>
      </c:pivotFmt>
      <c:pivotFmt>
        <c:idx val="15"/>
        <c:spPr>
          <a:solidFill>
            <a:schemeClr val="accent1"/>
          </a:solidFill>
          <a:ln w="28575" cap="rnd">
            <a:solidFill>
              <a:srgbClr val="9B2D2A"/>
            </a:solidFill>
            <a:round/>
          </a:ln>
          <a:effectLst/>
        </c:spPr>
        <c:marker>
          <c:symbol val="circle"/>
          <c:size val="5"/>
          <c:spPr>
            <a:solidFill>
              <a:srgbClr val="000000"/>
            </a:solidFill>
            <a:ln w="9525">
              <a:solidFill>
                <a:srgbClr val="9B2D2A"/>
              </a:solidFill>
            </a:ln>
            <a:effectLst/>
          </c:spPr>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a:solidFill>
              <a:srgbClr val="9CC746"/>
            </a:solid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s>
    <c:plotArea>
      <c:layout/>
      <c:barChart>
        <c:barDir val="col"/>
        <c:grouping val="stacked"/>
        <c:varyColors val="0"/>
        <c:ser>
          <c:idx val="0"/>
          <c:order val="0"/>
          <c:tx>
            <c:strRef>
              <c:f>pt.generic_add_data16!$C$7:$C$9</c:f>
              <c:strCache>
                <c:ptCount val="1"/>
                <c:pt idx="0">
                  <c:v>Nad 90 min - Done</c:v>
                </c:pt>
              </c:strCache>
            </c:strRef>
          </c:tx>
          <c:spPr>
            <a:solidFill>
              <a:schemeClr val="accent1"/>
            </a:solidFill>
            <a:ln>
              <a:noFill/>
            </a:ln>
            <a:effectLst/>
          </c:spPr>
          <c:invertIfNegative val="0"/>
          <c:cat>
            <c:multiLvlStrRef>
              <c:f>pt.generic_add_data16!$A$10:$B$23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pt.generic_add_data16!$C$10:$C$23</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CA87-4F3A-9509-916574A5DE92}"/>
            </c:ext>
          </c:extLst>
        </c:ser>
        <c:ser>
          <c:idx val="1"/>
          <c:order val="1"/>
          <c:tx>
            <c:strRef>
              <c:f>pt.generic_add_data16!$D$7:$D$9</c:f>
              <c:strCache>
                <c:ptCount val="1"/>
                <c:pt idx="0">
                  <c:v>Nad 90 min - Done - %</c:v>
                </c:pt>
              </c:strCache>
            </c:strRef>
          </c:tx>
          <c:spPr>
            <a:solidFill>
              <a:schemeClr val="accent2"/>
            </a:solidFill>
            <a:ln>
              <a:noFill/>
            </a:ln>
            <a:effectLst/>
          </c:spPr>
          <c:invertIfNegative val="0"/>
          <c:cat>
            <c:multiLvlStrRef>
              <c:f>pt.generic_add_data16!$A$10:$B$23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pt.generic_add_data16!$D$10:$D$23</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5-B82C-44BB-82E5-34A0B45A62CD}"/>
            </c:ext>
          </c:extLst>
        </c:ser>
        <c:ser>
          <c:idx val="2"/>
          <c:order val="2"/>
          <c:tx>
            <c:strRef>
              <c:f>pt.generic_add_data16!$E$7:$E$9</c:f>
              <c:strCache>
                <c:ptCount val="1"/>
                <c:pt idx="0">
                  <c:v>Do 90 min - Done</c:v>
                </c:pt>
              </c:strCache>
            </c:strRef>
          </c:tx>
          <c:spPr>
            <a:solidFill>
              <a:schemeClr val="accent3"/>
            </a:solidFill>
            <a:ln>
              <a:noFill/>
            </a:ln>
            <a:effectLst/>
          </c:spPr>
          <c:invertIfNegative val="0"/>
          <c:cat>
            <c:multiLvlStrRef>
              <c:f>pt.generic_add_data16!$A$10:$B$23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pt.generic_add_data16!$E$10:$E$23</c:f>
              <c:numCache>
                <c:formatCode>General</c:formatCode>
                <c:ptCount val="13"/>
                <c:pt idx="0">
                  <c:v>0</c:v>
                </c:pt>
                <c:pt idx="1">
                  <c:v>0</c:v>
                </c:pt>
                <c:pt idx="2">
                  <c:v>0</c:v>
                </c:pt>
                <c:pt idx="3">
                  <c:v>0</c:v>
                </c:pt>
                <c:pt idx="4">
                  <c:v>0</c:v>
                </c:pt>
                <c:pt idx="5">
                  <c:v>0</c:v>
                </c:pt>
                <c:pt idx="6">
                  <c:v>20</c:v>
                </c:pt>
                <c:pt idx="7">
                  <c:v>58</c:v>
                </c:pt>
                <c:pt idx="8">
                  <c:v>38</c:v>
                </c:pt>
                <c:pt idx="9">
                  <c:v>18</c:v>
                </c:pt>
                <c:pt idx="10">
                  <c:v>18</c:v>
                </c:pt>
                <c:pt idx="11">
                  <c:v>18</c:v>
                </c:pt>
                <c:pt idx="12">
                  <c:v>18</c:v>
                </c:pt>
              </c:numCache>
            </c:numRef>
          </c:val>
          <c:extLst>
            <c:ext xmlns:c16="http://schemas.microsoft.com/office/drawing/2014/chart" uri="{C3380CC4-5D6E-409C-BE32-E72D297353CC}">
              <c16:uniqueId val="{00000006-B82C-44BB-82E5-34A0B45A62CD}"/>
            </c:ext>
          </c:extLst>
        </c:ser>
        <c:ser>
          <c:idx val="3"/>
          <c:order val="3"/>
          <c:tx>
            <c:strRef>
              <c:f>pt.generic_add_data16!$F$7:$F$9</c:f>
              <c:strCache>
                <c:ptCount val="1"/>
                <c:pt idx="0">
                  <c:v>Do 90 min - Done - %</c:v>
                </c:pt>
              </c:strCache>
            </c:strRef>
          </c:tx>
          <c:spPr>
            <a:solidFill>
              <a:schemeClr val="accent4"/>
            </a:solidFill>
            <a:ln>
              <a:noFill/>
            </a:ln>
            <a:effectLst/>
          </c:spPr>
          <c:invertIfNegative val="0"/>
          <c:cat>
            <c:multiLvlStrRef>
              <c:f>pt.generic_add_data16!$A$10:$B$23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pt.generic_add_data16!$F$10:$F$23</c:f>
              <c:numCache>
                <c:formatCode>General</c:formatCode>
                <c:ptCount val="13"/>
                <c:pt idx="0">
                  <c:v>0</c:v>
                </c:pt>
                <c:pt idx="1">
                  <c:v>0</c:v>
                </c:pt>
                <c:pt idx="2">
                  <c:v>0</c:v>
                </c:pt>
                <c:pt idx="3">
                  <c:v>0</c:v>
                </c:pt>
                <c:pt idx="4">
                  <c:v>0</c:v>
                </c:pt>
                <c:pt idx="5">
                  <c:v>0</c:v>
                </c:pt>
                <c:pt idx="6">
                  <c:v>1</c:v>
                </c:pt>
                <c:pt idx="7">
                  <c:v>2</c:v>
                </c:pt>
                <c:pt idx="8">
                  <c:v>2</c:v>
                </c:pt>
                <c:pt idx="9">
                  <c:v>1</c:v>
                </c:pt>
                <c:pt idx="10">
                  <c:v>1</c:v>
                </c:pt>
                <c:pt idx="11">
                  <c:v>1</c:v>
                </c:pt>
                <c:pt idx="12">
                  <c:v>1</c:v>
                </c:pt>
              </c:numCache>
            </c:numRef>
          </c:val>
          <c:extLst>
            <c:ext xmlns:c16="http://schemas.microsoft.com/office/drawing/2014/chart" uri="{C3380CC4-5D6E-409C-BE32-E72D297353CC}">
              <c16:uniqueId val="{00000007-B82C-44BB-82E5-34A0B45A62CD}"/>
            </c:ext>
          </c:extLst>
        </c:ser>
        <c:ser>
          <c:idx val="4"/>
          <c:order val="4"/>
          <c:tx>
            <c:strRef>
              <c:f>pt.generic_add_data16!$G$7:$G$9</c:f>
              <c:strCache>
                <c:ptCount val="1"/>
                <c:pt idx="0">
                  <c:v>Do 60 min - Done</c:v>
                </c:pt>
              </c:strCache>
            </c:strRef>
          </c:tx>
          <c:spPr>
            <a:solidFill>
              <a:schemeClr val="accent5"/>
            </a:solidFill>
            <a:ln>
              <a:noFill/>
            </a:ln>
            <a:effectLst/>
          </c:spPr>
          <c:invertIfNegative val="0"/>
          <c:cat>
            <c:multiLvlStrRef>
              <c:f>pt.generic_add_data16!$A$10:$B$23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pt.generic_add_data16!$G$10:$G$23</c:f>
              <c:numCache>
                <c:formatCode>General</c:formatCode>
                <c:ptCount val="13"/>
                <c:pt idx="0">
                  <c:v>675</c:v>
                </c:pt>
                <c:pt idx="1">
                  <c:v>675</c:v>
                </c:pt>
                <c:pt idx="2">
                  <c:v>675</c:v>
                </c:pt>
                <c:pt idx="3">
                  <c:v>675</c:v>
                </c:pt>
                <c:pt idx="4">
                  <c:v>675</c:v>
                </c:pt>
                <c:pt idx="5">
                  <c:v>675</c:v>
                </c:pt>
                <c:pt idx="6">
                  <c:v>635</c:v>
                </c:pt>
                <c:pt idx="7">
                  <c:v>537</c:v>
                </c:pt>
                <c:pt idx="8">
                  <c:v>647</c:v>
                </c:pt>
                <c:pt idx="9">
                  <c:v>657</c:v>
                </c:pt>
                <c:pt idx="10">
                  <c:v>657</c:v>
                </c:pt>
                <c:pt idx="11">
                  <c:v>657</c:v>
                </c:pt>
                <c:pt idx="12">
                  <c:v>657</c:v>
                </c:pt>
              </c:numCache>
            </c:numRef>
          </c:val>
          <c:extLst>
            <c:ext xmlns:c16="http://schemas.microsoft.com/office/drawing/2014/chart" uri="{C3380CC4-5D6E-409C-BE32-E72D297353CC}">
              <c16:uniqueId val="{00000008-B82C-44BB-82E5-34A0B45A62CD}"/>
            </c:ext>
          </c:extLst>
        </c:ser>
        <c:ser>
          <c:idx val="5"/>
          <c:order val="5"/>
          <c:tx>
            <c:strRef>
              <c:f>pt.generic_add_data16!$H$7:$H$9</c:f>
              <c:strCache>
                <c:ptCount val="1"/>
                <c:pt idx="0">
                  <c:v>Do 60 min - Done - %</c:v>
                </c:pt>
              </c:strCache>
            </c:strRef>
          </c:tx>
          <c:spPr>
            <a:solidFill>
              <a:schemeClr val="accent6"/>
            </a:solidFill>
            <a:ln>
              <a:noFill/>
            </a:ln>
            <a:effectLst/>
          </c:spPr>
          <c:invertIfNegative val="0"/>
          <c:cat>
            <c:multiLvlStrRef>
              <c:f>pt.generic_add_data16!$A$10:$B$23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pt.generic_add_data16!$H$10:$H$23</c:f>
              <c:numCache>
                <c:formatCode>General</c:formatCode>
                <c:ptCount val="13"/>
                <c:pt idx="0">
                  <c:v>11</c:v>
                </c:pt>
                <c:pt idx="1">
                  <c:v>11</c:v>
                </c:pt>
                <c:pt idx="2">
                  <c:v>11</c:v>
                </c:pt>
                <c:pt idx="3">
                  <c:v>11</c:v>
                </c:pt>
                <c:pt idx="4">
                  <c:v>11</c:v>
                </c:pt>
                <c:pt idx="5">
                  <c:v>11.06</c:v>
                </c:pt>
                <c:pt idx="6">
                  <c:v>8.56</c:v>
                </c:pt>
                <c:pt idx="7">
                  <c:v>9.379999999999999</c:v>
                </c:pt>
                <c:pt idx="8">
                  <c:v>10.6</c:v>
                </c:pt>
                <c:pt idx="9">
                  <c:v>10.6</c:v>
                </c:pt>
                <c:pt idx="10">
                  <c:v>10.6</c:v>
                </c:pt>
                <c:pt idx="11">
                  <c:v>10.6</c:v>
                </c:pt>
                <c:pt idx="12">
                  <c:v>10.6</c:v>
                </c:pt>
              </c:numCache>
            </c:numRef>
          </c:val>
          <c:extLst>
            <c:ext xmlns:c16="http://schemas.microsoft.com/office/drawing/2014/chart" uri="{C3380CC4-5D6E-409C-BE32-E72D297353CC}">
              <c16:uniqueId val="{00000009-B82C-44BB-82E5-34A0B45A62CD}"/>
            </c:ext>
          </c:extLst>
        </c:ser>
        <c:dLbls>
          <c:showLegendKey val="0"/>
          <c:showVal val="0"/>
          <c:showCatName val="0"/>
          <c:showSerName val="0"/>
          <c:showPercent val="0"/>
          <c:showBubbleSize val="0"/>
        </c:dLbls>
        <c:gapWidth val="200"/>
        <c:overlap val="100"/>
        <c:axId val="235680792"/>
        <c:axId val="235681184"/>
      </c:barChart>
      <c:catAx>
        <c:axId val="235680792"/>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35681184"/>
        <c:crosses val="autoZero"/>
        <c:auto val="1"/>
        <c:lblAlgn val="ctr"/>
        <c:lblOffset val="100"/>
        <c:tickLblSkip val="2"/>
        <c:tickMarkSkip val="1"/>
        <c:noMultiLvlLbl val="0"/>
      </c:catAx>
      <c:valAx>
        <c:axId val="2356811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35680792"/>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1.3_3_2.xlsm]pt.generic_add_data17!pt.generic_add_data17</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w="28575" cap="rnd">
            <a:noFill/>
            <a:round/>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a:solidFill>
              <a:srgbClr val="FFC000"/>
            </a:solidFill>
          </a:ln>
          <a:effectLst/>
        </c:spPr>
        <c:marker>
          <c:symbol val="circle"/>
          <c:size val="5"/>
          <c:spPr>
            <a:solidFill>
              <a:srgbClr val="000000"/>
            </a:solidFill>
            <a:ln w="9525">
              <a:solidFill>
                <a:srgbClr val="FFC000"/>
              </a:solidFill>
            </a:ln>
            <a:effectLst/>
          </c:spPr>
        </c:marker>
      </c:pivotFmt>
      <c:pivotFmt>
        <c:idx val="14"/>
        <c:spPr>
          <a:solidFill>
            <a:srgbClr val="9B2D2A"/>
          </a:solidFill>
          <a:ln>
            <a:solidFill>
              <a:srgbClr val="9B2D2A"/>
            </a:solidFill>
          </a:ln>
          <a:effectLst/>
        </c:spPr>
        <c:marker>
          <c:symbol val="none"/>
        </c:marker>
      </c:pivotFmt>
      <c:pivotFmt>
        <c:idx val="15"/>
        <c:spPr>
          <a:solidFill>
            <a:schemeClr val="accent1"/>
          </a:solidFill>
          <a:ln w="28575" cap="rnd">
            <a:solidFill>
              <a:srgbClr val="9B2D2A"/>
            </a:solidFill>
            <a:round/>
          </a:ln>
          <a:effectLst/>
        </c:spPr>
        <c:marker>
          <c:symbol val="circle"/>
          <c:size val="5"/>
          <c:spPr>
            <a:solidFill>
              <a:srgbClr val="000000"/>
            </a:solidFill>
            <a:ln w="9525">
              <a:solidFill>
                <a:srgbClr val="9B2D2A"/>
              </a:solidFill>
            </a:ln>
            <a:effectLst/>
          </c:spPr>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a:solidFill>
              <a:srgbClr val="9CC746"/>
            </a:solidFill>
          </a:ln>
          <a:effectLst/>
        </c:spPr>
        <c:marker>
          <c:symbol val="circle"/>
          <c:size val="5"/>
          <c:spPr>
            <a:solidFill>
              <a:srgbClr val="000000"/>
            </a:solidFill>
            <a:ln w="9525">
              <a:solidFill>
                <a:srgbClr val="9CC746"/>
              </a:solidFill>
            </a:ln>
            <a:effectLst/>
          </c:spPr>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s>
    <c:plotArea>
      <c:layout/>
      <c:barChart>
        <c:barDir val="col"/>
        <c:grouping val="stacked"/>
        <c:varyColors val="0"/>
        <c:ser>
          <c:idx val="0"/>
          <c:order val="0"/>
          <c:tx>
            <c:strRef>
              <c:f>pt.generic_add_data17!$C$7:$C$9</c:f>
              <c:strCache>
                <c:ptCount val="1"/>
                <c:pt idx="0">
                  <c:v>Nad 90 min - Done</c:v>
                </c:pt>
              </c:strCache>
            </c:strRef>
          </c:tx>
          <c:spPr>
            <a:solidFill>
              <a:schemeClr val="accent1"/>
            </a:solidFill>
            <a:ln>
              <a:noFill/>
            </a:ln>
            <a:effectLst/>
          </c:spPr>
          <c:invertIfNegative val="0"/>
          <c:cat>
            <c:multiLvlStrRef>
              <c:f>pt.generic_add_data17!$A$10:$B$23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pt.generic_add_data17!$C$10:$C$23</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8322-4BA7-A962-BF914D6D1E03}"/>
            </c:ext>
          </c:extLst>
        </c:ser>
        <c:ser>
          <c:idx val="1"/>
          <c:order val="1"/>
          <c:tx>
            <c:strRef>
              <c:f>pt.generic_add_data17!$D$7:$D$9</c:f>
              <c:strCache>
                <c:ptCount val="1"/>
                <c:pt idx="0">
                  <c:v>Nad 90 min - Done - %</c:v>
                </c:pt>
              </c:strCache>
            </c:strRef>
          </c:tx>
          <c:spPr>
            <a:solidFill>
              <a:schemeClr val="accent2"/>
            </a:solidFill>
            <a:ln>
              <a:noFill/>
            </a:ln>
            <a:effectLst/>
          </c:spPr>
          <c:invertIfNegative val="0"/>
          <c:cat>
            <c:multiLvlStrRef>
              <c:f>pt.generic_add_data17!$A$10:$B$23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pt.generic_add_data17!$D$10:$D$23</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5-2FF2-41CE-A159-AF15EBECE1B0}"/>
            </c:ext>
          </c:extLst>
        </c:ser>
        <c:ser>
          <c:idx val="2"/>
          <c:order val="2"/>
          <c:tx>
            <c:strRef>
              <c:f>pt.generic_add_data17!$E$7:$E$9</c:f>
              <c:strCache>
                <c:ptCount val="1"/>
                <c:pt idx="0">
                  <c:v>Do 90 min - Done</c:v>
                </c:pt>
              </c:strCache>
            </c:strRef>
          </c:tx>
          <c:spPr>
            <a:solidFill>
              <a:schemeClr val="accent3"/>
            </a:solidFill>
            <a:ln>
              <a:noFill/>
            </a:ln>
            <a:effectLst/>
          </c:spPr>
          <c:invertIfNegative val="0"/>
          <c:cat>
            <c:multiLvlStrRef>
              <c:f>pt.generic_add_data17!$A$10:$B$23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pt.generic_add_data17!$E$10:$E$23</c:f>
              <c:numCache>
                <c:formatCode>General</c:formatCode>
                <c:ptCount val="13"/>
                <c:pt idx="0">
                  <c:v>0</c:v>
                </c:pt>
                <c:pt idx="1">
                  <c:v>0</c:v>
                </c:pt>
                <c:pt idx="2">
                  <c:v>0</c:v>
                </c:pt>
                <c:pt idx="3">
                  <c:v>0</c:v>
                </c:pt>
                <c:pt idx="4">
                  <c:v>0</c:v>
                </c:pt>
                <c:pt idx="5">
                  <c:v>0</c:v>
                </c:pt>
                <c:pt idx="6">
                  <c:v>20</c:v>
                </c:pt>
                <c:pt idx="7">
                  <c:v>58</c:v>
                </c:pt>
                <c:pt idx="8">
                  <c:v>38</c:v>
                </c:pt>
                <c:pt idx="9">
                  <c:v>18</c:v>
                </c:pt>
                <c:pt idx="10">
                  <c:v>18</c:v>
                </c:pt>
                <c:pt idx="11">
                  <c:v>18</c:v>
                </c:pt>
                <c:pt idx="12">
                  <c:v>18</c:v>
                </c:pt>
              </c:numCache>
            </c:numRef>
          </c:val>
          <c:extLst>
            <c:ext xmlns:c16="http://schemas.microsoft.com/office/drawing/2014/chart" uri="{C3380CC4-5D6E-409C-BE32-E72D297353CC}">
              <c16:uniqueId val="{00000006-2FF2-41CE-A159-AF15EBECE1B0}"/>
            </c:ext>
          </c:extLst>
        </c:ser>
        <c:ser>
          <c:idx val="3"/>
          <c:order val="3"/>
          <c:tx>
            <c:strRef>
              <c:f>pt.generic_add_data17!$F$7:$F$9</c:f>
              <c:strCache>
                <c:ptCount val="1"/>
                <c:pt idx="0">
                  <c:v>Do 90 min - Done - %</c:v>
                </c:pt>
              </c:strCache>
            </c:strRef>
          </c:tx>
          <c:spPr>
            <a:solidFill>
              <a:schemeClr val="accent4"/>
            </a:solidFill>
            <a:ln>
              <a:noFill/>
            </a:ln>
            <a:effectLst/>
          </c:spPr>
          <c:invertIfNegative val="0"/>
          <c:cat>
            <c:multiLvlStrRef>
              <c:f>pt.generic_add_data17!$A$10:$B$23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pt.generic_add_data17!$F$10:$F$23</c:f>
              <c:numCache>
                <c:formatCode>General</c:formatCode>
                <c:ptCount val="13"/>
                <c:pt idx="0">
                  <c:v>0</c:v>
                </c:pt>
                <c:pt idx="1">
                  <c:v>0</c:v>
                </c:pt>
                <c:pt idx="2">
                  <c:v>0</c:v>
                </c:pt>
                <c:pt idx="3">
                  <c:v>0</c:v>
                </c:pt>
                <c:pt idx="4">
                  <c:v>0</c:v>
                </c:pt>
                <c:pt idx="5">
                  <c:v>0</c:v>
                </c:pt>
                <c:pt idx="6">
                  <c:v>1</c:v>
                </c:pt>
                <c:pt idx="7">
                  <c:v>2</c:v>
                </c:pt>
                <c:pt idx="8">
                  <c:v>2</c:v>
                </c:pt>
                <c:pt idx="9">
                  <c:v>1</c:v>
                </c:pt>
                <c:pt idx="10">
                  <c:v>1</c:v>
                </c:pt>
                <c:pt idx="11">
                  <c:v>1</c:v>
                </c:pt>
                <c:pt idx="12">
                  <c:v>1</c:v>
                </c:pt>
              </c:numCache>
            </c:numRef>
          </c:val>
          <c:extLst>
            <c:ext xmlns:c16="http://schemas.microsoft.com/office/drawing/2014/chart" uri="{C3380CC4-5D6E-409C-BE32-E72D297353CC}">
              <c16:uniqueId val="{00000007-2FF2-41CE-A159-AF15EBECE1B0}"/>
            </c:ext>
          </c:extLst>
        </c:ser>
        <c:ser>
          <c:idx val="4"/>
          <c:order val="4"/>
          <c:tx>
            <c:strRef>
              <c:f>pt.generic_add_data17!$G$7:$G$9</c:f>
              <c:strCache>
                <c:ptCount val="1"/>
                <c:pt idx="0">
                  <c:v>Do 60 min - Done</c:v>
                </c:pt>
              </c:strCache>
            </c:strRef>
          </c:tx>
          <c:spPr>
            <a:solidFill>
              <a:schemeClr val="accent5"/>
            </a:solidFill>
            <a:ln>
              <a:noFill/>
            </a:ln>
            <a:effectLst/>
          </c:spPr>
          <c:invertIfNegative val="0"/>
          <c:cat>
            <c:multiLvlStrRef>
              <c:f>pt.generic_add_data17!$A$10:$B$23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pt.generic_add_data17!$G$10:$G$23</c:f>
              <c:numCache>
                <c:formatCode>General</c:formatCode>
                <c:ptCount val="13"/>
                <c:pt idx="0">
                  <c:v>675</c:v>
                </c:pt>
                <c:pt idx="1">
                  <c:v>675</c:v>
                </c:pt>
                <c:pt idx="2">
                  <c:v>675</c:v>
                </c:pt>
                <c:pt idx="3">
                  <c:v>675</c:v>
                </c:pt>
                <c:pt idx="4">
                  <c:v>675</c:v>
                </c:pt>
                <c:pt idx="5">
                  <c:v>675</c:v>
                </c:pt>
                <c:pt idx="6">
                  <c:v>635</c:v>
                </c:pt>
                <c:pt idx="7">
                  <c:v>537</c:v>
                </c:pt>
                <c:pt idx="8">
                  <c:v>647</c:v>
                </c:pt>
                <c:pt idx="9">
                  <c:v>657</c:v>
                </c:pt>
                <c:pt idx="10">
                  <c:v>657</c:v>
                </c:pt>
                <c:pt idx="11">
                  <c:v>657</c:v>
                </c:pt>
                <c:pt idx="12">
                  <c:v>657</c:v>
                </c:pt>
              </c:numCache>
            </c:numRef>
          </c:val>
          <c:extLst>
            <c:ext xmlns:c16="http://schemas.microsoft.com/office/drawing/2014/chart" uri="{C3380CC4-5D6E-409C-BE32-E72D297353CC}">
              <c16:uniqueId val="{00000008-2FF2-41CE-A159-AF15EBECE1B0}"/>
            </c:ext>
          </c:extLst>
        </c:ser>
        <c:ser>
          <c:idx val="5"/>
          <c:order val="5"/>
          <c:tx>
            <c:strRef>
              <c:f>pt.generic_add_data17!$H$7:$H$9</c:f>
              <c:strCache>
                <c:ptCount val="1"/>
                <c:pt idx="0">
                  <c:v>Do 60 min - Done - %</c:v>
                </c:pt>
              </c:strCache>
            </c:strRef>
          </c:tx>
          <c:spPr>
            <a:solidFill>
              <a:schemeClr val="accent6"/>
            </a:solidFill>
            <a:ln>
              <a:noFill/>
            </a:ln>
            <a:effectLst/>
          </c:spPr>
          <c:invertIfNegative val="0"/>
          <c:cat>
            <c:multiLvlStrRef>
              <c:f>pt.generic_add_data17!$A$10:$B$23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pt.generic_add_data17!$H$10:$H$23</c:f>
              <c:numCache>
                <c:formatCode>General</c:formatCode>
                <c:ptCount val="13"/>
                <c:pt idx="0">
                  <c:v>11</c:v>
                </c:pt>
                <c:pt idx="1">
                  <c:v>11</c:v>
                </c:pt>
                <c:pt idx="2">
                  <c:v>11</c:v>
                </c:pt>
                <c:pt idx="3">
                  <c:v>11</c:v>
                </c:pt>
                <c:pt idx="4">
                  <c:v>11</c:v>
                </c:pt>
                <c:pt idx="5">
                  <c:v>11.06</c:v>
                </c:pt>
                <c:pt idx="6">
                  <c:v>8.56</c:v>
                </c:pt>
                <c:pt idx="7">
                  <c:v>9.379999999999999</c:v>
                </c:pt>
                <c:pt idx="8">
                  <c:v>10.6</c:v>
                </c:pt>
                <c:pt idx="9">
                  <c:v>10.6</c:v>
                </c:pt>
                <c:pt idx="10">
                  <c:v>10.6</c:v>
                </c:pt>
                <c:pt idx="11">
                  <c:v>10.6</c:v>
                </c:pt>
                <c:pt idx="12">
                  <c:v>10.6</c:v>
                </c:pt>
              </c:numCache>
            </c:numRef>
          </c:val>
          <c:extLst>
            <c:ext xmlns:c16="http://schemas.microsoft.com/office/drawing/2014/chart" uri="{C3380CC4-5D6E-409C-BE32-E72D297353CC}">
              <c16:uniqueId val="{00000009-2FF2-41CE-A159-AF15EBECE1B0}"/>
            </c:ext>
          </c:extLst>
        </c:ser>
        <c:dLbls>
          <c:showLegendKey val="0"/>
          <c:showVal val="0"/>
          <c:showCatName val="0"/>
          <c:showSerName val="0"/>
          <c:showPercent val="0"/>
          <c:showBubbleSize val="0"/>
        </c:dLbls>
        <c:gapWidth val="200"/>
        <c:overlap val="100"/>
        <c:axId val="227401312"/>
        <c:axId val="227400920"/>
      </c:barChart>
      <c:valAx>
        <c:axId val="227400920"/>
        <c:scaling>
          <c:orientation val="minMax"/>
        </c:scaling>
        <c:delete val="0"/>
        <c:axPos val="r"/>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227401312"/>
        <c:crosses val="max"/>
        <c:crossBetween val="between"/>
      </c:valAx>
      <c:catAx>
        <c:axId val="227401312"/>
        <c:scaling>
          <c:orientation val="minMax"/>
        </c:scaling>
        <c:delete val="1"/>
        <c:axPos val="b"/>
        <c:numFmt formatCode="General" sourceLinked="1"/>
        <c:majorTickMark val="out"/>
        <c:minorTickMark val="none"/>
        <c:tickLblPos val="nextTo"/>
        <c:crossAx val="227400920"/>
        <c:crosses val="autoZero"/>
        <c:auto val="1"/>
        <c:lblAlgn val="ctr"/>
        <c:lblOffset val="100"/>
        <c:noMultiLvlLbl val="0"/>
      </c:cat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1.3_3_2.xlsm]pt.generic_add_data18!pt.generic_add_data18</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a:solidFill>
              <a:srgbClr val="FFC000"/>
            </a:solidFill>
          </a:ln>
          <a:effectLst/>
        </c:spPr>
        <c:marker>
          <c:symbol val="none"/>
        </c:marker>
      </c:pivotFmt>
      <c:pivotFmt>
        <c:idx val="14"/>
        <c:spPr>
          <a:solidFill>
            <a:srgbClr val="9B2D2A"/>
          </a:solidFill>
          <a:ln>
            <a:solidFill>
              <a:srgbClr val="9B2D2A"/>
            </a:solidFill>
          </a:ln>
          <a:effectLst/>
        </c:spPr>
        <c:marker>
          <c:symbol val="none"/>
        </c:marker>
      </c:pivotFmt>
      <c:pivotFmt>
        <c:idx val="15"/>
        <c:spPr>
          <a:solidFill>
            <a:schemeClr val="accent1"/>
          </a:solidFill>
          <a:ln>
            <a:solidFill>
              <a:srgbClr val="9B2D2A"/>
            </a:solidFill>
          </a:ln>
          <a:effectLst/>
        </c:spPr>
        <c:marker>
          <c:symbol val="none"/>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a:solidFill>
              <a:srgbClr val="9CC746"/>
            </a:solid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s>
    <c:plotArea>
      <c:layout/>
      <c:barChart>
        <c:barDir val="col"/>
        <c:grouping val="stacked"/>
        <c:varyColors val="0"/>
        <c:ser>
          <c:idx val="0"/>
          <c:order val="0"/>
          <c:tx>
            <c:strRef>
              <c:f>pt.generic_add_data18!$C$7:$C$9</c:f>
              <c:strCache>
                <c:ptCount val="1"/>
                <c:pt idx="0">
                  <c:v>Nad 90 min - Done</c:v>
                </c:pt>
              </c:strCache>
            </c:strRef>
          </c:tx>
          <c:spPr>
            <a:solidFill>
              <a:schemeClr val="accent1"/>
            </a:solidFill>
            <a:ln>
              <a:noFill/>
            </a:ln>
            <a:effectLst/>
          </c:spPr>
          <c:invertIfNegative val="0"/>
          <c:cat>
            <c:multiLvlStrRef>
              <c:f>pt.generic_add_data18!$A$10:$B$23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pt.generic_add_data18!$C$10:$C$23</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5C44-4F0F-AC8D-36AE86DE32E4}"/>
            </c:ext>
          </c:extLst>
        </c:ser>
        <c:ser>
          <c:idx val="1"/>
          <c:order val="1"/>
          <c:tx>
            <c:strRef>
              <c:f>pt.generic_add_data18!$D$7:$D$9</c:f>
              <c:strCache>
                <c:ptCount val="1"/>
                <c:pt idx="0">
                  <c:v>Nad 90 min - Done - %</c:v>
                </c:pt>
              </c:strCache>
            </c:strRef>
          </c:tx>
          <c:spPr>
            <a:solidFill>
              <a:schemeClr val="accent2"/>
            </a:solidFill>
            <a:ln>
              <a:noFill/>
            </a:ln>
            <a:effectLst/>
          </c:spPr>
          <c:invertIfNegative val="0"/>
          <c:cat>
            <c:multiLvlStrRef>
              <c:f>pt.generic_add_data18!$A$10:$B$23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pt.generic_add_data18!$D$10:$D$23</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5-8223-4F57-BA3B-2F07D0165147}"/>
            </c:ext>
          </c:extLst>
        </c:ser>
        <c:ser>
          <c:idx val="2"/>
          <c:order val="2"/>
          <c:tx>
            <c:strRef>
              <c:f>pt.generic_add_data18!$E$7:$E$9</c:f>
              <c:strCache>
                <c:ptCount val="1"/>
                <c:pt idx="0">
                  <c:v>Do 90 min - Done</c:v>
                </c:pt>
              </c:strCache>
            </c:strRef>
          </c:tx>
          <c:spPr>
            <a:solidFill>
              <a:schemeClr val="accent3"/>
            </a:solidFill>
            <a:ln>
              <a:noFill/>
            </a:ln>
            <a:effectLst/>
          </c:spPr>
          <c:invertIfNegative val="0"/>
          <c:cat>
            <c:multiLvlStrRef>
              <c:f>pt.generic_add_data18!$A$10:$B$23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pt.generic_add_data18!$E$10:$E$23</c:f>
              <c:numCache>
                <c:formatCode>General</c:formatCode>
                <c:ptCount val="13"/>
                <c:pt idx="0">
                  <c:v>0</c:v>
                </c:pt>
                <c:pt idx="1">
                  <c:v>0</c:v>
                </c:pt>
                <c:pt idx="2">
                  <c:v>0</c:v>
                </c:pt>
                <c:pt idx="3">
                  <c:v>0</c:v>
                </c:pt>
                <c:pt idx="4">
                  <c:v>0</c:v>
                </c:pt>
                <c:pt idx="5">
                  <c:v>0</c:v>
                </c:pt>
                <c:pt idx="6">
                  <c:v>20</c:v>
                </c:pt>
                <c:pt idx="7">
                  <c:v>58</c:v>
                </c:pt>
                <c:pt idx="8">
                  <c:v>38</c:v>
                </c:pt>
                <c:pt idx="9">
                  <c:v>18</c:v>
                </c:pt>
                <c:pt idx="10">
                  <c:v>18</c:v>
                </c:pt>
                <c:pt idx="11">
                  <c:v>18</c:v>
                </c:pt>
                <c:pt idx="12">
                  <c:v>18</c:v>
                </c:pt>
              </c:numCache>
            </c:numRef>
          </c:val>
          <c:extLst>
            <c:ext xmlns:c16="http://schemas.microsoft.com/office/drawing/2014/chart" uri="{C3380CC4-5D6E-409C-BE32-E72D297353CC}">
              <c16:uniqueId val="{00000006-8223-4F57-BA3B-2F07D0165147}"/>
            </c:ext>
          </c:extLst>
        </c:ser>
        <c:ser>
          <c:idx val="3"/>
          <c:order val="3"/>
          <c:tx>
            <c:strRef>
              <c:f>pt.generic_add_data18!$F$7:$F$9</c:f>
              <c:strCache>
                <c:ptCount val="1"/>
                <c:pt idx="0">
                  <c:v>Do 90 min - Done - %</c:v>
                </c:pt>
              </c:strCache>
            </c:strRef>
          </c:tx>
          <c:spPr>
            <a:solidFill>
              <a:schemeClr val="accent4"/>
            </a:solidFill>
            <a:ln>
              <a:noFill/>
            </a:ln>
            <a:effectLst/>
          </c:spPr>
          <c:invertIfNegative val="0"/>
          <c:cat>
            <c:multiLvlStrRef>
              <c:f>pt.generic_add_data18!$A$10:$B$23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pt.generic_add_data18!$F$10:$F$23</c:f>
              <c:numCache>
                <c:formatCode>General</c:formatCode>
                <c:ptCount val="13"/>
                <c:pt idx="0">
                  <c:v>0</c:v>
                </c:pt>
                <c:pt idx="1">
                  <c:v>0</c:v>
                </c:pt>
                <c:pt idx="2">
                  <c:v>0</c:v>
                </c:pt>
                <c:pt idx="3">
                  <c:v>0</c:v>
                </c:pt>
                <c:pt idx="4">
                  <c:v>0</c:v>
                </c:pt>
                <c:pt idx="5">
                  <c:v>0</c:v>
                </c:pt>
                <c:pt idx="6">
                  <c:v>1</c:v>
                </c:pt>
                <c:pt idx="7">
                  <c:v>2</c:v>
                </c:pt>
                <c:pt idx="8">
                  <c:v>2</c:v>
                </c:pt>
                <c:pt idx="9">
                  <c:v>1</c:v>
                </c:pt>
                <c:pt idx="10">
                  <c:v>1</c:v>
                </c:pt>
                <c:pt idx="11">
                  <c:v>1</c:v>
                </c:pt>
                <c:pt idx="12">
                  <c:v>1</c:v>
                </c:pt>
              </c:numCache>
            </c:numRef>
          </c:val>
          <c:extLst>
            <c:ext xmlns:c16="http://schemas.microsoft.com/office/drawing/2014/chart" uri="{C3380CC4-5D6E-409C-BE32-E72D297353CC}">
              <c16:uniqueId val="{00000007-8223-4F57-BA3B-2F07D0165147}"/>
            </c:ext>
          </c:extLst>
        </c:ser>
        <c:ser>
          <c:idx val="4"/>
          <c:order val="4"/>
          <c:tx>
            <c:strRef>
              <c:f>pt.generic_add_data18!$G$7:$G$9</c:f>
              <c:strCache>
                <c:ptCount val="1"/>
                <c:pt idx="0">
                  <c:v>Do 60 min - Done</c:v>
                </c:pt>
              </c:strCache>
            </c:strRef>
          </c:tx>
          <c:spPr>
            <a:solidFill>
              <a:schemeClr val="accent5"/>
            </a:solidFill>
            <a:ln>
              <a:noFill/>
            </a:ln>
            <a:effectLst/>
          </c:spPr>
          <c:invertIfNegative val="0"/>
          <c:cat>
            <c:multiLvlStrRef>
              <c:f>pt.generic_add_data18!$A$10:$B$23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pt.generic_add_data18!$G$10:$G$23</c:f>
              <c:numCache>
                <c:formatCode>General</c:formatCode>
                <c:ptCount val="13"/>
                <c:pt idx="0">
                  <c:v>675</c:v>
                </c:pt>
                <c:pt idx="1">
                  <c:v>675</c:v>
                </c:pt>
                <c:pt idx="2">
                  <c:v>675</c:v>
                </c:pt>
                <c:pt idx="3">
                  <c:v>675</c:v>
                </c:pt>
                <c:pt idx="4">
                  <c:v>675</c:v>
                </c:pt>
                <c:pt idx="5">
                  <c:v>675</c:v>
                </c:pt>
                <c:pt idx="6">
                  <c:v>635</c:v>
                </c:pt>
                <c:pt idx="7">
                  <c:v>537</c:v>
                </c:pt>
                <c:pt idx="8">
                  <c:v>647</c:v>
                </c:pt>
                <c:pt idx="9">
                  <c:v>657</c:v>
                </c:pt>
                <c:pt idx="10">
                  <c:v>657</c:v>
                </c:pt>
                <c:pt idx="11">
                  <c:v>657</c:v>
                </c:pt>
                <c:pt idx="12">
                  <c:v>657</c:v>
                </c:pt>
              </c:numCache>
            </c:numRef>
          </c:val>
          <c:extLst>
            <c:ext xmlns:c16="http://schemas.microsoft.com/office/drawing/2014/chart" uri="{C3380CC4-5D6E-409C-BE32-E72D297353CC}">
              <c16:uniqueId val="{00000008-8223-4F57-BA3B-2F07D0165147}"/>
            </c:ext>
          </c:extLst>
        </c:ser>
        <c:ser>
          <c:idx val="5"/>
          <c:order val="5"/>
          <c:tx>
            <c:strRef>
              <c:f>pt.generic_add_data18!$H$7:$H$9</c:f>
              <c:strCache>
                <c:ptCount val="1"/>
                <c:pt idx="0">
                  <c:v>Do 60 min - Done - %</c:v>
                </c:pt>
              </c:strCache>
            </c:strRef>
          </c:tx>
          <c:spPr>
            <a:solidFill>
              <a:schemeClr val="accent6"/>
            </a:solidFill>
            <a:ln>
              <a:noFill/>
            </a:ln>
            <a:effectLst/>
          </c:spPr>
          <c:invertIfNegative val="0"/>
          <c:cat>
            <c:multiLvlStrRef>
              <c:f>pt.generic_add_data18!$A$10:$B$23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pt.generic_add_data18!$H$10:$H$23</c:f>
              <c:numCache>
                <c:formatCode>General</c:formatCode>
                <c:ptCount val="13"/>
                <c:pt idx="0">
                  <c:v>11</c:v>
                </c:pt>
                <c:pt idx="1">
                  <c:v>11</c:v>
                </c:pt>
                <c:pt idx="2">
                  <c:v>11</c:v>
                </c:pt>
                <c:pt idx="3">
                  <c:v>11</c:v>
                </c:pt>
                <c:pt idx="4">
                  <c:v>11</c:v>
                </c:pt>
                <c:pt idx="5">
                  <c:v>11.06</c:v>
                </c:pt>
                <c:pt idx="6">
                  <c:v>8.56</c:v>
                </c:pt>
                <c:pt idx="7">
                  <c:v>9.379999999999999</c:v>
                </c:pt>
                <c:pt idx="8">
                  <c:v>10.6</c:v>
                </c:pt>
                <c:pt idx="9">
                  <c:v>10.6</c:v>
                </c:pt>
                <c:pt idx="10">
                  <c:v>10.6</c:v>
                </c:pt>
                <c:pt idx="11">
                  <c:v>10.6</c:v>
                </c:pt>
                <c:pt idx="12">
                  <c:v>10.6</c:v>
                </c:pt>
              </c:numCache>
            </c:numRef>
          </c:val>
          <c:extLst>
            <c:ext xmlns:c16="http://schemas.microsoft.com/office/drawing/2014/chart" uri="{C3380CC4-5D6E-409C-BE32-E72D297353CC}">
              <c16:uniqueId val="{00000009-8223-4F57-BA3B-2F07D0165147}"/>
            </c:ext>
          </c:extLst>
        </c:ser>
        <c:dLbls>
          <c:showLegendKey val="0"/>
          <c:showVal val="0"/>
          <c:showCatName val="0"/>
          <c:showSerName val="0"/>
          <c:showPercent val="0"/>
          <c:showBubbleSize val="0"/>
        </c:dLbls>
        <c:gapWidth val="200"/>
        <c:overlap val="100"/>
        <c:axId val="228854728"/>
        <c:axId val="228855120"/>
      </c:barChart>
      <c:catAx>
        <c:axId val="228854728"/>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28855120"/>
        <c:crosses val="autoZero"/>
        <c:auto val="1"/>
        <c:lblAlgn val="ctr"/>
        <c:lblOffset val="100"/>
        <c:tickLblSkip val="2"/>
        <c:tickMarkSkip val="1"/>
        <c:noMultiLvlLbl val="0"/>
      </c:catAx>
      <c:valAx>
        <c:axId val="2288551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28854728"/>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1.3_3_2.xlsm]pt.generic_add_data19!pt.generic_add_data19</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a:solidFill>
              <a:srgbClr val="FFC000"/>
            </a:solidFill>
          </a:ln>
          <a:effectLst/>
        </c:spPr>
        <c:marker>
          <c:symbol val="none"/>
        </c:marker>
      </c:pivotFmt>
      <c:pivotFmt>
        <c:idx val="14"/>
        <c:spPr>
          <a:solidFill>
            <a:srgbClr val="9B2D2A"/>
          </a:solidFill>
          <a:ln>
            <a:solidFill>
              <a:srgbClr val="9B2D2A"/>
            </a:solidFill>
          </a:ln>
          <a:effectLst/>
        </c:spPr>
        <c:marker>
          <c:symbol val="none"/>
        </c:marker>
      </c:pivotFmt>
      <c:pivotFmt>
        <c:idx val="15"/>
        <c:spPr>
          <a:solidFill>
            <a:schemeClr val="accent1"/>
          </a:solidFill>
          <a:ln>
            <a:solidFill>
              <a:srgbClr val="9B2D2A"/>
            </a:solidFill>
          </a:ln>
          <a:effectLst/>
        </c:spPr>
        <c:marker>
          <c:symbol val="none"/>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a:solidFill>
              <a:srgbClr val="9CC746"/>
            </a:solid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s>
    <c:plotArea>
      <c:layout/>
      <c:barChart>
        <c:barDir val="col"/>
        <c:grouping val="stacked"/>
        <c:varyColors val="0"/>
        <c:ser>
          <c:idx val="0"/>
          <c:order val="0"/>
          <c:tx>
            <c:strRef>
              <c:f>pt.generic_add_data19!$C$7:$C$9</c:f>
              <c:strCache>
                <c:ptCount val="1"/>
                <c:pt idx="0">
                  <c:v>Nad 90 min - Done</c:v>
                </c:pt>
              </c:strCache>
            </c:strRef>
          </c:tx>
          <c:spPr>
            <a:solidFill>
              <a:schemeClr val="accent1"/>
            </a:solidFill>
            <a:ln>
              <a:noFill/>
            </a:ln>
            <a:effectLst/>
          </c:spPr>
          <c:invertIfNegative val="0"/>
          <c:cat>
            <c:multiLvlStrRef>
              <c:f>pt.generic_add_data19!$A$10:$B$23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pt.generic_add_data19!$C$10:$C$23</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9FC4-4E20-B5EE-267EDD8A8918}"/>
            </c:ext>
          </c:extLst>
        </c:ser>
        <c:ser>
          <c:idx val="1"/>
          <c:order val="1"/>
          <c:tx>
            <c:strRef>
              <c:f>pt.generic_add_data19!$D$7:$D$9</c:f>
              <c:strCache>
                <c:ptCount val="1"/>
                <c:pt idx="0">
                  <c:v>Nad 90 min - Done - %</c:v>
                </c:pt>
              </c:strCache>
            </c:strRef>
          </c:tx>
          <c:spPr>
            <a:solidFill>
              <a:schemeClr val="accent2"/>
            </a:solidFill>
            <a:ln>
              <a:noFill/>
            </a:ln>
            <a:effectLst/>
          </c:spPr>
          <c:invertIfNegative val="0"/>
          <c:cat>
            <c:multiLvlStrRef>
              <c:f>pt.generic_add_data19!$A$10:$B$23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pt.generic_add_data19!$D$10:$D$23</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5-1C90-4524-8F8E-37E8C02BBA12}"/>
            </c:ext>
          </c:extLst>
        </c:ser>
        <c:ser>
          <c:idx val="2"/>
          <c:order val="2"/>
          <c:tx>
            <c:strRef>
              <c:f>pt.generic_add_data19!$E$7:$E$9</c:f>
              <c:strCache>
                <c:ptCount val="1"/>
                <c:pt idx="0">
                  <c:v>Do 90 min - Done</c:v>
                </c:pt>
              </c:strCache>
            </c:strRef>
          </c:tx>
          <c:spPr>
            <a:solidFill>
              <a:schemeClr val="accent3"/>
            </a:solidFill>
            <a:ln>
              <a:noFill/>
            </a:ln>
            <a:effectLst/>
          </c:spPr>
          <c:invertIfNegative val="0"/>
          <c:cat>
            <c:multiLvlStrRef>
              <c:f>pt.generic_add_data19!$A$10:$B$23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pt.generic_add_data19!$E$10:$E$23</c:f>
              <c:numCache>
                <c:formatCode>General</c:formatCode>
                <c:ptCount val="13"/>
                <c:pt idx="0">
                  <c:v>0</c:v>
                </c:pt>
                <c:pt idx="1">
                  <c:v>0</c:v>
                </c:pt>
                <c:pt idx="2">
                  <c:v>0</c:v>
                </c:pt>
                <c:pt idx="3">
                  <c:v>0</c:v>
                </c:pt>
                <c:pt idx="4">
                  <c:v>0</c:v>
                </c:pt>
                <c:pt idx="5">
                  <c:v>0</c:v>
                </c:pt>
                <c:pt idx="6">
                  <c:v>20</c:v>
                </c:pt>
                <c:pt idx="7">
                  <c:v>58</c:v>
                </c:pt>
                <c:pt idx="8">
                  <c:v>38</c:v>
                </c:pt>
                <c:pt idx="9">
                  <c:v>18</c:v>
                </c:pt>
                <c:pt idx="10">
                  <c:v>18</c:v>
                </c:pt>
                <c:pt idx="11">
                  <c:v>18</c:v>
                </c:pt>
                <c:pt idx="12">
                  <c:v>18</c:v>
                </c:pt>
              </c:numCache>
            </c:numRef>
          </c:val>
          <c:extLst>
            <c:ext xmlns:c16="http://schemas.microsoft.com/office/drawing/2014/chart" uri="{C3380CC4-5D6E-409C-BE32-E72D297353CC}">
              <c16:uniqueId val="{00000006-1C90-4524-8F8E-37E8C02BBA12}"/>
            </c:ext>
          </c:extLst>
        </c:ser>
        <c:ser>
          <c:idx val="3"/>
          <c:order val="3"/>
          <c:tx>
            <c:strRef>
              <c:f>pt.generic_add_data19!$F$7:$F$9</c:f>
              <c:strCache>
                <c:ptCount val="1"/>
                <c:pt idx="0">
                  <c:v>Do 90 min - Done - %</c:v>
                </c:pt>
              </c:strCache>
            </c:strRef>
          </c:tx>
          <c:spPr>
            <a:solidFill>
              <a:schemeClr val="accent4"/>
            </a:solidFill>
            <a:ln>
              <a:noFill/>
            </a:ln>
            <a:effectLst/>
          </c:spPr>
          <c:invertIfNegative val="0"/>
          <c:cat>
            <c:multiLvlStrRef>
              <c:f>pt.generic_add_data19!$A$10:$B$23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pt.generic_add_data19!$F$10:$F$23</c:f>
              <c:numCache>
                <c:formatCode>General</c:formatCode>
                <c:ptCount val="13"/>
                <c:pt idx="0">
                  <c:v>0</c:v>
                </c:pt>
                <c:pt idx="1">
                  <c:v>0</c:v>
                </c:pt>
                <c:pt idx="2">
                  <c:v>0</c:v>
                </c:pt>
                <c:pt idx="3">
                  <c:v>0</c:v>
                </c:pt>
                <c:pt idx="4">
                  <c:v>0</c:v>
                </c:pt>
                <c:pt idx="5">
                  <c:v>0</c:v>
                </c:pt>
                <c:pt idx="6">
                  <c:v>1</c:v>
                </c:pt>
                <c:pt idx="7">
                  <c:v>2</c:v>
                </c:pt>
                <c:pt idx="8">
                  <c:v>2</c:v>
                </c:pt>
                <c:pt idx="9">
                  <c:v>1</c:v>
                </c:pt>
                <c:pt idx="10">
                  <c:v>1</c:v>
                </c:pt>
                <c:pt idx="11">
                  <c:v>1</c:v>
                </c:pt>
                <c:pt idx="12">
                  <c:v>1</c:v>
                </c:pt>
              </c:numCache>
            </c:numRef>
          </c:val>
          <c:extLst>
            <c:ext xmlns:c16="http://schemas.microsoft.com/office/drawing/2014/chart" uri="{C3380CC4-5D6E-409C-BE32-E72D297353CC}">
              <c16:uniqueId val="{00000007-1C90-4524-8F8E-37E8C02BBA12}"/>
            </c:ext>
          </c:extLst>
        </c:ser>
        <c:ser>
          <c:idx val="4"/>
          <c:order val="4"/>
          <c:tx>
            <c:strRef>
              <c:f>pt.generic_add_data19!$G$7:$G$9</c:f>
              <c:strCache>
                <c:ptCount val="1"/>
                <c:pt idx="0">
                  <c:v>Do 60 min - Done</c:v>
                </c:pt>
              </c:strCache>
            </c:strRef>
          </c:tx>
          <c:spPr>
            <a:solidFill>
              <a:schemeClr val="accent5"/>
            </a:solidFill>
            <a:ln>
              <a:noFill/>
            </a:ln>
            <a:effectLst/>
          </c:spPr>
          <c:invertIfNegative val="0"/>
          <c:cat>
            <c:multiLvlStrRef>
              <c:f>pt.generic_add_data19!$A$10:$B$23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pt.generic_add_data19!$G$10:$G$23</c:f>
              <c:numCache>
                <c:formatCode>General</c:formatCode>
                <c:ptCount val="13"/>
                <c:pt idx="0">
                  <c:v>675</c:v>
                </c:pt>
                <c:pt idx="1">
                  <c:v>675</c:v>
                </c:pt>
                <c:pt idx="2">
                  <c:v>675</c:v>
                </c:pt>
                <c:pt idx="3">
                  <c:v>675</c:v>
                </c:pt>
                <c:pt idx="4">
                  <c:v>675</c:v>
                </c:pt>
                <c:pt idx="5">
                  <c:v>675</c:v>
                </c:pt>
                <c:pt idx="6">
                  <c:v>635</c:v>
                </c:pt>
                <c:pt idx="7">
                  <c:v>537</c:v>
                </c:pt>
                <c:pt idx="8">
                  <c:v>647</c:v>
                </c:pt>
                <c:pt idx="9">
                  <c:v>657</c:v>
                </c:pt>
                <c:pt idx="10">
                  <c:v>657</c:v>
                </c:pt>
                <c:pt idx="11">
                  <c:v>657</c:v>
                </c:pt>
                <c:pt idx="12">
                  <c:v>657</c:v>
                </c:pt>
              </c:numCache>
            </c:numRef>
          </c:val>
          <c:extLst>
            <c:ext xmlns:c16="http://schemas.microsoft.com/office/drawing/2014/chart" uri="{C3380CC4-5D6E-409C-BE32-E72D297353CC}">
              <c16:uniqueId val="{00000008-1C90-4524-8F8E-37E8C02BBA12}"/>
            </c:ext>
          </c:extLst>
        </c:ser>
        <c:ser>
          <c:idx val="5"/>
          <c:order val="5"/>
          <c:tx>
            <c:strRef>
              <c:f>pt.generic_add_data19!$H$7:$H$9</c:f>
              <c:strCache>
                <c:ptCount val="1"/>
                <c:pt idx="0">
                  <c:v>Do 60 min - Done - %</c:v>
                </c:pt>
              </c:strCache>
            </c:strRef>
          </c:tx>
          <c:spPr>
            <a:solidFill>
              <a:schemeClr val="accent6"/>
            </a:solidFill>
            <a:ln>
              <a:noFill/>
            </a:ln>
            <a:effectLst/>
          </c:spPr>
          <c:invertIfNegative val="0"/>
          <c:cat>
            <c:multiLvlStrRef>
              <c:f>pt.generic_add_data19!$A$10:$B$23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pt.generic_add_data19!$H$10:$H$23</c:f>
              <c:numCache>
                <c:formatCode>General</c:formatCode>
                <c:ptCount val="13"/>
                <c:pt idx="0">
                  <c:v>11</c:v>
                </c:pt>
                <c:pt idx="1">
                  <c:v>11</c:v>
                </c:pt>
                <c:pt idx="2">
                  <c:v>11</c:v>
                </c:pt>
                <c:pt idx="3">
                  <c:v>11</c:v>
                </c:pt>
                <c:pt idx="4">
                  <c:v>11</c:v>
                </c:pt>
                <c:pt idx="5">
                  <c:v>11.06</c:v>
                </c:pt>
                <c:pt idx="6">
                  <c:v>8.56</c:v>
                </c:pt>
                <c:pt idx="7">
                  <c:v>9.379999999999999</c:v>
                </c:pt>
                <c:pt idx="8">
                  <c:v>10.6</c:v>
                </c:pt>
                <c:pt idx="9">
                  <c:v>10.6</c:v>
                </c:pt>
                <c:pt idx="10">
                  <c:v>10.6</c:v>
                </c:pt>
                <c:pt idx="11">
                  <c:v>10.6</c:v>
                </c:pt>
                <c:pt idx="12">
                  <c:v>10.6</c:v>
                </c:pt>
              </c:numCache>
            </c:numRef>
          </c:val>
          <c:extLst>
            <c:ext xmlns:c16="http://schemas.microsoft.com/office/drawing/2014/chart" uri="{C3380CC4-5D6E-409C-BE32-E72D297353CC}">
              <c16:uniqueId val="{00000009-1C90-4524-8F8E-37E8C02BBA12}"/>
            </c:ext>
          </c:extLst>
        </c:ser>
        <c:dLbls>
          <c:showLegendKey val="0"/>
          <c:showVal val="0"/>
          <c:showCatName val="0"/>
          <c:showSerName val="0"/>
          <c:showPercent val="0"/>
          <c:showBubbleSize val="0"/>
        </c:dLbls>
        <c:gapWidth val="200"/>
        <c:overlap val="100"/>
        <c:axId val="227519928"/>
        <c:axId val="227520320"/>
      </c:barChart>
      <c:catAx>
        <c:axId val="227519928"/>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27520320"/>
        <c:crosses val="autoZero"/>
        <c:auto val="1"/>
        <c:lblAlgn val="ctr"/>
        <c:lblOffset val="100"/>
        <c:tickLblSkip val="2"/>
        <c:tickMarkSkip val="1"/>
        <c:noMultiLvlLbl val="0"/>
      </c:catAx>
      <c:valAx>
        <c:axId val="2275203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27519928"/>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1.3_3_2.xlsm]pt.generic_add_data20!pt.generic_add_data20</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a:solidFill>
              <a:srgbClr val="FFC000"/>
            </a:solidFill>
          </a:ln>
          <a:effectLst/>
        </c:spPr>
        <c:marker>
          <c:symbol val="none"/>
        </c:marker>
      </c:pivotFmt>
      <c:pivotFmt>
        <c:idx val="14"/>
        <c:spPr>
          <a:solidFill>
            <a:srgbClr val="9B2D2A"/>
          </a:solidFill>
          <a:ln>
            <a:solidFill>
              <a:srgbClr val="9B2D2A"/>
            </a:solidFill>
          </a:ln>
          <a:effectLst/>
        </c:spPr>
        <c:marker>
          <c:symbol val="none"/>
        </c:marker>
      </c:pivotFmt>
      <c:pivotFmt>
        <c:idx val="15"/>
        <c:spPr>
          <a:solidFill>
            <a:schemeClr val="accent1"/>
          </a:solidFill>
          <a:ln>
            <a:solidFill>
              <a:srgbClr val="9B2D2A"/>
            </a:solidFill>
          </a:ln>
          <a:effectLst/>
        </c:spPr>
        <c:marker>
          <c:symbol val="none"/>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a:solidFill>
              <a:srgbClr val="9CC746"/>
            </a:solid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s>
    <c:plotArea>
      <c:layout/>
      <c:barChart>
        <c:barDir val="col"/>
        <c:grouping val="stacked"/>
        <c:varyColors val="0"/>
        <c:ser>
          <c:idx val="0"/>
          <c:order val="0"/>
          <c:tx>
            <c:strRef>
              <c:f>pt.generic_add_data20!$C$7:$C$9</c:f>
              <c:strCache>
                <c:ptCount val="1"/>
                <c:pt idx="0">
                  <c:v>Nad 90 min - Done</c:v>
                </c:pt>
              </c:strCache>
            </c:strRef>
          </c:tx>
          <c:spPr>
            <a:solidFill>
              <a:schemeClr val="accent1"/>
            </a:solidFill>
            <a:ln>
              <a:noFill/>
            </a:ln>
            <a:effectLst/>
          </c:spPr>
          <c:invertIfNegative val="0"/>
          <c:cat>
            <c:multiLvlStrRef>
              <c:f>pt.generic_add_data20!$A$10:$B$23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pt.generic_add_data20!$C$10:$C$23</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D572-424A-977B-EF8534B45BCE}"/>
            </c:ext>
          </c:extLst>
        </c:ser>
        <c:ser>
          <c:idx val="1"/>
          <c:order val="1"/>
          <c:tx>
            <c:strRef>
              <c:f>pt.generic_add_data20!$D$7:$D$9</c:f>
              <c:strCache>
                <c:ptCount val="1"/>
                <c:pt idx="0">
                  <c:v>Nad 90 min - Done - %</c:v>
                </c:pt>
              </c:strCache>
            </c:strRef>
          </c:tx>
          <c:spPr>
            <a:solidFill>
              <a:schemeClr val="accent2"/>
            </a:solidFill>
            <a:ln>
              <a:noFill/>
            </a:ln>
            <a:effectLst/>
          </c:spPr>
          <c:invertIfNegative val="0"/>
          <c:cat>
            <c:multiLvlStrRef>
              <c:f>pt.generic_add_data20!$A$10:$B$23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pt.generic_add_data20!$D$10:$D$23</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5-CF6D-49C0-9817-285388AEFDA7}"/>
            </c:ext>
          </c:extLst>
        </c:ser>
        <c:ser>
          <c:idx val="2"/>
          <c:order val="2"/>
          <c:tx>
            <c:strRef>
              <c:f>pt.generic_add_data20!$E$7:$E$9</c:f>
              <c:strCache>
                <c:ptCount val="1"/>
                <c:pt idx="0">
                  <c:v>Do 90 min - Done</c:v>
                </c:pt>
              </c:strCache>
            </c:strRef>
          </c:tx>
          <c:spPr>
            <a:solidFill>
              <a:schemeClr val="accent3"/>
            </a:solidFill>
            <a:ln>
              <a:noFill/>
            </a:ln>
            <a:effectLst/>
          </c:spPr>
          <c:invertIfNegative val="0"/>
          <c:cat>
            <c:multiLvlStrRef>
              <c:f>pt.generic_add_data20!$A$10:$B$23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pt.generic_add_data20!$E$10:$E$23</c:f>
              <c:numCache>
                <c:formatCode>General</c:formatCode>
                <c:ptCount val="13"/>
                <c:pt idx="0">
                  <c:v>0</c:v>
                </c:pt>
                <c:pt idx="1">
                  <c:v>0</c:v>
                </c:pt>
                <c:pt idx="2">
                  <c:v>0</c:v>
                </c:pt>
                <c:pt idx="3">
                  <c:v>0</c:v>
                </c:pt>
                <c:pt idx="4">
                  <c:v>0</c:v>
                </c:pt>
                <c:pt idx="5">
                  <c:v>0</c:v>
                </c:pt>
                <c:pt idx="6">
                  <c:v>20</c:v>
                </c:pt>
                <c:pt idx="7">
                  <c:v>58</c:v>
                </c:pt>
                <c:pt idx="8">
                  <c:v>38</c:v>
                </c:pt>
                <c:pt idx="9">
                  <c:v>18</c:v>
                </c:pt>
                <c:pt idx="10">
                  <c:v>18</c:v>
                </c:pt>
                <c:pt idx="11">
                  <c:v>18</c:v>
                </c:pt>
                <c:pt idx="12">
                  <c:v>18</c:v>
                </c:pt>
              </c:numCache>
            </c:numRef>
          </c:val>
          <c:extLst>
            <c:ext xmlns:c16="http://schemas.microsoft.com/office/drawing/2014/chart" uri="{C3380CC4-5D6E-409C-BE32-E72D297353CC}">
              <c16:uniqueId val="{00000006-CF6D-49C0-9817-285388AEFDA7}"/>
            </c:ext>
          </c:extLst>
        </c:ser>
        <c:ser>
          <c:idx val="3"/>
          <c:order val="3"/>
          <c:tx>
            <c:strRef>
              <c:f>pt.generic_add_data20!$F$7:$F$9</c:f>
              <c:strCache>
                <c:ptCount val="1"/>
                <c:pt idx="0">
                  <c:v>Do 90 min - Done - %</c:v>
                </c:pt>
              </c:strCache>
            </c:strRef>
          </c:tx>
          <c:spPr>
            <a:solidFill>
              <a:schemeClr val="accent4"/>
            </a:solidFill>
            <a:ln>
              <a:noFill/>
            </a:ln>
            <a:effectLst/>
          </c:spPr>
          <c:invertIfNegative val="0"/>
          <c:cat>
            <c:multiLvlStrRef>
              <c:f>pt.generic_add_data20!$A$10:$B$23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pt.generic_add_data20!$F$10:$F$23</c:f>
              <c:numCache>
                <c:formatCode>General</c:formatCode>
                <c:ptCount val="13"/>
                <c:pt idx="0">
                  <c:v>0</c:v>
                </c:pt>
                <c:pt idx="1">
                  <c:v>0</c:v>
                </c:pt>
                <c:pt idx="2">
                  <c:v>0</c:v>
                </c:pt>
                <c:pt idx="3">
                  <c:v>0</c:v>
                </c:pt>
                <c:pt idx="4">
                  <c:v>0</c:v>
                </c:pt>
                <c:pt idx="5">
                  <c:v>0</c:v>
                </c:pt>
                <c:pt idx="6">
                  <c:v>1</c:v>
                </c:pt>
                <c:pt idx="7">
                  <c:v>2</c:v>
                </c:pt>
                <c:pt idx="8">
                  <c:v>2</c:v>
                </c:pt>
                <c:pt idx="9">
                  <c:v>1</c:v>
                </c:pt>
                <c:pt idx="10">
                  <c:v>1</c:v>
                </c:pt>
                <c:pt idx="11">
                  <c:v>1</c:v>
                </c:pt>
                <c:pt idx="12">
                  <c:v>1</c:v>
                </c:pt>
              </c:numCache>
            </c:numRef>
          </c:val>
          <c:extLst>
            <c:ext xmlns:c16="http://schemas.microsoft.com/office/drawing/2014/chart" uri="{C3380CC4-5D6E-409C-BE32-E72D297353CC}">
              <c16:uniqueId val="{00000007-CF6D-49C0-9817-285388AEFDA7}"/>
            </c:ext>
          </c:extLst>
        </c:ser>
        <c:ser>
          <c:idx val="4"/>
          <c:order val="4"/>
          <c:tx>
            <c:strRef>
              <c:f>pt.generic_add_data20!$G$7:$G$9</c:f>
              <c:strCache>
                <c:ptCount val="1"/>
                <c:pt idx="0">
                  <c:v>Do 60 min - Done</c:v>
                </c:pt>
              </c:strCache>
            </c:strRef>
          </c:tx>
          <c:spPr>
            <a:solidFill>
              <a:schemeClr val="accent5"/>
            </a:solidFill>
            <a:ln>
              <a:noFill/>
            </a:ln>
            <a:effectLst/>
          </c:spPr>
          <c:invertIfNegative val="0"/>
          <c:cat>
            <c:multiLvlStrRef>
              <c:f>pt.generic_add_data20!$A$10:$B$23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pt.generic_add_data20!$G$10:$G$23</c:f>
              <c:numCache>
                <c:formatCode>General</c:formatCode>
                <c:ptCount val="13"/>
                <c:pt idx="0">
                  <c:v>675</c:v>
                </c:pt>
                <c:pt idx="1">
                  <c:v>675</c:v>
                </c:pt>
                <c:pt idx="2">
                  <c:v>675</c:v>
                </c:pt>
                <c:pt idx="3">
                  <c:v>675</c:v>
                </c:pt>
                <c:pt idx="4">
                  <c:v>675</c:v>
                </c:pt>
                <c:pt idx="5">
                  <c:v>675</c:v>
                </c:pt>
                <c:pt idx="6">
                  <c:v>635</c:v>
                </c:pt>
                <c:pt idx="7">
                  <c:v>537</c:v>
                </c:pt>
                <c:pt idx="8">
                  <c:v>647</c:v>
                </c:pt>
                <c:pt idx="9">
                  <c:v>657</c:v>
                </c:pt>
                <c:pt idx="10">
                  <c:v>657</c:v>
                </c:pt>
                <c:pt idx="11">
                  <c:v>657</c:v>
                </c:pt>
                <c:pt idx="12">
                  <c:v>657</c:v>
                </c:pt>
              </c:numCache>
            </c:numRef>
          </c:val>
          <c:extLst>
            <c:ext xmlns:c16="http://schemas.microsoft.com/office/drawing/2014/chart" uri="{C3380CC4-5D6E-409C-BE32-E72D297353CC}">
              <c16:uniqueId val="{00000008-CF6D-49C0-9817-285388AEFDA7}"/>
            </c:ext>
          </c:extLst>
        </c:ser>
        <c:ser>
          <c:idx val="5"/>
          <c:order val="5"/>
          <c:tx>
            <c:strRef>
              <c:f>pt.generic_add_data20!$H$7:$H$9</c:f>
              <c:strCache>
                <c:ptCount val="1"/>
                <c:pt idx="0">
                  <c:v>Do 60 min - Done - %</c:v>
                </c:pt>
              </c:strCache>
            </c:strRef>
          </c:tx>
          <c:spPr>
            <a:solidFill>
              <a:schemeClr val="accent6"/>
            </a:solidFill>
            <a:ln>
              <a:noFill/>
            </a:ln>
            <a:effectLst/>
          </c:spPr>
          <c:invertIfNegative val="0"/>
          <c:cat>
            <c:multiLvlStrRef>
              <c:f>pt.generic_add_data20!$A$10:$B$23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pt.generic_add_data20!$H$10:$H$23</c:f>
              <c:numCache>
                <c:formatCode>General</c:formatCode>
                <c:ptCount val="13"/>
                <c:pt idx="0">
                  <c:v>11</c:v>
                </c:pt>
                <c:pt idx="1">
                  <c:v>11</c:v>
                </c:pt>
                <c:pt idx="2">
                  <c:v>11</c:v>
                </c:pt>
                <c:pt idx="3">
                  <c:v>11</c:v>
                </c:pt>
                <c:pt idx="4">
                  <c:v>11</c:v>
                </c:pt>
                <c:pt idx="5">
                  <c:v>11.06</c:v>
                </c:pt>
                <c:pt idx="6">
                  <c:v>8.56</c:v>
                </c:pt>
                <c:pt idx="7">
                  <c:v>9.379999999999999</c:v>
                </c:pt>
                <c:pt idx="8">
                  <c:v>10.6</c:v>
                </c:pt>
                <c:pt idx="9">
                  <c:v>10.6</c:v>
                </c:pt>
                <c:pt idx="10">
                  <c:v>10.6</c:v>
                </c:pt>
                <c:pt idx="11">
                  <c:v>10.6</c:v>
                </c:pt>
                <c:pt idx="12">
                  <c:v>10.6</c:v>
                </c:pt>
              </c:numCache>
            </c:numRef>
          </c:val>
          <c:extLst>
            <c:ext xmlns:c16="http://schemas.microsoft.com/office/drawing/2014/chart" uri="{C3380CC4-5D6E-409C-BE32-E72D297353CC}">
              <c16:uniqueId val="{00000009-CF6D-49C0-9817-285388AEFDA7}"/>
            </c:ext>
          </c:extLst>
        </c:ser>
        <c:dLbls>
          <c:showLegendKey val="0"/>
          <c:showVal val="0"/>
          <c:showCatName val="0"/>
          <c:showSerName val="0"/>
          <c:showPercent val="0"/>
          <c:showBubbleSize val="0"/>
        </c:dLbls>
        <c:gapWidth val="200"/>
        <c:overlap val="100"/>
        <c:axId val="229268144"/>
        <c:axId val="229268536"/>
      </c:barChart>
      <c:catAx>
        <c:axId val="229268144"/>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29268536"/>
        <c:crosses val="autoZero"/>
        <c:auto val="1"/>
        <c:lblAlgn val="ctr"/>
        <c:lblOffset val="100"/>
        <c:tickLblSkip val="2"/>
        <c:tickMarkSkip val="1"/>
        <c:noMultiLvlLbl val="0"/>
      </c:catAx>
      <c:valAx>
        <c:axId val="2292685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29268144"/>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1.3_3_2.xlsm]pt.generic_add_data21!pt.generic_add_data21</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pt.generic_add_data21!$D$8:$D$9</c:f>
              <c:strCache>
                <c:ptCount val="1"/>
                <c:pt idx="0">
                  <c:v>Grand Total</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pt.generic_add_data21!$B$10:$C$10</c:f>
              <c:strCache>
                <c:ptCount val="1"/>
                <c:pt idx="0">
                  <c:v>Grand Total</c:v>
                </c:pt>
              </c:strCache>
            </c:strRef>
          </c:cat>
          <c:val>
            <c:numRef>
              <c:f>pt.generic_add_data21!$D$10</c:f>
              <c:numCache>
                <c:formatCode>General</c:formatCode>
                <c:ptCount val="1"/>
              </c:numCache>
            </c:numRef>
          </c:val>
          <c:extLst>
            <c:ext xmlns:c16="http://schemas.microsoft.com/office/drawing/2014/chart" uri="{C3380CC4-5D6E-409C-BE32-E72D297353CC}">
              <c16:uniqueId val="{00000000-F7B7-47D2-A966-A7DB58F713D6}"/>
            </c:ext>
          </c:extLst>
        </c:ser>
        <c:dLbls>
          <c:dLblPos val="inBase"/>
          <c:showLegendKey val="0"/>
          <c:showVal val="1"/>
          <c:showCatName val="0"/>
          <c:showSerName val="0"/>
          <c:showPercent val="0"/>
          <c:showBubbleSize val="0"/>
        </c:dLbls>
        <c:gapWidth val="200"/>
        <c:overlap val="-27"/>
        <c:axId val="237755864"/>
        <c:axId val="237756256"/>
      </c:barChart>
      <c:catAx>
        <c:axId val="237755864"/>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0"/>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37756256"/>
        <c:crosses val="autoZero"/>
        <c:auto val="1"/>
        <c:lblAlgn val="ctr"/>
        <c:lblOffset val="100"/>
        <c:tickLblSkip val="2"/>
        <c:tickMarkSkip val="1"/>
        <c:noMultiLvlLbl val="0"/>
      </c:catAx>
      <c:valAx>
        <c:axId val="237756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37755864"/>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1.3_3_2.xlsm]pt.generic_add_data22!pt.generic_add_data22</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pivotFmt>
      <c:pivotFmt>
        <c:idx val="13"/>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pt.generic_add_data22!$C$8:$C$9</c:f>
              <c:strCache>
                <c:ptCount val="1"/>
                <c:pt idx="0">
                  <c:v>Grand Total</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pt.generic_add_data22!$A$10:$B$10</c:f>
              <c:strCache>
                <c:ptCount val="1"/>
                <c:pt idx="0">
                  <c:v>Grand Total</c:v>
                </c:pt>
              </c:strCache>
            </c:strRef>
          </c:cat>
          <c:val>
            <c:numRef>
              <c:f>pt.generic_add_data22!$C$10</c:f>
              <c:numCache>
                <c:formatCode>General</c:formatCode>
                <c:ptCount val="1"/>
              </c:numCache>
            </c:numRef>
          </c:val>
          <c:extLst>
            <c:ext xmlns:c16="http://schemas.microsoft.com/office/drawing/2014/chart" uri="{C3380CC4-5D6E-409C-BE32-E72D297353CC}">
              <c16:uniqueId val="{00000000-F8DA-45F0-962D-2DAF3A905F5F}"/>
            </c:ext>
          </c:extLst>
        </c:ser>
        <c:dLbls>
          <c:dLblPos val="inBase"/>
          <c:showLegendKey val="0"/>
          <c:showVal val="1"/>
          <c:showCatName val="0"/>
          <c:showSerName val="0"/>
          <c:showPercent val="0"/>
          <c:showBubbleSize val="0"/>
        </c:dLbls>
        <c:gapWidth val="200"/>
        <c:overlap val="-27"/>
        <c:axId val="236269104"/>
        <c:axId val="236269496"/>
      </c:barChart>
      <c:catAx>
        <c:axId val="236269104"/>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36269496"/>
        <c:crosses val="autoZero"/>
        <c:auto val="1"/>
        <c:lblAlgn val="ctr"/>
        <c:lblOffset val="100"/>
        <c:tickLblSkip val="2"/>
        <c:tickMarkSkip val="1"/>
        <c:noMultiLvlLbl val="0"/>
      </c:catAx>
      <c:valAx>
        <c:axId val="2362694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36269104"/>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1.3_3_2.xlsm]pt.generic_add_data23!pt.generic_add_data23</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pivotFmt>
      <c:pivotFmt>
        <c:idx val="13"/>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pt.generic_add_data23!$C$8:$C$9</c:f>
              <c:strCache>
                <c:ptCount val="1"/>
                <c:pt idx="0">
                  <c:v>Grand Total</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pt.generic_add_data23!$A$10:$B$10</c:f>
              <c:strCache>
                <c:ptCount val="1"/>
                <c:pt idx="0">
                  <c:v>Grand Total</c:v>
                </c:pt>
              </c:strCache>
            </c:strRef>
          </c:cat>
          <c:val>
            <c:numRef>
              <c:f>pt.generic_add_data23!$C$10</c:f>
              <c:numCache>
                <c:formatCode>General</c:formatCode>
                <c:ptCount val="1"/>
              </c:numCache>
            </c:numRef>
          </c:val>
          <c:extLst>
            <c:ext xmlns:c16="http://schemas.microsoft.com/office/drawing/2014/chart" uri="{C3380CC4-5D6E-409C-BE32-E72D297353CC}">
              <c16:uniqueId val="{00000000-090F-4082-8FD2-6134D43A1CC0}"/>
            </c:ext>
          </c:extLst>
        </c:ser>
        <c:dLbls>
          <c:dLblPos val="inBase"/>
          <c:showLegendKey val="0"/>
          <c:showVal val="1"/>
          <c:showCatName val="0"/>
          <c:showSerName val="0"/>
          <c:showPercent val="0"/>
          <c:showBubbleSize val="0"/>
        </c:dLbls>
        <c:gapWidth val="200"/>
        <c:overlap val="-27"/>
        <c:axId val="236267928"/>
        <c:axId val="236268320"/>
      </c:barChart>
      <c:catAx>
        <c:axId val="236267928"/>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36268320"/>
        <c:crosses val="autoZero"/>
        <c:auto val="1"/>
        <c:lblAlgn val="ctr"/>
        <c:lblOffset val="100"/>
        <c:tickLblSkip val="2"/>
        <c:tickMarkSkip val="1"/>
        <c:noMultiLvlLbl val="0"/>
      </c:catAx>
      <c:valAx>
        <c:axId val="2362683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36267928"/>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1.3_3_2.xlsm]pt.generic_add_data24!pt.generic_add_data24</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solidFill>
              <a:srgbClr val="9B2D2A"/>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5B9BD5"/>
            </a:solid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pt.generic_add_data24!$C$8:$C$9</c:f>
              <c:strCache>
                <c:ptCount val="1"/>
                <c:pt idx="0">
                  <c:v>Grand Total</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pt.generic_add_data24!$A$10:$B$10</c:f>
              <c:strCache>
                <c:ptCount val="1"/>
                <c:pt idx="0">
                  <c:v>Grand Total</c:v>
                </c:pt>
              </c:strCache>
            </c:strRef>
          </c:cat>
          <c:val>
            <c:numRef>
              <c:f>pt.generic_add_data24!$C$10</c:f>
              <c:numCache>
                <c:formatCode>General</c:formatCode>
                <c:ptCount val="1"/>
              </c:numCache>
            </c:numRef>
          </c:val>
          <c:extLst>
            <c:ext xmlns:c16="http://schemas.microsoft.com/office/drawing/2014/chart" uri="{C3380CC4-5D6E-409C-BE32-E72D297353CC}">
              <c16:uniqueId val="{00000000-4862-4BAE-BEC7-246296C57D28}"/>
            </c:ext>
          </c:extLst>
        </c:ser>
        <c:dLbls>
          <c:dLblPos val="inBase"/>
          <c:showLegendKey val="0"/>
          <c:showVal val="1"/>
          <c:showCatName val="0"/>
          <c:showSerName val="0"/>
          <c:showPercent val="0"/>
          <c:showBubbleSize val="0"/>
        </c:dLbls>
        <c:gapWidth val="200"/>
        <c:overlap val="-27"/>
        <c:axId val="235082136"/>
        <c:axId val="235082528"/>
      </c:barChart>
      <c:catAx>
        <c:axId val="235082136"/>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35082528"/>
        <c:crosses val="autoZero"/>
        <c:auto val="1"/>
        <c:lblAlgn val="ctr"/>
        <c:lblOffset val="100"/>
        <c:tickLblSkip val="2"/>
        <c:tickMarkSkip val="1"/>
        <c:noMultiLvlLbl val="0"/>
      </c:catAx>
      <c:valAx>
        <c:axId val="2350825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35082136"/>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1.3_3_2.xlsm]pt.generic_add_data25!pt.generic_add_data25</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solidFill>
              <a:srgbClr val="9B2D2A"/>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5B9BD5"/>
            </a:solid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pt.generic_add_data25!$C$8:$C$9</c:f>
              <c:strCache>
                <c:ptCount val="1"/>
                <c:pt idx="0">
                  <c:v>Done</c:v>
                </c:pt>
              </c:strCache>
            </c:strRef>
          </c:tx>
          <c:spPr>
            <a:solidFill>
              <a:schemeClr val="accent1"/>
            </a:solidFill>
            <a:ln>
              <a:solidFill>
                <a:srgbClr val="5B9BD5"/>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pt.generic_add_data25!$A$10:$B$23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pt.generic_add_data25!$C$10:$C$23</c:f>
              <c:numCache>
                <c:formatCode>General</c:formatCode>
                <c:ptCount val="13"/>
                <c:pt idx="0">
                  <c:v>675</c:v>
                </c:pt>
                <c:pt idx="1">
                  <c:v>675</c:v>
                </c:pt>
                <c:pt idx="2">
                  <c:v>675</c:v>
                </c:pt>
                <c:pt idx="3">
                  <c:v>675</c:v>
                </c:pt>
                <c:pt idx="4">
                  <c:v>675</c:v>
                </c:pt>
                <c:pt idx="5">
                  <c:v>675</c:v>
                </c:pt>
                <c:pt idx="6">
                  <c:v>655</c:v>
                </c:pt>
                <c:pt idx="7">
                  <c:v>595</c:v>
                </c:pt>
                <c:pt idx="8">
                  <c:v>685</c:v>
                </c:pt>
                <c:pt idx="9">
                  <c:v>675</c:v>
                </c:pt>
                <c:pt idx="10">
                  <c:v>675</c:v>
                </c:pt>
                <c:pt idx="11">
                  <c:v>675</c:v>
                </c:pt>
                <c:pt idx="12">
                  <c:v>675</c:v>
                </c:pt>
              </c:numCache>
            </c:numRef>
          </c:val>
          <c:extLst>
            <c:ext xmlns:c16="http://schemas.microsoft.com/office/drawing/2014/chart" uri="{C3380CC4-5D6E-409C-BE32-E72D297353CC}">
              <c16:uniqueId val="{00000000-4F08-47D5-A84D-B39C2749F910}"/>
            </c:ext>
          </c:extLst>
        </c:ser>
        <c:ser>
          <c:idx val="1"/>
          <c:order val="1"/>
          <c:tx>
            <c:strRef>
              <c:f>pt.generic_add_data25!$D$8:$D$9</c:f>
              <c:strCache>
                <c:ptCount val="1"/>
                <c:pt idx="0">
                  <c:v>Total</c:v>
                </c:pt>
              </c:strCache>
            </c:strRef>
          </c:tx>
          <c:spPr>
            <a:solidFill>
              <a:schemeClr val="accent2"/>
            </a:solidFill>
            <a:ln>
              <a:solidFill>
                <a:srgbClr val="9B2D2A"/>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pt.generic_add_data25!$A$10:$B$23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pt.generic_add_data25!$D$10:$D$23</c:f>
              <c:numCache>
                <c:formatCode>General</c:formatCode>
                <c:ptCount val="13"/>
                <c:pt idx="0">
                  <c:v>540</c:v>
                </c:pt>
                <c:pt idx="1">
                  <c:v>540</c:v>
                </c:pt>
                <c:pt idx="2">
                  <c:v>540</c:v>
                </c:pt>
                <c:pt idx="3">
                  <c:v>540</c:v>
                </c:pt>
                <c:pt idx="4">
                  <c:v>540</c:v>
                </c:pt>
                <c:pt idx="5">
                  <c:v>560</c:v>
                </c:pt>
                <c:pt idx="6">
                  <c:v>605</c:v>
                </c:pt>
                <c:pt idx="7">
                  <c:v>525</c:v>
                </c:pt>
                <c:pt idx="8">
                  <c:v>605</c:v>
                </c:pt>
                <c:pt idx="9">
                  <c:v>585</c:v>
                </c:pt>
                <c:pt idx="10">
                  <c:v>585</c:v>
                </c:pt>
                <c:pt idx="11">
                  <c:v>585</c:v>
                </c:pt>
                <c:pt idx="12">
                  <c:v>585</c:v>
                </c:pt>
              </c:numCache>
            </c:numRef>
          </c:val>
          <c:extLst>
            <c:ext xmlns:c16="http://schemas.microsoft.com/office/drawing/2014/chart" uri="{C3380CC4-5D6E-409C-BE32-E72D297353CC}">
              <c16:uniqueId val="{00000001-39FC-4F32-AB54-EAA5BEFB3762}"/>
            </c:ext>
          </c:extLst>
        </c:ser>
        <c:dLbls>
          <c:dLblPos val="inBase"/>
          <c:showLegendKey val="0"/>
          <c:showVal val="1"/>
          <c:showCatName val="0"/>
          <c:showSerName val="0"/>
          <c:showPercent val="0"/>
          <c:showBubbleSize val="0"/>
        </c:dLbls>
        <c:gapWidth val="200"/>
        <c:overlap val="-27"/>
        <c:axId val="236266752"/>
        <c:axId val="236267144"/>
      </c:barChart>
      <c:catAx>
        <c:axId val="236266752"/>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36267144"/>
        <c:crosses val="autoZero"/>
        <c:auto val="1"/>
        <c:lblAlgn val="ctr"/>
        <c:lblOffset val="100"/>
        <c:tickLblSkip val="2"/>
        <c:tickMarkSkip val="1"/>
        <c:noMultiLvlLbl val="0"/>
      </c:catAx>
      <c:valAx>
        <c:axId val="2362671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36266752"/>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1.3_3_2.xlsm]pt.generic_add_data26!pt.generic_add_data26</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pivotFmt>
      <c:pivotFmt>
        <c:idx val="13"/>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pt.generic_add_data26!$C$8:$C$9</c:f>
              <c:strCache>
                <c:ptCount val="1"/>
                <c:pt idx="0">
                  <c:v>Done</c:v>
                </c:pt>
              </c:strCache>
            </c:strRef>
          </c:tx>
          <c:spPr>
            <a:solidFill>
              <a:schemeClr val="accent1"/>
            </a:solidFill>
            <a:ln>
              <a:solidFill>
                <a:srgbClr val="5B9BD5"/>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pt.generic_add_data26!$A$10:$B$23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pt.generic_add_data26!$C$10:$C$23</c:f>
              <c:numCache>
                <c:formatCode>General</c:formatCode>
                <c:ptCount val="13"/>
                <c:pt idx="0">
                  <c:v>675</c:v>
                </c:pt>
                <c:pt idx="1">
                  <c:v>675</c:v>
                </c:pt>
                <c:pt idx="2">
                  <c:v>675</c:v>
                </c:pt>
                <c:pt idx="3">
                  <c:v>675</c:v>
                </c:pt>
                <c:pt idx="4">
                  <c:v>675</c:v>
                </c:pt>
                <c:pt idx="5">
                  <c:v>675</c:v>
                </c:pt>
                <c:pt idx="6">
                  <c:v>655</c:v>
                </c:pt>
                <c:pt idx="7">
                  <c:v>595</c:v>
                </c:pt>
                <c:pt idx="8">
                  <c:v>685</c:v>
                </c:pt>
                <c:pt idx="9">
                  <c:v>675</c:v>
                </c:pt>
                <c:pt idx="10">
                  <c:v>675</c:v>
                </c:pt>
                <c:pt idx="11">
                  <c:v>675</c:v>
                </c:pt>
                <c:pt idx="12">
                  <c:v>675</c:v>
                </c:pt>
              </c:numCache>
            </c:numRef>
          </c:val>
          <c:extLst>
            <c:ext xmlns:c16="http://schemas.microsoft.com/office/drawing/2014/chart" uri="{C3380CC4-5D6E-409C-BE32-E72D297353CC}">
              <c16:uniqueId val="{00000000-CF94-4F19-B6CC-13EC3EE53C5B}"/>
            </c:ext>
          </c:extLst>
        </c:ser>
        <c:ser>
          <c:idx val="1"/>
          <c:order val="1"/>
          <c:tx>
            <c:strRef>
              <c:f>pt.generic_add_data26!$D$8:$D$9</c:f>
              <c:strCache>
                <c:ptCount val="1"/>
                <c:pt idx="0">
                  <c:v>Total</c:v>
                </c:pt>
              </c:strCache>
            </c:strRef>
          </c:tx>
          <c:spPr>
            <a:solidFill>
              <a:schemeClr val="accent2"/>
            </a:solidFill>
            <a:ln>
              <a:solidFill>
                <a:srgbClr val="9B2D2A"/>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pt.generic_add_data26!$A$10:$B$23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pt.generic_add_data26!$D$10:$D$23</c:f>
              <c:numCache>
                <c:formatCode>General</c:formatCode>
                <c:ptCount val="13"/>
                <c:pt idx="0">
                  <c:v>540</c:v>
                </c:pt>
                <c:pt idx="1">
                  <c:v>540</c:v>
                </c:pt>
                <c:pt idx="2">
                  <c:v>540</c:v>
                </c:pt>
                <c:pt idx="3">
                  <c:v>540</c:v>
                </c:pt>
                <c:pt idx="4">
                  <c:v>540</c:v>
                </c:pt>
                <c:pt idx="5">
                  <c:v>560</c:v>
                </c:pt>
                <c:pt idx="6">
                  <c:v>605</c:v>
                </c:pt>
                <c:pt idx="7">
                  <c:v>525</c:v>
                </c:pt>
                <c:pt idx="8">
                  <c:v>605</c:v>
                </c:pt>
                <c:pt idx="9">
                  <c:v>585</c:v>
                </c:pt>
                <c:pt idx="10">
                  <c:v>585</c:v>
                </c:pt>
                <c:pt idx="11">
                  <c:v>585</c:v>
                </c:pt>
                <c:pt idx="12">
                  <c:v>585</c:v>
                </c:pt>
              </c:numCache>
            </c:numRef>
          </c:val>
          <c:extLst>
            <c:ext xmlns:c16="http://schemas.microsoft.com/office/drawing/2014/chart" uri="{C3380CC4-5D6E-409C-BE32-E72D297353CC}">
              <c16:uniqueId val="{00000001-767A-4734-BC8B-5B17F338DC9B}"/>
            </c:ext>
          </c:extLst>
        </c:ser>
        <c:dLbls>
          <c:dLblPos val="inBase"/>
          <c:showLegendKey val="0"/>
          <c:showVal val="1"/>
          <c:showCatName val="0"/>
          <c:showSerName val="0"/>
          <c:showPercent val="0"/>
          <c:showBubbleSize val="0"/>
        </c:dLbls>
        <c:gapWidth val="200"/>
        <c:overlap val="-27"/>
        <c:axId val="235079784"/>
        <c:axId val="235080176"/>
      </c:barChart>
      <c:catAx>
        <c:axId val="235079784"/>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35080176"/>
        <c:crosses val="autoZero"/>
        <c:auto val="1"/>
        <c:lblAlgn val="ctr"/>
        <c:lblOffset val="100"/>
        <c:tickLblSkip val="2"/>
        <c:tickMarkSkip val="1"/>
        <c:noMultiLvlLbl val="0"/>
      </c:catAx>
      <c:valAx>
        <c:axId val="2350801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35079784"/>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1.3_3_2.xlsm]pt.generic_add_data27!pt.generic_add_data27</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solidFill>
              <a:srgbClr val="9B2D2A"/>
            </a:solid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5B9BD5"/>
            </a:solid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pivotFmt>
      <c:pivotFmt>
        <c:idx val="13"/>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pt.generic_add_data27!$C$8:$C$9</c:f>
              <c:strCache>
                <c:ptCount val="1"/>
                <c:pt idx="0">
                  <c:v>Done</c:v>
                </c:pt>
              </c:strCache>
            </c:strRef>
          </c:tx>
          <c:spPr>
            <a:solidFill>
              <a:schemeClr val="accent1"/>
            </a:solidFill>
            <a:ln>
              <a:solidFill>
                <a:srgbClr val="5B9BD5"/>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pt.generic_add_data27!$A$10:$B$23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pt.generic_add_data27!$C$10:$C$23</c:f>
              <c:numCache>
                <c:formatCode>General</c:formatCode>
                <c:ptCount val="13"/>
                <c:pt idx="0">
                  <c:v>675</c:v>
                </c:pt>
                <c:pt idx="1">
                  <c:v>675</c:v>
                </c:pt>
                <c:pt idx="2">
                  <c:v>675</c:v>
                </c:pt>
                <c:pt idx="3">
                  <c:v>675</c:v>
                </c:pt>
                <c:pt idx="4">
                  <c:v>675</c:v>
                </c:pt>
                <c:pt idx="5">
                  <c:v>675</c:v>
                </c:pt>
                <c:pt idx="6">
                  <c:v>655</c:v>
                </c:pt>
                <c:pt idx="7">
                  <c:v>595</c:v>
                </c:pt>
                <c:pt idx="8">
                  <c:v>685</c:v>
                </c:pt>
                <c:pt idx="9">
                  <c:v>675</c:v>
                </c:pt>
                <c:pt idx="10">
                  <c:v>675</c:v>
                </c:pt>
                <c:pt idx="11">
                  <c:v>675</c:v>
                </c:pt>
                <c:pt idx="12">
                  <c:v>675</c:v>
                </c:pt>
              </c:numCache>
            </c:numRef>
          </c:val>
          <c:extLst>
            <c:ext xmlns:c16="http://schemas.microsoft.com/office/drawing/2014/chart" uri="{C3380CC4-5D6E-409C-BE32-E72D297353CC}">
              <c16:uniqueId val="{00000000-CBE3-479F-A8D1-604D3A71913F}"/>
            </c:ext>
          </c:extLst>
        </c:ser>
        <c:ser>
          <c:idx val="1"/>
          <c:order val="1"/>
          <c:tx>
            <c:strRef>
              <c:f>pt.generic_add_data27!$D$8:$D$9</c:f>
              <c:strCache>
                <c:ptCount val="1"/>
                <c:pt idx="0">
                  <c:v>Total</c:v>
                </c:pt>
              </c:strCache>
            </c:strRef>
          </c:tx>
          <c:spPr>
            <a:solidFill>
              <a:schemeClr val="accent2"/>
            </a:solidFill>
            <a:ln>
              <a:solidFill>
                <a:srgbClr val="9B2D2A"/>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pt.generic_add_data27!$A$10:$B$23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pt.generic_add_data27!$D$10:$D$23</c:f>
              <c:numCache>
                <c:formatCode>General</c:formatCode>
                <c:ptCount val="13"/>
                <c:pt idx="0">
                  <c:v>540</c:v>
                </c:pt>
                <c:pt idx="1">
                  <c:v>540</c:v>
                </c:pt>
                <c:pt idx="2">
                  <c:v>540</c:v>
                </c:pt>
                <c:pt idx="3">
                  <c:v>540</c:v>
                </c:pt>
                <c:pt idx="4">
                  <c:v>540</c:v>
                </c:pt>
                <c:pt idx="5">
                  <c:v>560</c:v>
                </c:pt>
                <c:pt idx="6">
                  <c:v>605</c:v>
                </c:pt>
                <c:pt idx="7">
                  <c:v>525</c:v>
                </c:pt>
                <c:pt idx="8">
                  <c:v>605</c:v>
                </c:pt>
                <c:pt idx="9">
                  <c:v>585</c:v>
                </c:pt>
                <c:pt idx="10">
                  <c:v>585</c:v>
                </c:pt>
                <c:pt idx="11">
                  <c:v>585</c:v>
                </c:pt>
                <c:pt idx="12">
                  <c:v>585</c:v>
                </c:pt>
              </c:numCache>
            </c:numRef>
          </c:val>
          <c:extLst>
            <c:ext xmlns:c16="http://schemas.microsoft.com/office/drawing/2014/chart" uri="{C3380CC4-5D6E-409C-BE32-E72D297353CC}">
              <c16:uniqueId val="{00000001-549A-44F0-9508-244A61D563D6}"/>
            </c:ext>
          </c:extLst>
        </c:ser>
        <c:dLbls>
          <c:dLblPos val="inBase"/>
          <c:showLegendKey val="0"/>
          <c:showVal val="1"/>
          <c:showCatName val="0"/>
          <c:showSerName val="0"/>
          <c:showPercent val="0"/>
          <c:showBubbleSize val="0"/>
        </c:dLbls>
        <c:gapWidth val="200"/>
        <c:overlap val="-27"/>
        <c:axId val="235080960"/>
        <c:axId val="235081352"/>
      </c:barChart>
      <c:catAx>
        <c:axId val="235080960"/>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35081352"/>
        <c:crosses val="autoZero"/>
        <c:auto val="1"/>
        <c:lblAlgn val="ctr"/>
        <c:lblOffset val="100"/>
        <c:tickLblSkip val="2"/>
        <c:tickMarkSkip val="1"/>
        <c:noMultiLvlLbl val="0"/>
      </c:catAx>
      <c:valAx>
        <c:axId val="2350813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35080960"/>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1.3_3_2.xlsm]pt.generic_add_data28!pt.generic_add_data28</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pivotFmt>
      <c:pivotFmt>
        <c:idx val="13"/>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pt.generic_add_data28!$C$8:$C$9</c:f>
              <c:strCache>
                <c:ptCount val="1"/>
                <c:pt idx="0">
                  <c:v>Done</c:v>
                </c:pt>
              </c:strCache>
            </c:strRef>
          </c:tx>
          <c:spPr>
            <a:solidFill>
              <a:schemeClr val="accent1"/>
            </a:solidFill>
            <a:ln>
              <a:solidFill>
                <a:srgbClr val="5B9BD5"/>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pt.generic_add_data28!$A$10:$B$23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pt.generic_add_data28!$C$10:$C$23</c:f>
              <c:numCache>
                <c:formatCode>General</c:formatCode>
                <c:ptCount val="13"/>
                <c:pt idx="0">
                  <c:v>675</c:v>
                </c:pt>
                <c:pt idx="1">
                  <c:v>675</c:v>
                </c:pt>
                <c:pt idx="2">
                  <c:v>675</c:v>
                </c:pt>
                <c:pt idx="3">
                  <c:v>675</c:v>
                </c:pt>
                <c:pt idx="4">
                  <c:v>675</c:v>
                </c:pt>
                <c:pt idx="5">
                  <c:v>675</c:v>
                </c:pt>
                <c:pt idx="6">
                  <c:v>655</c:v>
                </c:pt>
                <c:pt idx="7">
                  <c:v>595</c:v>
                </c:pt>
                <c:pt idx="8">
                  <c:v>685</c:v>
                </c:pt>
                <c:pt idx="9">
                  <c:v>675</c:v>
                </c:pt>
                <c:pt idx="10">
                  <c:v>675</c:v>
                </c:pt>
                <c:pt idx="11">
                  <c:v>675</c:v>
                </c:pt>
                <c:pt idx="12">
                  <c:v>675</c:v>
                </c:pt>
              </c:numCache>
            </c:numRef>
          </c:val>
          <c:extLst>
            <c:ext xmlns:c16="http://schemas.microsoft.com/office/drawing/2014/chart" uri="{C3380CC4-5D6E-409C-BE32-E72D297353CC}">
              <c16:uniqueId val="{00000000-50C0-4736-9E04-415794C6D302}"/>
            </c:ext>
          </c:extLst>
        </c:ser>
        <c:ser>
          <c:idx val="1"/>
          <c:order val="1"/>
          <c:tx>
            <c:strRef>
              <c:f>pt.generic_add_data28!$D$8:$D$9</c:f>
              <c:strCache>
                <c:ptCount val="1"/>
                <c:pt idx="0">
                  <c:v>Total</c:v>
                </c:pt>
              </c:strCache>
            </c:strRef>
          </c:tx>
          <c:spPr>
            <a:solidFill>
              <a:schemeClr val="accent2"/>
            </a:solidFill>
            <a:ln>
              <a:solidFill>
                <a:srgbClr val="9B2D2A"/>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pt.generic_add_data28!$A$10:$B$23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pt.generic_add_data28!$D$10:$D$23</c:f>
              <c:numCache>
                <c:formatCode>General</c:formatCode>
                <c:ptCount val="13"/>
                <c:pt idx="0">
                  <c:v>540</c:v>
                </c:pt>
                <c:pt idx="1">
                  <c:v>540</c:v>
                </c:pt>
                <c:pt idx="2">
                  <c:v>540</c:v>
                </c:pt>
                <c:pt idx="3">
                  <c:v>540</c:v>
                </c:pt>
                <c:pt idx="4">
                  <c:v>540</c:v>
                </c:pt>
                <c:pt idx="5">
                  <c:v>560</c:v>
                </c:pt>
                <c:pt idx="6">
                  <c:v>605</c:v>
                </c:pt>
                <c:pt idx="7">
                  <c:v>525</c:v>
                </c:pt>
                <c:pt idx="8">
                  <c:v>605</c:v>
                </c:pt>
                <c:pt idx="9">
                  <c:v>585</c:v>
                </c:pt>
                <c:pt idx="10">
                  <c:v>585</c:v>
                </c:pt>
                <c:pt idx="11">
                  <c:v>585</c:v>
                </c:pt>
                <c:pt idx="12">
                  <c:v>585</c:v>
                </c:pt>
              </c:numCache>
            </c:numRef>
          </c:val>
          <c:extLst>
            <c:ext xmlns:c16="http://schemas.microsoft.com/office/drawing/2014/chart" uri="{C3380CC4-5D6E-409C-BE32-E72D297353CC}">
              <c16:uniqueId val="{00000001-0D39-4915-BB98-AA176CBA394F}"/>
            </c:ext>
          </c:extLst>
        </c:ser>
        <c:dLbls>
          <c:dLblPos val="inBase"/>
          <c:showLegendKey val="0"/>
          <c:showVal val="1"/>
          <c:showCatName val="0"/>
          <c:showSerName val="0"/>
          <c:showPercent val="0"/>
          <c:showBubbleSize val="0"/>
        </c:dLbls>
        <c:gapWidth val="200"/>
        <c:overlap val="-27"/>
        <c:axId val="235083312"/>
        <c:axId val="235330480"/>
      </c:barChart>
      <c:catAx>
        <c:axId val="235083312"/>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35330480"/>
        <c:crosses val="autoZero"/>
        <c:auto val="1"/>
        <c:lblAlgn val="ctr"/>
        <c:lblOffset val="100"/>
        <c:tickLblSkip val="2"/>
        <c:tickMarkSkip val="1"/>
        <c:noMultiLvlLbl val="0"/>
      </c:catAx>
      <c:valAx>
        <c:axId val="2353304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35083312"/>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1.3_3_2.xlsm]pt.generic_add_data29!pt.generic_add_data29</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pivotFmt>
      <c:pivotFmt>
        <c:idx val="14"/>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pt.generic_add_data29!$C$8:$C$9</c:f>
              <c:strCache>
                <c:ptCount val="1"/>
                <c:pt idx="0">
                  <c:v>Done</c:v>
                </c:pt>
              </c:strCache>
            </c:strRef>
          </c:tx>
          <c:spPr>
            <a:solidFill>
              <a:schemeClr val="accent1"/>
            </a:solidFill>
            <a:ln>
              <a:solidFill>
                <a:srgbClr val="5B9BD5"/>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pt.generic_add_data29!$A$10:$B$23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pt.generic_add_data29!$C$10:$C$23</c:f>
              <c:numCache>
                <c:formatCode>General</c:formatCode>
                <c:ptCount val="13"/>
                <c:pt idx="0">
                  <c:v>675</c:v>
                </c:pt>
                <c:pt idx="1">
                  <c:v>675</c:v>
                </c:pt>
                <c:pt idx="2">
                  <c:v>675</c:v>
                </c:pt>
                <c:pt idx="3">
                  <c:v>675</c:v>
                </c:pt>
                <c:pt idx="4">
                  <c:v>675</c:v>
                </c:pt>
                <c:pt idx="5">
                  <c:v>675</c:v>
                </c:pt>
                <c:pt idx="6">
                  <c:v>655</c:v>
                </c:pt>
                <c:pt idx="7">
                  <c:v>595</c:v>
                </c:pt>
                <c:pt idx="8">
                  <c:v>685</c:v>
                </c:pt>
                <c:pt idx="9">
                  <c:v>675</c:v>
                </c:pt>
                <c:pt idx="10">
                  <c:v>675</c:v>
                </c:pt>
                <c:pt idx="11">
                  <c:v>675</c:v>
                </c:pt>
                <c:pt idx="12">
                  <c:v>675</c:v>
                </c:pt>
              </c:numCache>
            </c:numRef>
          </c:val>
          <c:extLst>
            <c:ext xmlns:c16="http://schemas.microsoft.com/office/drawing/2014/chart" uri="{C3380CC4-5D6E-409C-BE32-E72D297353CC}">
              <c16:uniqueId val="{00000000-9B67-4097-85DF-5490C08A587E}"/>
            </c:ext>
          </c:extLst>
        </c:ser>
        <c:ser>
          <c:idx val="1"/>
          <c:order val="1"/>
          <c:tx>
            <c:strRef>
              <c:f>pt.generic_add_data29!$D$8:$D$9</c:f>
              <c:strCache>
                <c:ptCount val="1"/>
                <c:pt idx="0">
                  <c:v>Total</c:v>
                </c:pt>
              </c:strCache>
            </c:strRef>
          </c:tx>
          <c:spPr>
            <a:solidFill>
              <a:schemeClr val="accent2"/>
            </a:solidFill>
            <a:ln>
              <a:solidFill>
                <a:srgbClr val="9B2D2A"/>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pt.generic_add_data29!$A$10:$B$23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pt.generic_add_data29!$D$10:$D$23</c:f>
              <c:numCache>
                <c:formatCode>General</c:formatCode>
                <c:ptCount val="13"/>
                <c:pt idx="0">
                  <c:v>540</c:v>
                </c:pt>
                <c:pt idx="1">
                  <c:v>540</c:v>
                </c:pt>
                <c:pt idx="2">
                  <c:v>540</c:v>
                </c:pt>
                <c:pt idx="3">
                  <c:v>540</c:v>
                </c:pt>
                <c:pt idx="4">
                  <c:v>540</c:v>
                </c:pt>
                <c:pt idx="5">
                  <c:v>560</c:v>
                </c:pt>
                <c:pt idx="6">
                  <c:v>605</c:v>
                </c:pt>
                <c:pt idx="7">
                  <c:v>525</c:v>
                </c:pt>
                <c:pt idx="8">
                  <c:v>605</c:v>
                </c:pt>
                <c:pt idx="9">
                  <c:v>585</c:v>
                </c:pt>
                <c:pt idx="10">
                  <c:v>585</c:v>
                </c:pt>
                <c:pt idx="11">
                  <c:v>585</c:v>
                </c:pt>
                <c:pt idx="12">
                  <c:v>585</c:v>
                </c:pt>
              </c:numCache>
            </c:numRef>
          </c:val>
          <c:extLst>
            <c:ext xmlns:c16="http://schemas.microsoft.com/office/drawing/2014/chart" uri="{C3380CC4-5D6E-409C-BE32-E72D297353CC}">
              <c16:uniqueId val="{00000001-840A-45BC-8BEE-26CCA4817938}"/>
            </c:ext>
          </c:extLst>
        </c:ser>
        <c:dLbls>
          <c:dLblPos val="inBase"/>
          <c:showLegendKey val="0"/>
          <c:showVal val="1"/>
          <c:showCatName val="0"/>
          <c:showSerName val="0"/>
          <c:showPercent val="0"/>
          <c:showBubbleSize val="0"/>
        </c:dLbls>
        <c:gapWidth val="200"/>
        <c:overlap val="-27"/>
        <c:axId val="235331264"/>
        <c:axId val="235331656"/>
      </c:barChart>
      <c:catAx>
        <c:axId val="235331264"/>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35331656"/>
        <c:crosses val="autoZero"/>
        <c:auto val="1"/>
        <c:lblAlgn val="ctr"/>
        <c:lblOffset val="100"/>
        <c:tickLblSkip val="2"/>
        <c:tickMarkSkip val="1"/>
        <c:noMultiLvlLbl val="0"/>
      </c:catAx>
      <c:valAx>
        <c:axId val="2353316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35331264"/>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1.3_3_2.xlsm]pt.generic_add_data30!pt.generic_add_data30</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pivotFmt>
      <c:pivotFmt>
        <c:idx val="14"/>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pt.generic_add_data30!$C$8:$C$9</c:f>
              <c:strCache>
                <c:ptCount val="1"/>
                <c:pt idx="0">
                  <c:v>Done</c:v>
                </c:pt>
              </c:strCache>
            </c:strRef>
          </c:tx>
          <c:spPr>
            <a:solidFill>
              <a:schemeClr val="accent1"/>
            </a:solidFill>
            <a:ln>
              <a:solidFill>
                <a:srgbClr val="5B9BD5"/>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pt.generic_add_data30!$A$10:$B$23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pt.generic_add_data30!$C$10:$C$23</c:f>
              <c:numCache>
                <c:formatCode>General</c:formatCode>
                <c:ptCount val="13"/>
                <c:pt idx="0">
                  <c:v>675</c:v>
                </c:pt>
                <c:pt idx="1">
                  <c:v>675</c:v>
                </c:pt>
                <c:pt idx="2">
                  <c:v>675</c:v>
                </c:pt>
                <c:pt idx="3">
                  <c:v>675</c:v>
                </c:pt>
                <c:pt idx="4">
                  <c:v>675</c:v>
                </c:pt>
                <c:pt idx="5">
                  <c:v>675</c:v>
                </c:pt>
                <c:pt idx="6">
                  <c:v>655</c:v>
                </c:pt>
                <c:pt idx="7">
                  <c:v>595</c:v>
                </c:pt>
                <c:pt idx="8">
                  <c:v>685</c:v>
                </c:pt>
                <c:pt idx="9">
                  <c:v>675</c:v>
                </c:pt>
                <c:pt idx="10">
                  <c:v>675</c:v>
                </c:pt>
                <c:pt idx="11">
                  <c:v>675</c:v>
                </c:pt>
                <c:pt idx="12">
                  <c:v>675</c:v>
                </c:pt>
              </c:numCache>
            </c:numRef>
          </c:val>
          <c:extLst>
            <c:ext xmlns:c16="http://schemas.microsoft.com/office/drawing/2014/chart" uri="{C3380CC4-5D6E-409C-BE32-E72D297353CC}">
              <c16:uniqueId val="{00000000-5B23-4139-9250-F57D5E57BA4F}"/>
            </c:ext>
          </c:extLst>
        </c:ser>
        <c:ser>
          <c:idx val="1"/>
          <c:order val="1"/>
          <c:tx>
            <c:strRef>
              <c:f>pt.generic_add_data30!$D$8:$D$9</c:f>
              <c:strCache>
                <c:ptCount val="1"/>
                <c:pt idx="0">
                  <c:v>Total</c:v>
                </c:pt>
              </c:strCache>
            </c:strRef>
          </c:tx>
          <c:spPr>
            <a:solidFill>
              <a:schemeClr val="accent2"/>
            </a:solidFill>
            <a:ln>
              <a:solidFill>
                <a:srgbClr val="9B2D2A"/>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pt.generic_add_data30!$A$10:$B$23</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14.03.2017</c:v>
                  </c:pt>
                </c:lvl>
              </c:multiLvlStrCache>
            </c:multiLvlStrRef>
          </c:cat>
          <c:val>
            <c:numRef>
              <c:f>pt.generic_add_data30!$D$10:$D$23</c:f>
              <c:numCache>
                <c:formatCode>General</c:formatCode>
                <c:ptCount val="13"/>
                <c:pt idx="0">
                  <c:v>540</c:v>
                </c:pt>
                <c:pt idx="1">
                  <c:v>540</c:v>
                </c:pt>
                <c:pt idx="2">
                  <c:v>540</c:v>
                </c:pt>
                <c:pt idx="3">
                  <c:v>540</c:v>
                </c:pt>
                <c:pt idx="4">
                  <c:v>540</c:v>
                </c:pt>
                <c:pt idx="5">
                  <c:v>560</c:v>
                </c:pt>
                <c:pt idx="6">
                  <c:v>605</c:v>
                </c:pt>
                <c:pt idx="7">
                  <c:v>525</c:v>
                </c:pt>
                <c:pt idx="8">
                  <c:v>605</c:v>
                </c:pt>
                <c:pt idx="9">
                  <c:v>585</c:v>
                </c:pt>
                <c:pt idx="10">
                  <c:v>585</c:v>
                </c:pt>
                <c:pt idx="11">
                  <c:v>585</c:v>
                </c:pt>
                <c:pt idx="12">
                  <c:v>585</c:v>
                </c:pt>
              </c:numCache>
            </c:numRef>
          </c:val>
          <c:extLst>
            <c:ext xmlns:c16="http://schemas.microsoft.com/office/drawing/2014/chart" uri="{C3380CC4-5D6E-409C-BE32-E72D297353CC}">
              <c16:uniqueId val="{00000001-34B9-4613-B9A9-59D97216EBDC}"/>
            </c:ext>
          </c:extLst>
        </c:ser>
        <c:dLbls>
          <c:dLblPos val="inBase"/>
          <c:showLegendKey val="0"/>
          <c:showVal val="1"/>
          <c:showCatName val="0"/>
          <c:showSerName val="0"/>
          <c:showPercent val="0"/>
          <c:showBubbleSize val="0"/>
        </c:dLbls>
        <c:gapWidth val="200"/>
        <c:overlap val="-27"/>
        <c:axId val="235332440"/>
        <c:axId val="235332832"/>
      </c:barChart>
      <c:catAx>
        <c:axId val="235332440"/>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35332832"/>
        <c:crosses val="autoZero"/>
        <c:auto val="1"/>
        <c:lblAlgn val="ctr"/>
        <c:lblOffset val="100"/>
        <c:tickLblSkip val="2"/>
        <c:tickMarkSkip val="1"/>
        <c:noMultiLvlLbl val="0"/>
      </c:catAx>
      <c:valAx>
        <c:axId val="235332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235332440"/>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24E1-4BF7-8C88-61F595F71BA2}"/>
              </c:ext>
            </c:extLst>
          </c:dPt>
          <c:dPt>
            <c:idx val="1"/>
            <c:bubble3D val="0"/>
            <c:spPr>
              <a:solidFill>
                <a:srgbClr val="FF0000"/>
              </a:solidFill>
              <a:ln w="19050">
                <a:noFill/>
              </a:ln>
              <a:effectLst/>
            </c:spPr>
            <c:extLst>
              <c:ext xmlns:c16="http://schemas.microsoft.com/office/drawing/2014/chart" uri="{C3380CC4-5D6E-409C-BE32-E72D297353CC}">
                <c16:uniqueId val="{00000003-24E1-4BF7-8C88-61F595F71BA2}"/>
              </c:ext>
            </c:extLst>
          </c:dPt>
          <c:val>
            <c:numRef>
              <c:f>#REF!</c:f>
              <c:numCache>
                <c:formatCode>General</c:formatCode>
                <c:ptCount val="1"/>
                <c:pt idx="0">
                  <c:v>1</c:v>
                </c:pt>
              </c:numCache>
            </c:numRef>
          </c:val>
          <c:extLst>
            <c:ext xmlns:c16="http://schemas.microsoft.com/office/drawing/2014/chart" uri="{C3380CC4-5D6E-409C-BE32-E72D297353CC}">
              <c16:uniqueId val="{00000004-24E1-4BF7-8C88-61F595F71BA2}"/>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9" Type="http://schemas.openxmlformats.org/officeDocument/2006/relationships/chart" Target="../charts/chart39.xml"/><Relationship Id="rId21" Type="http://schemas.openxmlformats.org/officeDocument/2006/relationships/chart" Target="../charts/chart21.xml"/><Relationship Id="rId34" Type="http://schemas.openxmlformats.org/officeDocument/2006/relationships/chart" Target="../charts/chart34.xml"/><Relationship Id="rId42" Type="http://schemas.openxmlformats.org/officeDocument/2006/relationships/chart" Target="../charts/chart42.xml"/><Relationship Id="rId47" Type="http://schemas.openxmlformats.org/officeDocument/2006/relationships/chart" Target="../charts/chart47.xml"/><Relationship Id="rId50" Type="http://schemas.openxmlformats.org/officeDocument/2006/relationships/chart" Target="../charts/chart50.xml"/><Relationship Id="rId55" Type="http://schemas.openxmlformats.org/officeDocument/2006/relationships/chart" Target="../charts/chart55.xml"/><Relationship Id="rId63" Type="http://schemas.openxmlformats.org/officeDocument/2006/relationships/chart" Target="../charts/chart63.xml"/><Relationship Id="rId7" Type="http://schemas.openxmlformats.org/officeDocument/2006/relationships/chart" Target="../charts/chart7.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41" Type="http://schemas.openxmlformats.org/officeDocument/2006/relationships/chart" Target="../charts/chart41.xml"/><Relationship Id="rId54" Type="http://schemas.openxmlformats.org/officeDocument/2006/relationships/chart" Target="../charts/chart54.xml"/><Relationship Id="rId62" Type="http://schemas.openxmlformats.org/officeDocument/2006/relationships/chart" Target="../charts/chart6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37" Type="http://schemas.openxmlformats.org/officeDocument/2006/relationships/chart" Target="../charts/chart37.xml"/><Relationship Id="rId40" Type="http://schemas.openxmlformats.org/officeDocument/2006/relationships/chart" Target="../charts/chart40.xml"/><Relationship Id="rId45" Type="http://schemas.openxmlformats.org/officeDocument/2006/relationships/chart" Target="../charts/chart45.xml"/><Relationship Id="rId53" Type="http://schemas.openxmlformats.org/officeDocument/2006/relationships/chart" Target="../charts/chart53.xml"/><Relationship Id="rId58" Type="http://schemas.openxmlformats.org/officeDocument/2006/relationships/chart" Target="../charts/chart58.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49" Type="http://schemas.openxmlformats.org/officeDocument/2006/relationships/chart" Target="../charts/chart49.xml"/><Relationship Id="rId57" Type="http://schemas.openxmlformats.org/officeDocument/2006/relationships/chart" Target="../charts/chart57.xml"/><Relationship Id="rId61" Type="http://schemas.openxmlformats.org/officeDocument/2006/relationships/chart" Target="../charts/chart61.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4" Type="http://schemas.openxmlformats.org/officeDocument/2006/relationships/chart" Target="../charts/chart44.xml"/><Relationship Id="rId52" Type="http://schemas.openxmlformats.org/officeDocument/2006/relationships/chart" Target="../charts/chart52.xml"/><Relationship Id="rId60" Type="http://schemas.openxmlformats.org/officeDocument/2006/relationships/chart" Target="../charts/chart6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43" Type="http://schemas.openxmlformats.org/officeDocument/2006/relationships/chart" Target="../charts/chart43.xml"/><Relationship Id="rId48" Type="http://schemas.openxmlformats.org/officeDocument/2006/relationships/chart" Target="../charts/chart48.xml"/><Relationship Id="rId56" Type="http://schemas.openxmlformats.org/officeDocument/2006/relationships/chart" Target="../charts/chart56.xml"/><Relationship Id="rId8" Type="http://schemas.openxmlformats.org/officeDocument/2006/relationships/chart" Target="../charts/chart8.xml"/><Relationship Id="rId51" Type="http://schemas.openxmlformats.org/officeDocument/2006/relationships/chart" Target="../charts/chart51.xml"/><Relationship Id="rId3" Type="http://schemas.openxmlformats.org/officeDocument/2006/relationships/chart" Target="../charts/chart3.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38" Type="http://schemas.openxmlformats.org/officeDocument/2006/relationships/chart" Target="../charts/chart38.xml"/><Relationship Id="rId46" Type="http://schemas.openxmlformats.org/officeDocument/2006/relationships/chart" Target="../charts/chart46.xml"/><Relationship Id="rId59" Type="http://schemas.openxmlformats.org/officeDocument/2006/relationships/chart" Target="../charts/chart59.xml"/></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129</xdr:row>
      <xdr:rowOff>167381</xdr:rowOff>
    </xdr:from>
    <xdr:to>
      <xdr:col>1</xdr:col>
      <xdr:colOff>299604</xdr:colOff>
      <xdr:row>133</xdr:row>
      <xdr:rowOff>127548</xdr:rowOff>
    </xdr:to>
    <xdr:sp macro="" textlink="">
      <xdr:nvSpPr>
        <xdr:cNvPr id="27" name="Ohnutý roh 26">
          <a:extLst>
            <a:ext uri="{FF2B5EF4-FFF2-40B4-BE49-F238E27FC236}">
              <a16:creationId xmlns:a16="http://schemas.microsoft.com/office/drawing/2014/main" id="{00000000-0008-0000-0000-00001B000000}"/>
            </a:ext>
          </a:extLst>
        </xdr:cNvPr>
        <xdr:cNvSpPr/>
      </xdr:nvSpPr>
      <xdr:spPr>
        <a:xfrm>
          <a:off x="0" y="3042199"/>
          <a:ext cx="1356013" cy="722167"/>
        </a:xfrm>
        <a:prstGeom prst="foldedCorner">
          <a:avLst/>
        </a:prstGeom>
        <a:solidFill>
          <a:schemeClr val="bg1">
            <a:lumMod val="6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cs-CZ" sz="2000"/>
            <a:t>Nápověda</a:t>
          </a:r>
        </a:p>
      </xdr:txBody>
    </xdr:sp>
    <xdr:clientData/>
  </xdr:twoCellAnchor>
  <xdr:twoCellAnchor editAs="absolute">
    <xdr:from>
      <xdr:col>25</xdr:col>
      <xdr:colOff>917781</xdr:colOff>
      <xdr:row>3</xdr:row>
      <xdr:rowOff>66712</xdr:rowOff>
    </xdr:from>
    <xdr:to>
      <xdr:col>25</xdr:col>
      <xdr:colOff>1542269</xdr:colOff>
      <xdr:row>11</xdr:row>
      <xdr:rowOff>45546</xdr:rowOff>
    </xdr:to>
    <xdr:sp macro="" textlink="">
      <xdr:nvSpPr>
        <xdr:cNvPr id="44" name="Obdélník 43">
          <a:extLst>
            <a:ext uri="{FF2B5EF4-FFF2-40B4-BE49-F238E27FC236}">
              <a16:creationId xmlns:a16="http://schemas.microsoft.com/office/drawing/2014/main" id="{00000000-0008-0000-0000-00002C000000}"/>
            </a:ext>
          </a:extLst>
        </xdr:cNvPr>
        <xdr:cNvSpPr/>
      </xdr:nvSpPr>
      <xdr:spPr>
        <a:xfrm>
          <a:off x="17854963" y="638212"/>
          <a:ext cx="624488" cy="1502834"/>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vert="vert270" rtlCol="0" anchor="ctr"/>
        <a:lstStyle/>
        <a:p>
          <a:pPr algn="ctr"/>
          <a:r>
            <a:rPr lang="cs-CZ" sz="2000" b="1"/>
            <a:t>Továrna</a:t>
          </a:r>
        </a:p>
      </xdr:txBody>
    </xdr:sp>
    <xdr:clientData/>
  </xdr:twoCellAnchor>
  <xdr:twoCellAnchor>
    <xdr:from>
      <xdr:col>25</xdr:col>
      <xdr:colOff>917781</xdr:colOff>
      <xdr:row>17</xdr:row>
      <xdr:rowOff>19317</xdr:rowOff>
    </xdr:from>
    <xdr:to>
      <xdr:col>25</xdr:col>
      <xdr:colOff>1543630</xdr:colOff>
      <xdr:row>24</xdr:row>
      <xdr:rowOff>188651</xdr:rowOff>
    </xdr:to>
    <xdr:sp macro="" textlink="">
      <xdr:nvSpPr>
        <xdr:cNvPr id="45" name="Obdélník 44">
          <a:extLst>
            <a:ext uri="{FF2B5EF4-FFF2-40B4-BE49-F238E27FC236}">
              <a16:creationId xmlns:a16="http://schemas.microsoft.com/office/drawing/2014/main" id="{00000000-0008-0000-0000-00002D000000}"/>
            </a:ext>
          </a:extLst>
        </xdr:cNvPr>
        <xdr:cNvSpPr/>
      </xdr:nvSpPr>
      <xdr:spPr>
        <a:xfrm>
          <a:off x="17854963" y="3275135"/>
          <a:ext cx="625849" cy="1502834"/>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vert="vert270" rtlCol="0" anchor="ctr"/>
        <a:lstStyle/>
        <a:p>
          <a:pPr algn="ctr"/>
          <a:r>
            <a:rPr lang="cs-CZ" sz="2000" b="1"/>
            <a:t>Budova</a:t>
          </a:r>
        </a:p>
      </xdr:txBody>
    </xdr:sp>
    <xdr:clientData/>
  </xdr:twoCellAnchor>
  <xdr:twoCellAnchor>
    <xdr:from>
      <xdr:col>25</xdr:col>
      <xdr:colOff>917781</xdr:colOff>
      <xdr:row>33</xdr:row>
      <xdr:rowOff>61851</xdr:rowOff>
    </xdr:from>
    <xdr:to>
      <xdr:col>25</xdr:col>
      <xdr:colOff>1545601</xdr:colOff>
      <xdr:row>41</xdr:row>
      <xdr:rowOff>36355</xdr:rowOff>
    </xdr:to>
    <xdr:sp macro="" textlink="">
      <xdr:nvSpPr>
        <xdr:cNvPr id="46" name="Obdélník 45">
          <a:extLst>
            <a:ext uri="{FF2B5EF4-FFF2-40B4-BE49-F238E27FC236}">
              <a16:creationId xmlns:a16="http://schemas.microsoft.com/office/drawing/2014/main" id="{00000000-0008-0000-0000-00002E000000}"/>
            </a:ext>
          </a:extLst>
        </xdr:cNvPr>
        <xdr:cNvSpPr/>
      </xdr:nvSpPr>
      <xdr:spPr>
        <a:xfrm>
          <a:off x="17854963" y="6382987"/>
          <a:ext cx="627820" cy="1498504"/>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vert="vert270" rtlCol="0" anchor="ctr"/>
        <a:lstStyle/>
        <a:p>
          <a:pPr algn="ctr"/>
          <a:r>
            <a:rPr lang="cs-CZ" sz="2000" b="1"/>
            <a:t>Proces</a:t>
          </a:r>
        </a:p>
      </xdr:txBody>
    </xdr:sp>
    <xdr:clientData/>
  </xdr:twoCellAnchor>
  <xdr:twoCellAnchor>
    <xdr:from>
      <xdr:col>10</xdr:col>
      <xdr:colOff>327033</xdr:colOff>
      <xdr:row>0</xdr:row>
      <xdr:rowOff>114300</xdr:rowOff>
    </xdr:from>
    <xdr:to>
      <xdr:col>14</xdr:col>
      <xdr:colOff>559867</xdr:colOff>
      <xdr:row>11</xdr:row>
      <xdr:rowOff>161925</xdr:rowOff>
    </xdr:to>
    <xdr:grpSp>
      <xdr:nvGrpSpPr>
        <xdr:cNvPr id="11" name="Group 10">
          <a:extLst>
            <a:ext uri="{FF2B5EF4-FFF2-40B4-BE49-F238E27FC236}">
              <a16:creationId xmlns:a16="http://schemas.microsoft.com/office/drawing/2014/main" id="{00000000-0008-0000-0000-00000B000000}"/>
            </a:ext>
          </a:extLst>
        </xdr:cNvPr>
        <xdr:cNvGrpSpPr/>
      </xdr:nvGrpSpPr>
      <xdr:grpSpPr>
        <a:xfrm>
          <a:off x="7643044" y="114300"/>
          <a:ext cx="3161264" cy="2165418"/>
          <a:chOff x="8370358" y="114300"/>
          <a:chExt cx="3175001" cy="2143125"/>
        </a:xfrm>
        <a:solidFill>
          <a:schemeClr val="bg1">
            <a:lumMod val="65000"/>
          </a:schemeClr>
        </a:solidFill>
      </xdr:grpSpPr>
      <xdr:sp macro="" textlink="">
        <xdr:nvSpPr>
          <xdr:cNvPr id="5" name="Obdélník 4">
            <a:extLst>
              <a:ext uri="{FF2B5EF4-FFF2-40B4-BE49-F238E27FC236}">
                <a16:creationId xmlns:a16="http://schemas.microsoft.com/office/drawing/2014/main" id="{00000000-0008-0000-0000-000005000000}"/>
              </a:ext>
            </a:extLst>
          </xdr:cNvPr>
          <xdr:cNvSpPr/>
        </xdr:nvSpPr>
        <xdr:spPr>
          <a:xfrm>
            <a:off x="10275358" y="619125"/>
            <a:ext cx="1151467" cy="1638300"/>
          </a:xfrm>
          <a:prstGeom prst="rect">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cs-CZ" sz="1100"/>
          </a:p>
        </xdr:txBody>
      </xdr:sp>
      <xdr:sp macro="" textlink="">
        <xdr:nvSpPr>
          <xdr:cNvPr id="62" name="Obdélník se zakulacenými rohy na stejné straně 61">
            <a:extLst>
              <a:ext uri="{FF2B5EF4-FFF2-40B4-BE49-F238E27FC236}">
                <a16:creationId xmlns:a16="http://schemas.microsoft.com/office/drawing/2014/main" id="{00000000-0008-0000-0000-00003E000000}"/>
              </a:ext>
            </a:extLst>
          </xdr:cNvPr>
          <xdr:cNvSpPr/>
        </xdr:nvSpPr>
        <xdr:spPr>
          <a:xfrm>
            <a:off x="8370358" y="114300"/>
            <a:ext cx="3056467" cy="485776"/>
          </a:xfrm>
          <a:prstGeom prst="round2SameRect">
            <a:avLst/>
          </a:prstGeom>
          <a:grpFill/>
          <a:scene3d>
            <a:camera prst="perspectiveAbove"/>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cs-CZ" sz="2000" b="1" cap="none" spc="0">
                <a:ln w="0"/>
                <a:solidFill>
                  <a:schemeClr val="bg1"/>
                </a:solidFill>
                <a:effectLst>
                  <a:outerShdw blurRad="38100" dist="19050" dir="2700000" algn="tl" rotWithShape="0">
                    <a:schemeClr val="dk1">
                      <a:alpha val="40000"/>
                    </a:schemeClr>
                  </a:outerShdw>
                </a:effectLst>
              </a:rPr>
              <a:t>Interní</a:t>
            </a:r>
            <a:r>
              <a:rPr lang="cs-CZ" sz="2000" b="1" cap="none" spc="0" baseline="0">
                <a:ln w="0"/>
                <a:solidFill>
                  <a:schemeClr val="bg1"/>
                </a:solidFill>
                <a:effectLst>
                  <a:outerShdw blurRad="38100" dist="19050" dir="2700000" algn="tl" rotWithShape="0">
                    <a:schemeClr val="dk1">
                      <a:alpha val="40000"/>
                    </a:schemeClr>
                  </a:outerShdw>
                </a:effectLst>
              </a:rPr>
              <a:t> příjem</a:t>
            </a:r>
            <a:endParaRPr lang="cs-CZ" sz="1600" b="1" cap="none" spc="0">
              <a:ln w="0"/>
              <a:solidFill>
                <a:schemeClr val="bg1"/>
              </a:solidFill>
              <a:effectLst>
                <a:outerShdw blurRad="38100" dist="19050" dir="2700000" algn="tl" rotWithShape="0">
                  <a:schemeClr val="dk1">
                    <a:alpha val="40000"/>
                  </a:schemeClr>
                </a:outerShdw>
              </a:effectLst>
            </a:endParaRPr>
          </a:p>
        </xdr:txBody>
      </xdr:sp>
      <xdr:graphicFrame macro="">
        <xdr:nvGraphicFramePr>
          <xdr:cNvPr id="178" name="Graf 177">
            <a:extLst>
              <a:ext uri="{FF2B5EF4-FFF2-40B4-BE49-F238E27FC236}">
                <a16:creationId xmlns:a16="http://schemas.microsoft.com/office/drawing/2014/main" id="{00000000-0008-0000-0000-0000B2000000}"/>
              </a:ext>
            </a:extLst>
          </xdr:cNvPr>
          <xdr:cNvGraphicFramePr>
            <a:graphicFrameLocks/>
          </xdr:cNvGraphicFramePr>
        </xdr:nvGraphicFramePr>
        <xdr:xfrm>
          <a:off x="10218208" y="609601"/>
          <a:ext cx="1327151" cy="571499"/>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4" name="Obdélník 3">
            <a:extLst>
              <a:ext uri="{FF2B5EF4-FFF2-40B4-BE49-F238E27FC236}">
                <a16:creationId xmlns:a16="http://schemas.microsoft.com/office/drawing/2014/main" id="{00000000-0008-0000-0000-000004000000}"/>
              </a:ext>
            </a:extLst>
          </xdr:cNvPr>
          <xdr:cNvSpPr/>
        </xdr:nvSpPr>
        <xdr:spPr>
          <a:xfrm>
            <a:off x="8370358" y="628650"/>
            <a:ext cx="1895475" cy="523875"/>
          </a:xfrm>
          <a:prstGeom prst="rect">
            <a:avLst/>
          </a:prstGeom>
          <a:grpFill/>
          <a:scene3d>
            <a:camera prst="orthographicFront">
              <a:rot lat="0" lon="0" rev="0"/>
            </a:camera>
            <a:lightRig rig="threePt" dir="t">
              <a:rot lat="0" lon="0" rev="1200000"/>
            </a:lightRig>
          </a:scene3d>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1</a:t>
            </a:r>
          </a:p>
        </xdr:txBody>
      </xdr:sp>
      <xdr:sp macro="" textlink="">
        <xdr:nvSpPr>
          <xdr:cNvPr id="179" name="Obdélník 178">
            <a:extLst>
              <a:ext uri="{FF2B5EF4-FFF2-40B4-BE49-F238E27FC236}">
                <a16:creationId xmlns:a16="http://schemas.microsoft.com/office/drawing/2014/main" id="{00000000-0008-0000-0000-0000B3000000}"/>
              </a:ext>
            </a:extLst>
          </xdr:cNvPr>
          <xdr:cNvSpPr/>
        </xdr:nvSpPr>
        <xdr:spPr>
          <a:xfrm>
            <a:off x="8370358" y="1181100"/>
            <a:ext cx="1895475" cy="523875"/>
          </a:xfrm>
          <a:prstGeom prst="rect">
            <a:avLst/>
          </a:prstGeom>
          <a:grpFill/>
          <a:scene3d>
            <a:camera prst="orthographicFront">
              <a:rot lat="0" lon="0" rev="0"/>
            </a:camera>
            <a:lightRig rig="threePt" dir="t">
              <a:rot lat="0" lon="0" rev="1200000"/>
            </a:lightRig>
          </a:scene3d>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2</a:t>
            </a:r>
          </a:p>
        </xdr:txBody>
      </xdr:sp>
      <xdr:sp macro="" textlink="">
        <xdr:nvSpPr>
          <xdr:cNvPr id="180" name="Obdélník 179">
            <a:extLst>
              <a:ext uri="{FF2B5EF4-FFF2-40B4-BE49-F238E27FC236}">
                <a16:creationId xmlns:a16="http://schemas.microsoft.com/office/drawing/2014/main" id="{00000000-0008-0000-0000-0000B4000000}"/>
              </a:ext>
            </a:extLst>
          </xdr:cNvPr>
          <xdr:cNvSpPr/>
        </xdr:nvSpPr>
        <xdr:spPr>
          <a:xfrm>
            <a:off x="8370358" y="1733550"/>
            <a:ext cx="1895475" cy="523875"/>
          </a:xfrm>
          <a:prstGeom prst="rect">
            <a:avLst/>
          </a:prstGeom>
          <a:grpFill/>
          <a:scene3d>
            <a:camera prst="orthographicFront">
              <a:rot lat="0" lon="0" rev="0"/>
            </a:camera>
            <a:lightRig rig="threePt" dir="t">
              <a:rot lat="0" lon="0" rev="1200000"/>
            </a:lightRig>
          </a:scene3d>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3</a:t>
            </a:r>
          </a:p>
        </xdr:txBody>
      </xdr:sp>
      <xdr:graphicFrame macro="">
        <xdr:nvGraphicFramePr>
          <xdr:cNvPr id="181" name="Graf 180">
            <a:extLst>
              <a:ext uri="{FF2B5EF4-FFF2-40B4-BE49-F238E27FC236}">
                <a16:creationId xmlns:a16="http://schemas.microsoft.com/office/drawing/2014/main" id="{00000000-0008-0000-0000-0000B5000000}"/>
              </a:ext>
            </a:extLst>
          </xdr:cNvPr>
          <xdr:cNvGraphicFramePr>
            <a:graphicFrameLocks/>
          </xdr:cNvGraphicFramePr>
        </xdr:nvGraphicFramePr>
        <xdr:xfrm>
          <a:off x="10213446" y="1146572"/>
          <a:ext cx="1327151" cy="571499"/>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82" name="Graf 181">
            <a:extLst>
              <a:ext uri="{FF2B5EF4-FFF2-40B4-BE49-F238E27FC236}">
                <a16:creationId xmlns:a16="http://schemas.microsoft.com/office/drawing/2014/main" id="{00000000-0008-0000-0000-0000B6000000}"/>
              </a:ext>
            </a:extLst>
          </xdr:cNvPr>
          <xdr:cNvGraphicFramePr>
            <a:graphicFrameLocks/>
          </xdr:cNvGraphicFramePr>
        </xdr:nvGraphicFramePr>
        <xdr:xfrm>
          <a:off x="10201540" y="1676400"/>
          <a:ext cx="1322918" cy="571499"/>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5</xdr:col>
      <xdr:colOff>444982</xdr:colOff>
      <xdr:row>0</xdr:row>
      <xdr:rowOff>123825</xdr:rowOff>
    </xdr:from>
    <xdr:to>
      <xdr:col>10</xdr:col>
      <xdr:colOff>365126</xdr:colOff>
      <xdr:row>11</xdr:row>
      <xdr:rowOff>171450</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4518439" y="123825"/>
          <a:ext cx="3162698" cy="2165418"/>
          <a:chOff x="5218065" y="123825"/>
          <a:chExt cx="3190394" cy="2143125"/>
        </a:xfrm>
        <a:solidFill>
          <a:schemeClr val="bg1">
            <a:lumMod val="65000"/>
          </a:schemeClr>
        </a:solidFill>
      </xdr:grpSpPr>
      <xdr:sp macro="" textlink="">
        <xdr:nvSpPr>
          <xdr:cNvPr id="191" name="Obdélník 190">
            <a:extLst>
              <a:ext uri="{FF2B5EF4-FFF2-40B4-BE49-F238E27FC236}">
                <a16:creationId xmlns:a16="http://schemas.microsoft.com/office/drawing/2014/main" id="{00000000-0008-0000-0000-0000BF000000}"/>
              </a:ext>
            </a:extLst>
          </xdr:cNvPr>
          <xdr:cNvSpPr/>
        </xdr:nvSpPr>
        <xdr:spPr>
          <a:xfrm>
            <a:off x="7142692" y="628650"/>
            <a:ext cx="1151466" cy="1638300"/>
          </a:xfrm>
          <a:prstGeom prst="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cs-CZ" sz="1100"/>
          </a:p>
        </xdr:txBody>
      </xdr:sp>
      <xdr:sp macro="" textlink="">
        <xdr:nvSpPr>
          <xdr:cNvPr id="192" name="Obdélník se zakulacenými rohy na stejné straně 191">
            <a:extLst>
              <a:ext uri="{FF2B5EF4-FFF2-40B4-BE49-F238E27FC236}">
                <a16:creationId xmlns:a16="http://schemas.microsoft.com/office/drawing/2014/main" id="{00000000-0008-0000-0000-0000C0000000}"/>
              </a:ext>
            </a:extLst>
          </xdr:cNvPr>
          <xdr:cNvSpPr/>
        </xdr:nvSpPr>
        <xdr:spPr>
          <a:xfrm>
            <a:off x="5224992" y="123825"/>
            <a:ext cx="3069166" cy="485776"/>
          </a:xfrm>
          <a:prstGeom prst="round2Same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perspectiveAbove"/>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cs-CZ" sz="2000" b="1" cap="none" spc="0">
                <a:ln w="0"/>
                <a:solidFill>
                  <a:schemeClr val="bg1"/>
                </a:solidFill>
                <a:effectLst>
                  <a:outerShdw blurRad="38100" dist="19050" dir="2700000" algn="tl" rotWithShape="0">
                    <a:schemeClr val="dk1">
                      <a:alpha val="40000"/>
                    </a:schemeClr>
                  </a:outerShdw>
                </a:effectLst>
              </a:rPr>
              <a:t>Zavážení FG linek</a:t>
            </a:r>
          </a:p>
        </xdr:txBody>
      </xdr:sp>
      <xdr:graphicFrame macro="">
        <xdr:nvGraphicFramePr>
          <xdr:cNvPr id="193" name="LVL1_FGLines_PDOT">
            <a:extLst>
              <a:ext uri="{FF2B5EF4-FFF2-40B4-BE49-F238E27FC236}">
                <a16:creationId xmlns:a16="http://schemas.microsoft.com/office/drawing/2014/main" id="{00000000-0008-0000-0000-0000C1000000}"/>
              </a:ext>
            </a:extLst>
          </xdr:cNvPr>
          <xdr:cNvGraphicFramePr>
            <a:graphicFrameLocks/>
          </xdr:cNvGraphicFramePr>
        </xdr:nvGraphicFramePr>
        <xdr:xfrm>
          <a:off x="7085542" y="619126"/>
          <a:ext cx="1322917" cy="571499"/>
        </xdr:xfrm>
        <a:graphic>
          <a:graphicData uri="http://schemas.openxmlformats.org/drawingml/2006/chart">
            <c:chart xmlns:c="http://schemas.openxmlformats.org/drawingml/2006/chart" xmlns:r="http://schemas.openxmlformats.org/officeDocument/2006/relationships" r:id="rId4"/>
          </a:graphicData>
        </a:graphic>
      </xdr:graphicFrame>
      <xdr:sp macro="[0]!PPOT_LVL1_BUTTON_APICK_Click" textlink="">
        <xdr:nvSpPr>
          <xdr:cNvPr id="194" name="LVL1_FGLINES_PDOT_BUTTON">
            <a:extLst>
              <a:ext uri="{FF2B5EF4-FFF2-40B4-BE49-F238E27FC236}">
                <a16:creationId xmlns:a16="http://schemas.microsoft.com/office/drawing/2014/main" id="{00000000-0008-0000-0000-0000C2000000}"/>
              </a:ext>
            </a:extLst>
          </xdr:cNvPr>
          <xdr:cNvSpPr/>
        </xdr:nvSpPr>
        <xdr:spPr>
          <a:xfrm>
            <a:off x="5224126" y="632979"/>
            <a:ext cx="1908175" cy="523875"/>
          </a:xfrm>
          <a:prstGeom prst="rect">
            <a:avLst/>
          </a:prstGeom>
          <a:gradFill flip="none" rotWithShape="1">
            <a:gsLst>
              <a:gs pos="0">
                <a:srgbClr val="769535"/>
              </a:gs>
              <a:gs pos="74000">
                <a:srgbClr val="9BC348"/>
              </a:gs>
              <a:gs pos="100000">
                <a:srgbClr val="9CC746"/>
              </a:gs>
            </a:gsLst>
            <a:lin ang="16200000" scaled="0"/>
            <a:tileRect/>
          </a:gradFill>
          <a:scene3d>
            <a:camera prst="orthographicFront">
              <a:rot lat="0" lon="0" rev="0"/>
            </a:camera>
            <a:lightRig rig="threePt" dir="t">
              <a:rot lat="0" lon="0" rev="1200000"/>
            </a:lightRig>
          </a:scene3d>
          <a:sp3d>
            <a:bevelT w="0" h="0"/>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cs-CZ" sz="1400" b="1" cap="none" spc="0">
                <a:ln w="0"/>
                <a:solidFill>
                  <a:schemeClr val="bg1"/>
                </a:solidFill>
                <a:effectLst>
                  <a:outerShdw blurRad="38100" dist="19050" dir="2700000" algn="tl" rotWithShape="0">
                    <a:schemeClr val="dk1">
                      <a:alpha val="40000"/>
                    </a:schemeClr>
                  </a:outerShdw>
                </a:effectLst>
              </a:rPr>
              <a:t>Palety dodané včas</a:t>
            </a:r>
            <a:endParaRPr lang="cs-CZ" sz="1200" b="1" cap="none" spc="0">
              <a:ln w="0"/>
              <a:solidFill>
                <a:schemeClr val="bg1"/>
              </a:solidFill>
              <a:effectLst>
                <a:outerShdw blurRad="38100" dist="19050" dir="2700000" algn="tl" rotWithShape="0">
                  <a:schemeClr val="dk1">
                    <a:alpha val="40000"/>
                  </a:schemeClr>
                </a:outerShdw>
              </a:effectLst>
            </a:endParaRPr>
          </a:p>
        </xdr:txBody>
      </xdr:sp>
      <xdr:sp macro="" textlink="">
        <xdr:nvSpPr>
          <xdr:cNvPr id="195" name="Obdélník 194">
            <a:extLst>
              <a:ext uri="{FF2B5EF4-FFF2-40B4-BE49-F238E27FC236}">
                <a16:creationId xmlns:a16="http://schemas.microsoft.com/office/drawing/2014/main" id="{00000000-0008-0000-0000-0000C3000000}"/>
              </a:ext>
            </a:extLst>
          </xdr:cNvPr>
          <xdr:cNvSpPr/>
        </xdr:nvSpPr>
        <xdr:spPr>
          <a:xfrm>
            <a:off x="5218065" y="1180234"/>
            <a:ext cx="1908175" cy="523875"/>
          </a:xfrm>
          <a:prstGeom prst="rect">
            <a:avLst/>
          </a:prstGeom>
          <a:grpFill/>
          <a:scene3d>
            <a:camera prst="orthographicFront">
              <a:rot lat="0" lon="0" rev="0"/>
            </a:camera>
            <a:lightRig rig="threePt" dir="t">
              <a:rot lat="0" lon="0" rev="1200000"/>
            </a:lightRig>
          </a:scene3d>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400" b="1" cap="none" spc="0">
                <a:ln w="0"/>
                <a:solidFill>
                  <a:schemeClr val="bg1"/>
                </a:solidFill>
                <a:effectLst>
                  <a:outerShdw blurRad="38100" dist="19050" dir="2700000" algn="tl" rotWithShape="0">
                    <a:schemeClr val="dk1">
                      <a:alpha val="40000"/>
                    </a:schemeClr>
                  </a:outerShdw>
                </a:effectLst>
              </a:rPr>
              <a:t>KPI</a:t>
            </a:r>
            <a:r>
              <a:rPr lang="cs-CZ" sz="1400" b="1" cap="none" spc="0" baseline="0">
                <a:ln w="0"/>
                <a:solidFill>
                  <a:schemeClr val="bg1"/>
                </a:solidFill>
                <a:effectLst>
                  <a:outerShdw blurRad="38100" dist="19050" dir="2700000" algn="tl" rotWithShape="0">
                    <a:schemeClr val="dk1">
                      <a:alpha val="40000"/>
                    </a:schemeClr>
                  </a:outerShdw>
                </a:effectLst>
              </a:rPr>
              <a:t> 2</a:t>
            </a:r>
            <a:endParaRPr lang="cs-CZ" sz="1400" b="1" cap="none" spc="0">
              <a:ln w="0"/>
              <a:solidFill>
                <a:schemeClr val="bg1"/>
              </a:solidFill>
              <a:effectLst>
                <a:outerShdw blurRad="38100" dist="19050" dir="2700000" algn="tl" rotWithShape="0">
                  <a:schemeClr val="dk1">
                    <a:alpha val="40000"/>
                  </a:schemeClr>
                </a:outerShdw>
              </a:effectLst>
            </a:endParaRPr>
          </a:p>
        </xdr:txBody>
      </xdr:sp>
      <xdr:sp macro="" textlink="">
        <xdr:nvSpPr>
          <xdr:cNvPr id="196" name="Obdélník 195">
            <a:extLst>
              <a:ext uri="{FF2B5EF4-FFF2-40B4-BE49-F238E27FC236}">
                <a16:creationId xmlns:a16="http://schemas.microsoft.com/office/drawing/2014/main" id="{00000000-0008-0000-0000-0000C4000000}"/>
              </a:ext>
            </a:extLst>
          </xdr:cNvPr>
          <xdr:cNvSpPr/>
        </xdr:nvSpPr>
        <xdr:spPr>
          <a:xfrm>
            <a:off x="5224992" y="1743075"/>
            <a:ext cx="1908175" cy="523875"/>
          </a:xfrm>
          <a:prstGeom prst="rect">
            <a:avLst/>
          </a:prstGeom>
          <a:grpFill/>
          <a:scene3d>
            <a:camera prst="orthographicFront">
              <a:rot lat="0" lon="0" rev="0"/>
            </a:camera>
            <a:lightRig rig="threePt" dir="t">
              <a:rot lat="0" lon="0" rev="1200000"/>
            </a:lightRig>
          </a:scene3d>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a:t>
            </a:r>
            <a:r>
              <a:rPr lang="cs-CZ" sz="1600" b="1" cap="none" spc="0" baseline="0">
                <a:ln w="0"/>
                <a:solidFill>
                  <a:schemeClr val="bg1"/>
                </a:solidFill>
                <a:effectLst>
                  <a:outerShdw blurRad="38100" dist="19050" dir="2700000" algn="tl" rotWithShape="0">
                    <a:schemeClr val="dk1">
                      <a:alpha val="40000"/>
                    </a:schemeClr>
                  </a:outerShdw>
                </a:effectLst>
              </a:rPr>
              <a:t> 3</a:t>
            </a:r>
            <a:endParaRPr lang="cs-CZ" sz="1600" b="1" cap="none" spc="0">
              <a:ln w="0"/>
              <a:solidFill>
                <a:schemeClr val="bg1"/>
              </a:solidFill>
              <a:effectLst>
                <a:outerShdw blurRad="38100" dist="19050" dir="2700000" algn="tl" rotWithShape="0">
                  <a:schemeClr val="dk1">
                    <a:alpha val="40000"/>
                  </a:schemeClr>
                </a:outerShdw>
              </a:effectLst>
            </a:endParaRPr>
          </a:p>
        </xdr:txBody>
      </xdr:sp>
      <xdr:graphicFrame macro="">
        <xdr:nvGraphicFramePr>
          <xdr:cNvPr id="197" name="Graf 196">
            <a:extLst>
              <a:ext uri="{FF2B5EF4-FFF2-40B4-BE49-F238E27FC236}">
                <a16:creationId xmlns:a16="http://schemas.microsoft.com/office/drawing/2014/main" id="{00000000-0008-0000-0000-0000C5000000}"/>
              </a:ext>
            </a:extLst>
          </xdr:cNvPr>
          <xdr:cNvGraphicFramePr>
            <a:graphicFrameLocks/>
          </xdr:cNvGraphicFramePr>
        </xdr:nvGraphicFramePr>
        <xdr:xfrm>
          <a:off x="7080780" y="1156097"/>
          <a:ext cx="1322917" cy="571499"/>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98" name="Graf 197">
            <a:extLst>
              <a:ext uri="{FF2B5EF4-FFF2-40B4-BE49-F238E27FC236}">
                <a16:creationId xmlns:a16="http://schemas.microsoft.com/office/drawing/2014/main" id="{00000000-0008-0000-0000-0000C6000000}"/>
              </a:ext>
            </a:extLst>
          </xdr:cNvPr>
          <xdr:cNvGraphicFramePr>
            <a:graphicFrameLocks/>
          </xdr:cNvGraphicFramePr>
        </xdr:nvGraphicFramePr>
        <xdr:xfrm>
          <a:off x="7068874" y="1685925"/>
          <a:ext cx="1322917" cy="571499"/>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14</xdr:col>
      <xdr:colOff>527058</xdr:colOff>
      <xdr:row>0</xdr:row>
      <xdr:rowOff>104775</xdr:rowOff>
    </xdr:from>
    <xdr:to>
      <xdr:col>20</xdr:col>
      <xdr:colOff>31759</xdr:colOff>
      <xdr:row>11</xdr:row>
      <xdr:rowOff>152400</xdr:rowOff>
    </xdr:to>
    <xdr:grpSp>
      <xdr:nvGrpSpPr>
        <xdr:cNvPr id="15" name="Group 14">
          <a:extLst>
            <a:ext uri="{FF2B5EF4-FFF2-40B4-BE49-F238E27FC236}">
              <a16:creationId xmlns:a16="http://schemas.microsoft.com/office/drawing/2014/main" id="{00000000-0008-0000-0000-00000F000000}"/>
            </a:ext>
          </a:extLst>
        </xdr:cNvPr>
        <xdr:cNvGrpSpPr/>
      </xdr:nvGrpSpPr>
      <xdr:grpSpPr>
        <a:xfrm>
          <a:off x="10771499" y="104775"/>
          <a:ext cx="3152574" cy="2165418"/>
          <a:chOff x="11512550" y="104775"/>
          <a:chExt cx="3187701" cy="2143125"/>
        </a:xfrm>
        <a:solidFill>
          <a:schemeClr val="bg1">
            <a:lumMod val="65000"/>
          </a:schemeClr>
        </a:solidFill>
      </xdr:grpSpPr>
      <xdr:sp macro="" textlink="">
        <xdr:nvSpPr>
          <xdr:cNvPr id="199" name="Obdélník 198">
            <a:extLst>
              <a:ext uri="{FF2B5EF4-FFF2-40B4-BE49-F238E27FC236}">
                <a16:creationId xmlns:a16="http://schemas.microsoft.com/office/drawing/2014/main" id="{00000000-0008-0000-0000-0000C7000000}"/>
              </a:ext>
            </a:extLst>
          </xdr:cNvPr>
          <xdr:cNvSpPr/>
        </xdr:nvSpPr>
        <xdr:spPr>
          <a:xfrm>
            <a:off x="13434483" y="609600"/>
            <a:ext cx="1147234" cy="1638300"/>
          </a:xfrm>
          <a:prstGeom prst="rect">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cs-CZ" sz="1100"/>
          </a:p>
        </xdr:txBody>
      </xdr:sp>
      <xdr:sp macro="" textlink="">
        <xdr:nvSpPr>
          <xdr:cNvPr id="200" name="Obdélník se zakulacenými rohy na stejné straně 199">
            <a:extLst>
              <a:ext uri="{FF2B5EF4-FFF2-40B4-BE49-F238E27FC236}">
                <a16:creationId xmlns:a16="http://schemas.microsoft.com/office/drawing/2014/main" id="{00000000-0008-0000-0000-0000C8000000}"/>
              </a:ext>
            </a:extLst>
          </xdr:cNvPr>
          <xdr:cNvSpPr/>
        </xdr:nvSpPr>
        <xdr:spPr>
          <a:xfrm>
            <a:off x="11512550" y="104775"/>
            <a:ext cx="3069167" cy="485776"/>
          </a:xfrm>
          <a:prstGeom prst="round2SameRect">
            <a:avLst/>
          </a:prstGeom>
          <a:grpFill/>
          <a:scene3d>
            <a:camera prst="perspectiveAbove"/>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cs-CZ" sz="2000" b="1" cap="none" spc="0">
                <a:ln w="0"/>
                <a:solidFill>
                  <a:schemeClr val="bg1"/>
                </a:solidFill>
                <a:effectLst>
                  <a:outerShdw blurRad="38100" dist="19050" dir="2700000" algn="tl" rotWithShape="0">
                    <a:schemeClr val="dk1">
                      <a:alpha val="40000"/>
                    </a:schemeClr>
                  </a:outerShdw>
                </a:effectLst>
              </a:rPr>
              <a:t>Vrácení materiálu</a:t>
            </a:r>
          </a:p>
        </xdr:txBody>
      </xdr:sp>
      <xdr:graphicFrame macro="">
        <xdr:nvGraphicFramePr>
          <xdr:cNvPr id="201" name="Graf 200">
            <a:extLst>
              <a:ext uri="{FF2B5EF4-FFF2-40B4-BE49-F238E27FC236}">
                <a16:creationId xmlns:a16="http://schemas.microsoft.com/office/drawing/2014/main" id="{00000000-0008-0000-0000-0000C9000000}"/>
              </a:ext>
            </a:extLst>
          </xdr:cNvPr>
          <xdr:cNvGraphicFramePr>
            <a:graphicFrameLocks/>
          </xdr:cNvGraphicFramePr>
        </xdr:nvGraphicFramePr>
        <xdr:xfrm>
          <a:off x="13377333" y="600076"/>
          <a:ext cx="1322918" cy="571499"/>
        </xdr:xfrm>
        <a:graphic>
          <a:graphicData uri="http://schemas.openxmlformats.org/drawingml/2006/chart">
            <c:chart xmlns:c="http://schemas.openxmlformats.org/drawingml/2006/chart" xmlns:r="http://schemas.openxmlformats.org/officeDocument/2006/relationships" r:id="rId7"/>
          </a:graphicData>
        </a:graphic>
      </xdr:graphicFrame>
      <xdr:sp macro="" textlink="">
        <xdr:nvSpPr>
          <xdr:cNvPr id="202" name="Obdélník 201">
            <a:extLst>
              <a:ext uri="{FF2B5EF4-FFF2-40B4-BE49-F238E27FC236}">
                <a16:creationId xmlns:a16="http://schemas.microsoft.com/office/drawing/2014/main" id="{00000000-0008-0000-0000-0000CA000000}"/>
              </a:ext>
            </a:extLst>
          </xdr:cNvPr>
          <xdr:cNvSpPr/>
        </xdr:nvSpPr>
        <xdr:spPr>
          <a:xfrm>
            <a:off x="11512550" y="619125"/>
            <a:ext cx="1912408" cy="523875"/>
          </a:xfrm>
          <a:prstGeom prst="rect">
            <a:avLst/>
          </a:prstGeom>
          <a:grpFill/>
          <a:scene3d>
            <a:camera prst="orthographicFront">
              <a:rot lat="0" lon="0" rev="0"/>
            </a:camera>
            <a:lightRig rig="threePt" dir="t">
              <a:rot lat="0" lon="0" rev="1200000"/>
            </a:lightRig>
          </a:scene3d>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1</a:t>
            </a:r>
          </a:p>
        </xdr:txBody>
      </xdr:sp>
      <xdr:sp macro="" textlink="">
        <xdr:nvSpPr>
          <xdr:cNvPr id="203" name="Obdélník 202">
            <a:extLst>
              <a:ext uri="{FF2B5EF4-FFF2-40B4-BE49-F238E27FC236}">
                <a16:creationId xmlns:a16="http://schemas.microsoft.com/office/drawing/2014/main" id="{00000000-0008-0000-0000-0000CB000000}"/>
              </a:ext>
            </a:extLst>
          </xdr:cNvPr>
          <xdr:cNvSpPr/>
        </xdr:nvSpPr>
        <xdr:spPr>
          <a:xfrm>
            <a:off x="11512550" y="1171575"/>
            <a:ext cx="1912408" cy="523875"/>
          </a:xfrm>
          <a:prstGeom prst="rect">
            <a:avLst/>
          </a:prstGeom>
          <a:grpFill/>
          <a:scene3d>
            <a:camera prst="orthographicFront">
              <a:rot lat="0" lon="0" rev="0"/>
            </a:camera>
            <a:lightRig rig="threePt" dir="t">
              <a:rot lat="0" lon="0" rev="1200000"/>
            </a:lightRig>
          </a:scene3d>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2</a:t>
            </a:r>
          </a:p>
        </xdr:txBody>
      </xdr:sp>
      <xdr:sp macro="" textlink="">
        <xdr:nvSpPr>
          <xdr:cNvPr id="204" name="Obdélník 203">
            <a:extLst>
              <a:ext uri="{FF2B5EF4-FFF2-40B4-BE49-F238E27FC236}">
                <a16:creationId xmlns:a16="http://schemas.microsoft.com/office/drawing/2014/main" id="{00000000-0008-0000-0000-0000CC000000}"/>
              </a:ext>
            </a:extLst>
          </xdr:cNvPr>
          <xdr:cNvSpPr/>
        </xdr:nvSpPr>
        <xdr:spPr>
          <a:xfrm>
            <a:off x="11512550" y="1724025"/>
            <a:ext cx="1912408" cy="523875"/>
          </a:xfrm>
          <a:prstGeom prst="rect">
            <a:avLst/>
          </a:prstGeom>
          <a:grpFill/>
          <a:scene3d>
            <a:camera prst="orthographicFront">
              <a:rot lat="0" lon="0" rev="0"/>
            </a:camera>
            <a:lightRig rig="threePt" dir="t">
              <a:rot lat="0" lon="0" rev="1200000"/>
            </a:lightRig>
          </a:scene3d>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3</a:t>
            </a:r>
          </a:p>
        </xdr:txBody>
      </xdr:sp>
      <xdr:graphicFrame macro="">
        <xdr:nvGraphicFramePr>
          <xdr:cNvPr id="205" name="Graf 204">
            <a:extLst>
              <a:ext uri="{FF2B5EF4-FFF2-40B4-BE49-F238E27FC236}">
                <a16:creationId xmlns:a16="http://schemas.microsoft.com/office/drawing/2014/main" id="{00000000-0008-0000-0000-0000CD000000}"/>
              </a:ext>
            </a:extLst>
          </xdr:cNvPr>
          <xdr:cNvGraphicFramePr>
            <a:graphicFrameLocks/>
          </xdr:cNvGraphicFramePr>
        </xdr:nvGraphicFramePr>
        <xdr:xfrm>
          <a:off x="13378921" y="1137047"/>
          <a:ext cx="1316568" cy="571499"/>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206" name="Graf 205">
            <a:extLst>
              <a:ext uri="{FF2B5EF4-FFF2-40B4-BE49-F238E27FC236}">
                <a16:creationId xmlns:a16="http://schemas.microsoft.com/office/drawing/2014/main" id="{00000000-0008-0000-0000-0000CE000000}"/>
              </a:ext>
            </a:extLst>
          </xdr:cNvPr>
          <xdr:cNvGraphicFramePr>
            <a:graphicFrameLocks/>
          </xdr:cNvGraphicFramePr>
        </xdr:nvGraphicFramePr>
        <xdr:xfrm>
          <a:off x="13356432" y="1666875"/>
          <a:ext cx="1327151" cy="571499"/>
        </xdr:xfrm>
        <a:graphic>
          <a:graphicData uri="http://schemas.openxmlformats.org/drawingml/2006/chart">
            <c:chart xmlns:c="http://schemas.openxmlformats.org/drawingml/2006/chart" xmlns:r="http://schemas.openxmlformats.org/officeDocument/2006/relationships" r:id="rId9"/>
          </a:graphicData>
        </a:graphic>
      </xdr:graphicFrame>
    </xdr:grpSp>
    <xdr:clientData/>
  </xdr:twoCellAnchor>
  <xdr:twoCellAnchor>
    <xdr:from>
      <xdr:col>19</xdr:col>
      <xdr:colOff>607492</xdr:colOff>
      <xdr:row>0</xdr:row>
      <xdr:rowOff>95250</xdr:rowOff>
    </xdr:from>
    <xdr:to>
      <xdr:col>25</xdr:col>
      <xdr:colOff>103726</xdr:colOff>
      <xdr:row>11</xdr:row>
      <xdr:rowOff>142875</xdr:rowOff>
    </xdr:to>
    <xdr:grpSp>
      <xdr:nvGrpSpPr>
        <xdr:cNvPr id="17" name="Group 16">
          <a:extLst>
            <a:ext uri="{FF2B5EF4-FFF2-40B4-BE49-F238E27FC236}">
              <a16:creationId xmlns:a16="http://schemas.microsoft.com/office/drawing/2014/main" id="{00000000-0008-0000-0000-000011000000}"/>
            </a:ext>
          </a:extLst>
        </xdr:cNvPr>
        <xdr:cNvGrpSpPr/>
      </xdr:nvGrpSpPr>
      <xdr:grpSpPr>
        <a:xfrm>
          <a:off x="13891827" y="95250"/>
          <a:ext cx="3144106" cy="2165418"/>
          <a:chOff x="14662150" y="95250"/>
          <a:chExt cx="3179234" cy="2143125"/>
        </a:xfrm>
        <a:solidFill>
          <a:schemeClr val="bg1">
            <a:lumMod val="65000"/>
          </a:schemeClr>
        </a:solidFill>
      </xdr:grpSpPr>
      <xdr:sp macro="" textlink="">
        <xdr:nvSpPr>
          <xdr:cNvPr id="219" name="Obdélník 218">
            <a:extLst>
              <a:ext uri="{FF2B5EF4-FFF2-40B4-BE49-F238E27FC236}">
                <a16:creationId xmlns:a16="http://schemas.microsoft.com/office/drawing/2014/main" id="{00000000-0008-0000-0000-0000DB000000}"/>
              </a:ext>
            </a:extLst>
          </xdr:cNvPr>
          <xdr:cNvSpPr/>
        </xdr:nvSpPr>
        <xdr:spPr>
          <a:xfrm>
            <a:off x="16579850" y="600075"/>
            <a:ext cx="1147233" cy="1638300"/>
          </a:xfrm>
          <a:prstGeom prst="rect">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cs-CZ" sz="1100"/>
          </a:p>
        </xdr:txBody>
      </xdr:sp>
      <xdr:sp macro="" textlink="">
        <xdr:nvSpPr>
          <xdr:cNvPr id="220" name="Obdélník se zakulacenými rohy na stejné straně 219">
            <a:extLst>
              <a:ext uri="{FF2B5EF4-FFF2-40B4-BE49-F238E27FC236}">
                <a16:creationId xmlns:a16="http://schemas.microsoft.com/office/drawing/2014/main" id="{00000000-0008-0000-0000-0000DC000000}"/>
              </a:ext>
            </a:extLst>
          </xdr:cNvPr>
          <xdr:cNvSpPr/>
        </xdr:nvSpPr>
        <xdr:spPr>
          <a:xfrm>
            <a:off x="14662150" y="95250"/>
            <a:ext cx="3064933" cy="485776"/>
          </a:xfrm>
          <a:prstGeom prst="round2SameRect">
            <a:avLst/>
          </a:prstGeom>
          <a:grpFill/>
          <a:scene3d>
            <a:camera prst="perspectiveAbove"/>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cs-CZ" sz="2000" b="1" cap="none" spc="0">
                <a:ln w="0"/>
                <a:solidFill>
                  <a:schemeClr val="bg1"/>
                </a:solidFill>
                <a:effectLst>
                  <a:outerShdw blurRad="38100" dist="19050" dir="2700000" algn="tl" rotWithShape="0">
                    <a:schemeClr val="dk1">
                      <a:alpha val="40000"/>
                    </a:schemeClr>
                  </a:outerShdw>
                </a:effectLst>
              </a:rPr>
              <a:t>Řidič</a:t>
            </a:r>
            <a:endParaRPr lang="cs-CZ" sz="1600" b="1" cap="none" spc="0">
              <a:ln w="0"/>
              <a:solidFill>
                <a:schemeClr val="bg1"/>
              </a:solidFill>
              <a:effectLst>
                <a:outerShdw blurRad="38100" dist="19050" dir="2700000" algn="tl" rotWithShape="0">
                  <a:schemeClr val="dk1">
                    <a:alpha val="40000"/>
                  </a:schemeClr>
                </a:outerShdw>
              </a:effectLst>
            </a:endParaRPr>
          </a:p>
        </xdr:txBody>
      </xdr:sp>
      <xdr:graphicFrame macro="">
        <xdr:nvGraphicFramePr>
          <xdr:cNvPr id="221" name="Graf 220">
            <a:extLst>
              <a:ext uri="{FF2B5EF4-FFF2-40B4-BE49-F238E27FC236}">
                <a16:creationId xmlns:a16="http://schemas.microsoft.com/office/drawing/2014/main" id="{00000000-0008-0000-0000-0000DD000000}"/>
              </a:ext>
            </a:extLst>
          </xdr:cNvPr>
          <xdr:cNvGraphicFramePr>
            <a:graphicFrameLocks/>
          </xdr:cNvGraphicFramePr>
        </xdr:nvGraphicFramePr>
        <xdr:xfrm>
          <a:off x="16522700" y="590551"/>
          <a:ext cx="1318684" cy="571499"/>
        </xdr:xfrm>
        <a:graphic>
          <a:graphicData uri="http://schemas.openxmlformats.org/drawingml/2006/chart">
            <c:chart xmlns:c="http://schemas.openxmlformats.org/drawingml/2006/chart" xmlns:r="http://schemas.openxmlformats.org/officeDocument/2006/relationships" r:id="rId10"/>
          </a:graphicData>
        </a:graphic>
      </xdr:graphicFrame>
      <xdr:sp macro="" textlink="">
        <xdr:nvSpPr>
          <xdr:cNvPr id="222" name="Obdélník 221">
            <a:extLst>
              <a:ext uri="{FF2B5EF4-FFF2-40B4-BE49-F238E27FC236}">
                <a16:creationId xmlns:a16="http://schemas.microsoft.com/office/drawing/2014/main" id="{00000000-0008-0000-0000-0000DE000000}"/>
              </a:ext>
            </a:extLst>
          </xdr:cNvPr>
          <xdr:cNvSpPr/>
        </xdr:nvSpPr>
        <xdr:spPr>
          <a:xfrm>
            <a:off x="14662150" y="609600"/>
            <a:ext cx="1908175" cy="523875"/>
          </a:xfrm>
          <a:prstGeom prst="rect">
            <a:avLst/>
          </a:prstGeom>
          <a:grpFill/>
          <a:scene3d>
            <a:camera prst="orthographicFront">
              <a:rot lat="0" lon="0" rev="0"/>
            </a:camera>
            <a:lightRig rig="threePt" dir="t">
              <a:rot lat="0" lon="0" rev="1200000"/>
            </a:lightRig>
          </a:scene3d>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1</a:t>
            </a:r>
          </a:p>
        </xdr:txBody>
      </xdr:sp>
      <xdr:sp macro="" textlink="">
        <xdr:nvSpPr>
          <xdr:cNvPr id="223" name="Obdélník 222">
            <a:extLst>
              <a:ext uri="{FF2B5EF4-FFF2-40B4-BE49-F238E27FC236}">
                <a16:creationId xmlns:a16="http://schemas.microsoft.com/office/drawing/2014/main" id="{00000000-0008-0000-0000-0000DF000000}"/>
              </a:ext>
            </a:extLst>
          </xdr:cNvPr>
          <xdr:cNvSpPr/>
        </xdr:nvSpPr>
        <xdr:spPr>
          <a:xfrm>
            <a:off x="14662150" y="1162050"/>
            <a:ext cx="1908175" cy="523875"/>
          </a:xfrm>
          <a:prstGeom prst="rect">
            <a:avLst/>
          </a:prstGeom>
          <a:grpFill/>
          <a:scene3d>
            <a:camera prst="orthographicFront">
              <a:rot lat="0" lon="0" rev="0"/>
            </a:camera>
            <a:lightRig rig="threePt" dir="t">
              <a:rot lat="0" lon="0" rev="1200000"/>
            </a:lightRig>
          </a:scene3d>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2</a:t>
            </a:r>
          </a:p>
        </xdr:txBody>
      </xdr:sp>
      <xdr:sp macro="" textlink="">
        <xdr:nvSpPr>
          <xdr:cNvPr id="224" name="Obdélník 223">
            <a:extLst>
              <a:ext uri="{FF2B5EF4-FFF2-40B4-BE49-F238E27FC236}">
                <a16:creationId xmlns:a16="http://schemas.microsoft.com/office/drawing/2014/main" id="{00000000-0008-0000-0000-0000E0000000}"/>
              </a:ext>
            </a:extLst>
          </xdr:cNvPr>
          <xdr:cNvSpPr/>
        </xdr:nvSpPr>
        <xdr:spPr>
          <a:xfrm>
            <a:off x="14662150" y="1714500"/>
            <a:ext cx="1908175" cy="523875"/>
          </a:xfrm>
          <a:prstGeom prst="rect">
            <a:avLst/>
          </a:prstGeom>
          <a:grpFill/>
          <a:scene3d>
            <a:camera prst="orthographicFront">
              <a:rot lat="0" lon="0" rev="0"/>
            </a:camera>
            <a:lightRig rig="threePt" dir="t">
              <a:rot lat="0" lon="0" rev="1200000"/>
            </a:lightRig>
          </a:scene3d>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3</a:t>
            </a:r>
          </a:p>
        </xdr:txBody>
      </xdr:sp>
      <xdr:graphicFrame macro="">
        <xdr:nvGraphicFramePr>
          <xdr:cNvPr id="225" name="Graf 224">
            <a:extLst>
              <a:ext uri="{FF2B5EF4-FFF2-40B4-BE49-F238E27FC236}">
                <a16:creationId xmlns:a16="http://schemas.microsoft.com/office/drawing/2014/main" id="{00000000-0008-0000-0000-0000E1000000}"/>
              </a:ext>
            </a:extLst>
          </xdr:cNvPr>
          <xdr:cNvGraphicFramePr>
            <a:graphicFrameLocks/>
          </xdr:cNvGraphicFramePr>
        </xdr:nvGraphicFramePr>
        <xdr:xfrm>
          <a:off x="16517938" y="1127522"/>
          <a:ext cx="1318684" cy="571499"/>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26" name="Graf 225">
            <a:extLst>
              <a:ext uri="{FF2B5EF4-FFF2-40B4-BE49-F238E27FC236}">
                <a16:creationId xmlns:a16="http://schemas.microsoft.com/office/drawing/2014/main" id="{00000000-0008-0000-0000-0000E2000000}"/>
              </a:ext>
            </a:extLst>
          </xdr:cNvPr>
          <xdr:cNvGraphicFramePr>
            <a:graphicFrameLocks/>
          </xdr:cNvGraphicFramePr>
        </xdr:nvGraphicFramePr>
        <xdr:xfrm>
          <a:off x="16506032" y="1657350"/>
          <a:ext cx="1318684" cy="571499"/>
        </xdr:xfrm>
        <a:graphic>
          <a:graphicData uri="http://schemas.openxmlformats.org/drawingml/2006/chart">
            <c:chart xmlns:c="http://schemas.openxmlformats.org/drawingml/2006/chart" xmlns:r="http://schemas.openxmlformats.org/officeDocument/2006/relationships" r:id="rId12"/>
          </a:graphicData>
        </a:graphic>
      </xdr:graphicFrame>
    </xdr:grpSp>
    <xdr:clientData/>
  </xdr:twoCellAnchor>
  <xdr:twoCellAnchor>
    <xdr:from>
      <xdr:col>9</xdr:col>
      <xdr:colOff>319401</xdr:colOff>
      <xdr:row>13</xdr:row>
      <xdr:rowOff>104775</xdr:rowOff>
    </xdr:from>
    <xdr:to>
      <xdr:col>15</xdr:col>
      <xdr:colOff>461505</xdr:colOff>
      <xdr:row>28</xdr:row>
      <xdr:rowOff>55275</xdr:rowOff>
    </xdr:to>
    <xdr:grpSp>
      <xdr:nvGrpSpPr>
        <xdr:cNvPr id="13" name="Group 12">
          <a:extLst>
            <a:ext uri="{FF2B5EF4-FFF2-40B4-BE49-F238E27FC236}">
              <a16:creationId xmlns:a16="http://schemas.microsoft.com/office/drawing/2014/main" id="{00000000-0008-0000-0000-00000D000000}"/>
            </a:ext>
          </a:extLst>
        </xdr:cNvPr>
        <xdr:cNvGrpSpPr/>
      </xdr:nvGrpSpPr>
      <xdr:grpSpPr>
        <a:xfrm>
          <a:off x="7027433" y="2512979"/>
          <a:ext cx="4286492" cy="0"/>
          <a:chOff x="7448550" y="2743200"/>
          <a:chExt cx="4295004" cy="2808000"/>
        </a:xfrm>
      </xdr:grpSpPr>
      <xdr:graphicFrame macro="">
        <xdr:nvGraphicFramePr>
          <xdr:cNvPr id="238" name="Graf 237">
            <a:extLst>
              <a:ext uri="{FF2B5EF4-FFF2-40B4-BE49-F238E27FC236}">
                <a16:creationId xmlns:a16="http://schemas.microsoft.com/office/drawing/2014/main" id="{00000000-0008-0000-0000-0000EE000000}"/>
              </a:ext>
            </a:extLst>
          </xdr:cNvPr>
          <xdr:cNvGraphicFramePr>
            <a:graphicFrameLocks/>
          </xdr:cNvGraphicFramePr>
        </xdr:nvGraphicFramePr>
        <xdr:xfrm>
          <a:off x="7448550" y="2743200"/>
          <a:ext cx="4295004" cy="2808000"/>
        </xdr:xfrm>
        <a:graphic>
          <a:graphicData uri="http://schemas.openxmlformats.org/drawingml/2006/chart">
            <c:chart xmlns:c="http://schemas.openxmlformats.org/drawingml/2006/chart" xmlns:r="http://schemas.openxmlformats.org/officeDocument/2006/relationships" r:id="rId13"/>
          </a:graphicData>
        </a:graphic>
      </xdr:graphicFrame>
      <xdr:sp macro="[0]!LVL2_B_BUTTON_Click" textlink="">
        <xdr:nvSpPr>
          <xdr:cNvPr id="18" name="LVL2_GENERIC_B_BUTTON">
            <a:extLst>
              <a:ext uri="{FF2B5EF4-FFF2-40B4-BE49-F238E27FC236}">
                <a16:creationId xmlns:a16="http://schemas.microsoft.com/office/drawing/2014/main" id="{00000000-0008-0000-0000-000012000000}"/>
              </a:ext>
            </a:extLst>
          </xdr:cNvPr>
          <xdr:cNvSpPr/>
        </xdr:nvSpPr>
        <xdr:spPr>
          <a:xfrm>
            <a:off x="8532412" y="4697067"/>
            <a:ext cx="2023534" cy="612648"/>
          </a:xfrm>
          <a:prstGeom prst="wedgeRectCallout">
            <a:avLst>
              <a:gd name="adj1" fmla="val -20833"/>
              <a:gd name="adj2" fmla="val 84957"/>
            </a:avLst>
          </a:prstGeom>
          <a:gradFill flip="none" rotWithShape="1">
            <a:gsLst>
              <a:gs pos="0">
                <a:srgbClr val="769535"/>
              </a:gs>
              <a:gs pos="80000">
                <a:srgbClr val="9BC348"/>
              </a:gs>
              <a:gs pos="100000">
                <a:srgbClr val="9CC746"/>
              </a:gs>
            </a:gsLst>
            <a:lin ang="16200000" scaled="0"/>
            <a:tileRect/>
          </a:gradFill>
          <a:scene3d>
            <a:camera prst="orthographicFront">
              <a:rot lat="0" lon="0" rev="0"/>
            </a:camera>
            <a:lightRig rig="threePt" dir="t">
              <a:rot lat="0" lon="0" rev="1200000"/>
            </a:lightRig>
          </a:scene3d>
          <a:sp3d>
            <a:bevelT w="0" h="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800"/>
              <a:t>Zobrazit detail</a:t>
            </a:r>
          </a:p>
        </xdr:txBody>
      </xdr:sp>
    </xdr:grpSp>
    <xdr:clientData/>
  </xdr:twoCellAnchor>
  <xdr:twoCellAnchor>
    <xdr:from>
      <xdr:col>9</xdr:col>
      <xdr:colOff>583341</xdr:colOff>
      <xdr:row>35</xdr:row>
      <xdr:rowOff>126711</xdr:rowOff>
    </xdr:from>
    <xdr:to>
      <xdr:col>12</xdr:col>
      <xdr:colOff>87464</xdr:colOff>
      <xdr:row>37</xdr:row>
      <xdr:rowOff>37884</xdr:rowOff>
    </xdr:to>
    <xdr:sp macro="[0]!lvl3_button_show_primary_only_Click" textlink="">
      <xdr:nvSpPr>
        <xdr:cNvPr id="98" name="lvl3_button_show_primary_only">
          <a:extLst>
            <a:ext uri="{FF2B5EF4-FFF2-40B4-BE49-F238E27FC236}">
              <a16:creationId xmlns:a16="http://schemas.microsoft.com/office/drawing/2014/main" id="{00000000-0008-0000-0000-000062000000}"/>
            </a:ext>
          </a:extLst>
        </xdr:cNvPr>
        <xdr:cNvSpPr/>
      </xdr:nvSpPr>
      <xdr:spPr>
        <a:xfrm>
          <a:off x="7320114" y="6828847"/>
          <a:ext cx="1824759" cy="292173"/>
        </a:xfrm>
        <a:prstGeom prst="round2SameRect">
          <a:avLst/>
        </a:prstGeom>
        <a:ln>
          <a:noFill/>
        </a:ln>
        <a:effectLst>
          <a:outerShdw blurRad="107950" dist="12700" dir="5400000" algn="ctr">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400" b="1" cap="none" spc="0">
              <a:ln w="0"/>
              <a:solidFill>
                <a:schemeClr val="bg1"/>
              </a:solidFill>
              <a:effectLst/>
              <a:latin typeface="+mn-lt"/>
              <a:ea typeface="+mn-ea"/>
              <a:cs typeface="+mn-cs"/>
            </a:rPr>
            <a:t>Hlavní kroky</a:t>
          </a:r>
        </a:p>
      </xdr:txBody>
    </xdr:sp>
    <xdr:clientData/>
  </xdr:twoCellAnchor>
  <xdr:twoCellAnchor>
    <xdr:from>
      <xdr:col>12</xdr:col>
      <xdr:colOff>170014</xdr:colOff>
      <xdr:row>35</xdr:row>
      <xdr:rowOff>129886</xdr:rowOff>
    </xdr:from>
    <xdr:to>
      <xdr:col>15</xdr:col>
      <xdr:colOff>186756</xdr:colOff>
      <xdr:row>37</xdr:row>
      <xdr:rowOff>41059</xdr:rowOff>
    </xdr:to>
    <xdr:sp macro="[0]!lvl3_button_show_secondary_Click" textlink="">
      <xdr:nvSpPr>
        <xdr:cNvPr id="99" name="lvl3_button_show_secondary">
          <a:extLst>
            <a:ext uri="{FF2B5EF4-FFF2-40B4-BE49-F238E27FC236}">
              <a16:creationId xmlns:a16="http://schemas.microsoft.com/office/drawing/2014/main" id="{00000000-0008-0000-0000-000063000000}"/>
            </a:ext>
          </a:extLst>
        </xdr:cNvPr>
        <xdr:cNvSpPr/>
      </xdr:nvSpPr>
      <xdr:spPr>
        <a:xfrm>
          <a:off x="9227423" y="6832022"/>
          <a:ext cx="1835151" cy="292173"/>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400" b="1" cap="none" spc="0">
              <a:ln w="0"/>
              <a:solidFill>
                <a:schemeClr val="bg1"/>
              </a:solidFill>
              <a:effectLst/>
            </a:rPr>
            <a:t>Vedlejší</a:t>
          </a:r>
          <a:r>
            <a:rPr lang="cs-CZ" sz="1400" b="1" cap="none" spc="0" baseline="0">
              <a:ln w="0"/>
              <a:solidFill>
                <a:schemeClr val="bg1"/>
              </a:solidFill>
              <a:effectLst/>
            </a:rPr>
            <a:t> kroky</a:t>
          </a:r>
          <a:endParaRPr lang="cs-CZ" sz="1400" b="1" cap="none" spc="0">
            <a:ln w="0"/>
            <a:solidFill>
              <a:schemeClr val="bg1"/>
            </a:solidFill>
            <a:effectLst/>
          </a:endParaRPr>
        </a:p>
      </xdr:txBody>
    </xdr:sp>
    <xdr:clientData/>
  </xdr:twoCellAnchor>
  <xdr:twoCellAnchor>
    <xdr:from>
      <xdr:col>6</xdr:col>
      <xdr:colOff>578485</xdr:colOff>
      <xdr:row>32</xdr:row>
      <xdr:rowOff>31637</xdr:rowOff>
    </xdr:from>
    <xdr:to>
      <xdr:col>9</xdr:col>
      <xdr:colOff>592217</xdr:colOff>
      <xdr:row>34</xdr:row>
      <xdr:rowOff>136413</xdr:rowOff>
    </xdr:to>
    <xdr:sp macro="" textlink="">
      <xdr:nvSpPr>
        <xdr:cNvPr id="102" name="LVL3_GENERIC_INDICATOR_PROCES">
          <a:extLst>
            <a:ext uri="{FF2B5EF4-FFF2-40B4-BE49-F238E27FC236}">
              <a16:creationId xmlns:a16="http://schemas.microsoft.com/office/drawing/2014/main" id="{00000000-0008-0000-0000-000066000000}"/>
            </a:ext>
          </a:extLst>
        </xdr:cNvPr>
        <xdr:cNvSpPr/>
      </xdr:nvSpPr>
      <xdr:spPr>
        <a:xfrm>
          <a:off x="5490664" y="6154851"/>
          <a:ext cx="1850696" cy="485776"/>
        </a:xfrm>
        <a:prstGeom prst="round2SameRect">
          <a:avLst/>
        </a:prstGeom>
        <a:scene3d>
          <a:camera prst="perspectiveAbove"/>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600" b="1" cap="none" spc="0">
              <a:ln w="0"/>
              <a:solidFill>
                <a:schemeClr val="bg1"/>
              </a:solidFill>
              <a:effectLst/>
            </a:rPr>
            <a:t>Zavážení FG linek</a:t>
          </a:r>
        </a:p>
      </xdr:txBody>
    </xdr:sp>
    <xdr:clientData/>
  </xdr:twoCellAnchor>
  <xdr:twoCellAnchor>
    <xdr:from>
      <xdr:col>13</xdr:col>
      <xdr:colOff>435605</xdr:colOff>
      <xdr:row>32</xdr:row>
      <xdr:rowOff>35719</xdr:rowOff>
    </xdr:from>
    <xdr:to>
      <xdr:col>16</xdr:col>
      <xdr:colOff>446407</xdr:colOff>
      <xdr:row>34</xdr:row>
      <xdr:rowOff>140495</xdr:rowOff>
    </xdr:to>
    <xdr:sp macro="" textlink="">
      <xdr:nvSpPr>
        <xdr:cNvPr id="106" name="LVL3_GENERIC_INDICATOR_BUILDING">
          <a:extLst>
            <a:ext uri="{FF2B5EF4-FFF2-40B4-BE49-F238E27FC236}">
              <a16:creationId xmlns:a16="http://schemas.microsoft.com/office/drawing/2014/main" id="{00000000-0008-0000-0000-00006A000000}"/>
            </a:ext>
          </a:extLst>
        </xdr:cNvPr>
        <xdr:cNvSpPr/>
      </xdr:nvSpPr>
      <xdr:spPr>
        <a:xfrm>
          <a:off x="10123891" y="6158933"/>
          <a:ext cx="1847766" cy="485776"/>
        </a:xfrm>
        <a:prstGeom prst="round2SameRect">
          <a:avLst/>
        </a:prstGeom>
        <a:gradFill flip="none" rotWithShape="1">
          <a:gsLst>
            <a:gs pos="79000">
              <a:srgbClr val="43741E"/>
            </a:gs>
            <a:gs pos="0">
              <a:srgbClr val="43741E"/>
            </a:gs>
            <a:gs pos="100000">
              <a:srgbClr val="43741E"/>
            </a:gs>
          </a:gsLst>
          <a:lin ang="16200000" scaled="0"/>
          <a:tileRect/>
        </a:gra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ctr"/>
          <a:r>
            <a:rPr lang="en-US" sz="1600" b="1" cap="none" spc="0">
              <a:ln w="0"/>
              <a:solidFill>
                <a:schemeClr val="bg1"/>
              </a:solidFill>
              <a:effectLst>
                <a:outerShdw blurRad="38100" dist="19050" dir="2700000" algn="tl" rotWithShape="0">
                  <a:schemeClr val="dk1">
                    <a:alpha val="40000"/>
                  </a:schemeClr>
                </a:outerShdw>
              </a:effectLst>
              <a:latin typeface="+mn-lt"/>
              <a:ea typeface="+mn-ea"/>
              <a:cs typeface="+mn-cs"/>
            </a:rPr>
            <a:t>Budova B</a:t>
          </a:r>
          <a:endParaRPr lang="cs-CZ" sz="1600" b="1" cap="none" spc="0">
            <a:ln w="0"/>
            <a:solidFill>
              <a:schemeClr val="bg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xdr:from>
      <xdr:col>1</xdr:col>
      <xdr:colOff>333208</xdr:colOff>
      <xdr:row>32</xdr:row>
      <xdr:rowOff>58890</xdr:rowOff>
    </xdr:from>
    <xdr:to>
      <xdr:col>6</xdr:col>
      <xdr:colOff>478711</xdr:colOff>
      <xdr:row>40</xdr:row>
      <xdr:rowOff>21436</xdr:rowOff>
    </xdr:to>
    <xdr:grpSp>
      <xdr:nvGrpSpPr>
        <xdr:cNvPr id="30" name="Group 29">
          <a:extLst>
            <a:ext uri="{FF2B5EF4-FFF2-40B4-BE49-F238E27FC236}">
              <a16:creationId xmlns:a16="http://schemas.microsoft.com/office/drawing/2014/main" id="{00000000-0008-0000-0000-00001E000000}"/>
            </a:ext>
          </a:extLst>
        </xdr:cNvPr>
        <xdr:cNvGrpSpPr/>
      </xdr:nvGrpSpPr>
      <xdr:grpSpPr>
        <a:xfrm>
          <a:off x="1376905" y="2512979"/>
          <a:ext cx="3985902" cy="0"/>
          <a:chOff x="1380948" y="6178703"/>
          <a:chExt cx="3989822" cy="1486546"/>
        </a:xfrm>
      </xdr:grpSpPr>
      <xdr:grpSp>
        <xdr:nvGrpSpPr>
          <xdr:cNvPr id="29" name="Group 28">
            <a:extLst>
              <a:ext uri="{FF2B5EF4-FFF2-40B4-BE49-F238E27FC236}">
                <a16:creationId xmlns:a16="http://schemas.microsoft.com/office/drawing/2014/main" id="{00000000-0008-0000-0000-00001D000000}"/>
              </a:ext>
            </a:extLst>
          </xdr:cNvPr>
          <xdr:cNvGrpSpPr/>
        </xdr:nvGrpSpPr>
        <xdr:grpSpPr>
          <a:xfrm>
            <a:off x="1380948" y="6178703"/>
            <a:ext cx="3989822" cy="1486546"/>
            <a:chOff x="1380948" y="6178703"/>
            <a:chExt cx="3989822" cy="1486546"/>
          </a:xfrm>
        </xdr:grpSpPr>
        <xdr:graphicFrame macro="">
          <xdr:nvGraphicFramePr>
            <xdr:cNvPr id="28" name="Graf 27">
              <a:extLst>
                <a:ext uri="{FF2B5EF4-FFF2-40B4-BE49-F238E27FC236}">
                  <a16:creationId xmlns:a16="http://schemas.microsoft.com/office/drawing/2014/main" id="{00000000-0008-0000-0000-00001C000000}"/>
                </a:ext>
              </a:extLst>
            </xdr:cNvPr>
            <xdr:cNvGraphicFramePr/>
          </xdr:nvGraphicFramePr>
          <xdr:xfrm>
            <a:off x="1580935" y="6531774"/>
            <a:ext cx="3777912" cy="1133475"/>
          </xdr:xfrm>
          <a:graphic>
            <a:graphicData uri="http://schemas.openxmlformats.org/drawingml/2006/chart">
              <c:chart xmlns:c="http://schemas.openxmlformats.org/drawingml/2006/chart" xmlns:r="http://schemas.openxmlformats.org/officeDocument/2006/relationships" r:id="rId14"/>
            </a:graphicData>
          </a:graphic>
        </xdr:graphicFrame>
        <xdr:sp macro="" textlink="">
          <xdr:nvSpPr>
            <xdr:cNvPr id="115" name="Obdélník 45">
              <a:extLst>
                <a:ext uri="{FF2B5EF4-FFF2-40B4-BE49-F238E27FC236}">
                  <a16:creationId xmlns:a16="http://schemas.microsoft.com/office/drawing/2014/main" id="{00000000-0008-0000-0000-000073000000}"/>
                </a:ext>
              </a:extLst>
            </xdr:cNvPr>
            <xdr:cNvSpPr/>
          </xdr:nvSpPr>
          <xdr:spPr>
            <a:xfrm rot="5400000">
              <a:off x="3334143" y="4457043"/>
              <a:ext cx="314968" cy="375828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vert="vert270" rtlCol="0" anchor="ctr"/>
            <a:lstStyle/>
            <a:p>
              <a:pPr algn="ctr"/>
              <a:r>
                <a:rPr lang="cs-CZ" sz="2000" b="1"/>
                <a:t>KPI - </a:t>
              </a:r>
              <a:r>
                <a:rPr lang="cs-CZ" sz="2000" b="0"/>
                <a:t>Jak číst graf</a:t>
              </a:r>
            </a:p>
          </xdr:txBody>
        </xdr:sp>
        <xdr:sp macro="" textlink="">
          <xdr:nvSpPr>
            <xdr:cNvPr id="117" name="Rectangular Callout 116">
              <a:extLst>
                <a:ext uri="{FF2B5EF4-FFF2-40B4-BE49-F238E27FC236}">
                  <a16:creationId xmlns:a16="http://schemas.microsoft.com/office/drawing/2014/main" id="{00000000-0008-0000-0000-000075000000}"/>
                </a:ext>
              </a:extLst>
            </xdr:cNvPr>
            <xdr:cNvSpPr/>
          </xdr:nvSpPr>
          <xdr:spPr>
            <a:xfrm>
              <a:off x="2937024" y="6575462"/>
              <a:ext cx="465120" cy="152399"/>
            </a:xfrm>
            <a:prstGeom prst="wedgeRectCallout">
              <a:avLst>
                <a:gd name="adj1" fmla="val -4701"/>
                <a:gd name="adj2" fmla="val 130674"/>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cíl KPI</a:t>
              </a:r>
            </a:p>
          </xdr:txBody>
        </xdr:sp>
        <xdr:sp macro="" textlink="">
          <xdr:nvSpPr>
            <xdr:cNvPr id="118" name="Rectangular Callout 117">
              <a:extLst>
                <a:ext uri="{FF2B5EF4-FFF2-40B4-BE49-F238E27FC236}">
                  <a16:creationId xmlns:a16="http://schemas.microsoft.com/office/drawing/2014/main" id="{00000000-0008-0000-0000-000076000000}"/>
                </a:ext>
              </a:extLst>
            </xdr:cNvPr>
            <xdr:cNvSpPr/>
          </xdr:nvSpPr>
          <xdr:spPr>
            <a:xfrm>
              <a:off x="2524027" y="6954466"/>
              <a:ext cx="749887" cy="161924"/>
            </a:xfrm>
            <a:prstGeom prst="wedgeRectCallout">
              <a:avLst>
                <a:gd name="adj1" fmla="val -66347"/>
                <a:gd name="adj2" fmla="val 21645"/>
              </a:avLst>
            </a:prstGeom>
            <a:solidFill>
              <a:schemeClr val="bg1"/>
            </a:solidFill>
            <a:ln w="15875">
              <a:solidFill>
                <a:schemeClr val="accent3">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hodnota KPI</a:t>
              </a:r>
            </a:p>
          </xdr:txBody>
        </xdr:sp>
        <xdr:sp macro="" textlink="">
          <xdr:nvSpPr>
            <xdr:cNvPr id="119" name="Rectangular Callout 118">
              <a:extLst>
                <a:ext uri="{FF2B5EF4-FFF2-40B4-BE49-F238E27FC236}">
                  <a16:creationId xmlns:a16="http://schemas.microsoft.com/office/drawing/2014/main" id="{00000000-0008-0000-0000-000077000000}"/>
                </a:ext>
              </a:extLst>
            </xdr:cNvPr>
            <xdr:cNvSpPr/>
          </xdr:nvSpPr>
          <xdr:spPr>
            <a:xfrm>
              <a:off x="1380948" y="7252979"/>
              <a:ext cx="493597" cy="161924"/>
            </a:xfrm>
            <a:prstGeom prst="wedgeRectCallout">
              <a:avLst>
                <a:gd name="adj1" fmla="val 93258"/>
                <a:gd name="adj2" fmla="val 30673"/>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Hodina</a:t>
              </a:r>
            </a:p>
          </xdr:txBody>
        </xdr:sp>
      </xdr:grpSp>
      <xdr:sp macro="" textlink="">
        <xdr:nvSpPr>
          <xdr:cNvPr id="3" name="Rectangular Callout 2">
            <a:extLst>
              <a:ext uri="{FF2B5EF4-FFF2-40B4-BE49-F238E27FC236}">
                <a16:creationId xmlns:a16="http://schemas.microsoft.com/office/drawing/2014/main" id="{00000000-0008-0000-0000-000003000000}"/>
              </a:ext>
            </a:extLst>
          </xdr:cNvPr>
          <xdr:cNvSpPr/>
        </xdr:nvSpPr>
        <xdr:spPr>
          <a:xfrm>
            <a:off x="3819338" y="6975738"/>
            <a:ext cx="1194618" cy="276225"/>
          </a:xfrm>
          <a:prstGeom prst="wedgeRectCallout">
            <a:avLst>
              <a:gd name="adj1" fmla="val -56669"/>
              <a:gd name="adj2" fmla="val -140976"/>
            </a:avLst>
          </a:prstGeom>
          <a:solidFill>
            <a:schemeClr val="bg1"/>
          </a:solidFill>
          <a:ln w="15875">
            <a:solidFill>
              <a:schemeClr val="accent3">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počet</a:t>
            </a:r>
            <a:r>
              <a:rPr lang="cs-CZ" sz="800" baseline="0">
                <a:solidFill>
                  <a:schemeClr val="tx1"/>
                </a:solidFill>
              </a:rPr>
              <a:t> úkolů na člověka</a:t>
            </a:r>
            <a:endParaRPr lang="cs-CZ" sz="800">
              <a:solidFill>
                <a:schemeClr val="tx1"/>
              </a:solidFill>
            </a:endParaRPr>
          </a:p>
        </xdr:txBody>
      </xdr:sp>
    </xdr:grpSp>
    <xdr:clientData/>
  </xdr:twoCellAnchor>
  <xdr:twoCellAnchor>
    <xdr:from>
      <xdr:col>10</xdr:col>
      <xdr:colOff>216483</xdr:colOff>
      <xdr:row>37</xdr:row>
      <xdr:rowOff>95250</xdr:rowOff>
    </xdr:from>
    <xdr:to>
      <xdr:col>11</xdr:col>
      <xdr:colOff>961166</xdr:colOff>
      <xdr:row>39</xdr:row>
      <xdr:rowOff>43296</xdr:rowOff>
    </xdr:to>
    <xdr:sp macro="" textlink="">
      <xdr:nvSpPr>
        <xdr:cNvPr id="25" name="shape_no_of_primary">
          <a:extLst>
            <a:ext uri="{FF2B5EF4-FFF2-40B4-BE49-F238E27FC236}">
              <a16:creationId xmlns:a16="http://schemas.microsoft.com/office/drawing/2014/main" id="{00000000-0008-0000-0000-000019000000}"/>
            </a:ext>
          </a:extLst>
        </xdr:cNvPr>
        <xdr:cNvSpPr/>
      </xdr:nvSpPr>
      <xdr:spPr>
        <a:xfrm>
          <a:off x="7559392" y="7178386"/>
          <a:ext cx="1350819" cy="329046"/>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1100">
              <a:solidFill>
                <a:schemeClr val="tx1"/>
              </a:solidFill>
            </a:rPr>
            <a:t>0</a:t>
          </a:r>
        </a:p>
      </xdr:txBody>
    </xdr:sp>
    <xdr:clientData/>
  </xdr:twoCellAnchor>
  <xdr:twoCellAnchor>
    <xdr:from>
      <xdr:col>12</xdr:col>
      <xdr:colOff>446815</xdr:colOff>
      <xdr:row>37</xdr:row>
      <xdr:rowOff>100446</xdr:rowOff>
    </xdr:from>
    <xdr:to>
      <xdr:col>14</xdr:col>
      <xdr:colOff>585361</xdr:colOff>
      <xdr:row>39</xdr:row>
      <xdr:rowOff>48492</xdr:rowOff>
    </xdr:to>
    <xdr:sp macro="" textlink="">
      <xdr:nvSpPr>
        <xdr:cNvPr id="128" name="shape_no_of_secondary">
          <a:extLst>
            <a:ext uri="{FF2B5EF4-FFF2-40B4-BE49-F238E27FC236}">
              <a16:creationId xmlns:a16="http://schemas.microsoft.com/office/drawing/2014/main" id="{00000000-0008-0000-0000-000080000000}"/>
            </a:ext>
          </a:extLst>
        </xdr:cNvPr>
        <xdr:cNvSpPr/>
      </xdr:nvSpPr>
      <xdr:spPr>
        <a:xfrm>
          <a:off x="9504224" y="7183582"/>
          <a:ext cx="1350819" cy="329046"/>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1100">
              <a:solidFill>
                <a:schemeClr val="tx1"/>
              </a:solidFill>
            </a:rPr>
            <a:t>0</a:t>
          </a:r>
        </a:p>
      </xdr:txBody>
    </xdr:sp>
    <xdr:clientData/>
  </xdr:twoCellAnchor>
  <xdr:twoCellAnchor>
    <xdr:from>
      <xdr:col>1</xdr:col>
      <xdr:colOff>362755</xdr:colOff>
      <xdr:row>0</xdr:row>
      <xdr:rowOff>121444</xdr:rowOff>
    </xdr:from>
    <xdr:to>
      <xdr:col>5</xdr:col>
      <xdr:colOff>491458</xdr:colOff>
      <xdr:row>11</xdr:row>
      <xdr:rowOff>170152</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1406452" y="121444"/>
          <a:ext cx="3158463" cy="2166501"/>
          <a:chOff x="2056077" y="133350"/>
          <a:chExt cx="3176743" cy="2144208"/>
        </a:xfrm>
        <a:solidFill>
          <a:schemeClr val="bg1">
            <a:lumMod val="65000"/>
          </a:schemeClr>
        </a:solidFill>
      </xdr:grpSpPr>
      <xdr:sp macro="" textlink="">
        <xdr:nvSpPr>
          <xdr:cNvPr id="183" name="Obdélník 182">
            <a:extLst>
              <a:ext uri="{FF2B5EF4-FFF2-40B4-BE49-F238E27FC236}">
                <a16:creationId xmlns:a16="http://schemas.microsoft.com/office/drawing/2014/main" id="{00000000-0008-0000-0000-0000B7000000}"/>
              </a:ext>
            </a:extLst>
          </xdr:cNvPr>
          <xdr:cNvSpPr/>
        </xdr:nvSpPr>
        <xdr:spPr>
          <a:xfrm>
            <a:off x="3978419" y="639258"/>
            <a:ext cx="1148292" cy="1638300"/>
          </a:xfrm>
          <a:prstGeom prst="rect">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cs-CZ" sz="1100"/>
          </a:p>
        </xdr:txBody>
      </xdr:sp>
      <xdr:graphicFrame macro="">
        <xdr:nvGraphicFramePr>
          <xdr:cNvPr id="185" name="LVL1_Inbound_PPOT">
            <a:extLst>
              <a:ext uri="{FF2B5EF4-FFF2-40B4-BE49-F238E27FC236}">
                <a16:creationId xmlns:a16="http://schemas.microsoft.com/office/drawing/2014/main" id="{00000000-0008-0000-0000-0000B9000000}"/>
              </a:ext>
            </a:extLst>
          </xdr:cNvPr>
          <xdr:cNvGraphicFramePr>
            <a:graphicFrameLocks/>
          </xdr:cNvGraphicFramePr>
        </xdr:nvGraphicFramePr>
        <xdr:xfrm>
          <a:off x="3906115" y="611333"/>
          <a:ext cx="1319743" cy="571499"/>
        </xdr:xfrm>
        <a:graphic>
          <a:graphicData uri="http://schemas.openxmlformats.org/drawingml/2006/chart">
            <c:chart xmlns:c="http://schemas.openxmlformats.org/drawingml/2006/chart" xmlns:r="http://schemas.openxmlformats.org/officeDocument/2006/relationships" r:id="rId15"/>
          </a:graphicData>
        </a:graphic>
      </xdr:graphicFrame>
      <xdr:sp macro="" textlink="">
        <xdr:nvSpPr>
          <xdr:cNvPr id="186" name="LVL1_INBOUND_PPOT_BUTTON">
            <a:extLst>
              <a:ext uri="{FF2B5EF4-FFF2-40B4-BE49-F238E27FC236}">
                <a16:creationId xmlns:a16="http://schemas.microsoft.com/office/drawing/2014/main" id="{00000000-0008-0000-0000-0000BA000000}"/>
              </a:ext>
            </a:extLst>
          </xdr:cNvPr>
          <xdr:cNvSpPr/>
        </xdr:nvSpPr>
        <xdr:spPr>
          <a:xfrm>
            <a:off x="2058458" y="634712"/>
            <a:ext cx="1903942" cy="523875"/>
          </a:xfrm>
          <a:prstGeom prst="rect">
            <a:avLst/>
          </a:prstGeom>
          <a:grpFill/>
          <a:scene3d>
            <a:camera prst="orthographicFront">
              <a:rot lat="0" lon="0" rev="0"/>
            </a:camera>
            <a:lightRig rig="threePt" dir="t">
              <a:rot lat="0" lon="0" rev="1200000"/>
            </a:lightRig>
          </a:scene3d>
          <a:sp3d>
            <a:bevelT w="0" h="0"/>
          </a:sp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cs-CZ"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KPI 1</a:t>
            </a:r>
          </a:p>
        </xdr:txBody>
      </xdr:sp>
      <xdr:sp macro="" textlink="">
        <xdr:nvSpPr>
          <xdr:cNvPr id="187" name="LVL1_INBOUND_PFLO">
            <a:extLst>
              <a:ext uri="{FF2B5EF4-FFF2-40B4-BE49-F238E27FC236}">
                <a16:creationId xmlns:a16="http://schemas.microsoft.com/office/drawing/2014/main" id="{00000000-0008-0000-0000-0000BB000000}"/>
              </a:ext>
            </a:extLst>
          </xdr:cNvPr>
          <xdr:cNvSpPr/>
        </xdr:nvSpPr>
        <xdr:spPr>
          <a:xfrm>
            <a:off x="2062788" y="1187161"/>
            <a:ext cx="1903942" cy="523875"/>
          </a:xfrm>
          <a:prstGeom prst="rect">
            <a:avLst/>
          </a:prstGeom>
          <a:grpFill/>
          <a:scene3d>
            <a:camera prst="orthographicFront">
              <a:rot lat="0" lon="0" rev="0"/>
            </a:camera>
            <a:lightRig rig="threePt" dir="t">
              <a:rot lat="0" lon="0" rev="1200000"/>
            </a:lightRig>
          </a:scene3d>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KPI</a:t>
            </a:r>
            <a:r>
              <a:rPr lang="cs-CZ" sz="1600" b="1" cap="none" spc="0" baseline="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2</a:t>
            </a:r>
            <a:endParaRPr lang="cs-CZ"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endParaRPr>
          </a:p>
        </xdr:txBody>
      </xdr:sp>
      <xdr:sp macro="" textlink="">
        <xdr:nvSpPr>
          <xdr:cNvPr id="188" name="Obdélník 187">
            <a:extLst>
              <a:ext uri="{FF2B5EF4-FFF2-40B4-BE49-F238E27FC236}">
                <a16:creationId xmlns:a16="http://schemas.microsoft.com/office/drawing/2014/main" id="{00000000-0008-0000-0000-0000BC000000}"/>
              </a:ext>
            </a:extLst>
          </xdr:cNvPr>
          <xdr:cNvSpPr/>
        </xdr:nvSpPr>
        <xdr:spPr>
          <a:xfrm>
            <a:off x="2058458" y="1752600"/>
            <a:ext cx="1903942" cy="523875"/>
          </a:xfrm>
          <a:prstGeom prst="rect">
            <a:avLst/>
          </a:prstGeom>
          <a:grpFill/>
          <a:scene3d>
            <a:camera prst="orthographicFront">
              <a:rot lat="0" lon="0" rev="0"/>
            </a:camera>
            <a:lightRig rig="threePt" dir="t">
              <a:rot lat="0" lon="0" rev="1200000"/>
            </a:lightRig>
          </a:scene3d>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a:t>
            </a:r>
            <a:r>
              <a:rPr lang="cs-CZ" sz="1600" b="1" cap="none" spc="0" baseline="0">
                <a:ln w="0"/>
                <a:solidFill>
                  <a:schemeClr val="bg1"/>
                </a:solidFill>
                <a:effectLst>
                  <a:outerShdw blurRad="38100" dist="19050" dir="2700000" algn="tl" rotWithShape="0">
                    <a:schemeClr val="dk1">
                      <a:alpha val="40000"/>
                    </a:schemeClr>
                  </a:outerShdw>
                </a:effectLst>
              </a:rPr>
              <a:t> 3</a:t>
            </a:r>
            <a:endParaRPr lang="cs-CZ" sz="1600" b="1" cap="none" spc="0">
              <a:ln w="0"/>
              <a:solidFill>
                <a:schemeClr val="bg1"/>
              </a:solidFill>
              <a:effectLst>
                <a:outerShdw blurRad="38100" dist="19050" dir="2700000" algn="tl" rotWithShape="0">
                  <a:schemeClr val="dk1">
                    <a:alpha val="40000"/>
                  </a:schemeClr>
                </a:outerShdw>
              </a:effectLst>
            </a:endParaRPr>
          </a:p>
        </xdr:txBody>
      </xdr:sp>
      <xdr:graphicFrame macro="">
        <xdr:nvGraphicFramePr>
          <xdr:cNvPr id="189" name="Graf 188">
            <a:extLst>
              <a:ext uri="{FF2B5EF4-FFF2-40B4-BE49-F238E27FC236}">
                <a16:creationId xmlns:a16="http://schemas.microsoft.com/office/drawing/2014/main" id="{00000000-0008-0000-0000-0000BD000000}"/>
              </a:ext>
            </a:extLst>
          </xdr:cNvPr>
          <xdr:cNvGraphicFramePr>
            <a:graphicFrameLocks/>
          </xdr:cNvGraphicFramePr>
        </xdr:nvGraphicFramePr>
        <xdr:xfrm>
          <a:off x="3913077" y="1161072"/>
          <a:ext cx="1319743" cy="571499"/>
        </xdr:xfrm>
        <a:graphic>
          <a:graphicData uri="http://schemas.openxmlformats.org/drawingml/2006/chart">
            <c:chart xmlns:c="http://schemas.openxmlformats.org/drawingml/2006/chart" xmlns:r="http://schemas.openxmlformats.org/officeDocument/2006/relationships" r:id="rId16"/>
          </a:graphicData>
        </a:graphic>
      </xdr:graphicFrame>
      <xdr:graphicFrame macro="">
        <xdr:nvGraphicFramePr>
          <xdr:cNvPr id="190" name="Graf 189">
            <a:extLst>
              <a:ext uri="{FF2B5EF4-FFF2-40B4-BE49-F238E27FC236}">
                <a16:creationId xmlns:a16="http://schemas.microsoft.com/office/drawing/2014/main" id="{00000000-0008-0000-0000-0000BE000000}"/>
              </a:ext>
            </a:extLst>
          </xdr:cNvPr>
          <xdr:cNvGraphicFramePr>
            <a:graphicFrameLocks/>
          </xdr:cNvGraphicFramePr>
        </xdr:nvGraphicFramePr>
        <xdr:xfrm>
          <a:off x="3911363" y="1700928"/>
          <a:ext cx="1319743" cy="571499"/>
        </xdr:xfrm>
        <a:graphic>
          <a:graphicData uri="http://schemas.openxmlformats.org/drawingml/2006/chart">
            <c:chart xmlns:c="http://schemas.openxmlformats.org/drawingml/2006/chart" xmlns:r="http://schemas.openxmlformats.org/officeDocument/2006/relationships" r:id="rId17"/>
          </a:graphicData>
        </a:graphic>
      </xdr:graphicFrame>
      <xdr:sp macro="" textlink="">
        <xdr:nvSpPr>
          <xdr:cNvPr id="129" name="Obdélník se zakulacenými rohy na stejné straně 183">
            <a:extLst>
              <a:ext uri="{FF2B5EF4-FFF2-40B4-BE49-F238E27FC236}">
                <a16:creationId xmlns:a16="http://schemas.microsoft.com/office/drawing/2014/main" id="{00000000-0008-0000-0000-000081000000}"/>
              </a:ext>
            </a:extLst>
          </xdr:cNvPr>
          <xdr:cNvSpPr/>
        </xdr:nvSpPr>
        <xdr:spPr>
          <a:xfrm>
            <a:off x="2056077" y="133350"/>
            <a:ext cx="3061759" cy="485776"/>
          </a:xfrm>
          <a:prstGeom prst="round2SameRect">
            <a:avLst/>
          </a:prstGeom>
          <a:grpFill/>
          <a:scene3d>
            <a:camera prst="perspectiveAbove"/>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2000" b="1" cap="none" spc="0">
                <a:ln w="0"/>
                <a:solidFill>
                  <a:schemeClr val="bg1"/>
                </a:solidFill>
                <a:effectLst/>
              </a:rPr>
              <a:t>Externí</a:t>
            </a:r>
            <a:r>
              <a:rPr lang="cs-CZ" sz="2000" b="1" cap="none" spc="0" baseline="0">
                <a:ln w="0"/>
                <a:solidFill>
                  <a:schemeClr val="bg1"/>
                </a:solidFill>
                <a:effectLst/>
              </a:rPr>
              <a:t> příjem</a:t>
            </a:r>
            <a:endParaRPr lang="cs-CZ" sz="2000" b="1" cap="none" spc="0">
              <a:ln w="0"/>
              <a:solidFill>
                <a:schemeClr val="bg1"/>
              </a:solidFill>
              <a:effectLst/>
            </a:endParaRPr>
          </a:p>
        </xdr:txBody>
      </xdr:sp>
    </xdr:grpSp>
    <xdr:clientData/>
  </xdr:twoCellAnchor>
  <xdr:twoCellAnchor>
    <xdr:from>
      <xdr:col>18</xdr:col>
      <xdr:colOff>500572</xdr:colOff>
      <xdr:row>32</xdr:row>
      <xdr:rowOff>37458</xdr:rowOff>
    </xdr:from>
    <xdr:to>
      <xdr:col>25</xdr:col>
      <xdr:colOff>3224</xdr:colOff>
      <xdr:row>33</xdr:row>
      <xdr:rowOff>161926</xdr:rowOff>
    </xdr:to>
    <xdr:sp macro="" textlink="">
      <xdr:nvSpPr>
        <xdr:cNvPr id="121" name="Obdélník 45">
          <a:extLst>
            <a:ext uri="{FF2B5EF4-FFF2-40B4-BE49-F238E27FC236}">
              <a16:creationId xmlns:a16="http://schemas.microsoft.com/office/drawing/2014/main" id="{00000000-0008-0000-0000-000079000000}"/>
            </a:ext>
          </a:extLst>
        </xdr:cNvPr>
        <xdr:cNvSpPr/>
      </xdr:nvSpPr>
      <xdr:spPr>
        <a:xfrm rot="5400000">
          <a:off x="14899836" y="4438163"/>
          <a:ext cx="314968" cy="3753184"/>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vert="vert270" rtlCol="0" anchor="ctr"/>
        <a:lstStyle/>
        <a:p>
          <a:pPr algn="ctr"/>
          <a:r>
            <a:rPr lang="cs-CZ" sz="2000" b="1" baseline="0"/>
            <a:t>Doplňující data </a:t>
          </a:r>
          <a:r>
            <a:rPr lang="cs-CZ" sz="2000" b="0" baseline="0"/>
            <a:t>- </a:t>
          </a:r>
          <a:r>
            <a:rPr lang="cs-CZ" sz="2000" b="0"/>
            <a:t>Jak číst graf</a:t>
          </a:r>
        </a:p>
      </xdr:txBody>
    </xdr:sp>
    <xdr:clientData/>
  </xdr:twoCellAnchor>
  <xdr:twoCellAnchor>
    <xdr:from>
      <xdr:col>1</xdr:col>
      <xdr:colOff>381000</xdr:colOff>
      <xdr:row>51</xdr:row>
      <xdr:rowOff>17318</xdr:rowOff>
    </xdr:from>
    <xdr:to>
      <xdr:col>11</xdr:col>
      <xdr:colOff>749773</xdr:colOff>
      <xdr:row>57</xdr:row>
      <xdr:rowOff>184571</xdr:rowOff>
    </xdr:to>
    <xdr:graphicFrame macro="">
      <xdr:nvGraphicFramePr>
        <xdr:cNvPr id="73" name="chart_generic_2">
          <a:extLst>
            <a:ext uri="{FF2B5EF4-FFF2-40B4-BE49-F238E27FC236}">
              <a16:creationId xmlns:a16="http://schemas.microsoft.com/office/drawing/2014/main" id="{00000000-0008-0000-0000-00004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xdr:col>
      <xdr:colOff>381000</xdr:colOff>
      <xdr:row>43</xdr:row>
      <xdr:rowOff>16520</xdr:rowOff>
    </xdr:from>
    <xdr:to>
      <xdr:col>11</xdr:col>
      <xdr:colOff>749773</xdr:colOff>
      <xdr:row>49</xdr:row>
      <xdr:rowOff>183061</xdr:rowOff>
    </xdr:to>
    <xdr:graphicFrame macro="">
      <xdr:nvGraphicFramePr>
        <xdr:cNvPr id="74" name="chart_generic_1">
          <a:extLst>
            <a:ext uri="{FF2B5EF4-FFF2-40B4-BE49-F238E27FC236}">
              <a16:creationId xmlns:a16="http://schemas.microsoft.com/office/drawing/2014/main" id="{00000000-0008-0000-0000-00004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xdr:col>
      <xdr:colOff>381000</xdr:colOff>
      <xdr:row>92</xdr:row>
      <xdr:rowOff>40821</xdr:rowOff>
    </xdr:from>
    <xdr:to>
      <xdr:col>11</xdr:col>
      <xdr:colOff>749773</xdr:colOff>
      <xdr:row>99</xdr:row>
      <xdr:rowOff>10771</xdr:rowOff>
    </xdr:to>
    <xdr:graphicFrame macro="">
      <xdr:nvGraphicFramePr>
        <xdr:cNvPr id="75" name="chart_generic_7" hidden="1">
          <a:extLst>
            <a:ext uri="{FF2B5EF4-FFF2-40B4-BE49-F238E27FC236}">
              <a16:creationId xmlns:a16="http://schemas.microsoft.com/office/drawing/2014/main" id="{00000000-0008-0000-0000-00004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11</xdr:col>
      <xdr:colOff>1078349</xdr:colOff>
      <xdr:row>75</xdr:row>
      <xdr:rowOff>40053</xdr:rowOff>
    </xdr:from>
    <xdr:to>
      <xdr:col>12</xdr:col>
      <xdr:colOff>301174</xdr:colOff>
      <xdr:row>82</xdr:row>
      <xdr:rowOff>177321</xdr:rowOff>
    </xdr:to>
    <xdr:grpSp>
      <xdr:nvGrpSpPr>
        <xdr:cNvPr id="76" name="generic_group_5" hidden="1">
          <a:extLst>
            <a:ext uri="{FF2B5EF4-FFF2-40B4-BE49-F238E27FC236}">
              <a16:creationId xmlns:a16="http://schemas.microsoft.com/office/drawing/2014/main" id="{00000000-0008-0000-0000-00004C000000}"/>
            </a:ext>
          </a:extLst>
        </xdr:cNvPr>
        <xdr:cNvGrpSpPr/>
      </xdr:nvGrpSpPr>
      <xdr:grpSpPr>
        <a:xfrm>
          <a:off x="9002338" y="2512979"/>
          <a:ext cx="327320" cy="0"/>
          <a:chOff x="6806976" y="190503"/>
          <a:chExt cx="323850" cy="1460898"/>
        </a:xfrm>
      </xdr:grpSpPr>
      <xdr:sp macro="" textlink="">
        <xdr:nvSpPr>
          <xdr:cNvPr id="77" name="generic_arrow_5" hidden="1">
            <a:extLst>
              <a:ext uri="{FF2B5EF4-FFF2-40B4-BE49-F238E27FC236}">
                <a16:creationId xmlns:a16="http://schemas.microsoft.com/office/drawing/2014/main" id="{00000000-0008-0000-0000-00004D000000}"/>
              </a:ext>
            </a:extLst>
          </xdr:cNvPr>
          <xdr:cNvSpPr/>
        </xdr:nvSpPr>
        <xdr:spPr>
          <a:xfrm rot="5400000">
            <a:off x="6789709" y="1340052"/>
            <a:ext cx="346472" cy="2762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78" name="shape_generic_proces_step_5" hidden="1">
            <a:extLst>
              <a:ext uri="{FF2B5EF4-FFF2-40B4-BE49-F238E27FC236}">
                <a16:creationId xmlns:a16="http://schemas.microsoft.com/office/drawing/2014/main" id="{00000000-0008-0000-0000-00004E000000}"/>
              </a:ext>
            </a:extLst>
          </xdr:cNvPr>
          <xdr:cNvSpPr/>
        </xdr:nvSpPr>
        <xdr:spPr>
          <a:xfrm rot="5400000">
            <a:off x="6368825" y="628654"/>
            <a:ext cx="1200151" cy="3238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PA lok. -&gt; VNA sloup</a:t>
            </a:r>
          </a:p>
        </xdr:txBody>
      </xdr:sp>
    </xdr:grpSp>
    <xdr:clientData/>
  </xdr:twoCellAnchor>
  <xdr:twoCellAnchor>
    <xdr:from>
      <xdr:col>11</xdr:col>
      <xdr:colOff>1080279</xdr:colOff>
      <xdr:row>67</xdr:row>
      <xdr:rowOff>32141</xdr:rowOff>
    </xdr:from>
    <xdr:to>
      <xdr:col>12</xdr:col>
      <xdr:colOff>303104</xdr:colOff>
      <xdr:row>74</xdr:row>
      <xdr:rowOff>159375</xdr:rowOff>
    </xdr:to>
    <xdr:grpSp>
      <xdr:nvGrpSpPr>
        <xdr:cNvPr id="79" name="generic_group_4" hidden="1">
          <a:extLst>
            <a:ext uri="{FF2B5EF4-FFF2-40B4-BE49-F238E27FC236}">
              <a16:creationId xmlns:a16="http://schemas.microsoft.com/office/drawing/2014/main" id="{00000000-0008-0000-0000-00004F000000}"/>
            </a:ext>
          </a:extLst>
        </xdr:cNvPr>
        <xdr:cNvGrpSpPr/>
      </xdr:nvGrpSpPr>
      <xdr:grpSpPr>
        <a:xfrm>
          <a:off x="9004268" y="2512979"/>
          <a:ext cx="327320" cy="0"/>
          <a:chOff x="6806976" y="190503"/>
          <a:chExt cx="323850" cy="1460898"/>
        </a:xfrm>
      </xdr:grpSpPr>
      <xdr:sp macro="" textlink="">
        <xdr:nvSpPr>
          <xdr:cNvPr id="80" name="generic_arrow_4" hidden="1">
            <a:extLst>
              <a:ext uri="{FF2B5EF4-FFF2-40B4-BE49-F238E27FC236}">
                <a16:creationId xmlns:a16="http://schemas.microsoft.com/office/drawing/2014/main" id="{00000000-0008-0000-0000-000050000000}"/>
              </a:ext>
            </a:extLst>
          </xdr:cNvPr>
          <xdr:cNvSpPr/>
        </xdr:nvSpPr>
        <xdr:spPr>
          <a:xfrm rot="5400000">
            <a:off x="6789709" y="1340052"/>
            <a:ext cx="346472" cy="2762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81" name="shape_generic_proces_step_4" hidden="1">
            <a:extLst>
              <a:ext uri="{FF2B5EF4-FFF2-40B4-BE49-F238E27FC236}">
                <a16:creationId xmlns:a16="http://schemas.microsoft.com/office/drawing/2014/main" id="{00000000-0008-0000-0000-000051000000}"/>
              </a:ext>
            </a:extLst>
          </xdr:cNvPr>
          <xdr:cNvSpPr/>
        </xdr:nvSpPr>
        <xdr:spPr>
          <a:xfrm rot="5400000">
            <a:off x="6368825" y="628654"/>
            <a:ext cx="1200151" cy="3238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TA zem -&gt; Linka</a:t>
            </a:r>
          </a:p>
        </xdr:txBody>
      </xdr:sp>
    </xdr:grpSp>
    <xdr:clientData/>
  </xdr:twoCellAnchor>
  <xdr:twoCellAnchor>
    <xdr:from>
      <xdr:col>11</xdr:col>
      <xdr:colOff>1088079</xdr:colOff>
      <xdr:row>59</xdr:row>
      <xdr:rowOff>32848</xdr:rowOff>
    </xdr:from>
    <xdr:to>
      <xdr:col>12</xdr:col>
      <xdr:colOff>310904</xdr:colOff>
      <xdr:row>66</xdr:row>
      <xdr:rowOff>160082</xdr:rowOff>
    </xdr:to>
    <xdr:grpSp>
      <xdr:nvGrpSpPr>
        <xdr:cNvPr id="82" name="generic_group_3">
          <a:extLst>
            <a:ext uri="{FF2B5EF4-FFF2-40B4-BE49-F238E27FC236}">
              <a16:creationId xmlns:a16="http://schemas.microsoft.com/office/drawing/2014/main" id="{00000000-0008-0000-0000-000052000000}"/>
            </a:ext>
          </a:extLst>
        </xdr:cNvPr>
        <xdr:cNvGrpSpPr/>
      </xdr:nvGrpSpPr>
      <xdr:grpSpPr>
        <a:xfrm>
          <a:off x="9012068" y="2512979"/>
          <a:ext cx="327320" cy="0"/>
          <a:chOff x="6806976" y="190503"/>
          <a:chExt cx="323850" cy="1460898"/>
        </a:xfrm>
      </xdr:grpSpPr>
      <xdr:sp macro="" textlink="">
        <xdr:nvSpPr>
          <xdr:cNvPr id="83" name="generic_arrow_3">
            <a:extLst>
              <a:ext uri="{FF2B5EF4-FFF2-40B4-BE49-F238E27FC236}">
                <a16:creationId xmlns:a16="http://schemas.microsoft.com/office/drawing/2014/main" id="{00000000-0008-0000-0000-000053000000}"/>
              </a:ext>
            </a:extLst>
          </xdr:cNvPr>
          <xdr:cNvSpPr/>
        </xdr:nvSpPr>
        <xdr:spPr>
          <a:xfrm rot="5400000">
            <a:off x="6789709" y="1340052"/>
            <a:ext cx="346472" cy="2762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84" name="shape_generic_proces_step_3">
            <a:extLst>
              <a:ext uri="{FF2B5EF4-FFF2-40B4-BE49-F238E27FC236}">
                <a16:creationId xmlns:a16="http://schemas.microsoft.com/office/drawing/2014/main" id="{00000000-0008-0000-0000-000054000000}"/>
              </a:ext>
            </a:extLst>
          </xdr:cNvPr>
          <xdr:cNvSpPr/>
        </xdr:nvSpPr>
        <xdr:spPr>
          <a:xfrm rot="5400000">
            <a:off x="6368825" y="628654"/>
            <a:ext cx="1200151" cy="3238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TA zem -&gt; Linka</a:t>
            </a:r>
          </a:p>
        </xdr:txBody>
      </xdr:sp>
    </xdr:grpSp>
    <xdr:clientData/>
  </xdr:twoCellAnchor>
  <xdr:twoCellAnchor>
    <xdr:from>
      <xdr:col>11</xdr:col>
      <xdr:colOff>1090901</xdr:colOff>
      <xdr:row>51</xdr:row>
      <xdr:rowOff>30746</xdr:rowOff>
    </xdr:from>
    <xdr:to>
      <xdr:col>12</xdr:col>
      <xdr:colOff>313726</xdr:colOff>
      <xdr:row>58</xdr:row>
      <xdr:rowOff>157980</xdr:rowOff>
    </xdr:to>
    <xdr:grpSp>
      <xdr:nvGrpSpPr>
        <xdr:cNvPr id="85" name="generic_group_2">
          <a:extLst>
            <a:ext uri="{FF2B5EF4-FFF2-40B4-BE49-F238E27FC236}">
              <a16:creationId xmlns:a16="http://schemas.microsoft.com/office/drawing/2014/main" id="{00000000-0008-0000-0000-000055000000}"/>
            </a:ext>
          </a:extLst>
        </xdr:cNvPr>
        <xdr:cNvGrpSpPr/>
      </xdr:nvGrpSpPr>
      <xdr:grpSpPr>
        <a:xfrm>
          <a:off x="9014890" y="2512979"/>
          <a:ext cx="327320" cy="0"/>
          <a:chOff x="6806976" y="190503"/>
          <a:chExt cx="323850" cy="1460898"/>
        </a:xfrm>
      </xdr:grpSpPr>
      <xdr:sp macro="" textlink="">
        <xdr:nvSpPr>
          <xdr:cNvPr id="86" name="generic_arrow_2">
            <a:extLst>
              <a:ext uri="{FF2B5EF4-FFF2-40B4-BE49-F238E27FC236}">
                <a16:creationId xmlns:a16="http://schemas.microsoft.com/office/drawing/2014/main" id="{00000000-0008-0000-0000-000056000000}"/>
              </a:ext>
            </a:extLst>
          </xdr:cNvPr>
          <xdr:cNvSpPr/>
        </xdr:nvSpPr>
        <xdr:spPr>
          <a:xfrm rot="5400000">
            <a:off x="6789709" y="1340052"/>
            <a:ext cx="346472" cy="2762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87" name="shape_generic_proces_step_2">
            <a:extLst>
              <a:ext uri="{FF2B5EF4-FFF2-40B4-BE49-F238E27FC236}">
                <a16:creationId xmlns:a16="http://schemas.microsoft.com/office/drawing/2014/main" id="{00000000-0008-0000-0000-000057000000}"/>
              </a:ext>
            </a:extLst>
          </xdr:cNvPr>
          <xdr:cNvSpPr/>
        </xdr:nvSpPr>
        <xdr:spPr>
          <a:xfrm rot="5400000">
            <a:off x="6368825" y="628654"/>
            <a:ext cx="1200151" cy="3238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VNA sloup -&gt; TA zem</a:t>
            </a:r>
          </a:p>
        </xdr:txBody>
      </xdr:sp>
    </xdr:grpSp>
    <xdr:clientData/>
  </xdr:twoCellAnchor>
  <xdr:twoCellAnchor>
    <xdr:from>
      <xdr:col>12</xdr:col>
      <xdr:colOff>1795</xdr:colOff>
      <xdr:row>43</xdr:row>
      <xdr:rowOff>39654</xdr:rowOff>
    </xdr:from>
    <xdr:to>
      <xdr:col>12</xdr:col>
      <xdr:colOff>327887</xdr:colOff>
      <xdr:row>50</xdr:row>
      <xdr:rowOff>167590</xdr:rowOff>
    </xdr:to>
    <xdr:grpSp>
      <xdr:nvGrpSpPr>
        <xdr:cNvPr id="22" name="generic_group_1">
          <a:extLst>
            <a:ext uri="{FF2B5EF4-FFF2-40B4-BE49-F238E27FC236}">
              <a16:creationId xmlns:a16="http://schemas.microsoft.com/office/drawing/2014/main" id="{00000000-0008-0000-0000-000016000000}"/>
            </a:ext>
          </a:extLst>
        </xdr:cNvPr>
        <xdr:cNvGrpSpPr/>
      </xdr:nvGrpSpPr>
      <xdr:grpSpPr>
        <a:xfrm>
          <a:off x="9030279" y="2512979"/>
          <a:ext cx="326092" cy="0"/>
          <a:chOff x="9033736" y="8298389"/>
          <a:chExt cx="326092" cy="1461436"/>
        </a:xfrm>
      </xdr:grpSpPr>
      <xdr:sp macro="" textlink="">
        <xdr:nvSpPr>
          <xdr:cNvPr id="89" name="generic_arrow_1">
            <a:extLst>
              <a:ext uri="{FF2B5EF4-FFF2-40B4-BE49-F238E27FC236}">
                <a16:creationId xmlns:a16="http://schemas.microsoft.com/office/drawing/2014/main" id="{00000000-0008-0000-0000-000059000000}"/>
              </a:ext>
            </a:extLst>
          </xdr:cNvPr>
          <xdr:cNvSpPr/>
        </xdr:nvSpPr>
        <xdr:spPr>
          <a:xfrm rot="5400000">
            <a:off x="9017485" y="9447456"/>
            <a:ext cx="346600" cy="278137"/>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90" name="shape_generic_proces_step_1">
            <a:extLst>
              <a:ext uri="{FF2B5EF4-FFF2-40B4-BE49-F238E27FC236}">
                <a16:creationId xmlns:a16="http://schemas.microsoft.com/office/drawing/2014/main" id="{00000000-0008-0000-0000-00005A000000}"/>
              </a:ext>
            </a:extLst>
          </xdr:cNvPr>
          <xdr:cNvSpPr/>
        </xdr:nvSpPr>
        <xdr:spPr>
          <a:xfrm rot="5400000">
            <a:off x="8596485" y="8735640"/>
            <a:ext cx="1200593" cy="32609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VNA regál -&gt; VNA sloup</a:t>
            </a:r>
          </a:p>
        </xdr:txBody>
      </xdr:sp>
    </xdr:grpSp>
    <xdr:clientData/>
  </xdr:twoCellAnchor>
  <xdr:twoCellAnchor>
    <xdr:from>
      <xdr:col>1</xdr:col>
      <xdr:colOff>381000</xdr:colOff>
      <xdr:row>59</xdr:row>
      <xdr:rowOff>30136</xdr:rowOff>
    </xdr:from>
    <xdr:to>
      <xdr:col>11</xdr:col>
      <xdr:colOff>749773</xdr:colOff>
      <xdr:row>66</xdr:row>
      <xdr:rowOff>6889</xdr:rowOff>
    </xdr:to>
    <xdr:graphicFrame macro="">
      <xdr:nvGraphicFramePr>
        <xdr:cNvPr id="91" name="chart_generic_3">
          <a:extLst>
            <a:ext uri="{FF2B5EF4-FFF2-40B4-BE49-F238E27FC236}">
              <a16:creationId xmlns:a16="http://schemas.microsoft.com/office/drawing/2014/main" id="{00000000-0008-0000-0000-00005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xdr:col>
      <xdr:colOff>381000</xdr:colOff>
      <xdr:row>67</xdr:row>
      <xdr:rowOff>35406</xdr:rowOff>
    </xdr:from>
    <xdr:to>
      <xdr:col>11</xdr:col>
      <xdr:colOff>749773</xdr:colOff>
      <xdr:row>74</xdr:row>
      <xdr:rowOff>12159</xdr:rowOff>
    </xdr:to>
    <xdr:graphicFrame macro="">
      <xdr:nvGraphicFramePr>
        <xdr:cNvPr id="92" name="chart_generic_4" hidden="1">
          <a:extLst>
            <a:ext uri="{FF2B5EF4-FFF2-40B4-BE49-F238E27FC236}">
              <a16:creationId xmlns:a16="http://schemas.microsoft.com/office/drawing/2014/main" id="{00000000-0008-0000-0000-00005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xdr:col>
      <xdr:colOff>381000</xdr:colOff>
      <xdr:row>75</xdr:row>
      <xdr:rowOff>65352</xdr:rowOff>
    </xdr:from>
    <xdr:to>
      <xdr:col>11</xdr:col>
      <xdr:colOff>749773</xdr:colOff>
      <xdr:row>82</xdr:row>
      <xdr:rowOff>42105</xdr:rowOff>
    </xdr:to>
    <xdr:graphicFrame macro="">
      <xdr:nvGraphicFramePr>
        <xdr:cNvPr id="93" name="chart_generic_5" hidden="1">
          <a:extLst>
            <a:ext uri="{FF2B5EF4-FFF2-40B4-BE49-F238E27FC236}">
              <a16:creationId xmlns:a16="http://schemas.microsoft.com/office/drawing/2014/main" id="{00000000-0008-0000-0000-00005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xdr:col>
      <xdr:colOff>381000</xdr:colOff>
      <xdr:row>84</xdr:row>
      <xdr:rowOff>40820</xdr:rowOff>
    </xdr:from>
    <xdr:to>
      <xdr:col>11</xdr:col>
      <xdr:colOff>749773</xdr:colOff>
      <xdr:row>91</xdr:row>
      <xdr:rowOff>28355</xdr:rowOff>
    </xdr:to>
    <xdr:graphicFrame macro="">
      <xdr:nvGraphicFramePr>
        <xdr:cNvPr id="94" name="chart_generic_6" hidden="1">
          <a:extLst>
            <a:ext uri="{FF2B5EF4-FFF2-40B4-BE49-F238E27FC236}">
              <a16:creationId xmlns:a16="http://schemas.microsoft.com/office/drawing/2014/main" id="{00000000-0008-0000-0000-00005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11</xdr:col>
      <xdr:colOff>1098876</xdr:colOff>
      <xdr:row>84</xdr:row>
      <xdr:rowOff>14681</xdr:rowOff>
    </xdr:from>
    <xdr:to>
      <xdr:col>12</xdr:col>
      <xdr:colOff>321701</xdr:colOff>
      <xdr:row>91</xdr:row>
      <xdr:rowOff>154491</xdr:rowOff>
    </xdr:to>
    <xdr:grpSp>
      <xdr:nvGrpSpPr>
        <xdr:cNvPr id="26" name="generic_group_6" hidden="1">
          <a:extLst>
            <a:ext uri="{FF2B5EF4-FFF2-40B4-BE49-F238E27FC236}">
              <a16:creationId xmlns:a16="http://schemas.microsoft.com/office/drawing/2014/main" id="{00000000-0008-0000-0000-00001A000000}"/>
            </a:ext>
          </a:extLst>
        </xdr:cNvPr>
        <xdr:cNvGrpSpPr/>
      </xdr:nvGrpSpPr>
      <xdr:grpSpPr>
        <a:xfrm>
          <a:off x="9022865" y="2512979"/>
          <a:ext cx="327320" cy="0"/>
          <a:chOff x="9021435" y="15904622"/>
          <a:chExt cx="332207" cy="1473310"/>
        </a:xfrm>
      </xdr:grpSpPr>
      <xdr:sp macro="" textlink="">
        <xdr:nvSpPr>
          <xdr:cNvPr id="96" name="generic_arrow_6" hidden="1">
            <a:extLst>
              <a:ext uri="{FF2B5EF4-FFF2-40B4-BE49-F238E27FC236}">
                <a16:creationId xmlns:a16="http://schemas.microsoft.com/office/drawing/2014/main" id="{00000000-0008-0000-0000-000060000000}"/>
              </a:ext>
            </a:extLst>
          </xdr:cNvPr>
          <xdr:cNvSpPr/>
        </xdr:nvSpPr>
        <xdr:spPr>
          <a:xfrm rot="5400000">
            <a:off x="9010456" y="17064620"/>
            <a:ext cx="349416" cy="277208"/>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97" name="shape_generic_proces_step_6" hidden="1">
            <a:extLst>
              <a:ext uri="{FF2B5EF4-FFF2-40B4-BE49-F238E27FC236}">
                <a16:creationId xmlns:a16="http://schemas.microsoft.com/office/drawing/2014/main" id="{00000000-0008-0000-0000-000061000000}"/>
              </a:ext>
            </a:extLst>
          </xdr:cNvPr>
          <xdr:cNvSpPr/>
        </xdr:nvSpPr>
        <xdr:spPr>
          <a:xfrm rot="5400000">
            <a:off x="8582364" y="16343693"/>
            <a:ext cx="1210349" cy="33220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VNA sloup -&gt; VNA Rack</a:t>
            </a:r>
          </a:p>
        </xdr:txBody>
      </xdr:sp>
    </xdr:grpSp>
    <xdr:clientData/>
  </xdr:twoCellAnchor>
  <xdr:twoCellAnchor>
    <xdr:from>
      <xdr:col>1</xdr:col>
      <xdr:colOff>380843</xdr:colOff>
      <xdr:row>40</xdr:row>
      <xdr:rowOff>162359</xdr:rowOff>
    </xdr:from>
    <xdr:to>
      <xdr:col>11</xdr:col>
      <xdr:colOff>716992</xdr:colOff>
      <xdr:row>42</xdr:row>
      <xdr:rowOff>43269</xdr:rowOff>
    </xdr:to>
    <xdr:sp macro="" textlink="">
      <xdr:nvSpPr>
        <xdr:cNvPr id="133" name="Obdélník 45">
          <a:extLst>
            <a:ext uri="{FF2B5EF4-FFF2-40B4-BE49-F238E27FC236}">
              <a16:creationId xmlns:a16="http://schemas.microsoft.com/office/drawing/2014/main" id="{00000000-0008-0000-0000-000085000000}"/>
            </a:ext>
          </a:extLst>
        </xdr:cNvPr>
        <xdr:cNvSpPr/>
      </xdr:nvSpPr>
      <xdr:spPr>
        <a:xfrm rot="5400000">
          <a:off x="4928731" y="4309435"/>
          <a:ext cx="261910" cy="726218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vert="vert270" rtlCol="0" anchor="ctr"/>
        <a:lstStyle/>
        <a:p>
          <a:pPr algn="ctr"/>
          <a:r>
            <a:rPr lang="cs-CZ" sz="2000" b="1"/>
            <a:t>KPI</a:t>
          </a:r>
        </a:p>
      </xdr:txBody>
    </xdr:sp>
    <xdr:clientData/>
  </xdr:twoCellAnchor>
  <xdr:twoCellAnchor>
    <xdr:from>
      <xdr:col>13</xdr:col>
      <xdr:colOff>102178</xdr:colOff>
      <xdr:row>40</xdr:row>
      <xdr:rowOff>142666</xdr:rowOff>
    </xdr:from>
    <xdr:to>
      <xdr:col>25</xdr:col>
      <xdr:colOff>8556</xdr:colOff>
      <xdr:row>42</xdr:row>
      <xdr:rowOff>23576</xdr:rowOff>
    </xdr:to>
    <xdr:sp macro="" textlink="">
      <xdr:nvSpPr>
        <xdr:cNvPr id="134" name="Obdélník 45">
          <a:extLst>
            <a:ext uri="{FF2B5EF4-FFF2-40B4-BE49-F238E27FC236}">
              <a16:creationId xmlns:a16="http://schemas.microsoft.com/office/drawing/2014/main" id="{00000000-0008-0000-0000-000086000000}"/>
            </a:ext>
          </a:extLst>
        </xdr:cNvPr>
        <xdr:cNvSpPr/>
      </xdr:nvSpPr>
      <xdr:spPr>
        <a:xfrm rot="5400000">
          <a:off x="13286627" y="4293717"/>
          <a:ext cx="261910" cy="725423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vert="vert270" rtlCol="0" anchor="ctr"/>
        <a:lstStyle/>
        <a:p>
          <a:pPr algn="ctr"/>
          <a:r>
            <a:rPr lang="cs-CZ" sz="2000" b="1" baseline="0">
              <a:solidFill>
                <a:schemeClr val="lt1"/>
              </a:solidFill>
              <a:effectLst/>
              <a:latin typeface="+mn-lt"/>
              <a:ea typeface="+mn-ea"/>
              <a:cs typeface="+mn-cs"/>
            </a:rPr>
            <a:t>Doplňující data</a:t>
          </a:r>
          <a:endParaRPr lang="cs-CZ" sz="2000" b="1"/>
        </a:p>
      </xdr:txBody>
    </xdr:sp>
    <xdr:clientData/>
  </xdr:twoCellAnchor>
  <xdr:twoCellAnchor>
    <xdr:from>
      <xdr:col>19</xdr:col>
      <xdr:colOff>96492</xdr:colOff>
      <xdr:row>42</xdr:row>
      <xdr:rowOff>59809</xdr:rowOff>
    </xdr:from>
    <xdr:to>
      <xdr:col>21</xdr:col>
      <xdr:colOff>450770</xdr:colOff>
      <xdr:row>43</xdr:row>
      <xdr:rowOff>24214</xdr:rowOff>
    </xdr:to>
    <xdr:sp macro="[0]!lvl3_button_add_data_generic_1_3_Click" textlink="">
      <xdr:nvSpPr>
        <xdr:cNvPr id="145" name="lvl3_button_add_data_generic_1_3">
          <a:extLst>
            <a:ext uri="{FF2B5EF4-FFF2-40B4-BE49-F238E27FC236}">
              <a16:creationId xmlns:a16="http://schemas.microsoft.com/office/drawing/2014/main" id="{00000000-0008-0000-0000-000091000000}"/>
            </a:ext>
          </a:extLst>
        </xdr:cNvPr>
        <xdr:cNvSpPr/>
      </xdr:nvSpPr>
      <xdr:spPr>
        <a:xfrm>
          <a:off x="13458706" y="8088023"/>
          <a:ext cx="1578921" cy="209334"/>
        </a:xfrm>
        <a:prstGeom prst="round2SameRect">
          <a:avLst/>
        </a:prstGeom>
        <a:ln>
          <a:noFill/>
        </a:ln>
        <a:effectLst>
          <a:outerShdw blurRad="40005" dist="12700" dir="5400000" algn="ctr">
            <a:srgbClr val="000000">
              <a:alpha val="35000"/>
            </a:srgbClr>
          </a:outerShdw>
          <a:reflection endPos="0" dist="5080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95249</xdr:colOff>
      <xdr:row>42</xdr:row>
      <xdr:rowOff>62120</xdr:rowOff>
    </xdr:from>
    <xdr:to>
      <xdr:col>15</xdr:col>
      <xdr:colOff>541177</xdr:colOff>
      <xdr:row>43</xdr:row>
      <xdr:rowOff>26525</xdr:rowOff>
    </xdr:to>
    <xdr:sp macro="[0]!lvl3_button_add_data_generic_1_1_Click" textlink="">
      <xdr:nvSpPr>
        <xdr:cNvPr id="146" name="lvl3_button_add_data_generic_1_1">
          <a:extLst>
            <a:ext uri="{FF2B5EF4-FFF2-40B4-BE49-F238E27FC236}">
              <a16:creationId xmlns:a16="http://schemas.microsoft.com/office/drawing/2014/main" id="{00000000-0008-0000-0000-000092000000}"/>
            </a:ext>
          </a:extLst>
        </xdr:cNvPr>
        <xdr:cNvSpPr/>
      </xdr:nvSpPr>
      <xdr:spPr>
        <a:xfrm>
          <a:off x="9783535" y="8090334"/>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593490</xdr:colOff>
      <xdr:row>42</xdr:row>
      <xdr:rowOff>69238</xdr:rowOff>
    </xdr:from>
    <xdr:to>
      <xdr:col>19</xdr:col>
      <xdr:colOff>32748</xdr:colOff>
      <xdr:row>43</xdr:row>
      <xdr:rowOff>33643</xdr:rowOff>
    </xdr:to>
    <xdr:sp macro="[0]!lvl3_button_add_data_generic_1_2_Click" textlink="">
      <xdr:nvSpPr>
        <xdr:cNvPr id="142" name="lvl3_button_add_data_generic_1_2">
          <a:extLst>
            <a:ext uri="{FF2B5EF4-FFF2-40B4-BE49-F238E27FC236}">
              <a16:creationId xmlns:a16="http://schemas.microsoft.com/office/drawing/2014/main" id="{00000000-0008-0000-0000-00008E000000}"/>
            </a:ext>
          </a:extLst>
        </xdr:cNvPr>
        <xdr:cNvSpPr/>
      </xdr:nvSpPr>
      <xdr:spPr>
        <a:xfrm>
          <a:off x="11506419" y="8097452"/>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19</xdr:col>
      <xdr:colOff>94704</xdr:colOff>
      <xdr:row>49</xdr:row>
      <xdr:rowOff>176684</xdr:rowOff>
    </xdr:from>
    <xdr:to>
      <xdr:col>21</xdr:col>
      <xdr:colOff>448982</xdr:colOff>
      <xdr:row>51</xdr:row>
      <xdr:rowOff>5884</xdr:rowOff>
    </xdr:to>
    <xdr:sp macro="[0]!lvl3_button_add_data_generic_2_3_Click" textlink="">
      <xdr:nvSpPr>
        <xdr:cNvPr id="143" name="lvl3_button_add_data_generic_2_3">
          <a:extLst>
            <a:ext uri="{FF2B5EF4-FFF2-40B4-BE49-F238E27FC236}">
              <a16:creationId xmlns:a16="http://schemas.microsoft.com/office/drawing/2014/main" id="{00000000-0008-0000-0000-00008F000000}"/>
            </a:ext>
          </a:extLst>
        </xdr:cNvPr>
        <xdr:cNvSpPr/>
      </xdr:nvSpPr>
      <xdr:spPr>
        <a:xfrm>
          <a:off x="13456918" y="9592827"/>
          <a:ext cx="1578921" cy="210200"/>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95249</xdr:colOff>
      <xdr:row>49</xdr:row>
      <xdr:rowOff>161679</xdr:rowOff>
    </xdr:from>
    <xdr:to>
      <xdr:col>15</xdr:col>
      <xdr:colOff>541177</xdr:colOff>
      <xdr:row>50</xdr:row>
      <xdr:rowOff>181379</xdr:rowOff>
    </xdr:to>
    <xdr:sp macro="[0]!lvl3_button_add_data_generic_2_1_Click" textlink="">
      <xdr:nvSpPr>
        <xdr:cNvPr id="147" name="lvl3_button_add_data_generic_2_1">
          <a:extLst>
            <a:ext uri="{FF2B5EF4-FFF2-40B4-BE49-F238E27FC236}">
              <a16:creationId xmlns:a16="http://schemas.microsoft.com/office/drawing/2014/main" id="{00000000-0008-0000-0000-000093000000}"/>
            </a:ext>
          </a:extLst>
        </xdr:cNvPr>
        <xdr:cNvSpPr/>
      </xdr:nvSpPr>
      <xdr:spPr>
        <a:xfrm>
          <a:off x="9783535" y="9577822"/>
          <a:ext cx="1670571" cy="210200"/>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600420</xdr:colOff>
      <xdr:row>49</xdr:row>
      <xdr:rowOff>168797</xdr:rowOff>
    </xdr:from>
    <xdr:to>
      <xdr:col>19</xdr:col>
      <xdr:colOff>39679</xdr:colOff>
      <xdr:row>50</xdr:row>
      <xdr:rowOff>188497</xdr:rowOff>
    </xdr:to>
    <xdr:sp macro="[0]!lvl3_button_add_data_generic_2_2_Click" textlink="">
      <xdr:nvSpPr>
        <xdr:cNvPr id="148" name="lvl3_button_add_data_generic_2_2">
          <a:extLst>
            <a:ext uri="{FF2B5EF4-FFF2-40B4-BE49-F238E27FC236}">
              <a16:creationId xmlns:a16="http://schemas.microsoft.com/office/drawing/2014/main" id="{00000000-0008-0000-0000-000094000000}"/>
            </a:ext>
          </a:extLst>
        </xdr:cNvPr>
        <xdr:cNvSpPr/>
      </xdr:nvSpPr>
      <xdr:spPr>
        <a:xfrm>
          <a:off x="11513349" y="9584940"/>
          <a:ext cx="1888544" cy="210200"/>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Zpoždění ve zpracování</a:t>
          </a:r>
        </a:p>
      </xdr:txBody>
    </xdr:sp>
    <xdr:clientData/>
  </xdr:twoCellAnchor>
  <xdr:twoCellAnchor>
    <xdr:from>
      <xdr:col>19</xdr:col>
      <xdr:colOff>94705</xdr:colOff>
      <xdr:row>58</xdr:row>
      <xdr:rowOff>32649</xdr:rowOff>
    </xdr:from>
    <xdr:to>
      <xdr:col>21</xdr:col>
      <xdr:colOff>448983</xdr:colOff>
      <xdr:row>59</xdr:row>
      <xdr:rowOff>51483</xdr:rowOff>
    </xdr:to>
    <xdr:sp macro="[0]!lvl3_button_add_data_generic_3_3_Click" textlink="">
      <xdr:nvSpPr>
        <xdr:cNvPr id="151" name="lvl3_button_add_data_generic_3_3">
          <a:extLst>
            <a:ext uri="{FF2B5EF4-FFF2-40B4-BE49-F238E27FC236}">
              <a16:creationId xmlns:a16="http://schemas.microsoft.com/office/drawing/2014/main" id="{00000000-0008-0000-0000-000097000000}"/>
            </a:ext>
          </a:extLst>
        </xdr:cNvPr>
        <xdr:cNvSpPr/>
      </xdr:nvSpPr>
      <xdr:spPr>
        <a:xfrm>
          <a:off x="13456919" y="11163292"/>
          <a:ext cx="1578921" cy="209334"/>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95249</xdr:colOff>
      <xdr:row>58</xdr:row>
      <xdr:rowOff>34960</xdr:rowOff>
    </xdr:from>
    <xdr:to>
      <xdr:col>15</xdr:col>
      <xdr:colOff>541177</xdr:colOff>
      <xdr:row>59</xdr:row>
      <xdr:rowOff>53794</xdr:rowOff>
    </xdr:to>
    <xdr:sp macro="[0]!lvl3_button_add_data_generic_3_1_Click" textlink="">
      <xdr:nvSpPr>
        <xdr:cNvPr id="152" name="lvl3_button_add_data_generic_3_1">
          <a:extLst>
            <a:ext uri="{FF2B5EF4-FFF2-40B4-BE49-F238E27FC236}">
              <a16:creationId xmlns:a16="http://schemas.microsoft.com/office/drawing/2014/main" id="{00000000-0008-0000-0000-000098000000}"/>
            </a:ext>
          </a:extLst>
        </xdr:cNvPr>
        <xdr:cNvSpPr/>
      </xdr:nvSpPr>
      <xdr:spPr>
        <a:xfrm>
          <a:off x="9783535" y="11165603"/>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591703</xdr:colOff>
      <xdr:row>58</xdr:row>
      <xdr:rowOff>42078</xdr:rowOff>
    </xdr:from>
    <xdr:to>
      <xdr:col>19</xdr:col>
      <xdr:colOff>30961</xdr:colOff>
      <xdr:row>59</xdr:row>
      <xdr:rowOff>60912</xdr:rowOff>
    </xdr:to>
    <xdr:sp macro="[0]!lvl3_button_add_data_generic_3_2_Click" textlink="">
      <xdr:nvSpPr>
        <xdr:cNvPr id="153" name="lvl3_button_add_data_generic_3_2">
          <a:extLst>
            <a:ext uri="{FF2B5EF4-FFF2-40B4-BE49-F238E27FC236}">
              <a16:creationId xmlns:a16="http://schemas.microsoft.com/office/drawing/2014/main" id="{00000000-0008-0000-0000-000099000000}"/>
            </a:ext>
          </a:extLst>
        </xdr:cNvPr>
        <xdr:cNvSpPr/>
      </xdr:nvSpPr>
      <xdr:spPr>
        <a:xfrm>
          <a:off x="11504632" y="11172721"/>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16</xdr:col>
      <xdr:colOff>502233</xdr:colOff>
      <xdr:row>36</xdr:row>
      <xdr:rowOff>138546</xdr:rowOff>
    </xdr:from>
    <xdr:to>
      <xdr:col>18</xdr:col>
      <xdr:colOff>481562</xdr:colOff>
      <xdr:row>37</xdr:row>
      <xdr:rowOff>157404</xdr:rowOff>
    </xdr:to>
    <xdr:sp macro="[0]!BUTTON_LEGEND_WHOLE_AREA_Click" textlink="">
      <xdr:nvSpPr>
        <xdr:cNvPr id="154" name="BUTTON_LEGEND_WHOLE_AREA">
          <a:extLst>
            <a:ext uri="{FF2B5EF4-FFF2-40B4-BE49-F238E27FC236}">
              <a16:creationId xmlns:a16="http://schemas.microsoft.com/office/drawing/2014/main" id="{00000000-0008-0000-0000-00009A000000}"/>
            </a:ext>
          </a:extLst>
        </xdr:cNvPr>
        <xdr:cNvSpPr/>
      </xdr:nvSpPr>
      <xdr:spPr>
        <a:xfrm>
          <a:off x="11984188" y="7031182"/>
          <a:ext cx="1191601" cy="209358"/>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800" b="1" cap="none" spc="0">
              <a:ln w="0"/>
              <a:solidFill>
                <a:schemeClr val="bg1"/>
              </a:solidFill>
              <a:effectLst/>
              <a:latin typeface="+mn-lt"/>
              <a:ea typeface="+mn-ea"/>
              <a:cs typeface="+mn-cs"/>
            </a:rPr>
            <a:t>Úkoly za celou oblast</a:t>
          </a:r>
        </a:p>
      </xdr:txBody>
    </xdr:sp>
    <xdr:clientData/>
  </xdr:twoCellAnchor>
  <xdr:twoCellAnchor>
    <xdr:from>
      <xdr:col>16</xdr:col>
      <xdr:colOff>502233</xdr:colOff>
      <xdr:row>34</xdr:row>
      <xdr:rowOff>2311</xdr:rowOff>
    </xdr:from>
    <xdr:to>
      <xdr:col>18</xdr:col>
      <xdr:colOff>481562</xdr:colOff>
      <xdr:row>35</xdr:row>
      <xdr:rowOff>21169</xdr:rowOff>
    </xdr:to>
    <xdr:sp macro="[0]!BUTTON_LEGEND_PROG_VS_TOT_Click" textlink="">
      <xdr:nvSpPr>
        <xdr:cNvPr id="155" name="BUTTON_LEGEND_PROG_VS_TOT">
          <a:extLst>
            <a:ext uri="{FF2B5EF4-FFF2-40B4-BE49-F238E27FC236}">
              <a16:creationId xmlns:a16="http://schemas.microsoft.com/office/drawing/2014/main" id="{00000000-0008-0000-0000-00009B000000}"/>
            </a:ext>
          </a:extLst>
        </xdr:cNvPr>
        <xdr:cNvSpPr/>
      </xdr:nvSpPr>
      <xdr:spPr>
        <a:xfrm>
          <a:off x="11984188" y="6513947"/>
          <a:ext cx="1191601" cy="209358"/>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800" b="1" cap="none" spc="0">
              <a:ln w="0"/>
              <a:solidFill>
                <a:schemeClr val="bg1"/>
              </a:solidFill>
              <a:effectLst/>
            </a:rPr>
            <a:t>Zadané vs Zpracované</a:t>
          </a:r>
        </a:p>
      </xdr:txBody>
    </xdr:sp>
    <xdr:clientData/>
  </xdr:twoCellAnchor>
  <xdr:twoCellAnchor>
    <xdr:from>
      <xdr:col>16</xdr:col>
      <xdr:colOff>507431</xdr:colOff>
      <xdr:row>35</xdr:row>
      <xdr:rowOff>61384</xdr:rowOff>
    </xdr:from>
    <xdr:to>
      <xdr:col>18</xdr:col>
      <xdr:colOff>484916</xdr:colOff>
      <xdr:row>36</xdr:row>
      <xdr:rowOff>80242</xdr:rowOff>
    </xdr:to>
    <xdr:sp macro="[0]!BUTTON_LEGEND_DUE_IN_PROG_Click" textlink="">
      <xdr:nvSpPr>
        <xdr:cNvPr id="156" name="BUTTON_LEGEND_DUE_IN_PROG">
          <a:extLst>
            <a:ext uri="{FF2B5EF4-FFF2-40B4-BE49-F238E27FC236}">
              <a16:creationId xmlns:a16="http://schemas.microsoft.com/office/drawing/2014/main" id="{00000000-0008-0000-0000-00009C000000}"/>
            </a:ext>
          </a:extLst>
        </xdr:cNvPr>
        <xdr:cNvSpPr/>
      </xdr:nvSpPr>
      <xdr:spPr>
        <a:xfrm>
          <a:off x="11989386" y="6763520"/>
          <a:ext cx="1189757" cy="209358"/>
        </a:xfrm>
        <a:prstGeom prst="round2SameRect">
          <a:avLst/>
        </a:prstGeom>
        <a:ln>
          <a:noFill/>
        </a:ln>
        <a:effectLst>
          <a:outerShdw blurRad="107950" dist="12700" dir="5400000" algn="ctr">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800" b="1" cap="none" spc="0">
              <a:ln w="0"/>
              <a:solidFill>
                <a:schemeClr val="bg1"/>
              </a:solidFill>
              <a:effectLst/>
              <a:latin typeface="+mn-lt"/>
              <a:ea typeface="+mn-ea"/>
              <a:cs typeface="+mn-cs"/>
            </a:rPr>
            <a:t>Zpoždění ve zpracování</a:t>
          </a:r>
        </a:p>
      </xdr:txBody>
    </xdr:sp>
    <xdr:clientData/>
  </xdr:twoCellAnchor>
  <xdr:twoCellAnchor>
    <xdr:from>
      <xdr:col>1</xdr:col>
      <xdr:colOff>370659</xdr:colOff>
      <xdr:row>13</xdr:row>
      <xdr:rowOff>104775</xdr:rowOff>
    </xdr:from>
    <xdr:to>
      <xdr:col>7</xdr:col>
      <xdr:colOff>211138</xdr:colOff>
      <xdr:row>28</xdr:row>
      <xdr:rowOff>55275</xdr:rowOff>
    </xdr:to>
    <xdr:grpSp>
      <xdr:nvGrpSpPr>
        <xdr:cNvPr id="12" name="Group 11">
          <a:extLst>
            <a:ext uri="{FF2B5EF4-FFF2-40B4-BE49-F238E27FC236}">
              <a16:creationId xmlns:a16="http://schemas.microsoft.com/office/drawing/2014/main" id="{00000000-0008-0000-0000-00000C000000}"/>
            </a:ext>
          </a:extLst>
        </xdr:cNvPr>
        <xdr:cNvGrpSpPr/>
      </xdr:nvGrpSpPr>
      <xdr:grpSpPr>
        <a:xfrm>
          <a:off x="1414356" y="2512979"/>
          <a:ext cx="4288856" cy="0"/>
          <a:chOff x="1427068" y="2598593"/>
          <a:chExt cx="4308570" cy="2808000"/>
        </a:xfrm>
      </xdr:grpSpPr>
      <xdr:graphicFrame macro="">
        <xdr:nvGraphicFramePr>
          <xdr:cNvPr id="14" name="LVL2_BUILDING_A">
            <a:extLst>
              <a:ext uri="{FF2B5EF4-FFF2-40B4-BE49-F238E27FC236}">
                <a16:creationId xmlns:a16="http://schemas.microsoft.com/office/drawing/2014/main" id="{00000000-0008-0000-0000-00000E000000}"/>
              </a:ext>
            </a:extLst>
          </xdr:cNvPr>
          <xdr:cNvGraphicFramePr>
            <a:graphicFrameLocks/>
          </xdr:cNvGraphicFramePr>
        </xdr:nvGraphicFramePr>
        <xdr:xfrm>
          <a:off x="1427068" y="2598593"/>
          <a:ext cx="4308570" cy="2808000"/>
        </xdr:xfrm>
        <a:graphic>
          <a:graphicData uri="http://schemas.openxmlformats.org/drawingml/2006/chart">
            <c:chart xmlns:c="http://schemas.openxmlformats.org/drawingml/2006/chart" xmlns:r="http://schemas.openxmlformats.org/officeDocument/2006/relationships" r:id="rId25"/>
          </a:graphicData>
        </a:graphic>
      </xdr:graphicFrame>
      <xdr:sp macro="[0]!LVL2_A_BUTTON_Click" textlink="">
        <xdr:nvSpPr>
          <xdr:cNvPr id="139" name="LVL2_GENERIC_A_BUTTON">
            <a:extLst>
              <a:ext uri="{FF2B5EF4-FFF2-40B4-BE49-F238E27FC236}">
                <a16:creationId xmlns:a16="http://schemas.microsoft.com/office/drawing/2014/main" id="{00000000-0008-0000-0000-00008B000000}"/>
              </a:ext>
            </a:extLst>
          </xdr:cNvPr>
          <xdr:cNvSpPr/>
        </xdr:nvSpPr>
        <xdr:spPr>
          <a:xfrm>
            <a:off x="2500578" y="4555952"/>
            <a:ext cx="2027437" cy="612648"/>
          </a:xfrm>
          <a:prstGeom prst="wedgeRectCallout">
            <a:avLst>
              <a:gd name="adj1" fmla="val -20833"/>
              <a:gd name="adj2" fmla="val 84957"/>
            </a:avLst>
          </a:prstGeom>
          <a:gradFill flip="none" rotWithShape="1">
            <a:gsLst>
              <a:gs pos="0">
                <a:srgbClr val="769535"/>
              </a:gs>
              <a:gs pos="80000">
                <a:srgbClr val="9BC348"/>
              </a:gs>
              <a:gs pos="100000">
                <a:srgbClr val="9CC746"/>
              </a:gs>
            </a:gsLst>
            <a:lin ang="16200000" scaled="0"/>
            <a:tileRect/>
          </a:gradFill>
          <a:scene3d>
            <a:camera prst="orthographicFront">
              <a:rot lat="0" lon="0" rev="0"/>
            </a:camera>
            <a:lightRig rig="threePt" dir="t">
              <a:rot lat="0" lon="0" rev="1200000"/>
            </a:lightRig>
          </a:scene3d>
          <a:sp3d>
            <a:bevelT w="0" h="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800"/>
              <a:t>Zobrazit detail</a:t>
            </a:r>
          </a:p>
        </xdr:txBody>
      </xdr:sp>
    </xdr:grpSp>
    <xdr:clientData/>
  </xdr:twoCellAnchor>
  <xdr:twoCellAnchor>
    <xdr:from>
      <xdr:col>10</xdr:col>
      <xdr:colOff>462640</xdr:colOff>
      <xdr:row>32</xdr:row>
      <xdr:rowOff>27215</xdr:rowOff>
    </xdr:from>
    <xdr:to>
      <xdr:col>12</xdr:col>
      <xdr:colOff>598836</xdr:colOff>
      <xdr:row>34</xdr:row>
      <xdr:rowOff>131991</xdr:rowOff>
    </xdr:to>
    <xdr:sp macro="" textlink="">
      <xdr:nvSpPr>
        <xdr:cNvPr id="140" name="LVL3_GENERIC_INDICATOR_KPI">
          <a:extLst>
            <a:ext uri="{FF2B5EF4-FFF2-40B4-BE49-F238E27FC236}">
              <a16:creationId xmlns:a16="http://schemas.microsoft.com/office/drawing/2014/main" id="{00000000-0008-0000-0000-00008C000000}"/>
            </a:ext>
          </a:extLst>
        </xdr:cNvPr>
        <xdr:cNvSpPr/>
      </xdr:nvSpPr>
      <xdr:spPr>
        <a:xfrm>
          <a:off x="7824104" y="6150429"/>
          <a:ext cx="1850696" cy="485776"/>
        </a:xfrm>
        <a:prstGeom prst="round2SameRect">
          <a:avLst/>
        </a:prstGeom>
        <a:scene3d>
          <a:camera prst="perspectiveAbove"/>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Palety dodané včas (Automatické pickování)</a:t>
          </a:r>
        </a:p>
      </xdr:txBody>
    </xdr:sp>
    <xdr:clientData/>
  </xdr:twoCellAnchor>
  <xdr:twoCellAnchor>
    <xdr:from>
      <xdr:col>13</xdr:col>
      <xdr:colOff>73623</xdr:colOff>
      <xdr:row>32</xdr:row>
      <xdr:rowOff>114649</xdr:rowOff>
    </xdr:from>
    <xdr:to>
      <xdr:col>13</xdr:col>
      <xdr:colOff>350831</xdr:colOff>
      <xdr:row>34</xdr:row>
      <xdr:rowOff>83065</xdr:rowOff>
    </xdr:to>
    <xdr:sp macro="" textlink="">
      <xdr:nvSpPr>
        <xdr:cNvPr id="144" name="Šipka doprava 37">
          <a:extLst>
            <a:ext uri="{FF2B5EF4-FFF2-40B4-BE49-F238E27FC236}">
              <a16:creationId xmlns:a16="http://schemas.microsoft.com/office/drawing/2014/main" id="{00000000-0008-0000-0000-000090000000}"/>
            </a:ext>
          </a:extLst>
        </xdr:cNvPr>
        <xdr:cNvSpPr/>
      </xdr:nvSpPr>
      <xdr:spPr>
        <a:xfrm>
          <a:off x="9761909" y="6237863"/>
          <a:ext cx="277208" cy="349416"/>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clientData/>
  </xdr:twoCellAnchor>
  <xdr:twoCellAnchor>
    <xdr:from>
      <xdr:col>10</xdr:col>
      <xdr:colOff>108858</xdr:colOff>
      <xdr:row>32</xdr:row>
      <xdr:rowOff>108857</xdr:rowOff>
    </xdr:from>
    <xdr:to>
      <xdr:col>10</xdr:col>
      <xdr:colOff>386066</xdr:colOff>
      <xdr:row>34</xdr:row>
      <xdr:rowOff>77273</xdr:rowOff>
    </xdr:to>
    <xdr:sp macro="" textlink="">
      <xdr:nvSpPr>
        <xdr:cNvPr id="157" name="Šipka doprava 37">
          <a:extLst>
            <a:ext uri="{FF2B5EF4-FFF2-40B4-BE49-F238E27FC236}">
              <a16:creationId xmlns:a16="http://schemas.microsoft.com/office/drawing/2014/main" id="{00000000-0008-0000-0000-00009D000000}"/>
            </a:ext>
          </a:extLst>
        </xdr:cNvPr>
        <xdr:cNvSpPr/>
      </xdr:nvSpPr>
      <xdr:spPr>
        <a:xfrm>
          <a:off x="7470322" y="6232071"/>
          <a:ext cx="277208" cy="349416"/>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clientData/>
  </xdr:twoCellAnchor>
  <xdr:twoCellAnchor>
    <xdr:from>
      <xdr:col>19</xdr:col>
      <xdr:colOff>96492</xdr:colOff>
      <xdr:row>66</xdr:row>
      <xdr:rowOff>0</xdr:rowOff>
    </xdr:from>
    <xdr:to>
      <xdr:col>21</xdr:col>
      <xdr:colOff>450770</xdr:colOff>
      <xdr:row>67</xdr:row>
      <xdr:rowOff>18834</xdr:rowOff>
    </xdr:to>
    <xdr:sp macro="[0]!lvl3_button_add_data_generic_4_3_Click" textlink="">
      <xdr:nvSpPr>
        <xdr:cNvPr id="150" name="lvl3_button_add_data_generic_4_3" hidden="1">
          <a:extLst>
            <a:ext uri="{FF2B5EF4-FFF2-40B4-BE49-F238E27FC236}">
              <a16:creationId xmlns:a16="http://schemas.microsoft.com/office/drawing/2014/main" id="{00000000-0008-0000-0000-000096000000}"/>
            </a:ext>
          </a:extLst>
        </xdr:cNvPr>
        <xdr:cNvSpPr/>
      </xdr:nvSpPr>
      <xdr:spPr>
        <a:xfrm>
          <a:off x="13458706" y="12654643"/>
          <a:ext cx="1578921" cy="209334"/>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95249</xdr:colOff>
      <xdr:row>66</xdr:row>
      <xdr:rowOff>2311</xdr:rowOff>
    </xdr:from>
    <xdr:to>
      <xdr:col>15</xdr:col>
      <xdr:colOff>541177</xdr:colOff>
      <xdr:row>67</xdr:row>
      <xdr:rowOff>21145</xdr:rowOff>
    </xdr:to>
    <xdr:sp macro="[0]!lvl3_button_add_data_generic_4_1_Click" textlink="">
      <xdr:nvSpPr>
        <xdr:cNvPr id="160" name="lvl3_button_add_data_generic_4_1" hidden="1">
          <a:extLst>
            <a:ext uri="{FF2B5EF4-FFF2-40B4-BE49-F238E27FC236}">
              <a16:creationId xmlns:a16="http://schemas.microsoft.com/office/drawing/2014/main" id="{00000000-0008-0000-0000-0000A0000000}"/>
            </a:ext>
          </a:extLst>
        </xdr:cNvPr>
        <xdr:cNvSpPr/>
      </xdr:nvSpPr>
      <xdr:spPr>
        <a:xfrm>
          <a:off x="9783535" y="12656954"/>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593490</xdr:colOff>
      <xdr:row>66</xdr:row>
      <xdr:rowOff>9429</xdr:rowOff>
    </xdr:from>
    <xdr:to>
      <xdr:col>19</xdr:col>
      <xdr:colOff>32748</xdr:colOff>
      <xdr:row>67</xdr:row>
      <xdr:rowOff>28263</xdr:rowOff>
    </xdr:to>
    <xdr:sp macro="[0]!lvl3_button_add_data_generic_4_2_Click" textlink="">
      <xdr:nvSpPr>
        <xdr:cNvPr id="161" name="lvl3_button_add_data_generic_4_2" hidden="1">
          <a:extLst>
            <a:ext uri="{FF2B5EF4-FFF2-40B4-BE49-F238E27FC236}">
              <a16:creationId xmlns:a16="http://schemas.microsoft.com/office/drawing/2014/main" id="{00000000-0008-0000-0000-0000A1000000}"/>
            </a:ext>
          </a:extLst>
        </xdr:cNvPr>
        <xdr:cNvSpPr/>
      </xdr:nvSpPr>
      <xdr:spPr>
        <a:xfrm>
          <a:off x="11506419" y="12664072"/>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19</xdr:col>
      <xdr:colOff>96492</xdr:colOff>
      <xdr:row>74</xdr:row>
      <xdr:rowOff>13607</xdr:rowOff>
    </xdr:from>
    <xdr:to>
      <xdr:col>21</xdr:col>
      <xdr:colOff>450770</xdr:colOff>
      <xdr:row>75</xdr:row>
      <xdr:rowOff>32441</xdr:rowOff>
    </xdr:to>
    <xdr:sp macro="[0]!lvl3_button_add_data_generic_5_3_Click" textlink="">
      <xdr:nvSpPr>
        <xdr:cNvPr id="163" name="lvl3_button_add_data_generic_5_3" hidden="1">
          <a:extLst>
            <a:ext uri="{FF2B5EF4-FFF2-40B4-BE49-F238E27FC236}">
              <a16:creationId xmlns:a16="http://schemas.microsoft.com/office/drawing/2014/main" id="{00000000-0008-0000-0000-0000A3000000}"/>
            </a:ext>
          </a:extLst>
        </xdr:cNvPr>
        <xdr:cNvSpPr/>
      </xdr:nvSpPr>
      <xdr:spPr>
        <a:xfrm>
          <a:off x="13458706" y="14192250"/>
          <a:ext cx="1578921" cy="209334"/>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95249</xdr:colOff>
      <xdr:row>74</xdr:row>
      <xdr:rowOff>15918</xdr:rowOff>
    </xdr:from>
    <xdr:to>
      <xdr:col>15</xdr:col>
      <xdr:colOff>541177</xdr:colOff>
      <xdr:row>75</xdr:row>
      <xdr:rowOff>34752</xdr:rowOff>
    </xdr:to>
    <xdr:sp macro="[0]!lvl3_button_add_data_generic_5_1_Click" textlink="">
      <xdr:nvSpPr>
        <xdr:cNvPr id="164" name="lvl3_button_add_data_generic_5_1" hidden="1">
          <a:extLst>
            <a:ext uri="{FF2B5EF4-FFF2-40B4-BE49-F238E27FC236}">
              <a16:creationId xmlns:a16="http://schemas.microsoft.com/office/drawing/2014/main" id="{00000000-0008-0000-0000-0000A4000000}"/>
            </a:ext>
          </a:extLst>
        </xdr:cNvPr>
        <xdr:cNvSpPr/>
      </xdr:nvSpPr>
      <xdr:spPr>
        <a:xfrm>
          <a:off x="9783535" y="14194561"/>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593490</xdr:colOff>
      <xdr:row>74</xdr:row>
      <xdr:rowOff>23036</xdr:rowOff>
    </xdr:from>
    <xdr:to>
      <xdr:col>19</xdr:col>
      <xdr:colOff>32748</xdr:colOff>
      <xdr:row>75</xdr:row>
      <xdr:rowOff>41870</xdr:rowOff>
    </xdr:to>
    <xdr:sp macro="[0]!lvl3_button_add_data_generic_5_2_Click" textlink="">
      <xdr:nvSpPr>
        <xdr:cNvPr id="165" name="lvl3_button_add_data_generic_5_2" hidden="1">
          <a:extLst>
            <a:ext uri="{FF2B5EF4-FFF2-40B4-BE49-F238E27FC236}">
              <a16:creationId xmlns:a16="http://schemas.microsoft.com/office/drawing/2014/main" id="{00000000-0008-0000-0000-0000A5000000}"/>
            </a:ext>
          </a:extLst>
        </xdr:cNvPr>
        <xdr:cNvSpPr/>
      </xdr:nvSpPr>
      <xdr:spPr>
        <a:xfrm>
          <a:off x="11506419" y="14201679"/>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19</xdr:col>
      <xdr:colOff>96492</xdr:colOff>
      <xdr:row>82</xdr:row>
      <xdr:rowOff>40821</xdr:rowOff>
    </xdr:from>
    <xdr:to>
      <xdr:col>21</xdr:col>
      <xdr:colOff>450770</xdr:colOff>
      <xdr:row>84</xdr:row>
      <xdr:rowOff>46048</xdr:rowOff>
    </xdr:to>
    <xdr:sp macro="[0]!lvl3_button_add_data_generic_6_3_Click" textlink="">
      <xdr:nvSpPr>
        <xdr:cNvPr id="167" name="lvl3_button_add_data_generic_6_3" hidden="1">
          <a:extLst>
            <a:ext uri="{FF2B5EF4-FFF2-40B4-BE49-F238E27FC236}">
              <a16:creationId xmlns:a16="http://schemas.microsoft.com/office/drawing/2014/main" id="{00000000-0008-0000-0000-0000A7000000}"/>
            </a:ext>
          </a:extLst>
        </xdr:cNvPr>
        <xdr:cNvSpPr/>
      </xdr:nvSpPr>
      <xdr:spPr>
        <a:xfrm>
          <a:off x="13458706" y="15743464"/>
          <a:ext cx="1578921" cy="209334"/>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95249</xdr:colOff>
      <xdr:row>82</xdr:row>
      <xdr:rowOff>43132</xdr:rowOff>
    </xdr:from>
    <xdr:to>
      <xdr:col>15</xdr:col>
      <xdr:colOff>541177</xdr:colOff>
      <xdr:row>84</xdr:row>
      <xdr:rowOff>48359</xdr:rowOff>
    </xdr:to>
    <xdr:sp macro="[0]!lvl3_button_add_data_generic_6_1_Click" textlink="">
      <xdr:nvSpPr>
        <xdr:cNvPr id="168" name="lvl3_button_add_data_generic_6_1" hidden="1">
          <a:extLst>
            <a:ext uri="{FF2B5EF4-FFF2-40B4-BE49-F238E27FC236}">
              <a16:creationId xmlns:a16="http://schemas.microsoft.com/office/drawing/2014/main" id="{00000000-0008-0000-0000-0000A8000000}"/>
            </a:ext>
          </a:extLst>
        </xdr:cNvPr>
        <xdr:cNvSpPr/>
      </xdr:nvSpPr>
      <xdr:spPr>
        <a:xfrm>
          <a:off x="9783535" y="15745775"/>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593490</xdr:colOff>
      <xdr:row>82</xdr:row>
      <xdr:rowOff>50250</xdr:rowOff>
    </xdr:from>
    <xdr:to>
      <xdr:col>19</xdr:col>
      <xdr:colOff>32748</xdr:colOff>
      <xdr:row>84</xdr:row>
      <xdr:rowOff>55477</xdr:rowOff>
    </xdr:to>
    <xdr:sp macro="[0]!lvl3_button_add_data_generic_6_2_Click" textlink="">
      <xdr:nvSpPr>
        <xdr:cNvPr id="169" name="lvl3_button_add_data_generic_6_2" hidden="1">
          <a:extLst>
            <a:ext uri="{FF2B5EF4-FFF2-40B4-BE49-F238E27FC236}">
              <a16:creationId xmlns:a16="http://schemas.microsoft.com/office/drawing/2014/main" id="{00000000-0008-0000-0000-0000A9000000}"/>
            </a:ext>
          </a:extLst>
        </xdr:cNvPr>
        <xdr:cNvSpPr/>
      </xdr:nvSpPr>
      <xdr:spPr>
        <a:xfrm>
          <a:off x="11506419" y="15752893"/>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19</xdr:col>
      <xdr:colOff>110876</xdr:colOff>
      <xdr:row>91</xdr:row>
      <xdr:rowOff>27214</xdr:rowOff>
    </xdr:from>
    <xdr:to>
      <xdr:col>21</xdr:col>
      <xdr:colOff>465154</xdr:colOff>
      <xdr:row>92</xdr:row>
      <xdr:rowOff>46048</xdr:rowOff>
    </xdr:to>
    <xdr:sp macro="[0]!lvl3_button_add_data_generic_7_3_Click" textlink="">
      <xdr:nvSpPr>
        <xdr:cNvPr id="171" name="lvl3_button_add_data_generic_7_3" hidden="1">
          <a:extLst>
            <a:ext uri="{FF2B5EF4-FFF2-40B4-BE49-F238E27FC236}">
              <a16:creationId xmlns:a16="http://schemas.microsoft.com/office/drawing/2014/main" id="{00000000-0008-0000-0000-0000AB000000}"/>
            </a:ext>
          </a:extLst>
        </xdr:cNvPr>
        <xdr:cNvSpPr/>
      </xdr:nvSpPr>
      <xdr:spPr>
        <a:xfrm>
          <a:off x="13473090" y="17267464"/>
          <a:ext cx="1578921" cy="209334"/>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109633</xdr:colOff>
      <xdr:row>91</xdr:row>
      <xdr:rowOff>2311</xdr:rowOff>
    </xdr:from>
    <xdr:to>
      <xdr:col>15</xdr:col>
      <xdr:colOff>555561</xdr:colOff>
      <xdr:row>92</xdr:row>
      <xdr:rowOff>21145</xdr:rowOff>
    </xdr:to>
    <xdr:sp macro="[0]!lvl3_button_add_data_generic_7_1_Click" textlink="">
      <xdr:nvSpPr>
        <xdr:cNvPr id="172" name="lvl3_button_add_data_generic_7_1" hidden="1">
          <a:extLst>
            <a:ext uri="{FF2B5EF4-FFF2-40B4-BE49-F238E27FC236}">
              <a16:creationId xmlns:a16="http://schemas.microsoft.com/office/drawing/2014/main" id="{00000000-0008-0000-0000-0000AC000000}"/>
            </a:ext>
          </a:extLst>
        </xdr:cNvPr>
        <xdr:cNvSpPr/>
      </xdr:nvSpPr>
      <xdr:spPr>
        <a:xfrm>
          <a:off x="9797919" y="17242561"/>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607874</xdr:colOff>
      <xdr:row>91</xdr:row>
      <xdr:rowOff>9429</xdr:rowOff>
    </xdr:from>
    <xdr:to>
      <xdr:col>19</xdr:col>
      <xdr:colOff>47132</xdr:colOff>
      <xdr:row>92</xdr:row>
      <xdr:rowOff>28263</xdr:rowOff>
    </xdr:to>
    <xdr:sp macro="[0]!lvl3_button_add_data_generic_7_2_Click" textlink="">
      <xdr:nvSpPr>
        <xdr:cNvPr id="173" name="lvl3_button_add_data_generic_7_2" hidden="1">
          <a:extLst>
            <a:ext uri="{FF2B5EF4-FFF2-40B4-BE49-F238E27FC236}">
              <a16:creationId xmlns:a16="http://schemas.microsoft.com/office/drawing/2014/main" id="{00000000-0008-0000-0000-0000AD000000}"/>
            </a:ext>
          </a:extLst>
        </xdr:cNvPr>
        <xdr:cNvSpPr/>
      </xdr:nvSpPr>
      <xdr:spPr>
        <a:xfrm>
          <a:off x="11520803" y="17249679"/>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19</xdr:col>
      <xdr:colOff>110876</xdr:colOff>
      <xdr:row>99</xdr:row>
      <xdr:rowOff>27214</xdr:rowOff>
    </xdr:from>
    <xdr:to>
      <xdr:col>21</xdr:col>
      <xdr:colOff>465154</xdr:colOff>
      <xdr:row>100</xdr:row>
      <xdr:rowOff>46048</xdr:rowOff>
    </xdr:to>
    <xdr:sp macro="[0]!lvl3_button_add_data_generic_8_3_Click" textlink="">
      <xdr:nvSpPr>
        <xdr:cNvPr id="177" name="lvl3_button_add_data_generic_8_3" hidden="1">
          <a:extLst>
            <a:ext uri="{FF2B5EF4-FFF2-40B4-BE49-F238E27FC236}">
              <a16:creationId xmlns:a16="http://schemas.microsoft.com/office/drawing/2014/main" id="{00000000-0008-0000-0000-0000B1000000}"/>
            </a:ext>
          </a:extLst>
        </xdr:cNvPr>
        <xdr:cNvSpPr/>
      </xdr:nvSpPr>
      <xdr:spPr>
        <a:xfrm>
          <a:off x="13473090" y="18791464"/>
          <a:ext cx="1578921" cy="209334"/>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109633</xdr:colOff>
      <xdr:row>99</xdr:row>
      <xdr:rowOff>29525</xdr:rowOff>
    </xdr:from>
    <xdr:to>
      <xdr:col>15</xdr:col>
      <xdr:colOff>555561</xdr:colOff>
      <xdr:row>100</xdr:row>
      <xdr:rowOff>48359</xdr:rowOff>
    </xdr:to>
    <xdr:sp macro="[0]!lvl3_button_add_data_generic_8_1_Click" textlink="">
      <xdr:nvSpPr>
        <xdr:cNvPr id="184" name="lvl3_button_add_data_generic_8_1" hidden="1">
          <a:extLst>
            <a:ext uri="{FF2B5EF4-FFF2-40B4-BE49-F238E27FC236}">
              <a16:creationId xmlns:a16="http://schemas.microsoft.com/office/drawing/2014/main" id="{00000000-0008-0000-0000-0000B8000000}"/>
            </a:ext>
          </a:extLst>
        </xdr:cNvPr>
        <xdr:cNvSpPr/>
      </xdr:nvSpPr>
      <xdr:spPr>
        <a:xfrm>
          <a:off x="9797919" y="18793775"/>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607874</xdr:colOff>
      <xdr:row>99</xdr:row>
      <xdr:rowOff>36643</xdr:rowOff>
    </xdr:from>
    <xdr:to>
      <xdr:col>19</xdr:col>
      <xdr:colOff>47132</xdr:colOff>
      <xdr:row>100</xdr:row>
      <xdr:rowOff>55477</xdr:rowOff>
    </xdr:to>
    <xdr:sp macro="[0]!lvl3_button_add_data_generic_8_2_Click" textlink="">
      <xdr:nvSpPr>
        <xdr:cNvPr id="207" name="lvl3_button_add_data_generic_8_2" hidden="1">
          <a:extLst>
            <a:ext uri="{FF2B5EF4-FFF2-40B4-BE49-F238E27FC236}">
              <a16:creationId xmlns:a16="http://schemas.microsoft.com/office/drawing/2014/main" id="{00000000-0008-0000-0000-0000CF000000}"/>
            </a:ext>
          </a:extLst>
        </xdr:cNvPr>
        <xdr:cNvSpPr/>
      </xdr:nvSpPr>
      <xdr:spPr>
        <a:xfrm>
          <a:off x="11520803" y="18800893"/>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19</xdr:col>
      <xdr:colOff>110876</xdr:colOff>
      <xdr:row>107</xdr:row>
      <xdr:rowOff>27214</xdr:rowOff>
    </xdr:from>
    <xdr:to>
      <xdr:col>21</xdr:col>
      <xdr:colOff>465154</xdr:colOff>
      <xdr:row>108</xdr:row>
      <xdr:rowOff>46048</xdr:rowOff>
    </xdr:to>
    <xdr:sp macro="[0]!lvl3_button_add_data_generic_9_3_Click" textlink="">
      <xdr:nvSpPr>
        <xdr:cNvPr id="211" name="lvl3_button_add_data_generic_9_3" hidden="1">
          <a:extLst>
            <a:ext uri="{FF2B5EF4-FFF2-40B4-BE49-F238E27FC236}">
              <a16:creationId xmlns:a16="http://schemas.microsoft.com/office/drawing/2014/main" id="{00000000-0008-0000-0000-0000D3000000}"/>
            </a:ext>
          </a:extLst>
        </xdr:cNvPr>
        <xdr:cNvSpPr/>
      </xdr:nvSpPr>
      <xdr:spPr>
        <a:xfrm>
          <a:off x="13473090" y="20315464"/>
          <a:ext cx="1578921" cy="209334"/>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109633</xdr:colOff>
      <xdr:row>107</xdr:row>
      <xdr:rowOff>29525</xdr:rowOff>
    </xdr:from>
    <xdr:to>
      <xdr:col>15</xdr:col>
      <xdr:colOff>555561</xdr:colOff>
      <xdr:row>108</xdr:row>
      <xdr:rowOff>48359</xdr:rowOff>
    </xdr:to>
    <xdr:sp macro="[0]!lvl3_button_add_data_generic_9_1_Click" textlink="">
      <xdr:nvSpPr>
        <xdr:cNvPr id="212" name="lvl3_button_add_data_generic_9_1" hidden="1">
          <a:extLst>
            <a:ext uri="{FF2B5EF4-FFF2-40B4-BE49-F238E27FC236}">
              <a16:creationId xmlns:a16="http://schemas.microsoft.com/office/drawing/2014/main" id="{00000000-0008-0000-0000-0000D4000000}"/>
            </a:ext>
          </a:extLst>
        </xdr:cNvPr>
        <xdr:cNvSpPr/>
      </xdr:nvSpPr>
      <xdr:spPr>
        <a:xfrm>
          <a:off x="9797919" y="20317775"/>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607874</xdr:colOff>
      <xdr:row>107</xdr:row>
      <xdr:rowOff>36643</xdr:rowOff>
    </xdr:from>
    <xdr:to>
      <xdr:col>19</xdr:col>
      <xdr:colOff>47132</xdr:colOff>
      <xdr:row>108</xdr:row>
      <xdr:rowOff>55477</xdr:rowOff>
    </xdr:to>
    <xdr:sp macro="[0]!lvl3_button_add_data_generic_9_2_Click" textlink="">
      <xdr:nvSpPr>
        <xdr:cNvPr id="213" name="lvl3_button_add_data_generic_9_2" hidden="1">
          <a:extLst>
            <a:ext uri="{FF2B5EF4-FFF2-40B4-BE49-F238E27FC236}">
              <a16:creationId xmlns:a16="http://schemas.microsoft.com/office/drawing/2014/main" id="{00000000-0008-0000-0000-0000D5000000}"/>
            </a:ext>
          </a:extLst>
        </xdr:cNvPr>
        <xdr:cNvSpPr/>
      </xdr:nvSpPr>
      <xdr:spPr>
        <a:xfrm>
          <a:off x="11520803" y="20324893"/>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19</xdr:col>
      <xdr:colOff>110876</xdr:colOff>
      <xdr:row>115</xdr:row>
      <xdr:rowOff>54429</xdr:rowOff>
    </xdr:from>
    <xdr:to>
      <xdr:col>21</xdr:col>
      <xdr:colOff>465154</xdr:colOff>
      <xdr:row>116</xdr:row>
      <xdr:rowOff>73263</xdr:rowOff>
    </xdr:to>
    <xdr:sp macro="[0]!lvl3_button_add_data_generic_0_3_Click" textlink="">
      <xdr:nvSpPr>
        <xdr:cNvPr id="217" name="lvl3_button_add_data_generic_0_3" hidden="1">
          <a:extLst>
            <a:ext uri="{FF2B5EF4-FFF2-40B4-BE49-F238E27FC236}">
              <a16:creationId xmlns:a16="http://schemas.microsoft.com/office/drawing/2014/main" id="{00000000-0008-0000-0000-0000D9000000}"/>
            </a:ext>
          </a:extLst>
        </xdr:cNvPr>
        <xdr:cNvSpPr/>
      </xdr:nvSpPr>
      <xdr:spPr>
        <a:xfrm>
          <a:off x="13473090" y="21866679"/>
          <a:ext cx="1578921" cy="209334"/>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109633</xdr:colOff>
      <xdr:row>115</xdr:row>
      <xdr:rowOff>56740</xdr:rowOff>
    </xdr:from>
    <xdr:to>
      <xdr:col>15</xdr:col>
      <xdr:colOff>555561</xdr:colOff>
      <xdr:row>116</xdr:row>
      <xdr:rowOff>75574</xdr:rowOff>
    </xdr:to>
    <xdr:sp macro="[0]!lvl3_button_add_data_generic_0_1_Click" textlink="">
      <xdr:nvSpPr>
        <xdr:cNvPr id="218" name="lvl3_button_add_data_generic_0_1" hidden="1">
          <a:extLst>
            <a:ext uri="{FF2B5EF4-FFF2-40B4-BE49-F238E27FC236}">
              <a16:creationId xmlns:a16="http://schemas.microsoft.com/office/drawing/2014/main" id="{00000000-0008-0000-0000-0000DA000000}"/>
            </a:ext>
          </a:extLst>
        </xdr:cNvPr>
        <xdr:cNvSpPr/>
      </xdr:nvSpPr>
      <xdr:spPr>
        <a:xfrm>
          <a:off x="9797919" y="21868990"/>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607874</xdr:colOff>
      <xdr:row>115</xdr:row>
      <xdr:rowOff>63858</xdr:rowOff>
    </xdr:from>
    <xdr:to>
      <xdr:col>19</xdr:col>
      <xdr:colOff>47132</xdr:colOff>
      <xdr:row>116</xdr:row>
      <xdr:rowOff>82692</xdr:rowOff>
    </xdr:to>
    <xdr:sp macro="[0]!lvl3_button_add_data_generic_0_2_Click" textlink="">
      <xdr:nvSpPr>
        <xdr:cNvPr id="227" name="lvl3_button_add_data_generic_0_2" hidden="1">
          <a:extLst>
            <a:ext uri="{FF2B5EF4-FFF2-40B4-BE49-F238E27FC236}">
              <a16:creationId xmlns:a16="http://schemas.microsoft.com/office/drawing/2014/main" id="{00000000-0008-0000-0000-0000E3000000}"/>
            </a:ext>
          </a:extLst>
        </xdr:cNvPr>
        <xdr:cNvSpPr/>
      </xdr:nvSpPr>
      <xdr:spPr>
        <a:xfrm>
          <a:off x="11520803" y="21876108"/>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12</xdr:col>
      <xdr:colOff>0</xdr:colOff>
      <xdr:row>100</xdr:row>
      <xdr:rowOff>81643</xdr:rowOff>
    </xdr:from>
    <xdr:to>
      <xdr:col>12</xdr:col>
      <xdr:colOff>325003</xdr:colOff>
      <xdr:row>108</xdr:row>
      <xdr:rowOff>96958</xdr:rowOff>
    </xdr:to>
    <xdr:grpSp>
      <xdr:nvGrpSpPr>
        <xdr:cNvPr id="174" name="generic_group_8" hidden="1">
          <a:extLst>
            <a:ext uri="{FF2B5EF4-FFF2-40B4-BE49-F238E27FC236}">
              <a16:creationId xmlns:a16="http://schemas.microsoft.com/office/drawing/2014/main" id="{00000000-0008-0000-0000-0000AE000000}"/>
            </a:ext>
          </a:extLst>
        </xdr:cNvPr>
        <xdr:cNvGrpSpPr/>
      </xdr:nvGrpSpPr>
      <xdr:grpSpPr>
        <a:xfrm>
          <a:off x="9028484" y="2512979"/>
          <a:ext cx="325003" cy="0"/>
          <a:chOff x="9072079" y="17473602"/>
          <a:chExt cx="325003" cy="1539315"/>
        </a:xfrm>
      </xdr:grpSpPr>
      <xdr:sp macro="" textlink="">
        <xdr:nvSpPr>
          <xdr:cNvPr id="176" name="generic_arrow_8" hidden="1">
            <a:extLst>
              <a:ext uri="{FF2B5EF4-FFF2-40B4-BE49-F238E27FC236}">
                <a16:creationId xmlns:a16="http://schemas.microsoft.com/office/drawing/2014/main" id="{00000000-0008-0000-0000-0000B0000000}"/>
              </a:ext>
            </a:extLst>
          </xdr:cNvPr>
          <xdr:cNvSpPr/>
        </xdr:nvSpPr>
        <xdr:spPr>
          <a:xfrm rot="5400000">
            <a:off x="9071388" y="18699605"/>
            <a:ext cx="349416" cy="277208"/>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208" name="shape_generic_proces_step_8" hidden="1">
            <a:extLst>
              <a:ext uri="{FF2B5EF4-FFF2-40B4-BE49-F238E27FC236}">
                <a16:creationId xmlns:a16="http://schemas.microsoft.com/office/drawing/2014/main" id="{00000000-0008-0000-0000-0000D0000000}"/>
              </a:ext>
            </a:extLst>
          </xdr:cNvPr>
          <xdr:cNvSpPr/>
        </xdr:nvSpPr>
        <xdr:spPr>
          <a:xfrm rot="5400000">
            <a:off x="8592283" y="17953398"/>
            <a:ext cx="1284596" cy="32500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VNA sloup</a:t>
            </a:r>
            <a:r>
              <a:rPr lang="cs-CZ" sz="1000" baseline="0"/>
              <a:t> - VNA rack</a:t>
            </a:r>
            <a:endParaRPr lang="cs-CZ" sz="1000"/>
          </a:p>
        </xdr:txBody>
      </xdr:sp>
    </xdr:grpSp>
    <xdr:clientData/>
  </xdr:twoCellAnchor>
  <xdr:twoCellAnchor>
    <xdr:from>
      <xdr:col>12</xdr:col>
      <xdr:colOff>13607</xdr:colOff>
      <xdr:row>108</xdr:row>
      <xdr:rowOff>95250</xdr:rowOff>
    </xdr:from>
    <xdr:to>
      <xdr:col>12</xdr:col>
      <xdr:colOff>338610</xdr:colOff>
      <xdr:row>116</xdr:row>
      <xdr:rowOff>110565</xdr:rowOff>
    </xdr:to>
    <xdr:grpSp>
      <xdr:nvGrpSpPr>
        <xdr:cNvPr id="210" name="generic_group_9" hidden="1">
          <a:extLst>
            <a:ext uri="{FF2B5EF4-FFF2-40B4-BE49-F238E27FC236}">
              <a16:creationId xmlns:a16="http://schemas.microsoft.com/office/drawing/2014/main" id="{00000000-0008-0000-0000-0000D2000000}"/>
            </a:ext>
          </a:extLst>
        </xdr:cNvPr>
        <xdr:cNvGrpSpPr/>
      </xdr:nvGrpSpPr>
      <xdr:grpSpPr>
        <a:xfrm>
          <a:off x="9042091" y="2512979"/>
          <a:ext cx="325003" cy="0"/>
          <a:chOff x="9072079" y="17473602"/>
          <a:chExt cx="325003" cy="1539315"/>
        </a:xfrm>
      </xdr:grpSpPr>
      <xdr:sp macro="" textlink="">
        <xdr:nvSpPr>
          <xdr:cNvPr id="214" name="generic_arrow_9" hidden="1">
            <a:extLst>
              <a:ext uri="{FF2B5EF4-FFF2-40B4-BE49-F238E27FC236}">
                <a16:creationId xmlns:a16="http://schemas.microsoft.com/office/drawing/2014/main" id="{00000000-0008-0000-0000-0000D6000000}"/>
              </a:ext>
            </a:extLst>
          </xdr:cNvPr>
          <xdr:cNvSpPr/>
        </xdr:nvSpPr>
        <xdr:spPr>
          <a:xfrm rot="5400000">
            <a:off x="9071388" y="18699605"/>
            <a:ext cx="349416" cy="277208"/>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216" name="shape_generic_proces_step_9" hidden="1">
            <a:extLst>
              <a:ext uri="{FF2B5EF4-FFF2-40B4-BE49-F238E27FC236}">
                <a16:creationId xmlns:a16="http://schemas.microsoft.com/office/drawing/2014/main" id="{00000000-0008-0000-0000-0000D8000000}"/>
              </a:ext>
            </a:extLst>
          </xdr:cNvPr>
          <xdr:cNvSpPr/>
        </xdr:nvSpPr>
        <xdr:spPr>
          <a:xfrm rot="5400000">
            <a:off x="8592283" y="17953398"/>
            <a:ext cx="1284596" cy="32500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VNA sloup</a:t>
            </a:r>
            <a:r>
              <a:rPr lang="cs-CZ" sz="1000" baseline="0"/>
              <a:t> - VNA rack</a:t>
            </a:r>
            <a:endParaRPr lang="cs-CZ" sz="1000"/>
          </a:p>
        </xdr:txBody>
      </xdr:sp>
    </xdr:grpSp>
    <xdr:clientData/>
  </xdr:twoCellAnchor>
  <xdr:twoCellAnchor>
    <xdr:from>
      <xdr:col>1</xdr:col>
      <xdr:colOff>381000</xdr:colOff>
      <xdr:row>100</xdr:row>
      <xdr:rowOff>13606</xdr:rowOff>
    </xdr:from>
    <xdr:to>
      <xdr:col>11</xdr:col>
      <xdr:colOff>749773</xdr:colOff>
      <xdr:row>106</xdr:row>
      <xdr:rowOff>174056</xdr:rowOff>
    </xdr:to>
    <xdr:graphicFrame macro="">
      <xdr:nvGraphicFramePr>
        <xdr:cNvPr id="231" name="chart_generic_8" hidden="1">
          <a:extLst>
            <a:ext uri="{FF2B5EF4-FFF2-40B4-BE49-F238E27FC236}">
              <a16:creationId xmlns:a16="http://schemas.microsoft.com/office/drawing/2014/main" id="{00000000-0008-0000-0000-0000E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xdr:col>
      <xdr:colOff>381000</xdr:colOff>
      <xdr:row>108</xdr:row>
      <xdr:rowOff>77796</xdr:rowOff>
    </xdr:from>
    <xdr:to>
      <xdr:col>11</xdr:col>
      <xdr:colOff>749773</xdr:colOff>
      <xdr:row>115</xdr:row>
      <xdr:rowOff>47746</xdr:rowOff>
    </xdr:to>
    <xdr:graphicFrame macro="">
      <xdr:nvGraphicFramePr>
        <xdr:cNvPr id="232" name="chart_generic_9" hidden="1">
          <a:extLst>
            <a:ext uri="{FF2B5EF4-FFF2-40B4-BE49-F238E27FC236}">
              <a16:creationId xmlns:a16="http://schemas.microsoft.com/office/drawing/2014/main" id="{00000000-0008-0000-0000-0000E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xdr:col>
      <xdr:colOff>381000</xdr:colOff>
      <xdr:row>116</xdr:row>
      <xdr:rowOff>84127</xdr:rowOff>
    </xdr:from>
    <xdr:to>
      <xdr:col>11</xdr:col>
      <xdr:colOff>749773</xdr:colOff>
      <xdr:row>123</xdr:row>
      <xdr:rowOff>54077</xdr:rowOff>
    </xdr:to>
    <xdr:graphicFrame macro="">
      <xdr:nvGraphicFramePr>
        <xdr:cNvPr id="233" name="chart_generic_10" hidden="1">
          <a:extLst>
            <a:ext uri="{FF2B5EF4-FFF2-40B4-BE49-F238E27FC236}">
              <a16:creationId xmlns:a16="http://schemas.microsoft.com/office/drawing/2014/main" id="{00000000-0008-0000-0000-0000E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15</xdr:col>
      <xdr:colOff>125696</xdr:colOff>
      <xdr:row>44</xdr:row>
      <xdr:rowOff>37876</xdr:rowOff>
    </xdr:from>
    <xdr:to>
      <xdr:col>17</xdr:col>
      <xdr:colOff>402335</xdr:colOff>
      <xdr:row>48</xdr:row>
      <xdr:rowOff>161701</xdr:rowOff>
    </xdr:to>
    <xdr:sp macro="" textlink="">
      <xdr:nvSpPr>
        <xdr:cNvPr id="234" name="shape_tooltip" hidden="1">
          <a:extLst>
            <a:ext uri="{FF2B5EF4-FFF2-40B4-BE49-F238E27FC236}">
              <a16:creationId xmlns:a16="http://schemas.microsoft.com/office/drawing/2014/main" id="{00000000-0008-0000-0000-0000EA000000}"/>
            </a:ext>
          </a:extLst>
        </xdr:cNvPr>
        <xdr:cNvSpPr/>
      </xdr:nvSpPr>
      <xdr:spPr>
        <a:xfrm>
          <a:off x="11003246" y="8486551"/>
          <a:ext cx="1495839" cy="885825"/>
        </a:xfrm>
        <a:prstGeom prst="wedgeRoundRectCallout">
          <a:avLst>
            <a:gd name="adj1" fmla="val -20833"/>
            <a:gd name="adj2" fmla="val 61424"/>
            <a:gd name="adj3" fmla="val 16667"/>
          </a:avLst>
        </a:prstGeom>
        <a:solidFill>
          <a:schemeClr val="accent1">
            <a:alpha val="43000"/>
          </a:schemeClr>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cs-CZ" sz="1100"/>
        </a:p>
      </xdr:txBody>
    </xdr:sp>
    <xdr:clientData/>
  </xdr:twoCellAnchor>
  <xdr:twoCellAnchor>
    <xdr:from>
      <xdr:col>12</xdr:col>
      <xdr:colOff>22412</xdr:colOff>
      <xdr:row>116</xdr:row>
      <xdr:rowOff>136072</xdr:rowOff>
    </xdr:from>
    <xdr:to>
      <xdr:col>12</xdr:col>
      <xdr:colOff>371828</xdr:colOff>
      <xdr:row>124</xdr:row>
      <xdr:rowOff>187561</xdr:rowOff>
    </xdr:to>
    <xdr:grpSp>
      <xdr:nvGrpSpPr>
        <xdr:cNvPr id="24" name="generic_group_10" hidden="1">
          <a:extLst>
            <a:ext uri="{FF2B5EF4-FFF2-40B4-BE49-F238E27FC236}">
              <a16:creationId xmlns:a16="http://schemas.microsoft.com/office/drawing/2014/main" id="{00000000-0008-0000-0000-000018000000}"/>
            </a:ext>
          </a:extLst>
        </xdr:cNvPr>
        <xdr:cNvGrpSpPr/>
      </xdr:nvGrpSpPr>
      <xdr:grpSpPr>
        <a:xfrm>
          <a:off x="9050896" y="2512979"/>
          <a:ext cx="349416" cy="0"/>
          <a:chOff x="9054353" y="22122013"/>
          <a:chExt cx="349416" cy="1575489"/>
        </a:xfrm>
      </xdr:grpSpPr>
      <xdr:sp macro="" textlink="">
        <xdr:nvSpPr>
          <xdr:cNvPr id="230" name="shape_generic_proces_step_10" hidden="1">
            <a:extLst>
              <a:ext uri="{FF2B5EF4-FFF2-40B4-BE49-F238E27FC236}">
                <a16:creationId xmlns:a16="http://schemas.microsoft.com/office/drawing/2014/main" id="{00000000-0008-0000-0000-0000E6000000}"/>
              </a:ext>
            </a:extLst>
          </xdr:cNvPr>
          <xdr:cNvSpPr/>
        </xdr:nvSpPr>
        <xdr:spPr>
          <a:xfrm rot="5400000">
            <a:off x="8579360" y="22601809"/>
            <a:ext cx="1284596" cy="32500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VNA sloup</a:t>
            </a:r>
            <a:r>
              <a:rPr lang="cs-CZ" sz="1000" baseline="0"/>
              <a:t> - VNA rack</a:t>
            </a:r>
            <a:endParaRPr lang="cs-CZ" sz="1000"/>
          </a:p>
        </xdr:txBody>
      </xdr:sp>
      <xdr:sp macro="" textlink="">
        <xdr:nvSpPr>
          <xdr:cNvPr id="228" name="generic_arrow_10" hidden="1">
            <a:extLst>
              <a:ext uri="{FF2B5EF4-FFF2-40B4-BE49-F238E27FC236}">
                <a16:creationId xmlns:a16="http://schemas.microsoft.com/office/drawing/2014/main" id="{00000000-0008-0000-0000-0000E4000000}"/>
              </a:ext>
            </a:extLst>
          </xdr:cNvPr>
          <xdr:cNvSpPr/>
        </xdr:nvSpPr>
        <xdr:spPr>
          <a:xfrm rot="5400000">
            <a:off x="9090457" y="23384190"/>
            <a:ext cx="277208" cy="349416"/>
          </a:xfrm>
          <a:prstGeom prst="rightArrow">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grpSp>
    <xdr:clientData/>
  </xdr:twoCellAnchor>
  <xdr:twoCellAnchor>
    <xdr:from>
      <xdr:col>13</xdr:col>
      <xdr:colOff>392906</xdr:colOff>
      <xdr:row>13</xdr:row>
      <xdr:rowOff>128588</xdr:rowOff>
    </xdr:from>
    <xdr:to>
      <xdr:col>15</xdr:col>
      <xdr:colOff>440485</xdr:colOff>
      <xdr:row>15</xdr:row>
      <xdr:rowOff>59532</xdr:rowOff>
    </xdr:to>
    <xdr:sp macro="" textlink="data.chart!$J$6">
      <xdr:nvSpPr>
        <xdr:cNvPr id="229" name="TextBox 7">
          <a:extLst>
            <a:ext uri="{FF2B5EF4-FFF2-40B4-BE49-F238E27FC236}">
              <a16:creationId xmlns:a16="http://schemas.microsoft.com/office/drawing/2014/main" id="{00000000-0008-0000-0000-0000E5000000}"/>
            </a:ext>
          </a:extLst>
        </xdr:cNvPr>
        <xdr:cNvSpPr txBox="1"/>
      </xdr:nvSpPr>
      <xdr:spPr>
        <a:xfrm>
          <a:off x="10036969" y="2616994"/>
          <a:ext cx="1262016" cy="311944"/>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0" tIns="0" rIns="0" bIns="0"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fld id="{7A760C68-C413-4460-ADBB-6C4DE20EAA44}" type="TxLink">
            <a:rPr lang="en-US" sz="1400" b="1" i="0" u="none" strike="noStrike">
              <a:solidFill>
                <a:srgbClr val="000000"/>
              </a:solidFill>
              <a:latin typeface="Calibri"/>
            </a:rPr>
            <a:pPr/>
            <a:t>Skutečnost: 0%</a:t>
          </a:fld>
          <a:endParaRPr lang="cs-CZ" sz="1400" b="1"/>
        </a:p>
      </xdr:txBody>
    </xdr:sp>
    <xdr:clientData/>
  </xdr:twoCellAnchor>
  <xdr:twoCellAnchor>
    <xdr:from>
      <xdr:col>17</xdr:col>
      <xdr:colOff>569759</xdr:colOff>
      <xdr:row>13</xdr:row>
      <xdr:rowOff>104776</xdr:rowOff>
    </xdr:from>
    <xdr:to>
      <xdr:col>24</xdr:col>
      <xdr:colOff>601027</xdr:colOff>
      <xdr:row>28</xdr:row>
      <xdr:rowOff>55276</xdr:rowOff>
    </xdr:to>
    <xdr:grpSp>
      <xdr:nvGrpSpPr>
        <xdr:cNvPr id="10" name="Group 9">
          <a:extLst>
            <a:ext uri="{FF2B5EF4-FFF2-40B4-BE49-F238E27FC236}">
              <a16:creationId xmlns:a16="http://schemas.microsoft.com/office/drawing/2014/main" id="{00000000-0008-0000-0000-00000A000000}"/>
            </a:ext>
          </a:extLst>
        </xdr:cNvPr>
        <xdr:cNvGrpSpPr/>
      </xdr:nvGrpSpPr>
      <xdr:grpSpPr>
        <a:xfrm>
          <a:off x="12638137" y="2512979"/>
          <a:ext cx="4287119" cy="0"/>
          <a:chOff x="11856892" y="5438775"/>
          <a:chExt cx="4281799" cy="2808000"/>
        </a:xfrm>
      </xdr:grpSpPr>
      <xdr:graphicFrame macro="">
        <xdr:nvGraphicFramePr>
          <xdr:cNvPr id="239" name="Graf 238">
            <a:extLst>
              <a:ext uri="{FF2B5EF4-FFF2-40B4-BE49-F238E27FC236}">
                <a16:creationId xmlns:a16="http://schemas.microsoft.com/office/drawing/2014/main" id="{00000000-0008-0000-0000-0000EF000000}"/>
              </a:ext>
            </a:extLst>
          </xdr:cNvPr>
          <xdr:cNvGraphicFramePr>
            <a:graphicFrameLocks/>
          </xdr:cNvGraphicFramePr>
        </xdr:nvGraphicFramePr>
        <xdr:xfrm>
          <a:off x="11856892" y="5438775"/>
          <a:ext cx="4281799" cy="2808000"/>
        </xdr:xfrm>
        <a:graphic>
          <a:graphicData uri="http://schemas.openxmlformats.org/drawingml/2006/chart">
            <c:chart xmlns:c="http://schemas.openxmlformats.org/drawingml/2006/chart" xmlns:r="http://schemas.openxmlformats.org/officeDocument/2006/relationships" r:id="rId29"/>
          </a:graphicData>
        </a:graphic>
      </xdr:graphicFrame>
      <xdr:sp macro="[0]!LVL2_C_BUTTON_Click" textlink="">
        <xdr:nvSpPr>
          <xdr:cNvPr id="19" name="LVL2_GENERIC_C_BUTTON">
            <a:extLst>
              <a:ext uri="{FF2B5EF4-FFF2-40B4-BE49-F238E27FC236}">
                <a16:creationId xmlns:a16="http://schemas.microsoft.com/office/drawing/2014/main" id="{00000000-0008-0000-0000-000013000000}"/>
              </a:ext>
            </a:extLst>
          </xdr:cNvPr>
          <xdr:cNvSpPr/>
        </xdr:nvSpPr>
        <xdr:spPr>
          <a:xfrm>
            <a:off x="12925830" y="7375973"/>
            <a:ext cx="2004761" cy="612648"/>
          </a:xfrm>
          <a:prstGeom prst="wedgeRectCallout">
            <a:avLst>
              <a:gd name="adj1" fmla="val -20833"/>
              <a:gd name="adj2" fmla="val 84957"/>
            </a:avLst>
          </a:prstGeom>
          <a:gradFill flip="none" rotWithShape="1">
            <a:gsLst>
              <a:gs pos="0">
                <a:srgbClr val="769535"/>
              </a:gs>
              <a:gs pos="80000">
                <a:srgbClr val="9BC348"/>
              </a:gs>
              <a:gs pos="100000">
                <a:srgbClr val="9CC746"/>
              </a:gs>
            </a:gsLst>
            <a:lin ang="16200000" scaled="0"/>
            <a:tileRect/>
          </a:gradFill>
          <a:scene3d>
            <a:camera prst="orthographicFront">
              <a:rot lat="0" lon="0" rev="0"/>
            </a:camera>
            <a:lightRig rig="threePt" dir="t">
              <a:rot lat="0" lon="0" rev="1200000"/>
            </a:lightRig>
          </a:scene3d>
          <a:sp3d>
            <a:bevelT w="0" h="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800"/>
              <a:t>Zobrazit detail</a:t>
            </a:r>
          </a:p>
        </xdr:txBody>
      </xdr:sp>
      <xdr:sp macro="" textlink="data.chart!$J$7">
        <xdr:nvSpPr>
          <xdr:cNvPr id="237" name="TextBox 7">
            <a:extLst>
              <a:ext uri="{FF2B5EF4-FFF2-40B4-BE49-F238E27FC236}">
                <a16:creationId xmlns:a16="http://schemas.microsoft.com/office/drawing/2014/main" id="{00000000-0008-0000-0000-0000ED000000}"/>
              </a:ext>
            </a:extLst>
          </xdr:cNvPr>
          <xdr:cNvSpPr txBox="1"/>
        </xdr:nvSpPr>
        <xdr:spPr>
          <a:xfrm>
            <a:off x="14704219" y="5462586"/>
            <a:ext cx="1404940" cy="371476"/>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0" tIns="0" rIns="0" bIns="0"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lgn="ctr"/>
            <a:fld id="{21CFF649-9743-480D-911A-5AA49DA180CB}" type="TxLink">
              <a:rPr lang="en-US" sz="1400" b="1" i="0" u="none" strike="noStrike">
                <a:solidFill>
                  <a:srgbClr val="000000"/>
                </a:solidFill>
                <a:latin typeface="Calibri"/>
              </a:rPr>
              <a:pPr algn="ctr"/>
              <a:t>Skutečnost: 0%</a:t>
            </a:fld>
            <a:endParaRPr lang="cs-CZ" sz="1800" b="1"/>
          </a:p>
        </xdr:txBody>
      </xdr:sp>
    </xdr:grpSp>
    <xdr:clientData/>
  </xdr:twoCellAnchor>
  <xdr:twoCellAnchor>
    <xdr:from>
      <xdr:col>5</xdr:col>
      <xdr:colOff>333374</xdr:colOff>
      <xdr:row>13</xdr:row>
      <xdr:rowOff>130969</xdr:rowOff>
    </xdr:from>
    <xdr:to>
      <xdr:col>7</xdr:col>
      <xdr:colOff>178546</xdr:colOff>
      <xdr:row>15</xdr:row>
      <xdr:rowOff>61913</xdr:rowOff>
    </xdr:to>
    <xdr:sp macro="" textlink="data.chart!$J$5">
      <xdr:nvSpPr>
        <xdr:cNvPr id="243" name="TextBox 7">
          <a:extLst>
            <a:ext uri="{FF2B5EF4-FFF2-40B4-BE49-F238E27FC236}">
              <a16:creationId xmlns:a16="http://schemas.microsoft.com/office/drawing/2014/main" id="{00000000-0008-0000-0000-0000F3000000}"/>
            </a:ext>
          </a:extLst>
        </xdr:cNvPr>
        <xdr:cNvSpPr txBox="1"/>
      </xdr:nvSpPr>
      <xdr:spPr>
        <a:xfrm>
          <a:off x="4417218" y="2619375"/>
          <a:ext cx="1262016" cy="311944"/>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0" tIns="0" rIns="0" bIns="0"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fld id="{60ABA96B-98CB-4B63-8151-171A8DBDE0AB}" type="TxLink">
            <a:rPr lang="en-US" sz="1400" b="1" i="0" u="none" strike="noStrike">
              <a:solidFill>
                <a:srgbClr val="000000"/>
              </a:solidFill>
              <a:latin typeface="Calibri"/>
            </a:rPr>
            <a:pPr/>
            <a:t>Skutečnost: 0%</a:t>
          </a:fld>
          <a:endParaRPr lang="cs-CZ" sz="1800" b="1"/>
        </a:p>
      </xdr:txBody>
    </xdr:sp>
    <xdr:clientData/>
  </xdr:twoCellAnchor>
  <xdr:twoCellAnchor>
    <xdr:from>
      <xdr:col>12</xdr:col>
      <xdr:colOff>1</xdr:colOff>
      <xdr:row>92</xdr:row>
      <xdr:rowOff>47625</xdr:rowOff>
    </xdr:from>
    <xdr:to>
      <xdr:col>12</xdr:col>
      <xdr:colOff>330107</xdr:colOff>
      <xdr:row>99</xdr:row>
      <xdr:rowOff>187435</xdr:rowOff>
    </xdr:to>
    <xdr:grpSp>
      <xdr:nvGrpSpPr>
        <xdr:cNvPr id="244" name="generic_group_7" hidden="1">
          <a:extLst>
            <a:ext uri="{FF2B5EF4-FFF2-40B4-BE49-F238E27FC236}">
              <a16:creationId xmlns:a16="http://schemas.microsoft.com/office/drawing/2014/main" id="{00000000-0008-0000-0000-0000F4000000}"/>
            </a:ext>
          </a:extLst>
        </xdr:cNvPr>
        <xdr:cNvGrpSpPr/>
      </xdr:nvGrpSpPr>
      <xdr:grpSpPr>
        <a:xfrm>
          <a:off x="9028485" y="2512979"/>
          <a:ext cx="330106" cy="0"/>
          <a:chOff x="9021435" y="15904622"/>
          <a:chExt cx="332207" cy="1473310"/>
        </a:xfrm>
      </xdr:grpSpPr>
      <xdr:sp macro="" textlink="">
        <xdr:nvSpPr>
          <xdr:cNvPr id="245" name="generic_arrow_6" hidden="1">
            <a:extLst>
              <a:ext uri="{FF2B5EF4-FFF2-40B4-BE49-F238E27FC236}">
                <a16:creationId xmlns:a16="http://schemas.microsoft.com/office/drawing/2014/main" id="{00000000-0008-0000-0000-0000F5000000}"/>
              </a:ext>
            </a:extLst>
          </xdr:cNvPr>
          <xdr:cNvSpPr/>
        </xdr:nvSpPr>
        <xdr:spPr>
          <a:xfrm rot="5400000">
            <a:off x="9010456" y="17064620"/>
            <a:ext cx="349416" cy="277208"/>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246" name="shape_generic_proces_step_7" hidden="1">
            <a:extLst>
              <a:ext uri="{FF2B5EF4-FFF2-40B4-BE49-F238E27FC236}">
                <a16:creationId xmlns:a16="http://schemas.microsoft.com/office/drawing/2014/main" id="{00000000-0008-0000-0000-0000F6000000}"/>
              </a:ext>
            </a:extLst>
          </xdr:cNvPr>
          <xdr:cNvSpPr/>
        </xdr:nvSpPr>
        <xdr:spPr>
          <a:xfrm rot="5400000">
            <a:off x="8582364" y="16343693"/>
            <a:ext cx="1210349" cy="33220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TA regál -&gt; Linka</a:t>
            </a:r>
          </a:p>
        </xdr:txBody>
      </xdr:sp>
    </xdr:grpSp>
    <xdr:clientData/>
  </xdr:twoCellAnchor>
  <xdr:twoCellAnchor>
    <xdr:from>
      <xdr:col>18</xdr:col>
      <xdr:colOff>494535</xdr:colOff>
      <xdr:row>34</xdr:row>
      <xdr:rowOff>10582</xdr:rowOff>
    </xdr:from>
    <xdr:to>
      <xdr:col>25</xdr:col>
      <xdr:colOff>13203</xdr:colOff>
      <xdr:row>40</xdr:row>
      <xdr:rowOff>1582</xdr:rowOff>
    </xdr:to>
    <xdr:grpSp>
      <xdr:nvGrpSpPr>
        <xdr:cNvPr id="21" name="LEGEND_GROUP_WHOLE_AREA">
          <a:extLst>
            <a:ext uri="{FF2B5EF4-FFF2-40B4-BE49-F238E27FC236}">
              <a16:creationId xmlns:a16="http://schemas.microsoft.com/office/drawing/2014/main" id="{00000000-0008-0000-0000-000015000000}"/>
            </a:ext>
          </a:extLst>
        </xdr:cNvPr>
        <xdr:cNvGrpSpPr/>
      </xdr:nvGrpSpPr>
      <xdr:grpSpPr>
        <a:xfrm>
          <a:off x="13170891" y="2512979"/>
          <a:ext cx="3774519" cy="0"/>
          <a:chOff x="16978312" y="6511395"/>
          <a:chExt cx="3769200" cy="1134000"/>
        </a:xfrm>
      </xdr:grpSpPr>
      <xdr:graphicFrame macro="">
        <xdr:nvGraphicFramePr>
          <xdr:cNvPr id="241" name="Graf 29">
            <a:extLst>
              <a:ext uri="{FF2B5EF4-FFF2-40B4-BE49-F238E27FC236}">
                <a16:creationId xmlns:a16="http://schemas.microsoft.com/office/drawing/2014/main" id="{00000000-0008-0000-0000-0000F1000000}"/>
              </a:ext>
            </a:extLst>
          </xdr:cNvPr>
          <xdr:cNvGraphicFramePr>
            <a:graphicFrameLocks/>
          </xdr:cNvGraphicFramePr>
        </xdr:nvGraphicFramePr>
        <xdr:xfrm>
          <a:off x="16978312" y="6511395"/>
          <a:ext cx="3769200" cy="1134000"/>
        </xdr:xfrm>
        <a:graphic>
          <a:graphicData uri="http://schemas.openxmlformats.org/drawingml/2006/chart">
            <c:chart xmlns:c="http://schemas.openxmlformats.org/drawingml/2006/chart" xmlns:r="http://schemas.openxmlformats.org/officeDocument/2006/relationships" r:id="rId30"/>
          </a:graphicData>
        </a:graphic>
      </xdr:graphicFrame>
      <xdr:sp macro="" textlink="">
        <xdr:nvSpPr>
          <xdr:cNvPr id="247" name="Rectangular Callout 246">
            <a:extLst>
              <a:ext uri="{FF2B5EF4-FFF2-40B4-BE49-F238E27FC236}">
                <a16:creationId xmlns:a16="http://schemas.microsoft.com/office/drawing/2014/main" id="{00000000-0008-0000-0000-0000F7000000}"/>
              </a:ext>
            </a:extLst>
          </xdr:cNvPr>
          <xdr:cNvSpPr/>
        </xdr:nvSpPr>
        <xdr:spPr>
          <a:xfrm>
            <a:off x="17799844" y="6750845"/>
            <a:ext cx="491292" cy="161924"/>
          </a:xfrm>
          <a:prstGeom prst="wedgeRectCallout">
            <a:avLst>
              <a:gd name="adj1" fmla="val 50755"/>
              <a:gd name="adj2" fmla="val -106582"/>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Hodina</a:t>
            </a:r>
          </a:p>
        </xdr:txBody>
      </xdr:sp>
      <xdr:sp macro="" textlink="">
        <xdr:nvSpPr>
          <xdr:cNvPr id="252" name="Rectangular Callout 251">
            <a:extLst>
              <a:ext uri="{FF2B5EF4-FFF2-40B4-BE49-F238E27FC236}">
                <a16:creationId xmlns:a16="http://schemas.microsoft.com/office/drawing/2014/main" id="{00000000-0008-0000-0000-0000FC000000}"/>
              </a:ext>
            </a:extLst>
          </xdr:cNvPr>
          <xdr:cNvSpPr/>
        </xdr:nvSpPr>
        <xdr:spPr>
          <a:xfrm>
            <a:off x="19180969" y="7429501"/>
            <a:ext cx="1089386" cy="132773"/>
          </a:xfrm>
          <a:prstGeom prst="wedgeRectCallout">
            <a:avLst>
              <a:gd name="adj1" fmla="val -40617"/>
              <a:gd name="adj2" fmla="val -135903"/>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Zpracované úkoly </a:t>
            </a:r>
          </a:p>
        </xdr:txBody>
      </xdr:sp>
      <xdr:sp macro="" textlink="">
        <xdr:nvSpPr>
          <xdr:cNvPr id="253" name="Rectangular Callout 252">
            <a:extLst>
              <a:ext uri="{FF2B5EF4-FFF2-40B4-BE49-F238E27FC236}">
                <a16:creationId xmlns:a16="http://schemas.microsoft.com/office/drawing/2014/main" id="{00000000-0008-0000-0000-0000FD000000}"/>
              </a:ext>
            </a:extLst>
          </xdr:cNvPr>
          <xdr:cNvSpPr/>
        </xdr:nvSpPr>
        <xdr:spPr>
          <a:xfrm>
            <a:off x="19204781" y="6727032"/>
            <a:ext cx="1089386" cy="132773"/>
          </a:xfrm>
          <a:prstGeom prst="wedgeRectCallout">
            <a:avLst>
              <a:gd name="adj1" fmla="val -28595"/>
              <a:gd name="adj2" fmla="val 124151"/>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Zatížení oblasti</a:t>
            </a:r>
          </a:p>
        </xdr:txBody>
      </xdr:sp>
      <xdr:sp macro="" textlink="">
        <xdr:nvSpPr>
          <xdr:cNvPr id="254" name="Rectangular Callout 253">
            <a:extLst>
              <a:ext uri="{FF2B5EF4-FFF2-40B4-BE49-F238E27FC236}">
                <a16:creationId xmlns:a16="http://schemas.microsoft.com/office/drawing/2014/main" id="{00000000-0008-0000-0000-0000FE000000}"/>
              </a:ext>
            </a:extLst>
          </xdr:cNvPr>
          <xdr:cNvSpPr/>
        </xdr:nvSpPr>
        <xdr:spPr>
          <a:xfrm>
            <a:off x="18526125" y="7131845"/>
            <a:ext cx="1089386" cy="132773"/>
          </a:xfrm>
          <a:prstGeom prst="wedgeRectCallout">
            <a:avLst>
              <a:gd name="adj1" fmla="val -8922"/>
              <a:gd name="adj2" fmla="val -109000"/>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Cíl</a:t>
            </a:r>
            <a:r>
              <a:rPr lang="cs-CZ" sz="800" baseline="0">
                <a:solidFill>
                  <a:schemeClr val="tx1"/>
                </a:solidFill>
              </a:rPr>
              <a:t> zatíženosti oblsti</a:t>
            </a:r>
            <a:endParaRPr lang="cs-CZ" sz="800">
              <a:solidFill>
                <a:schemeClr val="tx1"/>
              </a:solidFill>
            </a:endParaRPr>
          </a:p>
        </xdr:txBody>
      </xdr:sp>
    </xdr:grpSp>
    <xdr:clientData/>
  </xdr:twoCellAnchor>
  <xdr:twoCellAnchor>
    <xdr:from>
      <xdr:col>18</xdr:col>
      <xdr:colOff>494535</xdr:colOff>
      <xdr:row>34</xdr:row>
      <xdr:rowOff>10582</xdr:rowOff>
    </xdr:from>
    <xdr:to>
      <xdr:col>25</xdr:col>
      <xdr:colOff>13203</xdr:colOff>
      <xdr:row>40</xdr:row>
      <xdr:rowOff>1582</xdr:rowOff>
    </xdr:to>
    <xdr:grpSp>
      <xdr:nvGrpSpPr>
        <xdr:cNvPr id="16" name="LEGEND_GROUP_PROG_VS_TOT">
          <a:extLst>
            <a:ext uri="{FF2B5EF4-FFF2-40B4-BE49-F238E27FC236}">
              <a16:creationId xmlns:a16="http://schemas.microsoft.com/office/drawing/2014/main" id="{00000000-0008-0000-0000-000010000000}"/>
            </a:ext>
          </a:extLst>
        </xdr:cNvPr>
        <xdr:cNvGrpSpPr/>
      </xdr:nvGrpSpPr>
      <xdr:grpSpPr>
        <a:xfrm>
          <a:off x="13170891" y="2512979"/>
          <a:ext cx="3774519" cy="0"/>
          <a:chOff x="20800218" y="6511395"/>
          <a:chExt cx="3769200" cy="1134000"/>
        </a:xfrm>
      </xdr:grpSpPr>
      <xdr:graphicFrame macro="">
        <xdr:nvGraphicFramePr>
          <xdr:cNvPr id="242" name="Graf 29">
            <a:extLst>
              <a:ext uri="{FF2B5EF4-FFF2-40B4-BE49-F238E27FC236}">
                <a16:creationId xmlns:a16="http://schemas.microsoft.com/office/drawing/2014/main" id="{00000000-0008-0000-0000-0000F2000000}"/>
              </a:ext>
            </a:extLst>
          </xdr:cNvPr>
          <xdr:cNvGraphicFramePr>
            <a:graphicFrameLocks/>
          </xdr:cNvGraphicFramePr>
        </xdr:nvGraphicFramePr>
        <xdr:xfrm>
          <a:off x="20800218" y="6511395"/>
          <a:ext cx="3769200" cy="1134000"/>
        </xdr:xfrm>
        <a:graphic>
          <a:graphicData uri="http://schemas.openxmlformats.org/drawingml/2006/chart">
            <c:chart xmlns:c="http://schemas.openxmlformats.org/drawingml/2006/chart" xmlns:r="http://schemas.openxmlformats.org/officeDocument/2006/relationships" r:id="rId31"/>
          </a:graphicData>
        </a:graphic>
      </xdr:graphicFrame>
      <xdr:sp macro="" textlink="">
        <xdr:nvSpPr>
          <xdr:cNvPr id="248" name="Rectangular Callout 247">
            <a:extLst>
              <a:ext uri="{FF2B5EF4-FFF2-40B4-BE49-F238E27FC236}">
                <a16:creationId xmlns:a16="http://schemas.microsoft.com/office/drawing/2014/main" id="{00000000-0008-0000-0000-0000F8000000}"/>
              </a:ext>
            </a:extLst>
          </xdr:cNvPr>
          <xdr:cNvSpPr/>
        </xdr:nvSpPr>
        <xdr:spPr>
          <a:xfrm>
            <a:off x="21419344" y="6727032"/>
            <a:ext cx="491292" cy="161924"/>
          </a:xfrm>
          <a:prstGeom prst="wedgeRectCallout">
            <a:avLst>
              <a:gd name="adj1" fmla="val 50755"/>
              <a:gd name="adj2" fmla="val -106582"/>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Hodina</a:t>
            </a:r>
          </a:p>
        </xdr:txBody>
      </xdr:sp>
      <xdr:sp macro="" textlink="">
        <xdr:nvSpPr>
          <xdr:cNvPr id="249" name="Rectangular Callout 248">
            <a:extLst>
              <a:ext uri="{FF2B5EF4-FFF2-40B4-BE49-F238E27FC236}">
                <a16:creationId xmlns:a16="http://schemas.microsoft.com/office/drawing/2014/main" id="{00000000-0008-0000-0000-0000F9000000}"/>
              </a:ext>
            </a:extLst>
          </xdr:cNvPr>
          <xdr:cNvSpPr/>
        </xdr:nvSpPr>
        <xdr:spPr>
          <a:xfrm>
            <a:off x="22240875" y="7417594"/>
            <a:ext cx="1008984" cy="133350"/>
          </a:xfrm>
          <a:prstGeom prst="wedgeRectCallout">
            <a:avLst>
              <a:gd name="adj1" fmla="val -40024"/>
              <a:gd name="adj2" fmla="val -170978"/>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Zadané úkoly</a:t>
            </a:r>
          </a:p>
        </xdr:txBody>
      </xdr:sp>
      <xdr:sp macro="" textlink="">
        <xdr:nvSpPr>
          <xdr:cNvPr id="251" name="Rectangular Callout 250">
            <a:extLst>
              <a:ext uri="{FF2B5EF4-FFF2-40B4-BE49-F238E27FC236}">
                <a16:creationId xmlns:a16="http://schemas.microsoft.com/office/drawing/2014/main" id="{00000000-0008-0000-0000-0000FB000000}"/>
              </a:ext>
            </a:extLst>
          </xdr:cNvPr>
          <xdr:cNvSpPr/>
        </xdr:nvSpPr>
        <xdr:spPr>
          <a:xfrm>
            <a:off x="22026562" y="6881813"/>
            <a:ext cx="1089386" cy="132773"/>
          </a:xfrm>
          <a:prstGeom prst="wedgeRectCallout">
            <a:avLst>
              <a:gd name="adj1" fmla="val -28595"/>
              <a:gd name="adj2" fmla="val 124151"/>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Zpracované úkoly</a:t>
            </a:r>
          </a:p>
        </xdr:txBody>
      </xdr:sp>
    </xdr:grpSp>
    <xdr:clientData/>
  </xdr:twoCellAnchor>
  <xdr:twoCellAnchor>
    <xdr:from>
      <xdr:col>18</xdr:col>
      <xdr:colOff>494535</xdr:colOff>
      <xdr:row>34</xdr:row>
      <xdr:rowOff>10582</xdr:rowOff>
    </xdr:from>
    <xdr:to>
      <xdr:col>25</xdr:col>
      <xdr:colOff>14198</xdr:colOff>
      <xdr:row>40</xdr:row>
      <xdr:rowOff>1582</xdr:rowOff>
    </xdr:to>
    <xdr:grpSp>
      <xdr:nvGrpSpPr>
        <xdr:cNvPr id="2" name="LEGEND_GROUP_DUE_IN_PROG">
          <a:extLst>
            <a:ext uri="{FF2B5EF4-FFF2-40B4-BE49-F238E27FC236}">
              <a16:creationId xmlns:a16="http://schemas.microsoft.com/office/drawing/2014/main" id="{00000000-0008-0000-0000-000002000000}"/>
            </a:ext>
          </a:extLst>
        </xdr:cNvPr>
        <xdr:cNvGrpSpPr/>
      </xdr:nvGrpSpPr>
      <xdr:grpSpPr>
        <a:xfrm>
          <a:off x="13170891" y="2512979"/>
          <a:ext cx="3775514" cy="0"/>
          <a:chOff x="13174691" y="6511395"/>
          <a:chExt cx="3770195" cy="1134000"/>
        </a:xfrm>
      </xdr:grpSpPr>
      <xdr:graphicFrame macro="">
        <xdr:nvGraphicFramePr>
          <xdr:cNvPr id="136" name="Graf 29">
            <a:extLst>
              <a:ext uri="{FF2B5EF4-FFF2-40B4-BE49-F238E27FC236}">
                <a16:creationId xmlns:a16="http://schemas.microsoft.com/office/drawing/2014/main" id="{00000000-0008-0000-0000-000088000000}"/>
              </a:ext>
            </a:extLst>
          </xdr:cNvPr>
          <xdr:cNvGraphicFramePr>
            <a:graphicFrameLocks/>
          </xdr:cNvGraphicFramePr>
        </xdr:nvGraphicFramePr>
        <xdr:xfrm>
          <a:off x="13174691" y="6511395"/>
          <a:ext cx="3770195" cy="1134000"/>
        </xdr:xfrm>
        <a:graphic>
          <a:graphicData uri="http://schemas.openxmlformats.org/drawingml/2006/chart">
            <c:chart xmlns:c="http://schemas.openxmlformats.org/drawingml/2006/chart" xmlns:r="http://schemas.openxmlformats.org/officeDocument/2006/relationships" r:id="rId32"/>
          </a:graphicData>
        </a:graphic>
      </xdr:graphicFrame>
      <xdr:sp macro="" textlink="">
        <xdr:nvSpPr>
          <xdr:cNvPr id="123" name="Rectangular Callout 122">
            <a:extLst>
              <a:ext uri="{FF2B5EF4-FFF2-40B4-BE49-F238E27FC236}">
                <a16:creationId xmlns:a16="http://schemas.microsoft.com/office/drawing/2014/main" id="{00000000-0008-0000-0000-00007B000000}"/>
              </a:ext>
            </a:extLst>
          </xdr:cNvPr>
          <xdr:cNvSpPr/>
        </xdr:nvSpPr>
        <xdr:spPr>
          <a:xfrm>
            <a:off x="14869508" y="6723063"/>
            <a:ext cx="1089386" cy="132773"/>
          </a:xfrm>
          <a:prstGeom prst="wedgeRectCallout">
            <a:avLst>
              <a:gd name="adj1" fmla="val -28595"/>
              <a:gd name="adj2" fmla="val 124151"/>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ysClr val="windowText" lastClr="000000"/>
                </a:solidFill>
              </a:rPr>
              <a:t>Zpracované úkoly </a:t>
            </a:r>
            <a:r>
              <a:rPr lang="en-US" sz="800">
                <a:solidFill>
                  <a:sysClr val="windowText" lastClr="000000"/>
                </a:solidFill>
              </a:rPr>
              <a:t>(%)</a:t>
            </a:r>
            <a:endParaRPr lang="cs-CZ" sz="800">
              <a:solidFill>
                <a:sysClr val="windowText" lastClr="000000"/>
              </a:solidFill>
            </a:endParaRPr>
          </a:p>
        </xdr:txBody>
      </xdr:sp>
      <xdr:sp macro="" textlink="">
        <xdr:nvSpPr>
          <xdr:cNvPr id="125" name="Rectangular Callout 124">
            <a:extLst>
              <a:ext uri="{FF2B5EF4-FFF2-40B4-BE49-F238E27FC236}">
                <a16:creationId xmlns:a16="http://schemas.microsoft.com/office/drawing/2014/main" id="{00000000-0008-0000-0000-00007D000000}"/>
              </a:ext>
            </a:extLst>
          </xdr:cNvPr>
          <xdr:cNvSpPr/>
        </xdr:nvSpPr>
        <xdr:spPr>
          <a:xfrm>
            <a:off x="14120049" y="6726238"/>
            <a:ext cx="491292" cy="161924"/>
          </a:xfrm>
          <a:prstGeom prst="wedgeRectCallout">
            <a:avLst>
              <a:gd name="adj1" fmla="val 50755"/>
              <a:gd name="adj2" fmla="val -106582"/>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ysClr val="windowText" lastClr="000000"/>
                </a:solidFill>
              </a:rPr>
              <a:t>Hodina</a:t>
            </a:r>
          </a:p>
        </xdr:txBody>
      </xdr:sp>
      <xdr:sp macro="" textlink="">
        <xdr:nvSpPr>
          <xdr:cNvPr id="137" name="Rectangular Callout 136">
            <a:extLst>
              <a:ext uri="{FF2B5EF4-FFF2-40B4-BE49-F238E27FC236}">
                <a16:creationId xmlns:a16="http://schemas.microsoft.com/office/drawing/2014/main" id="{00000000-0008-0000-0000-000089000000}"/>
              </a:ext>
            </a:extLst>
          </xdr:cNvPr>
          <xdr:cNvSpPr/>
        </xdr:nvSpPr>
        <xdr:spPr>
          <a:xfrm>
            <a:off x="14570748" y="7417858"/>
            <a:ext cx="1008984" cy="133350"/>
          </a:xfrm>
          <a:prstGeom prst="wedgeRectCallout">
            <a:avLst>
              <a:gd name="adj1" fmla="val -40024"/>
              <a:gd name="adj2" fmla="val -170978"/>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ysClr val="windowText" lastClr="000000"/>
                </a:solidFill>
              </a:rPr>
              <a:t>Zadané úkoly</a:t>
            </a:r>
          </a:p>
        </xdr:txBody>
      </xdr:sp>
    </xdr:grpSp>
    <xdr:clientData/>
  </xdr:twoCellAnchor>
  <xdr:twoCellAnchor>
    <xdr:from>
      <xdr:col>13</xdr:col>
      <xdr:colOff>95249</xdr:colOff>
      <xdr:row>59</xdr:row>
      <xdr:rowOff>30136</xdr:rowOff>
    </xdr:from>
    <xdr:to>
      <xdr:col>25</xdr:col>
      <xdr:colOff>33483</xdr:colOff>
      <xdr:row>66</xdr:row>
      <xdr:rowOff>5435</xdr:rowOff>
    </xdr:to>
    <xdr:graphicFrame macro="">
      <xdr:nvGraphicFramePr>
        <xdr:cNvPr id="111" name="chart_generic_add_data3">
          <a:extLst>
            <a:ext uri="{FF2B5EF4-FFF2-40B4-BE49-F238E27FC236}">
              <a16:creationId xmlns:a16="http://schemas.microsoft.com/office/drawing/2014/main" id="{00000000-0008-0000-0000-00006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editAs="oneCell">
    <xdr:from>
      <xdr:col>0</xdr:col>
      <xdr:colOff>1</xdr:colOff>
      <xdr:row>0</xdr:row>
      <xdr:rowOff>128351</xdr:rowOff>
    </xdr:from>
    <xdr:to>
      <xdr:col>1</xdr:col>
      <xdr:colOff>331011</xdr:colOff>
      <xdr:row>8</xdr:row>
      <xdr:rowOff>33777</xdr:rowOff>
    </xdr:to>
    <mc:AlternateContent xmlns:mc="http://schemas.openxmlformats.org/markup-compatibility/2006" xmlns:a14="http://schemas.microsoft.com/office/drawing/2010/main">
      <mc:Choice Requires="a14">
        <xdr:graphicFrame macro="">
          <xdr:nvGraphicFramePr>
            <xdr:cNvPr id="235" name="Datum D/N">
              <a:extLst>
                <a:ext uri="{FF2B5EF4-FFF2-40B4-BE49-F238E27FC236}">
                  <a16:creationId xmlns:a16="http://schemas.microsoft.com/office/drawing/2014/main" id="{821D8383-942B-469A-BCE6-F6079B4D7E84}"/>
                </a:ext>
              </a:extLst>
            </xdr:cNvPr>
            <xdr:cNvGraphicFramePr/>
          </xdr:nvGraphicFramePr>
          <xdr:xfrm>
            <a:off x="0" y="0"/>
            <a:ext cx="0" cy="0"/>
          </xdr:xfrm>
          <a:graphic>
            <a:graphicData uri="http://schemas.microsoft.com/office/drawing/2010/slicer">
              <sle:slicer xmlns:sle="http://schemas.microsoft.com/office/drawing/2010/slicer" name="Datum D/N"/>
            </a:graphicData>
          </a:graphic>
        </xdr:graphicFrame>
      </mc:Choice>
      <mc:Fallback xmlns="">
        <xdr:sp macro="" textlink="">
          <xdr:nvSpPr>
            <xdr:cNvPr id="0" name=""/>
            <xdr:cNvSpPr>
              <a:spLocks noTextEdit="1"/>
            </xdr:cNvSpPr>
          </xdr:nvSpPr>
          <xdr:spPr>
            <a:xfrm>
              <a:off x="1" y="128351"/>
              <a:ext cx="1432127" cy="1364575"/>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8</xdr:row>
      <xdr:rowOff>37154</xdr:rowOff>
    </xdr:from>
    <xdr:to>
      <xdr:col>1</xdr:col>
      <xdr:colOff>331011</xdr:colOff>
      <xdr:row>129</xdr:row>
      <xdr:rowOff>148617</xdr:rowOff>
    </xdr:to>
    <mc:AlternateContent xmlns:mc="http://schemas.openxmlformats.org/markup-compatibility/2006" xmlns:a14="http://schemas.microsoft.com/office/drawing/2010/main">
      <mc:Choice Requires="a14">
        <xdr:graphicFrame macro="">
          <xdr:nvGraphicFramePr>
            <xdr:cNvPr id="236" name="Směna">
              <a:extLst>
                <a:ext uri="{FF2B5EF4-FFF2-40B4-BE49-F238E27FC236}">
                  <a16:creationId xmlns:a16="http://schemas.microsoft.com/office/drawing/2014/main" id="{1297C817-47FE-4144-90C2-653658DB6404}"/>
                </a:ext>
              </a:extLst>
            </xdr:cNvPr>
            <xdr:cNvGraphicFramePr/>
          </xdr:nvGraphicFramePr>
          <xdr:xfrm>
            <a:off x="0" y="0"/>
            <a:ext cx="0" cy="0"/>
          </xdr:xfrm>
          <a:graphic>
            <a:graphicData uri="http://schemas.microsoft.com/office/drawing/2010/slicer">
              <sle:slicer xmlns:sle="http://schemas.microsoft.com/office/drawing/2010/slicer" name="Směna"/>
            </a:graphicData>
          </a:graphic>
        </xdr:graphicFrame>
      </mc:Choice>
      <mc:Fallback xmlns="">
        <xdr:sp macro="" textlink="">
          <xdr:nvSpPr>
            <xdr:cNvPr id="0" name=""/>
            <xdr:cNvSpPr>
              <a:spLocks noTextEdit="1"/>
            </xdr:cNvSpPr>
          </xdr:nvSpPr>
          <xdr:spPr>
            <a:xfrm>
              <a:off x="0" y="1496303"/>
              <a:ext cx="1432128" cy="1394974"/>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86592</xdr:colOff>
      <xdr:row>51</xdr:row>
      <xdr:rowOff>17318</xdr:rowOff>
    </xdr:from>
    <xdr:to>
      <xdr:col>25</xdr:col>
      <xdr:colOff>24826</xdr:colOff>
      <xdr:row>57</xdr:row>
      <xdr:rowOff>181118</xdr:rowOff>
    </xdr:to>
    <xdr:graphicFrame macro="">
      <xdr:nvGraphicFramePr>
        <xdr:cNvPr id="268" name="chart_generic_add_data2">
          <a:extLst>
            <a:ext uri="{FF2B5EF4-FFF2-40B4-BE49-F238E27FC236}">
              <a16:creationId xmlns:a16="http://schemas.microsoft.com/office/drawing/2014/main" id="{00000000-0008-0000-0000-00000C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xdr:col>
      <xdr:colOff>95249</xdr:colOff>
      <xdr:row>67</xdr:row>
      <xdr:rowOff>35406</xdr:rowOff>
    </xdr:from>
    <xdr:to>
      <xdr:col>25</xdr:col>
      <xdr:colOff>33483</xdr:colOff>
      <xdr:row>74</xdr:row>
      <xdr:rowOff>8706</xdr:rowOff>
    </xdr:to>
    <xdr:graphicFrame macro="">
      <xdr:nvGraphicFramePr>
        <xdr:cNvPr id="112" name="chart_generic_add_data4">
          <a:extLst>
            <a:ext uri="{FF2B5EF4-FFF2-40B4-BE49-F238E27FC236}">
              <a16:creationId xmlns:a16="http://schemas.microsoft.com/office/drawing/2014/main" id="{00000000-0008-0000-0000-00007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xdr:col>
      <xdr:colOff>95249</xdr:colOff>
      <xdr:row>75</xdr:row>
      <xdr:rowOff>65352</xdr:rowOff>
    </xdr:from>
    <xdr:to>
      <xdr:col>25</xdr:col>
      <xdr:colOff>33483</xdr:colOff>
      <xdr:row>82</xdr:row>
      <xdr:rowOff>38652</xdr:rowOff>
    </xdr:to>
    <xdr:graphicFrame macro="">
      <xdr:nvGraphicFramePr>
        <xdr:cNvPr id="113" name="chart_generic_add_data5">
          <a:extLst>
            <a:ext uri="{FF2B5EF4-FFF2-40B4-BE49-F238E27FC236}">
              <a16:creationId xmlns:a16="http://schemas.microsoft.com/office/drawing/2014/main" id="{00000000-0008-0000-0000-00007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13</xdr:col>
      <xdr:colOff>86591</xdr:colOff>
      <xdr:row>84</xdr:row>
      <xdr:rowOff>40820</xdr:rowOff>
    </xdr:from>
    <xdr:to>
      <xdr:col>25</xdr:col>
      <xdr:colOff>24825</xdr:colOff>
      <xdr:row>91</xdr:row>
      <xdr:rowOff>15407</xdr:rowOff>
    </xdr:to>
    <xdr:graphicFrame macro="">
      <xdr:nvGraphicFramePr>
        <xdr:cNvPr id="270" name="chart_generic_add_data6">
          <a:extLst>
            <a:ext uri="{FF2B5EF4-FFF2-40B4-BE49-F238E27FC236}">
              <a16:creationId xmlns:a16="http://schemas.microsoft.com/office/drawing/2014/main" id="{00000000-0008-0000-0000-00000E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13</xdr:col>
      <xdr:colOff>95249</xdr:colOff>
      <xdr:row>92</xdr:row>
      <xdr:rowOff>40821</xdr:rowOff>
    </xdr:from>
    <xdr:to>
      <xdr:col>25</xdr:col>
      <xdr:colOff>33483</xdr:colOff>
      <xdr:row>99</xdr:row>
      <xdr:rowOff>15408</xdr:rowOff>
    </xdr:to>
    <xdr:graphicFrame macro="">
      <xdr:nvGraphicFramePr>
        <xdr:cNvPr id="131" name="chart_generic_add_data7">
          <a:extLst>
            <a:ext uri="{FF2B5EF4-FFF2-40B4-BE49-F238E27FC236}">
              <a16:creationId xmlns:a16="http://schemas.microsoft.com/office/drawing/2014/main" id="{00000000-0008-0000-0000-00008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13</xdr:col>
      <xdr:colOff>95249</xdr:colOff>
      <xdr:row>100</xdr:row>
      <xdr:rowOff>13606</xdr:rowOff>
    </xdr:from>
    <xdr:to>
      <xdr:col>25</xdr:col>
      <xdr:colOff>33483</xdr:colOff>
      <xdr:row>106</xdr:row>
      <xdr:rowOff>178693</xdr:rowOff>
    </xdr:to>
    <xdr:graphicFrame macro="">
      <xdr:nvGraphicFramePr>
        <xdr:cNvPr id="175" name="chart_generic_add_data8">
          <a:extLst>
            <a:ext uri="{FF2B5EF4-FFF2-40B4-BE49-F238E27FC236}">
              <a16:creationId xmlns:a16="http://schemas.microsoft.com/office/drawing/2014/main" id="{00000000-0008-0000-0000-0000A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13</xdr:col>
      <xdr:colOff>95249</xdr:colOff>
      <xdr:row>108</xdr:row>
      <xdr:rowOff>77796</xdr:rowOff>
    </xdr:from>
    <xdr:to>
      <xdr:col>25</xdr:col>
      <xdr:colOff>33483</xdr:colOff>
      <xdr:row>115</xdr:row>
      <xdr:rowOff>52383</xdr:rowOff>
    </xdr:to>
    <xdr:graphicFrame macro="">
      <xdr:nvGraphicFramePr>
        <xdr:cNvPr id="209" name="chart_generic_add_data9">
          <a:extLst>
            <a:ext uri="{FF2B5EF4-FFF2-40B4-BE49-F238E27FC236}">
              <a16:creationId xmlns:a16="http://schemas.microsoft.com/office/drawing/2014/main" id="{00000000-0008-0000-0000-0000D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13</xdr:col>
      <xdr:colOff>95249</xdr:colOff>
      <xdr:row>116</xdr:row>
      <xdr:rowOff>84127</xdr:rowOff>
    </xdr:from>
    <xdr:to>
      <xdr:col>25</xdr:col>
      <xdr:colOff>33483</xdr:colOff>
      <xdr:row>123</xdr:row>
      <xdr:rowOff>58714</xdr:rowOff>
    </xdr:to>
    <xdr:graphicFrame macro="">
      <xdr:nvGraphicFramePr>
        <xdr:cNvPr id="215" name="chart_generic_add_data10">
          <a:extLst>
            <a:ext uri="{FF2B5EF4-FFF2-40B4-BE49-F238E27FC236}">
              <a16:creationId xmlns:a16="http://schemas.microsoft.com/office/drawing/2014/main" id="{00000000-0008-0000-0000-0000D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13</xdr:col>
      <xdr:colOff>95249</xdr:colOff>
      <xdr:row>43</xdr:row>
      <xdr:rowOff>16520</xdr:rowOff>
    </xdr:from>
    <xdr:to>
      <xdr:col>25</xdr:col>
      <xdr:colOff>33483</xdr:colOff>
      <xdr:row>49</xdr:row>
      <xdr:rowOff>181607</xdr:rowOff>
    </xdr:to>
    <xdr:graphicFrame macro="">
      <xdr:nvGraphicFramePr>
        <xdr:cNvPr id="132" name="chart_generic_add_data1">
          <a:extLst>
            <a:ext uri="{FF2B5EF4-FFF2-40B4-BE49-F238E27FC236}">
              <a16:creationId xmlns:a16="http://schemas.microsoft.com/office/drawing/2014/main" id="{00000000-0008-0000-0000-00008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xdr:from>
      <xdr:col>13</xdr:col>
      <xdr:colOff>95249</xdr:colOff>
      <xdr:row>43</xdr:row>
      <xdr:rowOff>16520</xdr:rowOff>
    </xdr:from>
    <xdr:to>
      <xdr:col>25</xdr:col>
      <xdr:colOff>32412</xdr:colOff>
      <xdr:row>49</xdr:row>
      <xdr:rowOff>180320</xdr:rowOff>
    </xdr:to>
    <xdr:graphicFrame macro="">
      <xdr:nvGraphicFramePr>
        <xdr:cNvPr id="257" name="chart_generic_add_data11">
          <a:extLst>
            <a:ext uri="{FF2B5EF4-FFF2-40B4-BE49-F238E27FC236}">
              <a16:creationId xmlns:a16="http://schemas.microsoft.com/office/drawing/2014/main" id="{00000000-0008-0000-0000-000001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xdr:from>
      <xdr:col>13</xdr:col>
      <xdr:colOff>86592</xdr:colOff>
      <xdr:row>51</xdr:row>
      <xdr:rowOff>17318</xdr:rowOff>
    </xdr:from>
    <xdr:to>
      <xdr:col>25</xdr:col>
      <xdr:colOff>23755</xdr:colOff>
      <xdr:row>57</xdr:row>
      <xdr:rowOff>181118</xdr:rowOff>
    </xdr:to>
    <xdr:graphicFrame macro="">
      <xdr:nvGraphicFramePr>
        <xdr:cNvPr id="256" name="chart_generic_add_data12">
          <a:extLst>
            <a:ext uri="{FF2B5EF4-FFF2-40B4-BE49-F238E27FC236}">
              <a16:creationId xmlns:a16="http://schemas.microsoft.com/office/drawing/2014/main" id="{00000000-0008-0000-0000-000000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13</xdr:col>
      <xdr:colOff>95249</xdr:colOff>
      <xdr:row>59</xdr:row>
      <xdr:rowOff>30136</xdr:rowOff>
    </xdr:from>
    <xdr:to>
      <xdr:col>25</xdr:col>
      <xdr:colOff>32412</xdr:colOff>
      <xdr:row>66</xdr:row>
      <xdr:rowOff>3436</xdr:rowOff>
    </xdr:to>
    <xdr:graphicFrame macro="">
      <xdr:nvGraphicFramePr>
        <xdr:cNvPr id="258" name="chart_generic_add_data13">
          <a:extLst>
            <a:ext uri="{FF2B5EF4-FFF2-40B4-BE49-F238E27FC236}">
              <a16:creationId xmlns:a16="http://schemas.microsoft.com/office/drawing/2014/main" id="{00000000-0008-0000-0000-000002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xdr:from>
      <xdr:col>13</xdr:col>
      <xdr:colOff>95249</xdr:colOff>
      <xdr:row>67</xdr:row>
      <xdr:rowOff>35406</xdr:rowOff>
    </xdr:from>
    <xdr:to>
      <xdr:col>25</xdr:col>
      <xdr:colOff>32412</xdr:colOff>
      <xdr:row>74</xdr:row>
      <xdr:rowOff>8706</xdr:rowOff>
    </xdr:to>
    <xdr:graphicFrame macro="">
      <xdr:nvGraphicFramePr>
        <xdr:cNvPr id="259" name="chart_generic_add_data14" hidden="1">
          <a:extLst>
            <a:ext uri="{FF2B5EF4-FFF2-40B4-BE49-F238E27FC236}">
              <a16:creationId xmlns:a16="http://schemas.microsoft.com/office/drawing/2014/main" id="{00000000-0008-0000-0000-000003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xdr:from>
      <xdr:col>13</xdr:col>
      <xdr:colOff>95249</xdr:colOff>
      <xdr:row>75</xdr:row>
      <xdr:rowOff>65352</xdr:rowOff>
    </xdr:from>
    <xdr:to>
      <xdr:col>25</xdr:col>
      <xdr:colOff>32412</xdr:colOff>
      <xdr:row>82</xdr:row>
      <xdr:rowOff>38652</xdr:rowOff>
    </xdr:to>
    <xdr:graphicFrame macro="">
      <xdr:nvGraphicFramePr>
        <xdr:cNvPr id="260" name="chart_generic_add_data15" hidden="1">
          <a:extLst>
            <a:ext uri="{FF2B5EF4-FFF2-40B4-BE49-F238E27FC236}">
              <a16:creationId xmlns:a16="http://schemas.microsoft.com/office/drawing/2014/main" id="{00000000-0008-0000-0000-000004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xdr:from>
      <xdr:col>13</xdr:col>
      <xdr:colOff>86591</xdr:colOff>
      <xdr:row>84</xdr:row>
      <xdr:rowOff>40820</xdr:rowOff>
    </xdr:from>
    <xdr:to>
      <xdr:col>25</xdr:col>
      <xdr:colOff>23754</xdr:colOff>
      <xdr:row>91</xdr:row>
      <xdr:rowOff>14120</xdr:rowOff>
    </xdr:to>
    <xdr:graphicFrame macro="">
      <xdr:nvGraphicFramePr>
        <xdr:cNvPr id="261" name="chart_generic_add_data16" hidden="1">
          <a:extLst>
            <a:ext uri="{FF2B5EF4-FFF2-40B4-BE49-F238E27FC236}">
              <a16:creationId xmlns:a16="http://schemas.microsoft.com/office/drawing/2014/main" id="{00000000-0008-0000-0000-000005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twoCellAnchor>
    <xdr:from>
      <xdr:col>13</xdr:col>
      <xdr:colOff>95249</xdr:colOff>
      <xdr:row>92</xdr:row>
      <xdr:rowOff>40821</xdr:rowOff>
    </xdr:from>
    <xdr:to>
      <xdr:col>25</xdr:col>
      <xdr:colOff>32412</xdr:colOff>
      <xdr:row>99</xdr:row>
      <xdr:rowOff>14121</xdr:rowOff>
    </xdr:to>
    <xdr:graphicFrame macro="">
      <xdr:nvGraphicFramePr>
        <xdr:cNvPr id="262" name="chart_generic_add_data17" hidden="1">
          <a:extLst>
            <a:ext uri="{FF2B5EF4-FFF2-40B4-BE49-F238E27FC236}">
              <a16:creationId xmlns:a16="http://schemas.microsoft.com/office/drawing/2014/main" id="{00000000-0008-0000-0000-000006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
        </a:graphicData>
      </a:graphic>
    </xdr:graphicFrame>
    <xdr:clientData/>
  </xdr:twoCellAnchor>
  <xdr:twoCellAnchor>
    <xdr:from>
      <xdr:col>13</xdr:col>
      <xdr:colOff>95249</xdr:colOff>
      <xdr:row>100</xdr:row>
      <xdr:rowOff>13606</xdr:rowOff>
    </xdr:from>
    <xdr:to>
      <xdr:col>25</xdr:col>
      <xdr:colOff>32412</xdr:colOff>
      <xdr:row>106</xdr:row>
      <xdr:rowOff>177406</xdr:rowOff>
    </xdr:to>
    <xdr:graphicFrame macro="">
      <xdr:nvGraphicFramePr>
        <xdr:cNvPr id="263" name="chart_generic_add_data18" hidden="1">
          <a:extLst>
            <a:ext uri="{FF2B5EF4-FFF2-40B4-BE49-F238E27FC236}">
              <a16:creationId xmlns:a16="http://schemas.microsoft.com/office/drawing/2014/main" id="{00000000-0008-0000-0000-000007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
        </a:graphicData>
      </a:graphic>
    </xdr:graphicFrame>
    <xdr:clientData/>
  </xdr:twoCellAnchor>
  <xdr:twoCellAnchor>
    <xdr:from>
      <xdr:col>13</xdr:col>
      <xdr:colOff>95249</xdr:colOff>
      <xdr:row>108</xdr:row>
      <xdr:rowOff>77796</xdr:rowOff>
    </xdr:from>
    <xdr:to>
      <xdr:col>25</xdr:col>
      <xdr:colOff>32412</xdr:colOff>
      <xdr:row>115</xdr:row>
      <xdr:rowOff>51096</xdr:rowOff>
    </xdr:to>
    <xdr:graphicFrame macro="">
      <xdr:nvGraphicFramePr>
        <xdr:cNvPr id="264" name="chart_generic_add_data19" hidden="1">
          <a:extLst>
            <a:ext uri="{FF2B5EF4-FFF2-40B4-BE49-F238E27FC236}">
              <a16:creationId xmlns:a16="http://schemas.microsoft.com/office/drawing/2014/main" id="{00000000-0008-0000-0000-000008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
        </a:graphicData>
      </a:graphic>
    </xdr:graphicFrame>
    <xdr:clientData/>
  </xdr:twoCellAnchor>
  <xdr:twoCellAnchor>
    <xdr:from>
      <xdr:col>13</xdr:col>
      <xdr:colOff>95249</xdr:colOff>
      <xdr:row>116</xdr:row>
      <xdr:rowOff>84126</xdr:rowOff>
    </xdr:from>
    <xdr:to>
      <xdr:col>25</xdr:col>
      <xdr:colOff>32412</xdr:colOff>
      <xdr:row>123</xdr:row>
      <xdr:rowOff>57426</xdr:rowOff>
    </xdr:to>
    <xdr:graphicFrame macro="">
      <xdr:nvGraphicFramePr>
        <xdr:cNvPr id="265" name="chart_generic_add_data20" hidden="1">
          <a:extLst>
            <a:ext uri="{FF2B5EF4-FFF2-40B4-BE49-F238E27FC236}">
              <a16:creationId xmlns:a16="http://schemas.microsoft.com/office/drawing/2014/main" id="{00000000-0008-0000-0000-000009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
        </a:graphicData>
      </a:graphic>
    </xdr:graphicFrame>
    <xdr:clientData/>
  </xdr:twoCellAnchor>
  <xdr:twoCellAnchor>
    <xdr:from>
      <xdr:col>13</xdr:col>
      <xdr:colOff>95249</xdr:colOff>
      <xdr:row>43</xdr:row>
      <xdr:rowOff>16520</xdr:rowOff>
    </xdr:from>
    <xdr:to>
      <xdr:col>25</xdr:col>
      <xdr:colOff>32412</xdr:colOff>
      <xdr:row>49</xdr:row>
      <xdr:rowOff>180320</xdr:rowOff>
    </xdr:to>
    <xdr:graphicFrame macro="">
      <xdr:nvGraphicFramePr>
        <xdr:cNvPr id="266" name="chart_generic_add_data21">
          <a:extLst>
            <a:ext uri="{FF2B5EF4-FFF2-40B4-BE49-F238E27FC236}">
              <a16:creationId xmlns:a16="http://schemas.microsoft.com/office/drawing/2014/main" id="{00000000-0008-0000-0000-00000A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
        </a:graphicData>
      </a:graphic>
    </xdr:graphicFrame>
    <xdr:clientData/>
  </xdr:twoCellAnchor>
  <xdr:twoCellAnchor>
    <xdr:from>
      <xdr:col>13</xdr:col>
      <xdr:colOff>86592</xdr:colOff>
      <xdr:row>51</xdr:row>
      <xdr:rowOff>17318</xdr:rowOff>
    </xdr:from>
    <xdr:to>
      <xdr:col>25</xdr:col>
      <xdr:colOff>23755</xdr:colOff>
      <xdr:row>57</xdr:row>
      <xdr:rowOff>181118</xdr:rowOff>
    </xdr:to>
    <xdr:graphicFrame macro="">
      <xdr:nvGraphicFramePr>
        <xdr:cNvPr id="267" name="chart_generic_add_data22">
          <a:extLst>
            <a:ext uri="{FF2B5EF4-FFF2-40B4-BE49-F238E27FC236}">
              <a16:creationId xmlns:a16="http://schemas.microsoft.com/office/drawing/2014/main" id="{00000000-0008-0000-0000-00000B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
        </a:graphicData>
      </a:graphic>
    </xdr:graphicFrame>
    <xdr:clientData/>
  </xdr:twoCellAnchor>
  <xdr:twoCellAnchor>
    <xdr:from>
      <xdr:col>13</xdr:col>
      <xdr:colOff>95249</xdr:colOff>
      <xdr:row>59</xdr:row>
      <xdr:rowOff>30136</xdr:rowOff>
    </xdr:from>
    <xdr:to>
      <xdr:col>25</xdr:col>
      <xdr:colOff>32412</xdr:colOff>
      <xdr:row>66</xdr:row>
      <xdr:rowOff>3436</xdr:rowOff>
    </xdr:to>
    <xdr:graphicFrame macro="">
      <xdr:nvGraphicFramePr>
        <xdr:cNvPr id="269" name="chart_generic_add_data23">
          <a:extLst>
            <a:ext uri="{FF2B5EF4-FFF2-40B4-BE49-F238E27FC236}">
              <a16:creationId xmlns:a16="http://schemas.microsoft.com/office/drawing/2014/main" id="{00000000-0008-0000-0000-00000D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
        </a:graphicData>
      </a:graphic>
    </xdr:graphicFrame>
    <xdr:clientData/>
  </xdr:twoCellAnchor>
  <xdr:twoCellAnchor>
    <xdr:from>
      <xdr:col>13</xdr:col>
      <xdr:colOff>95249</xdr:colOff>
      <xdr:row>67</xdr:row>
      <xdr:rowOff>35406</xdr:rowOff>
    </xdr:from>
    <xdr:to>
      <xdr:col>25</xdr:col>
      <xdr:colOff>32412</xdr:colOff>
      <xdr:row>74</xdr:row>
      <xdr:rowOff>8706</xdr:rowOff>
    </xdr:to>
    <xdr:graphicFrame macro="">
      <xdr:nvGraphicFramePr>
        <xdr:cNvPr id="271" name="chart_generic_add_data24" hidden="1">
          <a:extLst>
            <a:ext uri="{FF2B5EF4-FFF2-40B4-BE49-F238E27FC236}">
              <a16:creationId xmlns:a16="http://schemas.microsoft.com/office/drawing/2014/main" id="{00000000-0008-0000-0000-00000F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
        </a:graphicData>
      </a:graphic>
    </xdr:graphicFrame>
    <xdr:clientData/>
  </xdr:twoCellAnchor>
  <xdr:twoCellAnchor>
    <xdr:from>
      <xdr:col>13</xdr:col>
      <xdr:colOff>95249</xdr:colOff>
      <xdr:row>75</xdr:row>
      <xdr:rowOff>65352</xdr:rowOff>
    </xdr:from>
    <xdr:to>
      <xdr:col>25</xdr:col>
      <xdr:colOff>32412</xdr:colOff>
      <xdr:row>82</xdr:row>
      <xdr:rowOff>38652</xdr:rowOff>
    </xdr:to>
    <xdr:graphicFrame macro="">
      <xdr:nvGraphicFramePr>
        <xdr:cNvPr id="272" name="chart_generic_add_data25" hidden="1">
          <a:extLst>
            <a:ext uri="{FF2B5EF4-FFF2-40B4-BE49-F238E27FC236}">
              <a16:creationId xmlns:a16="http://schemas.microsoft.com/office/drawing/2014/main" id="{00000000-0008-0000-0000-000010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
        </a:graphicData>
      </a:graphic>
    </xdr:graphicFrame>
    <xdr:clientData/>
  </xdr:twoCellAnchor>
  <xdr:twoCellAnchor>
    <xdr:from>
      <xdr:col>13</xdr:col>
      <xdr:colOff>86591</xdr:colOff>
      <xdr:row>84</xdr:row>
      <xdr:rowOff>40820</xdr:rowOff>
    </xdr:from>
    <xdr:to>
      <xdr:col>25</xdr:col>
      <xdr:colOff>23754</xdr:colOff>
      <xdr:row>91</xdr:row>
      <xdr:rowOff>14120</xdr:rowOff>
    </xdr:to>
    <xdr:graphicFrame macro="">
      <xdr:nvGraphicFramePr>
        <xdr:cNvPr id="273" name="chart_generic_add_data26" hidden="1">
          <a:extLst>
            <a:ext uri="{FF2B5EF4-FFF2-40B4-BE49-F238E27FC236}">
              <a16:creationId xmlns:a16="http://schemas.microsoft.com/office/drawing/2014/main" id="{00000000-0008-0000-0000-000011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
        </a:graphicData>
      </a:graphic>
    </xdr:graphicFrame>
    <xdr:clientData/>
  </xdr:twoCellAnchor>
  <xdr:twoCellAnchor>
    <xdr:from>
      <xdr:col>13</xdr:col>
      <xdr:colOff>95249</xdr:colOff>
      <xdr:row>92</xdr:row>
      <xdr:rowOff>40821</xdr:rowOff>
    </xdr:from>
    <xdr:to>
      <xdr:col>25</xdr:col>
      <xdr:colOff>32412</xdr:colOff>
      <xdr:row>99</xdr:row>
      <xdr:rowOff>14121</xdr:rowOff>
    </xdr:to>
    <xdr:graphicFrame macro="">
      <xdr:nvGraphicFramePr>
        <xdr:cNvPr id="274" name="chart_generic_add_data27" hidden="1">
          <a:extLst>
            <a:ext uri="{FF2B5EF4-FFF2-40B4-BE49-F238E27FC236}">
              <a16:creationId xmlns:a16="http://schemas.microsoft.com/office/drawing/2014/main" id="{00000000-0008-0000-0000-000012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
        </a:graphicData>
      </a:graphic>
    </xdr:graphicFrame>
    <xdr:clientData/>
  </xdr:twoCellAnchor>
  <xdr:twoCellAnchor>
    <xdr:from>
      <xdr:col>13</xdr:col>
      <xdr:colOff>95249</xdr:colOff>
      <xdr:row>100</xdr:row>
      <xdr:rowOff>13606</xdr:rowOff>
    </xdr:from>
    <xdr:to>
      <xdr:col>25</xdr:col>
      <xdr:colOff>32412</xdr:colOff>
      <xdr:row>106</xdr:row>
      <xdr:rowOff>177406</xdr:rowOff>
    </xdr:to>
    <xdr:graphicFrame macro="">
      <xdr:nvGraphicFramePr>
        <xdr:cNvPr id="275" name="chart_generic_add_data28" hidden="1">
          <a:extLst>
            <a:ext uri="{FF2B5EF4-FFF2-40B4-BE49-F238E27FC236}">
              <a16:creationId xmlns:a16="http://schemas.microsoft.com/office/drawing/2014/main" id="{00000000-0008-0000-0000-000013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
        </a:graphicData>
      </a:graphic>
    </xdr:graphicFrame>
    <xdr:clientData/>
  </xdr:twoCellAnchor>
  <xdr:twoCellAnchor>
    <xdr:from>
      <xdr:col>13</xdr:col>
      <xdr:colOff>95249</xdr:colOff>
      <xdr:row>108</xdr:row>
      <xdr:rowOff>77796</xdr:rowOff>
    </xdr:from>
    <xdr:to>
      <xdr:col>25</xdr:col>
      <xdr:colOff>32412</xdr:colOff>
      <xdr:row>115</xdr:row>
      <xdr:rowOff>51096</xdr:rowOff>
    </xdr:to>
    <xdr:graphicFrame macro="">
      <xdr:nvGraphicFramePr>
        <xdr:cNvPr id="276" name="chart_generic_add_data29" hidden="1">
          <a:extLst>
            <a:ext uri="{FF2B5EF4-FFF2-40B4-BE49-F238E27FC236}">
              <a16:creationId xmlns:a16="http://schemas.microsoft.com/office/drawing/2014/main" id="{00000000-0008-0000-0000-000014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
        </a:graphicData>
      </a:graphic>
    </xdr:graphicFrame>
    <xdr:clientData/>
  </xdr:twoCellAnchor>
  <xdr:twoCellAnchor>
    <xdr:from>
      <xdr:col>13</xdr:col>
      <xdr:colOff>95249</xdr:colOff>
      <xdr:row>116</xdr:row>
      <xdr:rowOff>84127</xdr:rowOff>
    </xdr:from>
    <xdr:to>
      <xdr:col>25</xdr:col>
      <xdr:colOff>32412</xdr:colOff>
      <xdr:row>123</xdr:row>
      <xdr:rowOff>57427</xdr:rowOff>
    </xdr:to>
    <xdr:graphicFrame macro="">
      <xdr:nvGraphicFramePr>
        <xdr:cNvPr id="277" name="chart_generic_add_data30" hidden="1">
          <a:extLst>
            <a:ext uri="{FF2B5EF4-FFF2-40B4-BE49-F238E27FC236}">
              <a16:creationId xmlns:a16="http://schemas.microsoft.com/office/drawing/2014/main" id="{00000000-0008-0000-0000-000015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
        </a:graphicData>
      </a:graphic>
    </xdr:graphicFrame>
    <xdr:clientData/>
  </xdr:twoCellAnchor>
  <xdr:twoCellAnchor>
    <xdr:from>
      <xdr:col>4</xdr:col>
      <xdr:colOff>222925</xdr:colOff>
      <xdr:row>3</xdr:row>
      <xdr:rowOff>30399</xdr:rowOff>
    </xdr:from>
    <xdr:to>
      <xdr:col>5</xdr:col>
      <xdr:colOff>491378</xdr:colOff>
      <xdr:row>6</xdr:row>
      <xdr:rowOff>30260</xdr:rowOff>
    </xdr:to>
    <xdr:graphicFrame macro="">
      <xdr:nvGraphicFramePr>
        <xdr:cNvPr id="240" name="Graf 188">
          <a:extLst>
            <a:ext uri="{FF2B5EF4-FFF2-40B4-BE49-F238E27FC236}">
              <a16:creationId xmlns:a16="http://schemas.microsoft.com/office/drawing/2014/main" id="{11FA1C5C-F71B-48F8-8B2B-EBCA198951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0.32866</cdr:x>
      <cdr:y>0.27747</cdr:y>
    </cdr:from>
    <cdr:to>
      <cdr:x>0.67134</cdr:x>
      <cdr:y>0.76272</cdr:y>
    </cdr:to>
    <cdr:sp macro="" textlink="#REF!">
      <cdr:nvSpPr>
        <cdr:cNvPr id="2" name="Obdélník 1"/>
        <cdr:cNvSpPr/>
      </cdr:nvSpPr>
      <cdr:spPr>
        <a:xfrm xmlns:a="http://schemas.openxmlformats.org/drawingml/2006/main">
          <a:off x="434296" y="160223"/>
          <a:ext cx="452817"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07A54887-C89D-4CD3-A15B-C0A5E4DB60DD}"/>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3.xml><?xml version="1.0" encoding="utf-8"?>
<c:userShapes xmlns:c="http://schemas.openxmlformats.org/drawingml/2006/chart">
  <cdr:relSizeAnchor xmlns:cdr="http://schemas.openxmlformats.org/drawingml/2006/chartDrawing">
    <cdr:from>
      <cdr:x>0.32866</cdr:x>
      <cdr:y>0.27747</cdr:y>
    </cdr:from>
    <cdr:to>
      <cdr:x>0.67134</cdr:x>
      <cdr:y>0.76272</cdr:y>
    </cdr:to>
    <cdr:sp macro="" textlink="#REF!">
      <cdr:nvSpPr>
        <cdr:cNvPr id="2" name="Obdélník 1"/>
        <cdr:cNvSpPr/>
      </cdr:nvSpPr>
      <cdr:spPr>
        <a:xfrm xmlns:a="http://schemas.openxmlformats.org/drawingml/2006/main">
          <a:off x="434296" y="160223"/>
          <a:ext cx="452817"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94460F89-F4C5-48E7-99C7-6E92DCC23DF3}"/>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4.xml><?xml version="1.0" encoding="utf-8"?>
<c:userShapes xmlns:c="http://schemas.openxmlformats.org/drawingml/2006/chart">
  <cdr:relSizeAnchor xmlns:cdr="http://schemas.openxmlformats.org/drawingml/2006/chartDrawing">
    <cdr:from>
      <cdr:x>0.32811</cdr:x>
      <cdr:y>0.27747</cdr:y>
    </cdr:from>
    <cdr:to>
      <cdr:x>0.67188</cdr:x>
      <cdr:y>0.76272</cdr:y>
    </cdr:to>
    <cdr:sp macro="" textlink="#REF!">
      <cdr:nvSpPr>
        <cdr:cNvPr id="2" name="Obdélník 1"/>
        <cdr:cNvSpPr/>
      </cdr:nvSpPr>
      <cdr:spPr>
        <a:xfrm xmlns:a="http://schemas.openxmlformats.org/drawingml/2006/main">
          <a:off x="432183" y="160223"/>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81B04795-0943-4A41-AFC8-E6D032D217AB}"/>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5.xml><?xml version="1.0" encoding="utf-8"?>
<c:userShapes xmlns:c="http://schemas.openxmlformats.org/drawingml/2006/chart">
  <cdr:relSizeAnchor xmlns:cdr="http://schemas.openxmlformats.org/drawingml/2006/chartDrawing">
    <cdr:from>
      <cdr:x>0.33662</cdr:x>
      <cdr:y>0.27747</cdr:y>
    </cdr:from>
    <cdr:to>
      <cdr:x>0.66338</cdr:x>
      <cdr:y>0.73563</cdr:y>
    </cdr:to>
    <cdr:sp macro="" textlink="data.chart!J10">
      <cdr:nvSpPr>
        <cdr:cNvPr id="2" name="Obdélník 1"/>
        <cdr:cNvSpPr/>
      </cdr:nvSpPr>
      <cdr:spPr>
        <a:xfrm xmlns:a="http://schemas.openxmlformats.org/drawingml/2006/main">
          <a:off x="441459" y="160223"/>
          <a:ext cx="428515" cy="264560"/>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F627ECDC-774B-4E9E-A944-ED1AA7FA928D}" type="TxLink">
            <a:rPr lang="en-US" sz="1100" b="0" i="0" u="none" strike="noStrike" cap="none" spc="0">
              <a:ln w="10160">
                <a:solidFill>
                  <a:schemeClr val="bg1">
                    <a:lumMod val="85000"/>
                  </a:schemeClr>
                </a:solidFill>
                <a:prstDash val="solid"/>
              </a:ln>
              <a:solidFill>
                <a:schemeClr val="bg1"/>
              </a:solidFill>
              <a:effectLst>
                <a:outerShdw blurRad="38100" dist="22860" dir="5400000" algn="tl" rotWithShape="0">
                  <a:srgbClr val="000000">
                    <a:alpha val="30000"/>
                  </a:srgbClr>
                </a:outerShdw>
              </a:effectLst>
              <a:latin typeface="Calibri"/>
            </a:rPr>
            <a:pPr algn="ctr"/>
            <a:t>91%</a:t>
          </a:fld>
          <a:endParaRPr lang="cs-CZ" sz="16600" b="1" cap="none" spc="0">
            <a:ln w="10160">
              <a:solidFill>
                <a:schemeClr val="bg1">
                  <a:lumMod val="85000"/>
                </a:schemeClr>
              </a:solidFill>
              <a:prstDash val="solid"/>
            </a:ln>
            <a:solidFill>
              <a:schemeClr val="bg1"/>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cdr:x>
      <cdr:y>0</cdr:y>
    </cdr:from>
    <cdr:to>
      <cdr:x>0.37681</cdr:x>
      <cdr:y>0.74999</cdr:y>
    </cdr:to>
    <cdr:sp macro="" textlink="data.chart!K10">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1CAFD805-F0E1-46AD-A4CF-661E9121AB34}" type="TxLink">
            <a:rPr lang="en-US" sz="1000" b="1" i="0" u="none" strike="noStrike">
              <a:solidFill>
                <a:schemeClr val="bg1"/>
              </a:solidFill>
              <a:latin typeface="Calibri"/>
            </a:rPr>
            <a:pPr/>
            <a:t>Cíl: 79%</a:t>
          </a:fld>
          <a:endParaRPr lang="cs-CZ" sz="800" b="1">
            <a:solidFill>
              <a:schemeClr val="bg1"/>
            </a:solidFill>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0.32736</cdr:x>
      <cdr:y>0.27747</cdr:y>
    </cdr:from>
    <cdr:to>
      <cdr:x>0.67264</cdr:x>
      <cdr:y>0.76272</cdr:y>
    </cdr:to>
    <cdr:sp macro="" textlink="#REF!">
      <cdr:nvSpPr>
        <cdr:cNvPr id="2" name="Obdélník 1"/>
        <cdr:cNvSpPr/>
      </cdr:nvSpPr>
      <cdr:spPr>
        <a:xfrm xmlns:a="http://schemas.openxmlformats.org/drawingml/2006/main">
          <a:off x="429309" y="160223"/>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310C7FC2-790B-49CB-8BEB-0DD3D6232F05}"/>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7.xml><?xml version="1.0" encoding="utf-8"?>
<c:userShapes xmlns:c="http://schemas.openxmlformats.org/drawingml/2006/chart">
  <cdr:relSizeAnchor xmlns:cdr="http://schemas.openxmlformats.org/drawingml/2006/chartDrawing">
    <cdr:from>
      <cdr:x>0.32736</cdr:x>
      <cdr:y>0.27747</cdr:y>
    </cdr:from>
    <cdr:to>
      <cdr:x>0.67264</cdr:x>
      <cdr:y>0.76272</cdr:y>
    </cdr:to>
    <cdr:sp macro="" textlink="#REF!">
      <cdr:nvSpPr>
        <cdr:cNvPr id="2" name="Obdélník 1"/>
        <cdr:cNvSpPr/>
      </cdr:nvSpPr>
      <cdr:spPr>
        <a:xfrm xmlns:a="http://schemas.openxmlformats.org/drawingml/2006/main">
          <a:off x="429309" y="160223"/>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30D6F30B-4AFD-4A6D-BF9C-54EB2EBC62A4}"/>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8.xml><?xml version="1.0" encoding="utf-8"?>
<c:userShapes xmlns:c="http://schemas.openxmlformats.org/drawingml/2006/chart">
  <cdr:relSizeAnchor xmlns:cdr="http://schemas.openxmlformats.org/drawingml/2006/chartDrawing">
    <cdr:from>
      <cdr:x>0.32695</cdr:x>
      <cdr:y>0.27747</cdr:y>
    </cdr:from>
    <cdr:to>
      <cdr:x>0.67305</cdr:x>
      <cdr:y>0.76272</cdr:y>
    </cdr:to>
    <cdr:sp macro="" textlink="#REF!">
      <cdr:nvSpPr>
        <cdr:cNvPr id="2" name="Obdélník 1"/>
        <cdr:cNvSpPr/>
      </cdr:nvSpPr>
      <cdr:spPr>
        <a:xfrm xmlns:a="http://schemas.openxmlformats.org/drawingml/2006/main">
          <a:off x="427762" y="160223"/>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FB81A5CD-2711-4B23-A787-7F6005D1BB96}"/>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9.xml><?xml version="1.0" encoding="utf-8"?>
<c:userShapes xmlns:c="http://schemas.openxmlformats.org/drawingml/2006/chart">
  <cdr:relSizeAnchor xmlns:cdr="http://schemas.openxmlformats.org/drawingml/2006/chartDrawing">
    <cdr:from>
      <cdr:x>0.32612</cdr:x>
      <cdr:y>0.27747</cdr:y>
    </cdr:from>
    <cdr:to>
      <cdr:x>0.67388</cdr:x>
      <cdr:y>0.76272</cdr:y>
    </cdr:to>
    <cdr:sp macro="" textlink="#REF!">
      <cdr:nvSpPr>
        <cdr:cNvPr id="2" name="Obdélník 1"/>
        <cdr:cNvSpPr/>
      </cdr:nvSpPr>
      <cdr:spPr>
        <a:xfrm xmlns:a="http://schemas.openxmlformats.org/drawingml/2006/main">
          <a:off x="424622" y="160223"/>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9A9DD593-A103-4308-BC99-CAFCA200401F}"/>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10.xml><?xml version="1.0" encoding="utf-8"?>
<c:userShapes xmlns:c="http://schemas.openxmlformats.org/drawingml/2006/chart">
  <cdr:relSizeAnchor xmlns:cdr="http://schemas.openxmlformats.org/drawingml/2006/chartDrawing">
    <cdr:from>
      <cdr:x>0.3275</cdr:x>
      <cdr:y>0.27747</cdr:y>
    </cdr:from>
    <cdr:to>
      <cdr:x>0.6725</cdr:x>
      <cdr:y>0.76272</cdr:y>
    </cdr:to>
    <cdr:sp macro="" textlink="#REF!">
      <cdr:nvSpPr>
        <cdr:cNvPr id="2" name="Obdélník 1"/>
        <cdr:cNvSpPr/>
      </cdr:nvSpPr>
      <cdr:spPr>
        <a:xfrm xmlns:a="http://schemas.openxmlformats.org/drawingml/2006/main">
          <a:off x="429855" y="160223"/>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FCC9F42D-511F-4F85-A449-28E3A4F20B07}"/>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11.xml><?xml version="1.0" encoding="utf-8"?>
<c:userShapes xmlns:c="http://schemas.openxmlformats.org/drawingml/2006/chart">
  <cdr:relSizeAnchor xmlns:cdr="http://schemas.openxmlformats.org/drawingml/2006/chartDrawing">
    <cdr:from>
      <cdr:x>0.32638</cdr:x>
      <cdr:y>0.27747</cdr:y>
    </cdr:from>
    <cdr:to>
      <cdr:x>0.67361</cdr:x>
      <cdr:y>0.76272</cdr:y>
    </cdr:to>
    <cdr:sp macro="" textlink="#REF!">
      <cdr:nvSpPr>
        <cdr:cNvPr id="2" name="Obdélník 1"/>
        <cdr:cNvSpPr/>
      </cdr:nvSpPr>
      <cdr:spPr>
        <a:xfrm xmlns:a="http://schemas.openxmlformats.org/drawingml/2006/main">
          <a:off x="425642" y="160223"/>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626DECC5-E1FA-4E69-BA15-815BAD587A39}"/>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12.xml><?xml version="1.0" encoding="utf-8"?>
<c:userShapes xmlns:c="http://schemas.openxmlformats.org/drawingml/2006/chart">
  <cdr:relSizeAnchor xmlns:cdr="http://schemas.openxmlformats.org/drawingml/2006/chartDrawing">
    <cdr:from>
      <cdr:x>0.32638</cdr:x>
      <cdr:y>0.27747</cdr:y>
    </cdr:from>
    <cdr:to>
      <cdr:x>0.67361</cdr:x>
      <cdr:y>0.76272</cdr:y>
    </cdr:to>
    <cdr:sp macro="" textlink="#REF!">
      <cdr:nvSpPr>
        <cdr:cNvPr id="2" name="Obdélník 1"/>
        <cdr:cNvSpPr/>
      </cdr:nvSpPr>
      <cdr:spPr>
        <a:xfrm xmlns:a="http://schemas.openxmlformats.org/drawingml/2006/main">
          <a:off x="425642" y="160223"/>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DE668522-B929-428E-A358-B9B6023EFE86}"/>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13.xml><?xml version="1.0" encoding="utf-8"?>
<c:userShapes xmlns:c="http://schemas.openxmlformats.org/drawingml/2006/chart">
  <cdr:relSizeAnchor xmlns:cdr="http://schemas.openxmlformats.org/drawingml/2006/chartDrawing">
    <cdr:from>
      <cdr:x>0.32638</cdr:x>
      <cdr:y>0.27747</cdr:y>
    </cdr:from>
    <cdr:to>
      <cdr:x>0.67361</cdr:x>
      <cdr:y>0.76272</cdr:y>
    </cdr:to>
    <cdr:sp macro="" textlink="#REF!">
      <cdr:nvSpPr>
        <cdr:cNvPr id="2" name="Obdélník 1"/>
        <cdr:cNvSpPr/>
      </cdr:nvSpPr>
      <cdr:spPr>
        <a:xfrm xmlns:a="http://schemas.openxmlformats.org/drawingml/2006/main">
          <a:off x="425642" y="160223"/>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43C3BD56-9985-496C-B348-E6A954056125}"/>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14.xml><?xml version="1.0" encoding="utf-8"?>
<c:userShapes xmlns:c="http://schemas.openxmlformats.org/drawingml/2006/chart">
  <cdr:relSizeAnchor xmlns:cdr="http://schemas.openxmlformats.org/drawingml/2006/chartDrawing">
    <cdr:from>
      <cdr:x>0.01139</cdr:x>
      <cdr:y>0.00848</cdr:y>
    </cdr:from>
    <cdr:to>
      <cdr:x>0.16161</cdr:x>
      <cdr:y>0.1027</cdr:y>
    </cdr:to>
    <cdr:sp macro="" textlink="data.chart!$K$6">
      <cdr:nvSpPr>
        <cdr:cNvPr id="2" name="TextBox 140"/>
        <cdr:cNvSpPr txBox="1"/>
      </cdr:nvSpPr>
      <cdr:spPr>
        <a:xfrm xmlns:a="http://schemas.openxmlformats.org/drawingml/2006/main">
          <a:off x="48824" y="23812"/>
          <a:ext cx="643765" cy="26457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lIns="0" tIns="0" rIns="0" bIns="0"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fld id="{149FB48A-5FD1-4004-AB8C-94EF4D5D6A50}" type="TxLink">
            <a:rPr lang="en-US" sz="1400" b="1" i="0" u="none" strike="noStrike">
              <a:solidFill>
                <a:srgbClr val="000000"/>
              </a:solidFill>
              <a:latin typeface="Calibri"/>
            </a:rPr>
            <a:pPr/>
            <a:t>Cíl: 0%</a:t>
          </a:fld>
          <a:endParaRPr lang="cs-CZ" sz="1400" b="1"/>
        </a:p>
      </cdr:txBody>
    </cdr:sp>
  </cdr:relSizeAnchor>
</c:userShapes>
</file>

<file path=xl/drawings/drawing15.xml><?xml version="1.0" encoding="utf-8"?>
<c:userShapes xmlns:c="http://schemas.openxmlformats.org/drawingml/2006/chart">
  <cdr:relSizeAnchor xmlns:cdr="http://schemas.openxmlformats.org/drawingml/2006/chartDrawing">
    <cdr:from>
      <cdr:x>0.32745</cdr:x>
      <cdr:y>0.27747</cdr:y>
    </cdr:from>
    <cdr:to>
      <cdr:x>0.67254</cdr:x>
      <cdr:y>0.76272</cdr:y>
    </cdr:to>
    <cdr:sp macro="" textlink="#REF!">
      <cdr:nvSpPr>
        <cdr:cNvPr id="2" name="Obdélník 1"/>
        <cdr:cNvSpPr/>
      </cdr:nvSpPr>
      <cdr:spPr>
        <a:xfrm xmlns:a="http://schemas.openxmlformats.org/drawingml/2006/main">
          <a:off x="429660" y="160223"/>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CA80D8D8-29E8-4FBA-A2F7-B3A15FA9CFFA}"/>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16.xml><?xml version="1.0" encoding="utf-8"?>
<c:userShapes xmlns:c="http://schemas.openxmlformats.org/drawingml/2006/chart">
  <cdr:relSizeAnchor xmlns:cdr="http://schemas.openxmlformats.org/drawingml/2006/chartDrawing">
    <cdr:from>
      <cdr:x>0.32745</cdr:x>
      <cdr:y>0.27747</cdr:y>
    </cdr:from>
    <cdr:to>
      <cdr:x>0.67254</cdr:x>
      <cdr:y>0.76272</cdr:y>
    </cdr:to>
    <cdr:sp macro="" textlink="#REF!">
      <cdr:nvSpPr>
        <cdr:cNvPr id="2" name="Obdélník 1"/>
        <cdr:cNvSpPr/>
      </cdr:nvSpPr>
      <cdr:spPr>
        <a:xfrm xmlns:a="http://schemas.openxmlformats.org/drawingml/2006/main">
          <a:off x="429660" y="160223"/>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32AFA41D-F9C2-4102-A749-C62344367107}"/>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17.xml><?xml version="1.0" encoding="utf-8"?>
<c:userShapes xmlns:c="http://schemas.openxmlformats.org/drawingml/2006/chart">
  <cdr:relSizeAnchor xmlns:cdr="http://schemas.openxmlformats.org/drawingml/2006/chartDrawing">
    <cdr:from>
      <cdr:x>0.01387</cdr:x>
      <cdr:y>0.00848</cdr:y>
    </cdr:from>
    <cdr:to>
      <cdr:x>0.16409</cdr:x>
      <cdr:y>0.1027</cdr:y>
    </cdr:to>
    <cdr:sp macro="" textlink="data.chart!$K$5">
      <cdr:nvSpPr>
        <cdr:cNvPr id="2" name="TextBox 7"/>
        <cdr:cNvSpPr txBox="1"/>
      </cdr:nvSpPr>
      <cdr:spPr>
        <a:xfrm xmlns:a="http://schemas.openxmlformats.org/drawingml/2006/main">
          <a:off x="59530" y="23812"/>
          <a:ext cx="644957" cy="26457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lIns="0" tIns="0" rIns="0" bIns="0"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fld id="{CF3B1E65-94C5-460E-80FB-818883ECD7FB}" type="TxLink">
            <a:rPr lang="en-US" sz="1400" b="1" i="0" u="none" strike="noStrike">
              <a:solidFill>
                <a:srgbClr val="000000"/>
              </a:solidFill>
              <a:latin typeface="Calibri"/>
            </a:rPr>
            <a:pPr/>
            <a:t>Cíl: 0%</a:t>
          </a:fld>
          <a:endParaRPr lang="cs-CZ" sz="1400" b="1"/>
        </a:p>
      </cdr:txBody>
    </cdr:sp>
  </cdr:relSizeAnchor>
</c:userShapes>
</file>

<file path=xl/drawings/drawing18.xml><?xml version="1.0" encoding="utf-8"?>
<c:userShapes xmlns:c="http://schemas.openxmlformats.org/drawingml/2006/chart">
  <cdr:relSizeAnchor xmlns:cdr="http://schemas.openxmlformats.org/drawingml/2006/chartDrawing">
    <cdr:from>
      <cdr:x>0.01257</cdr:x>
      <cdr:y>0.00848</cdr:y>
    </cdr:from>
    <cdr:to>
      <cdr:x>0.1493</cdr:x>
      <cdr:y>0.08569</cdr:y>
    </cdr:to>
    <cdr:sp macro="" textlink="data.chart!$K$7">
      <cdr:nvSpPr>
        <cdr:cNvPr id="2" name="TextBox 134"/>
        <cdr:cNvSpPr txBox="1"/>
      </cdr:nvSpPr>
      <cdr:spPr>
        <a:xfrm xmlns:a="http://schemas.openxmlformats.org/drawingml/2006/main">
          <a:off x="53889" y="24070"/>
          <a:ext cx="586186" cy="219163"/>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lIns="0" tIns="0" rIns="0" bIns="0"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fld id="{3B5CF542-8DBA-4DBE-B842-051624355BE1}" type="TxLink">
            <a:rPr lang="en-US" sz="1400" b="1" i="0" u="none" strike="noStrike">
              <a:solidFill>
                <a:srgbClr val="000000"/>
              </a:solidFill>
              <a:latin typeface="Calibri"/>
            </a:rPr>
            <a:pPr/>
            <a:t>Cíl: 0%</a:t>
          </a:fld>
          <a:endParaRPr lang="cs-CZ" sz="1400" b="1"/>
        </a:p>
      </cdr:txBody>
    </cdr:sp>
  </cdr:relSizeAnchor>
</c:userShapes>
</file>

<file path=xl/drawings/drawing19.xml><?xml version="1.0" encoding="utf-8"?>
<c:userShapes xmlns:c="http://schemas.openxmlformats.org/drawingml/2006/chart">
  <cdr:relSizeAnchor xmlns:cdr="http://schemas.openxmlformats.org/drawingml/2006/chartDrawing">
    <cdr:from>
      <cdr:x>0.32745</cdr:x>
      <cdr:y>0.27747</cdr:y>
    </cdr:from>
    <cdr:to>
      <cdr:x>0.67254</cdr:x>
      <cdr:y>0.76272</cdr:y>
    </cdr:to>
    <cdr:sp macro="" textlink="#REF!">
      <cdr:nvSpPr>
        <cdr:cNvPr id="2" name="Obdélník 1"/>
        <cdr:cNvSpPr/>
      </cdr:nvSpPr>
      <cdr:spPr>
        <a:xfrm xmlns:a="http://schemas.openxmlformats.org/drawingml/2006/main">
          <a:off x="429660" y="160223"/>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CA80D8D8-29E8-4FBA-A2F7-B3A15FA9CFFA}"/>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microsoft.com/office/2006/relationships/xlExternalLinkPath/xlPathMissing" Target="Performance%20tool%201.3_3_2.xlsm" TargetMode="External"/><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067.518479861108" createdVersion="6" refreshedVersion="6" minRefreshableVersion="3" recordCount="1720" xr:uid="{B82B8FF7-596C-42C3-8D57-4FBB2E8C7ACF}">
  <cacheSource type="external" connectionId="1"/>
  <cacheFields count="12">
    <cacheField name="Datum" numFmtId="0">
      <sharedItems containsNonDate="0" containsDate="1" containsString="0" containsBlank="1" minDate="2017-03-14T00:00:00" maxDate="2017-03-15T00:00:00" count="2">
        <d v="2017-03-14T00:00:00"/>
        <m/>
      </sharedItems>
    </cacheField>
    <cacheField name="Hodina" numFmtId="0">
      <sharedItems containsString="0" containsBlank="1" containsNumber="1" containsInteger="1" minValue="7" maxValue="19" count="14">
        <n v="7"/>
        <n v="8"/>
        <n v="9"/>
        <n v="10"/>
        <n v="11"/>
        <n v="12"/>
        <n v="13"/>
        <n v="14"/>
        <n v="17"/>
        <n v="18"/>
        <n v="19"/>
        <n v="15"/>
        <n v="16"/>
        <m/>
      </sharedItems>
    </cacheField>
    <cacheField name="Směna" numFmtId="0">
      <sharedItems count="2">
        <s v="Červená"/>
        <s v="(blank)"/>
      </sharedItems>
    </cacheField>
    <cacheField name="Proces" numFmtId="0">
      <sharedItems count="2">
        <s v="Inbound"/>
        <s v="(blank)"/>
      </sharedItems>
    </cacheField>
    <cacheField name="Krok Procesu" numFmtId="0">
      <sharedItems count="5">
        <s v="AISLE_RACK"/>
        <s v="GR_AISLE"/>
        <s v="PRINT_GR"/>
        <s v="N/A"/>
        <s v="(blank)"/>
      </sharedItems>
    </cacheField>
    <cacheField name="Area" numFmtId="0">
      <sharedItems count="3">
        <s v="C15"/>
        <s v="RA"/>
        <s v="(blank)"/>
      </sharedItems>
    </cacheField>
    <cacheField name="Budova" numFmtId="0">
      <sharedItems count="4">
        <s v="B"/>
        <s v="A"/>
        <s v="C"/>
        <s v="(blank)"/>
      </sharedItems>
    </cacheField>
    <cacheField name="Process status" numFmtId="0">
      <sharedItems count="8">
        <s v="Uloženo"/>
        <s v="Zátěž"/>
        <s v="Zátěž cíl"/>
        <s v="Odvezeno"/>
        <s v="Vyskladněno"/>
        <s v="Vykládá se"/>
        <s v="Příjezd"/>
        <s v="(blank)"/>
      </sharedItems>
    </cacheField>
    <cacheField name="Time status" numFmtId="0">
      <sharedItems count="5">
        <s v="Do 60 min"/>
        <s v="Nad 90 min"/>
        <s v="Do 90 min"/>
        <s v="N/A"/>
        <s v="(blank)"/>
      </sharedItems>
    </cacheField>
    <cacheField name="Task status" numFmtId="0">
      <sharedItems count="6">
        <s v="Done"/>
        <s v="Done - % miss"/>
        <s v="Total"/>
        <s v="N/A"/>
        <s v="Done - %"/>
        <s v="(blank)"/>
      </sharedItems>
    </cacheField>
    <cacheField name="Hodnota" numFmtId="0">
      <sharedItems containsString="0" containsBlank="1" containsNumber="1" minValue="0" maxValue="90" count="24">
        <n v="45"/>
        <n v="0"/>
        <n v="0.8"/>
        <n v="0.4"/>
        <n v="0.9"/>
        <n v="27"/>
        <n v="18"/>
        <n v="1"/>
        <n v="0.6"/>
        <n v="90"/>
        <n v="0.5"/>
        <n v="0.25"/>
        <n v="25"/>
        <n v="35"/>
        <n v="20"/>
        <n v="10"/>
        <n v="0.56000000000000005"/>
        <n v="0.78"/>
        <n v="0.77"/>
        <n v="0.97"/>
        <n v="0.95"/>
        <n v="55"/>
        <n v="65"/>
        <m/>
      </sharedItems>
    </cacheField>
    <cacheField name="Datum D/N" numFmtId="0">
      <sharedItems count="2">
        <s v="14.3.2017 - D"/>
        <s v="(blank)"/>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067.518482870371" createdVersion="5" refreshedVersion="6" minRefreshableVersion="3" recordCount="406" xr:uid="{00000000-000A-0000-FFFF-FFFF00000000}">
  <cacheSource type="external" connectionId="2"/>
  <cacheFields count="13">
    <cacheField name="Datum" numFmtId="0">
      <sharedItems containsNonDate="0" containsDate="1" containsString="0" containsBlank="1" minDate="2017-03-14T00:00:00" maxDate="2017-08-22T00:00:00" count="4">
        <d v="2017-03-14T00:00:00"/>
        <d v="2017-03-15T00:00:00"/>
        <d v="2017-08-21T00:00:00"/>
        <m/>
      </sharedItems>
    </cacheField>
    <cacheField name="Čas" numFmtId="0">
      <sharedItems containsString="0" containsBlank="1" containsNumber="1" minValue="0" maxValue="23" count="28">
        <n v="0.41666666666666669"/>
        <n v="0.45833333333333331"/>
        <n v="7"/>
        <n v="8"/>
        <n v="9"/>
        <n v="10"/>
        <n v="11"/>
        <n v="12"/>
        <n v="13"/>
        <n v="14"/>
        <n v="15"/>
        <n v="16"/>
        <n v="17"/>
        <n v="18"/>
        <n v="19"/>
        <n v="20"/>
        <n v="21"/>
        <n v="22"/>
        <n v="23"/>
        <n v="0.875"/>
        <n v="0"/>
        <n v="1"/>
        <n v="2"/>
        <n v="3"/>
        <n v="4"/>
        <n v="5"/>
        <n v="6"/>
        <m/>
      </sharedItems>
    </cacheField>
    <cacheField name="Směna" numFmtId="0">
      <sharedItems count="5">
        <s v="Červená"/>
        <s v="Modrá"/>
        <s v="Šedá"/>
        <s v="Fialová"/>
        <s v="(blank)"/>
      </sharedItems>
    </cacheField>
    <cacheField name="Proces" numFmtId="0">
      <sharedItems count="3">
        <s v="Inbound"/>
        <s v="Supply-Autopick"/>
        <s v="(blank)"/>
      </sharedItems>
    </cacheField>
    <cacheField name="Krok Procesu" numFmtId="0">
      <sharedItems count="11">
        <s v="ALL"/>
        <s v="PRINT_GR"/>
        <s v="GR_PA"/>
        <s v="PA_CONV"/>
        <s v="CONV_PA"/>
        <s v="PA_AISLE"/>
        <s v="GR_AISLE"/>
        <s v="AISLE_RACK"/>
        <s v="VNA_INBOUND-TA_INBOUND"/>
        <s v="VNA_RACK-VNA_INBOUND"/>
        <s v="(blank)"/>
      </sharedItems>
    </cacheField>
    <cacheField name="KPI" numFmtId="0">
      <sharedItems count="3">
        <s v="PPOT"/>
        <s v="PDOT"/>
        <s v="(blank)"/>
      </sharedItems>
    </cacheField>
    <cacheField name="Cíl %" numFmtId="0">
      <sharedItems containsString="0" containsBlank="1" containsNumber="1" minValue="0.8" maxValue="0.85" count="3">
        <n v="0.85"/>
        <n v="0.8"/>
        <m/>
      </sharedItems>
    </cacheField>
    <cacheField name="Skutečnost %" numFmtId="0">
      <sharedItems containsString="0" containsBlank="1" containsNumber="1" minValue="0" maxValue="1"/>
    </cacheField>
    <cacheField name="Cíl Úkol/Člověk" numFmtId="0">
      <sharedItems containsString="0" containsBlank="1" containsNumber="1" minValue="0.8" maxValue="1" count="4">
        <n v="1"/>
        <n v="0.85"/>
        <n v="0.8"/>
        <m/>
      </sharedItems>
    </cacheField>
    <cacheField name="Skutečnost Úkol/Člověk" numFmtId="0">
      <sharedItems containsString="0" containsBlank="1" containsNumber="1" minValue="0" maxValue="1.8" count="9">
        <n v="0.9"/>
        <n v="0.87"/>
        <n v="1.8"/>
        <n v="0"/>
        <n v="0.5"/>
        <n v="1.1000000000000001"/>
        <n v="0.92"/>
        <n v="0.93"/>
        <m/>
      </sharedItems>
    </cacheField>
    <cacheField name="Počet úkolů" numFmtId="0">
      <sharedItems containsString="0" containsBlank="1" containsNumber="1" containsInteger="1" minValue="0" maxValue="100"/>
    </cacheField>
    <cacheField name="Budova" numFmtId="0">
      <sharedItems count="4">
        <s v="A"/>
        <s v="B"/>
        <s v="C"/>
        <s v="(blank)"/>
      </sharedItems>
    </cacheField>
    <cacheField name="Datum D/N" numFmtId="0">
      <sharedItems count="7">
        <s v="14.3.2017 - D"/>
        <s v="14.3.2017 - N"/>
        <s v="15.3.2017 - D"/>
        <s v="15.3.2017 - N"/>
        <s v="21.8.2017 - N"/>
        <s v="21.8.2017 - D"/>
        <s v="(blank)"/>
      </sharedItems>
    </cacheField>
  </cacheFields>
  <extLst>
    <ext xmlns:x14="http://schemas.microsoft.com/office/spreadsheetml/2009/9/main" uri="{725AE2AE-9491-48be-B2B4-4EB974FC3084}">
      <x14:pivotCacheDefinition pivotCacheId="12"/>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067.518484143518" createdVersion="5" refreshedVersion="6" minRefreshableVersion="3" recordCount="13" xr:uid="{00000000-000A-0000-FFFF-FFFF01000000}">
  <cacheSource type="worksheet">
    <worksheetSource ref="I1:M14" sheet="legend_chart" r:id="rId2"/>
  </cacheSource>
  <cacheFields count="5">
    <cacheField name="Datum" numFmtId="14">
      <sharedItems containsSemiMixedTypes="0" containsNonDate="0" containsDate="1" containsString="0" minDate="2017-08-14T00:00:00" maxDate="2017-08-15T00:00:00" count="1">
        <d v="2017-08-14T00:00:00"/>
      </sharedItems>
    </cacheField>
    <cacheField name="Hodina" numFmtId="0">
      <sharedItems containsSemiMixedTypes="0" containsString="0" containsNumber="1" containsInteger="1" minValue="7" maxValue="19" count="13">
        <n v="7"/>
        <n v="8"/>
        <n v="9"/>
        <n v="10"/>
        <n v="11"/>
        <n v="12"/>
        <n v="13"/>
        <n v="14"/>
        <n v="15"/>
        <n v="16"/>
        <n v="17"/>
        <n v="18"/>
        <n v="19"/>
      </sharedItems>
    </cacheField>
    <cacheField name="KPI Budova A" numFmtId="9">
      <sharedItems containsSemiMixedTypes="0" containsString="0" containsNumber="1" minValue="0.5" maxValue="0.95"/>
    </cacheField>
    <cacheField name="Target" numFmtId="9">
      <sharedItems containsSemiMixedTypes="0" containsString="0" containsNumber="1" minValue="0.88" maxValue="0.88"/>
    </cacheField>
    <cacheField name="Úkol/Lidi" numFmtId="9">
      <sharedItems containsSemiMixedTypes="0" containsString="0" containsNumber="1" minValue="0.25" maxValue="1.110000000000000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20">
  <r>
    <x v="0"/>
    <x v="0"/>
    <x v="0"/>
    <x v="0"/>
    <x v="0"/>
    <x v="0"/>
    <x v="0"/>
    <x v="0"/>
    <x v="0"/>
    <x v="0"/>
    <x v="0"/>
    <x v="0"/>
  </r>
  <r>
    <x v="0"/>
    <x v="1"/>
    <x v="0"/>
    <x v="0"/>
    <x v="0"/>
    <x v="0"/>
    <x v="0"/>
    <x v="0"/>
    <x v="0"/>
    <x v="0"/>
    <x v="0"/>
    <x v="0"/>
  </r>
  <r>
    <x v="0"/>
    <x v="2"/>
    <x v="0"/>
    <x v="0"/>
    <x v="0"/>
    <x v="0"/>
    <x v="0"/>
    <x v="0"/>
    <x v="0"/>
    <x v="0"/>
    <x v="0"/>
    <x v="0"/>
  </r>
  <r>
    <x v="0"/>
    <x v="3"/>
    <x v="0"/>
    <x v="0"/>
    <x v="0"/>
    <x v="0"/>
    <x v="0"/>
    <x v="0"/>
    <x v="0"/>
    <x v="0"/>
    <x v="0"/>
    <x v="0"/>
  </r>
  <r>
    <x v="0"/>
    <x v="4"/>
    <x v="0"/>
    <x v="0"/>
    <x v="0"/>
    <x v="0"/>
    <x v="0"/>
    <x v="0"/>
    <x v="0"/>
    <x v="0"/>
    <x v="0"/>
    <x v="0"/>
  </r>
  <r>
    <x v="0"/>
    <x v="5"/>
    <x v="0"/>
    <x v="0"/>
    <x v="0"/>
    <x v="0"/>
    <x v="0"/>
    <x v="0"/>
    <x v="0"/>
    <x v="0"/>
    <x v="0"/>
    <x v="0"/>
  </r>
  <r>
    <x v="0"/>
    <x v="6"/>
    <x v="0"/>
    <x v="0"/>
    <x v="0"/>
    <x v="0"/>
    <x v="0"/>
    <x v="0"/>
    <x v="0"/>
    <x v="0"/>
    <x v="1"/>
    <x v="0"/>
  </r>
  <r>
    <x v="0"/>
    <x v="7"/>
    <x v="0"/>
    <x v="0"/>
    <x v="0"/>
    <x v="0"/>
    <x v="0"/>
    <x v="0"/>
    <x v="0"/>
    <x v="0"/>
    <x v="0"/>
    <x v="0"/>
  </r>
  <r>
    <x v="0"/>
    <x v="8"/>
    <x v="0"/>
    <x v="0"/>
    <x v="0"/>
    <x v="0"/>
    <x v="0"/>
    <x v="0"/>
    <x v="0"/>
    <x v="0"/>
    <x v="0"/>
    <x v="0"/>
  </r>
  <r>
    <x v="0"/>
    <x v="9"/>
    <x v="0"/>
    <x v="0"/>
    <x v="0"/>
    <x v="0"/>
    <x v="0"/>
    <x v="0"/>
    <x v="0"/>
    <x v="0"/>
    <x v="0"/>
    <x v="0"/>
  </r>
  <r>
    <x v="0"/>
    <x v="10"/>
    <x v="0"/>
    <x v="0"/>
    <x v="0"/>
    <x v="0"/>
    <x v="0"/>
    <x v="0"/>
    <x v="0"/>
    <x v="0"/>
    <x v="0"/>
    <x v="0"/>
  </r>
  <r>
    <x v="0"/>
    <x v="0"/>
    <x v="0"/>
    <x v="0"/>
    <x v="0"/>
    <x v="0"/>
    <x v="0"/>
    <x v="0"/>
    <x v="1"/>
    <x v="0"/>
    <x v="1"/>
    <x v="0"/>
  </r>
  <r>
    <x v="0"/>
    <x v="1"/>
    <x v="0"/>
    <x v="0"/>
    <x v="0"/>
    <x v="0"/>
    <x v="0"/>
    <x v="0"/>
    <x v="1"/>
    <x v="0"/>
    <x v="1"/>
    <x v="0"/>
  </r>
  <r>
    <x v="0"/>
    <x v="2"/>
    <x v="0"/>
    <x v="0"/>
    <x v="0"/>
    <x v="0"/>
    <x v="0"/>
    <x v="0"/>
    <x v="1"/>
    <x v="0"/>
    <x v="1"/>
    <x v="0"/>
  </r>
  <r>
    <x v="0"/>
    <x v="3"/>
    <x v="0"/>
    <x v="0"/>
    <x v="0"/>
    <x v="0"/>
    <x v="0"/>
    <x v="0"/>
    <x v="1"/>
    <x v="0"/>
    <x v="1"/>
    <x v="0"/>
  </r>
  <r>
    <x v="0"/>
    <x v="4"/>
    <x v="0"/>
    <x v="0"/>
    <x v="0"/>
    <x v="0"/>
    <x v="0"/>
    <x v="0"/>
    <x v="1"/>
    <x v="0"/>
    <x v="1"/>
    <x v="0"/>
  </r>
  <r>
    <x v="0"/>
    <x v="5"/>
    <x v="0"/>
    <x v="0"/>
    <x v="0"/>
    <x v="0"/>
    <x v="0"/>
    <x v="0"/>
    <x v="1"/>
    <x v="0"/>
    <x v="1"/>
    <x v="0"/>
  </r>
  <r>
    <x v="0"/>
    <x v="6"/>
    <x v="0"/>
    <x v="0"/>
    <x v="0"/>
    <x v="0"/>
    <x v="0"/>
    <x v="0"/>
    <x v="1"/>
    <x v="0"/>
    <x v="1"/>
    <x v="0"/>
  </r>
  <r>
    <x v="0"/>
    <x v="7"/>
    <x v="0"/>
    <x v="0"/>
    <x v="0"/>
    <x v="0"/>
    <x v="0"/>
    <x v="0"/>
    <x v="1"/>
    <x v="0"/>
    <x v="1"/>
    <x v="0"/>
  </r>
  <r>
    <x v="0"/>
    <x v="11"/>
    <x v="0"/>
    <x v="0"/>
    <x v="0"/>
    <x v="0"/>
    <x v="0"/>
    <x v="0"/>
    <x v="1"/>
    <x v="0"/>
    <x v="1"/>
    <x v="0"/>
  </r>
  <r>
    <x v="0"/>
    <x v="12"/>
    <x v="0"/>
    <x v="0"/>
    <x v="0"/>
    <x v="0"/>
    <x v="0"/>
    <x v="0"/>
    <x v="1"/>
    <x v="0"/>
    <x v="1"/>
    <x v="0"/>
  </r>
  <r>
    <x v="0"/>
    <x v="8"/>
    <x v="0"/>
    <x v="0"/>
    <x v="0"/>
    <x v="0"/>
    <x v="0"/>
    <x v="0"/>
    <x v="1"/>
    <x v="0"/>
    <x v="1"/>
    <x v="0"/>
  </r>
  <r>
    <x v="0"/>
    <x v="9"/>
    <x v="0"/>
    <x v="0"/>
    <x v="0"/>
    <x v="0"/>
    <x v="0"/>
    <x v="0"/>
    <x v="1"/>
    <x v="0"/>
    <x v="1"/>
    <x v="0"/>
  </r>
  <r>
    <x v="0"/>
    <x v="10"/>
    <x v="0"/>
    <x v="0"/>
    <x v="0"/>
    <x v="0"/>
    <x v="0"/>
    <x v="0"/>
    <x v="1"/>
    <x v="0"/>
    <x v="1"/>
    <x v="0"/>
  </r>
  <r>
    <x v="0"/>
    <x v="12"/>
    <x v="0"/>
    <x v="0"/>
    <x v="0"/>
    <x v="0"/>
    <x v="0"/>
    <x v="0"/>
    <x v="1"/>
    <x v="0"/>
    <x v="1"/>
    <x v="0"/>
  </r>
  <r>
    <x v="0"/>
    <x v="0"/>
    <x v="0"/>
    <x v="0"/>
    <x v="0"/>
    <x v="0"/>
    <x v="0"/>
    <x v="0"/>
    <x v="2"/>
    <x v="1"/>
    <x v="1"/>
    <x v="0"/>
  </r>
  <r>
    <x v="0"/>
    <x v="1"/>
    <x v="0"/>
    <x v="0"/>
    <x v="0"/>
    <x v="0"/>
    <x v="0"/>
    <x v="0"/>
    <x v="2"/>
    <x v="1"/>
    <x v="1"/>
    <x v="0"/>
  </r>
  <r>
    <x v="0"/>
    <x v="2"/>
    <x v="0"/>
    <x v="0"/>
    <x v="0"/>
    <x v="0"/>
    <x v="0"/>
    <x v="0"/>
    <x v="2"/>
    <x v="1"/>
    <x v="1"/>
    <x v="0"/>
  </r>
  <r>
    <x v="0"/>
    <x v="3"/>
    <x v="0"/>
    <x v="0"/>
    <x v="0"/>
    <x v="0"/>
    <x v="0"/>
    <x v="0"/>
    <x v="2"/>
    <x v="1"/>
    <x v="1"/>
    <x v="0"/>
  </r>
  <r>
    <x v="0"/>
    <x v="4"/>
    <x v="0"/>
    <x v="0"/>
    <x v="0"/>
    <x v="0"/>
    <x v="0"/>
    <x v="0"/>
    <x v="2"/>
    <x v="1"/>
    <x v="1"/>
    <x v="0"/>
  </r>
  <r>
    <x v="0"/>
    <x v="5"/>
    <x v="0"/>
    <x v="0"/>
    <x v="0"/>
    <x v="0"/>
    <x v="0"/>
    <x v="0"/>
    <x v="2"/>
    <x v="1"/>
    <x v="1"/>
    <x v="0"/>
  </r>
  <r>
    <x v="0"/>
    <x v="6"/>
    <x v="0"/>
    <x v="0"/>
    <x v="0"/>
    <x v="0"/>
    <x v="0"/>
    <x v="0"/>
    <x v="2"/>
    <x v="1"/>
    <x v="1"/>
    <x v="0"/>
  </r>
  <r>
    <x v="0"/>
    <x v="7"/>
    <x v="0"/>
    <x v="0"/>
    <x v="0"/>
    <x v="0"/>
    <x v="0"/>
    <x v="0"/>
    <x v="2"/>
    <x v="1"/>
    <x v="1"/>
    <x v="0"/>
  </r>
  <r>
    <x v="0"/>
    <x v="11"/>
    <x v="0"/>
    <x v="0"/>
    <x v="0"/>
    <x v="0"/>
    <x v="0"/>
    <x v="0"/>
    <x v="2"/>
    <x v="1"/>
    <x v="1"/>
    <x v="0"/>
  </r>
  <r>
    <x v="0"/>
    <x v="12"/>
    <x v="0"/>
    <x v="0"/>
    <x v="0"/>
    <x v="0"/>
    <x v="0"/>
    <x v="0"/>
    <x v="2"/>
    <x v="1"/>
    <x v="1"/>
    <x v="0"/>
  </r>
  <r>
    <x v="0"/>
    <x v="9"/>
    <x v="0"/>
    <x v="0"/>
    <x v="0"/>
    <x v="0"/>
    <x v="0"/>
    <x v="0"/>
    <x v="2"/>
    <x v="1"/>
    <x v="1"/>
    <x v="0"/>
  </r>
  <r>
    <x v="0"/>
    <x v="10"/>
    <x v="0"/>
    <x v="0"/>
    <x v="0"/>
    <x v="0"/>
    <x v="0"/>
    <x v="0"/>
    <x v="2"/>
    <x v="1"/>
    <x v="1"/>
    <x v="0"/>
  </r>
  <r>
    <x v="0"/>
    <x v="12"/>
    <x v="0"/>
    <x v="0"/>
    <x v="0"/>
    <x v="0"/>
    <x v="0"/>
    <x v="0"/>
    <x v="1"/>
    <x v="1"/>
    <x v="1"/>
    <x v="0"/>
  </r>
  <r>
    <x v="0"/>
    <x v="0"/>
    <x v="0"/>
    <x v="0"/>
    <x v="0"/>
    <x v="0"/>
    <x v="0"/>
    <x v="0"/>
    <x v="1"/>
    <x v="1"/>
    <x v="1"/>
    <x v="0"/>
  </r>
  <r>
    <x v="0"/>
    <x v="1"/>
    <x v="0"/>
    <x v="0"/>
    <x v="0"/>
    <x v="0"/>
    <x v="0"/>
    <x v="0"/>
    <x v="1"/>
    <x v="1"/>
    <x v="1"/>
    <x v="0"/>
  </r>
  <r>
    <x v="0"/>
    <x v="2"/>
    <x v="0"/>
    <x v="0"/>
    <x v="0"/>
    <x v="0"/>
    <x v="0"/>
    <x v="0"/>
    <x v="1"/>
    <x v="1"/>
    <x v="1"/>
    <x v="0"/>
  </r>
  <r>
    <x v="0"/>
    <x v="3"/>
    <x v="0"/>
    <x v="0"/>
    <x v="0"/>
    <x v="0"/>
    <x v="0"/>
    <x v="0"/>
    <x v="1"/>
    <x v="1"/>
    <x v="1"/>
    <x v="0"/>
  </r>
  <r>
    <x v="0"/>
    <x v="4"/>
    <x v="0"/>
    <x v="0"/>
    <x v="0"/>
    <x v="0"/>
    <x v="0"/>
    <x v="0"/>
    <x v="1"/>
    <x v="1"/>
    <x v="1"/>
    <x v="0"/>
  </r>
  <r>
    <x v="0"/>
    <x v="5"/>
    <x v="0"/>
    <x v="0"/>
    <x v="0"/>
    <x v="0"/>
    <x v="0"/>
    <x v="0"/>
    <x v="1"/>
    <x v="1"/>
    <x v="1"/>
    <x v="0"/>
  </r>
  <r>
    <x v="0"/>
    <x v="6"/>
    <x v="0"/>
    <x v="0"/>
    <x v="0"/>
    <x v="0"/>
    <x v="0"/>
    <x v="0"/>
    <x v="1"/>
    <x v="1"/>
    <x v="1"/>
    <x v="0"/>
  </r>
  <r>
    <x v="0"/>
    <x v="7"/>
    <x v="0"/>
    <x v="0"/>
    <x v="0"/>
    <x v="0"/>
    <x v="0"/>
    <x v="0"/>
    <x v="1"/>
    <x v="1"/>
    <x v="1"/>
    <x v="0"/>
  </r>
  <r>
    <x v="0"/>
    <x v="11"/>
    <x v="0"/>
    <x v="0"/>
    <x v="0"/>
    <x v="0"/>
    <x v="0"/>
    <x v="0"/>
    <x v="1"/>
    <x v="1"/>
    <x v="1"/>
    <x v="0"/>
  </r>
  <r>
    <x v="0"/>
    <x v="12"/>
    <x v="0"/>
    <x v="0"/>
    <x v="0"/>
    <x v="0"/>
    <x v="0"/>
    <x v="0"/>
    <x v="1"/>
    <x v="1"/>
    <x v="1"/>
    <x v="0"/>
  </r>
  <r>
    <x v="0"/>
    <x v="8"/>
    <x v="0"/>
    <x v="0"/>
    <x v="0"/>
    <x v="0"/>
    <x v="0"/>
    <x v="0"/>
    <x v="1"/>
    <x v="1"/>
    <x v="1"/>
    <x v="0"/>
  </r>
  <r>
    <x v="0"/>
    <x v="9"/>
    <x v="0"/>
    <x v="0"/>
    <x v="0"/>
    <x v="0"/>
    <x v="0"/>
    <x v="0"/>
    <x v="1"/>
    <x v="1"/>
    <x v="1"/>
    <x v="0"/>
  </r>
  <r>
    <x v="0"/>
    <x v="10"/>
    <x v="0"/>
    <x v="0"/>
    <x v="0"/>
    <x v="0"/>
    <x v="0"/>
    <x v="0"/>
    <x v="1"/>
    <x v="1"/>
    <x v="1"/>
    <x v="0"/>
  </r>
  <r>
    <x v="0"/>
    <x v="0"/>
    <x v="0"/>
    <x v="0"/>
    <x v="0"/>
    <x v="0"/>
    <x v="0"/>
    <x v="0"/>
    <x v="2"/>
    <x v="2"/>
    <x v="1"/>
    <x v="0"/>
  </r>
  <r>
    <x v="0"/>
    <x v="1"/>
    <x v="0"/>
    <x v="0"/>
    <x v="0"/>
    <x v="0"/>
    <x v="0"/>
    <x v="0"/>
    <x v="2"/>
    <x v="2"/>
    <x v="1"/>
    <x v="0"/>
  </r>
  <r>
    <x v="0"/>
    <x v="2"/>
    <x v="0"/>
    <x v="0"/>
    <x v="0"/>
    <x v="0"/>
    <x v="0"/>
    <x v="0"/>
    <x v="2"/>
    <x v="2"/>
    <x v="1"/>
    <x v="0"/>
  </r>
  <r>
    <x v="0"/>
    <x v="3"/>
    <x v="0"/>
    <x v="0"/>
    <x v="0"/>
    <x v="0"/>
    <x v="0"/>
    <x v="0"/>
    <x v="2"/>
    <x v="2"/>
    <x v="1"/>
    <x v="0"/>
  </r>
  <r>
    <x v="0"/>
    <x v="4"/>
    <x v="0"/>
    <x v="0"/>
    <x v="0"/>
    <x v="0"/>
    <x v="0"/>
    <x v="0"/>
    <x v="2"/>
    <x v="2"/>
    <x v="1"/>
    <x v="0"/>
  </r>
  <r>
    <x v="0"/>
    <x v="5"/>
    <x v="0"/>
    <x v="0"/>
    <x v="0"/>
    <x v="0"/>
    <x v="0"/>
    <x v="0"/>
    <x v="2"/>
    <x v="2"/>
    <x v="1"/>
    <x v="0"/>
  </r>
  <r>
    <x v="0"/>
    <x v="6"/>
    <x v="0"/>
    <x v="0"/>
    <x v="0"/>
    <x v="0"/>
    <x v="0"/>
    <x v="0"/>
    <x v="2"/>
    <x v="2"/>
    <x v="1"/>
    <x v="0"/>
  </r>
  <r>
    <x v="0"/>
    <x v="7"/>
    <x v="0"/>
    <x v="0"/>
    <x v="0"/>
    <x v="0"/>
    <x v="0"/>
    <x v="0"/>
    <x v="2"/>
    <x v="2"/>
    <x v="1"/>
    <x v="0"/>
  </r>
  <r>
    <x v="0"/>
    <x v="11"/>
    <x v="0"/>
    <x v="0"/>
    <x v="0"/>
    <x v="0"/>
    <x v="0"/>
    <x v="0"/>
    <x v="2"/>
    <x v="2"/>
    <x v="1"/>
    <x v="0"/>
  </r>
  <r>
    <x v="0"/>
    <x v="12"/>
    <x v="0"/>
    <x v="0"/>
    <x v="0"/>
    <x v="0"/>
    <x v="0"/>
    <x v="0"/>
    <x v="2"/>
    <x v="2"/>
    <x v="1"/>
    <x v="0"/>
  </r>
  <r>
    <x v="0"/>
    <x v="8"/>
    <x v="0"/>
    <x v="0"/>
    <x v="0"/>
    <x v="0"/>
    <x v="0"/>
    <x v="0"/>
    <x v="2"/>
    <x v="2"/>
    <x v="1"/>
    <x v="0"/>
  </r>
  <r>
    <x v="0"/>
    <x v="9"/>
    <x v="0"/>
    <x v="0"/>
    <x v="0"/>
    <x v="0"/>
    <x v="0"/>
    <x v="0"/>
    <x v="2"/>
    <x v="2"/>
    <x v="1"/>
    <x v="0"/>
  </r>
  <r>
    <x v="0"/>
    <x v="10"/>
    <x v="0"/>
    <x v="0"/>
    <x v="0"/>
    <x v="0"/>
    <x v="0"/>
    <x v="0"/>
    <x v="2"/>
    <x v="2"/>
    <x v="1"/>
    <x v="0"/>
  </r>
  <r>
    <x v="0"/>
    <x v="0"/>
    <x v="0"/>
    <x v="0"/>
    <x v="0"/>
    <x v="0"/>
    <x v="0"/>
    <x v="0"/>
    <x v="1"/>
    <x v="2"/>
    <x v="1"/>
    <x v="0"/>
  </r>
  <r>
    <x v="0"/>
    <x v="1"/>
    <x v="0"/>
    <x v="0"/>
    <x v="0"/>
    <x v="0"/>
    <x v="0"/>
    <x v="0"/>
    <x v="1"/>
    <x v="2"/>
    <x v="1"/>
    <x v="0"/>
  </r>
  <r>
    <x v="0"/>
    <x v="2"/>
    <x v="0"/>
    <x v="0"/>
    <x v="0"/>
    <x v="0"/>
    <x v="0"/>
    <x v="0"/>
    <x v="1"/>
    <x v="2"/>
    <x v="1"/>
    <x v="0"/>
  </r>
  <r>
    <x v="0"/>
    <x v="3"/>
    <x v="0"/>
    <x v="0"/>
    <x v="0"/>
    <x v="0"/>
    <x v="0"/>
    <x v="0"/>
    <x v="1"/>
    <x v="2"/>
    <x v="1"/>
    <x v="0"/>
  </r>
  <r>
    <x v="0"/>
    <x v="4"/>
    <x v="0"/>
    <x v="0"/>
    <x v="0"/>
    <x v="0"/>
    <x v="0"/>
    <x v="0"/>
    <x v="1"/>
    <x v="2"/>
    <x v="1"/>
    <x v="0"/>
  </r>
  <r>
    <x v="0"/>
    <x v="5"/>
    <x v="0"/>
    <x v="0"/>
    <x v="0"/>
    <x v="0"/>
    <x v="0"/>
    <x v="0"/>
    <x v="1"/>
    <x v="2"/>
    <x v="1"/>
    <x v="0"/>
  </r>
  <r>
    <x v="0"/>
    <x v="6"/>
    <x v="0"/>
    <x v="0"/>
    <x v="0"/>
    <x v="0"/>
    <x v="0"/>
    <x v="0"/>
    <x v="1"/>
    <x v="2"/>
    <x v="1"/>
    <x v="0"/>
  </r>
  <r>
    <x v="0"/>
    <x v="7"/>
    <x v="0"/>
    <x v="0"/>
    <x v="0"/>
    <x v="0"/>
    <x v="0"/>
    <x v="0"/>
    <x v="1"/>
    <x v="2"/>
    <x v="1"/>
    <x v="0"/>
  </r>
  <r>
    <x v="0"/>
    <x v="11"/>
    <x v="0"/>
    <x v="0"/>
    <x v="0"/>
    <x v="0"/>
    <x v="0"/>
    <x v="0"/>
    <x v="1"/>
    <x v="2"/>
    <x v="1"/>
    <x v="0"/>
  </r>
  <r>
    <x v="0"/>
    <x v="12"/>
    <x v="0"/>
    <x v="0"/>
    <x v="0"/>
    <x v="0"/>
    <x v="0"/>
    <x v="0"/>
    <x v="1"/>
    <x v="2"/>
    <x v="1"/>
    <x v="0"/>
  </r>
  <r>
    <x v="0"/>
    <x v="8"/>
    <x v="0"/>
    <x v="0"/>
    <x v="0"/>
    <x v="0"/>
    <x v="0"/>
    <x v="0"/>
    <x v="1"/>
    <x v="2"/>
    <x v="1"/>
    <x v="0"/>
  </r>
  <r>
    <x v="0"/>
    <x v="9"/>
    <x v="0"/>
    <x v="0"/>
    <x v="0"/>
    <x v="0"/>
    <x v="0"/>
    <x v="0"/>
    <x v="1"/>
    <x v="2"/>
    <x v="1"/>
    <x v="0"/>
  </r>
  <r>
    <x v="0"/>
    <x v="10"/>
    <x v="0"/>
    <x v="0"/>
    <x v="0"/>
    <x v="0"/>
    <x v="0"/>
    <x v="0"/>
    <x v="1"/>
    <x v="2"/>
    <x v="1"/>
    <x v="0"/>
  </r>
  <r>
    <x v="0"/>
    <x v="0"/>
    <x v="0"/>
    <x v="0"/>
    <x v="0"/>
    <x v="0"/>
    <x v="0"/>
    <x v="1"/>
    <x v="3"/>
    <x v="3"/>
    <x v="2"/>
    <x v="0"/>
  </r>
  <r>
    <x v="0"/>
    <x v="1"/>
    <x v="0"/>
    <x v="0"/>
    <x v="0"/>
    <x v="0"/>
    <x v="0"/>
    <x v="1"/>
    <x v="3"/>
    <x v="3"/>
    <x v="2"/>
    <x v="0"/>
  </r>
  <r>
    <x v="0"/>
    <x v="2"/>
    <x v="0"/>
    <x v="0"/>
    <x v="0"/>
    <x v="0"/>
    <x v="0"/>
    <x v="1"/>
    <x v="3"/>
    <x v="3"/>
    <x v="2"/>
    <x v="0"/>
  </r>
  <r>
    <x v="0"/>
    <x v="3"/>
    <x v="0"/>
    <x v="0"/>
    <x v="0"/>
    <x v="0"/>
    <x v="0"/>
    <x v="1"/>
    <x v="3"/>
    <x v="3"/>
    <x v="2"/>
    <x v="0"/>
  </r>
  <r>
    <x v="0"/>
    <x v="4"/>
    <x v="0"/>
    <x v="0"/>
    <x v="0"/>
    <x v="0"/>
    <x v="0"/>
    <x v="1"/>
    <x v="3"/>
    <x v="3"/>
    <x v="2"/>
    <x v="0"/>
  </r>
  <r>
    <x v="0"/>
    <x v="5"/>
    <x v="0"/>
    <x v="0"/>
    <x v="0"/>
    <x v="0"/>
    <x v="0"/>
    <x v="1"/>
    <x v="3"/>
    <x v="3"/>
    <x v="2"/>
    <x v="0"/>
  </r>
  <r>
    <x v="0"/>
    <x v="6"/>
    <x v="0"/>
    <x v="0"/>
    <x v="0"/>
    <x v="0"/>
    <x v="0"/>
    <x v="1"/>
    <x v="3"/>
    <x v="3"/>
    <x v="3"/>
    <x v="0"/>
  </r>
  <r>
    <x v="0"/>
    <x v="7"/>
    <x v="0"/>
    <x v="0"/>
    <x v="0"/>
    <x v="0"/>
    <x v="0"/>
    <x v="1"/>
    <x v="3"/>
    <x v="3"/>
    <x v="2"/>
    <x v="0"/>
  </r>
  <r>
    <x v="0"/>
    <x v="11"/>
    <x v="0"/>
    <x v="0"/>
    <x v="0"/>
    <x v="0"/>
    <x v="0"/>
    <x v="1"/>
    <x v="3"/>
    <x v="3"/>
    <x v="2"/>
    <x v="0"/>
  </r>
  <r>
    <x v="0"/>
    <x v="12"/>
    <x v="0"/>
    <x v="0"/>
    <x v="0"/>
    <x v="0"/>
    <x v="0"/>
    <x v="1"/>
    <x v="3"/>
    <x v="3"/>
    <x v="2"/>
    <x v="0"/>
  </r>
  <r>
    <x v="0"/>
    <x v="8"/>
    <x v="0"/>
    <x v="0"/>
    <x v="0"/>
    <x v="0"/>
    <x v="0"/>
    <x v="1"/>
    <x v="3"/>
    <x v="3"/>
    <x v="2"/>
    <x v="0"/>
  </r>
  <r>
    <x v="0"/>
    <x v="9"/>
    <x v="0"/>
    <x v="0"/>
    <x v="0"/>
    <x v="0"/>
    <x v="0"/>
    <x v="1"/>
    <x v="3"/>
    <x v="3"/>
    <x v="2"/>
    <x v="0"/>
  </r>
  <r>
    <x v="0"/>
    <x v="10"/>
    <x v="0"/>
    <x v="0"/>
    <x v="0"/>
    <x v="0"/>
    <x v="0"/>
    <x v="1"/>
    <x v="3"/>
    <x v="3"/>
    <x v="2"/>
    <x v="0"/>
  </r>
  <r>
    <x v="0"/>
    <x v="0"/>
    <x v="0"/>
    <x v="0"/>
    <x v="0"/>
    <x v="0"/>
    <x v="0"/>
    <x v="2"/>
    <x v="3"/>
    <x v="3"/>
    <x v="4"/>
    <x v="0"/>
  </r>
  <r>
    <x v="0"/>
    <x v="1"/>
    <x v="0"/>
    <x v="0"/>
    <x v="0"/>
    <x v="0"/>
    <x v="0"/>
    <x v="2"/>
    <x v="3"/>
    <x v="3"/>
    <x v="4"/>
    <x v="0"/>
  </r>
  <r>
    <x v="0"/>
    <x v="2"/>
    <x v="0"/>
    <x v="0"/>
    <x v="0"/>
    <x v="0"/>
    <x v="0"/>
    <x v="2"/>
    <x v="3"/>
    <x v="3"/>
    <x v="4"/>
    <x v="0"/>
  </r>
  <r>
    <x v="0"/>
    <x v="3"/>
    <x v="0"/>
    <x v="0"/>
    <x v="0"/>
    <x v="0"/>
    <x v="0"/>
    <x v="2"/>
    <x v="3"/>
    <x v="3"/>
    <x v="4"/>
    <x v="0"/>
  </r>
  <r>
    <x v="0"/>
    <x v="4"/>
    <x v="0"/>
    <x v="0"/>
    <x v="0"/>
    <x v="0"/>
    <x v="0"/>
    <x v="2"/>
    <x v="3"/>
    <x v="3"/>
    <x v="4"/>
    <x v="0"/>
  </r>
  <r>
    <x v="0"/>
    <x v="5"/>
    <x v="0"/>
    <x v="0"/>
    <x v="0"/>
    <x v="0"/>
    <x v="0"/>
    <x v="2"/>
    <x v="3"/>
    <x v="3"/>
    <x v="4"/>
    <x v="0"/>
  </r>
  <r>
    <x v="0"/>
    <x v="6"/>
    <x v="0"/>
    <x v="0"/>
    <x v="0"/>
    <x v="0"/>
    <x v="0"/>
    <x v="2"/>
    <x v="3"/>
    <x v="3"/>
    <x v="4"/>
    <x v="0"/>
  </r>
  <r>
    <x v="0"/>
    <x v="7"/>
    <x v="0"/>
    <x v="0"/>
    <x v="0"/>
    <x v="0"/>
    <x v="0"/>
    <x v="2"/>
    <x v="3"/>
    <x v="3"/>
    <x v="4"/>
    <x v="0"/>
  </r>
  <r>
    <x v="0"/>
    <x v="11"/>
    <x v="0"/>
    <x v="0"/>
    <x v="0"/>
    <x v="0"/>
    <x v="0"/>
    <x v="2"/>
    <x v="3"/>
    <x v="3"/>
    <x v="4"/>
    <x v="0"/>
  </r>
  <r>
    <x v="0"/>
    <x v="12"/>
    <x v="0"/>
    <x v="0"/>
    <x v="0"/>
    <x v="0"/>
    <x v="0"/>
    <x v="2"/>
    <x v="3"/>
    <x v="3"/>
    <x v="4"/>
    <x v="0"/>
  </r>
  <r>
    <x v="0"/>
    <x v="8"/>
    <x v="0"/>
    <x v="0"/>
    <x v="0"/>
    <x v="0"/>
    <x v="0"/>
    <x v="2"/>
    <x v="3"/>
    <x v="3"/>
    <x v="4"/>
    <x v="0"/>
  </r>
  <r>
    <x v="0"/>
    <x v="9"/>
    <x v="0"/>
    <x v="0"/>
    <x v="0"/>
    <x v="0"/>
    <x v="0"/>
    <x v="2"/>
    <x v="3"/>
    <x v="3"/>
    <x v="4"/>
    <x v="0"/>
  </r>
  <r>
    <x v="0"/>
    <x v="10"/>
    <x v="0"/>
    <x v="0"/>
    <x v="0"/>
    <x v="0"/>
    <x v="0"/>
    <x v="2"/>
    <x v="3"/>
    <x v="3"/>
    <x v="4"/>
    <x v="0"/>
  </r>
  <r>
    <x v="0"/>
    <x v="0"/>
    <x v="0"/>
    <x v="0"/>
    <x v="1"/>
    <x v="1"/>
    <x v="0"/>
    <x v="3"/>
    <x v="0"/>
    <x v="0"/>
    <x v="0"/>
    <x v="0"/>
  </r>
  <r>
    <x v="0"/>
    <x v="1"/>
    <x v="0"/>
    <x v="0"/>
    <x v="1"/>
    <x v="1"/>
    <x v="0"/>
    <x v="3"/>
    <x v="0"/>
    <x v="0"/>
    <x v="0"/>
    <x v="0"/>
  </r>
  <r>
    <x v="0"/>
    <x v="2"/>
    <x v="0"/>
    <x v="0"/>
    <x v="1"/>
    <x v="1"/>
    <x v="0"/>
    <x v="3"/>
    <x v="0"/>
    <x v="0"/>
    <x v="0"/>
    <x v="0"/>
  </r>
  <r>
    <x v="0"/>
    <x v="3"/>
    <x v="0"/>
    <x v="0"/>
    <x v="1"/>
    <x v="1"/>
    <x v="0"/>
    <x v="3"/>
    <x v="0"/>
    <x v="0"/>
    <x v="0"/>
    <x v="0"/>
  </r>
  <r>
    <x v="0"/>
    <x v="4"/>
    <x v="0"/>
    <x v="0"/>
    <x v="1"/>
    <x v="1"/>
    <x v="0"/>
    <x v="3"/>
    <x v="0"/>
    <x v="0"/>
    <x v="0"/>
    <x v="0"/>
  </r>
  <r>
    <x v="0"/>
    <x v="5"/>
    <x v="0"/>
    <x v="0"/>
    <x v="1"/>
    <x v="1"/>
    <x v="0"/>
    <x v="3"/>
    <x v="0"/>
    <x v="0"/>
    <x v="0"/>
    <x v="0"/>
  </r>
  <r>
    <x v="0"/>
    <x v="6"/>
    <x v="0"/>
    <x v="0"/>
    <x v="1"/>
    <x v="1"/>
    <x v="0"/>
    <x v="3"/>
    <x v="0"/>
    <x v="0"/>
    <x v="1"/>
    <x v="0"/>
  </r>
  <r>
    <x v="0"/>
    <x v="7"/>
    <x v="0"/>
    <x v="0"/>
    <x v="1"/>
    <x v="1"/>
    <x v="0"/>
    <x v="3"/>
    <x v="0"/>
    <x v="0"/>
    <x v="5"/>
    <x v="0"/>
  </r>
  <r>
    <x v="0"/>
    <x v="11"/>
    <x v="0"/>
    <x v="0"/>
    <x v="1"/>
    <x v="1"/>
    <x v="0"/>
    <x v="3"/>
    <x v="0"/>
    <x v="0"/>
    <x v="5"/>
    <x v="0"/>
  </r>
  <r>
    <x v="0"/>
    <x v="12"/>
    <x v="0"/>
    <x v="0"/>
    <x v="1"/>
    <x v="1"/>
    <x v="0"/>
    <x v="3"/>
    <x v="0"/>
    <x v="0"/>
    <x v="5"/>
    <x v="0"/>
  </r>
  <r>
    <x v="0"/>
    <x v="8"/>
    <x v="0"/>
    <x v="0"/>
    <x v="1"/>
    <x v="1"/>
    <x v="0"/>
    <x v="3"/>
    <x v="0"/>
    <x v="0"/>
    <x v="5"/>
    <x v="0"/>
  </r>
  <r>
    <x v="0"/>
    <x v="9"/>
    <x v="0"/>
    <x v="0"/>
    <x v="1"/>
    <x v="1"/>
    <x v="0"/>
    <x v="3"/>
    <x v="0"/>
    <x v="0"/>
    <x v="5"/>
    <x v="0"/>
  </r>
  <r>
    <x v="0"/>
    <x v="10"/>
    <x v="0"/>
    <x v="0"/>
    <x v="1"/>
    <x v="1"/>
    <x v="0"/>
    <x v="3"/>
    <x v="0"/>
    <x v="0"/>
    <x v="5"/>
    <x v="0"/>
  </r>
  <r>
    <x v="0"/>
    <x v="0"/>
    <x v="0"/>
    <x v="0"/>
    <x v="1"/>
    <x v="1"/>
    <x v="0"/>
    <x v="3"/>
    <x v="2"/>
    <x v="0"/>
    <x v="1"/>
    <x v="0"/>
  </r>
  <r>
    <x v="0"/>
    <x v="1"/>
    <x v="0"/>
    <x v="0"/>
    <x v="1"/>
    <x v="1"/>
    <x v="0"/>
    <x v="3"/>
    <x v="2"/>
    <x v="0"/>
    <x v="1"/>
    <x v="0"/>
  </r>
  <r>
    <x v="0"/>
    <x v="2"/>
    <x v="0"/>
    <x v="0"/>
    <x v="1"/>
    <x v="1"/>
    <x v="0"/>
    <x v="3"/>
    <x v="2"/>
    <x v="0"/>
    <x v="1"/>
    <x v="0"/>
  </r>
  <r>
    <x v="0"/>
    <x v="3"/>
    <x v="0"/>
    <x v="0"/>
    <x v="1"/>
    <x v="1"/>
    <x v="0"/>
    <x v="3"/>
    <x v="2"/>
    <x v="0"/>
    <x v="1"/>
    <x v="0"/>
  </r>
  <r>
    <x v="0"/>
    <x v="4"/>
    <x v="0"/>
    <x v="0"/>
    <x v="1"/>
    <x v="1"/>
    <x v="0"/>
    <x v="3"/>
    <x v="2"/>
    <x v="0"/>
    <x v="1"/>
    <x v="0"/>
  </r>
  <r>
    <x v="0"/>
    <x v="5"/>
    <x v="0"/>
    <x v="0"/>
    <x v="1"/>
    <x v="1"/>
    <x v="0"/>
    <x v="3"/>
    <x v="2"/>
    <x v="0"/>
    <x v="1"/>
    <x v="0"/>
  </r>
  <r>
    <x v="0"/>
    <x v="6"/>
    <x v="0"/>
    <x v="0"/>
    <x v="1"/>
    <x v="1"/>
    <x v="0"/>
    <x v="3"/>
    <x v="2"/>
    <x v="0"/>
    <x v="1"/>
    <x v="0"/>
  </r>
  <r>
    <x v="0"/>
    <x v="7"/>
    <x v="0"/>
    <x v="0"/>
    <x v="1"/>
    <x v="1"/>
    <x v="0"/>
    <x v="3"/>
    <x v="2"/>
    <x v="0"/>
    <x v="6"/>
    <x v="0"/>
  </r>
  <r>
    <x v="0"/>
    <x v="11"/>
    <x v="0"/>
    <x v="0"/>
    <x v="1"/>
    <x v="1"/>
    <x v="0"/>
    <x v="3"/>
    <x v="2"/>
    <x v="0"/>
    <x v="6"/>
    <x v="0"/>
  </r>
  <r>
    <x v="0"/>
    <x v="12"/>
    <x v="0"/>
    <x v="0"/>
    <x v="1"/>
    <x v="1"/>
    <x v="0"/>
    <x v="3"/>
    <x v="2"/>
    <x v="0"/>
    <x v="6"/>
    <x v="0"/>
  </r>
  <r>
    <x v="0"/>
    <x v="8"/>
    <x v="0"/>
    <x v="0"/>
    <x v="1"/>
    <x v="1"/>
    <x v="0"/>
    <x v="3"/>
    <x v="2"/>
    <x v="0"/>
    <x v="6"/>
    <x v="0"/>
  </r>
  <r>
    <x v="0"/>
    <x v="9"/>
    <x v="0"/>
    <x v="0"/>
    <x v="1"/>
    <x v="1"/>
    <x v="0"/>
    <x v="3"/>
    <x v="2"/>
    <x v="0"/>
    <x v="6"/>
    <x v="0"/>
  </r>
  <r>
    <x v="0"/>
    <x v="10"/>
    <x v="0"/>
    <x v="0"/>
    <x v="1"/>
    <x v="1"/>
    <x v="0"/>
    <x v="3"/>
    <x v="2"/>
    <x v="0"/>
    <x v="6"/>
    <x v="0"/>
  </r>
  <r>
    <x v="0"/>
    <x v="0"/>
    <x v="0"/>
    <x v="0"/>
    <x v="1"/>
    <x v="1"/>
    <x v="0"/>
    <x v="3"/>
    <x v="1"/>
    <x v="0"/>
    <x v="1"/>
    <x v="0"/>
  </r>
  <r>
    <x v="0"/>
    <x v="1"/>
    <x v="0"/>
    <x v="0"/>
    <x v="1"/>
    <x v="1"/>
    <x v="0"/>
    <x v="3"/>
    <x v="1"/>
    <x v="0"/>
    <x v="1"/>
    <x v="0"/>
  </r>
  <r>
    <x v="0"/>
    <x v="2"/>
    <x v="0"/>
    <x v="0"/>
    <x v="1"/>
    <x v="1"/>
    <x v="0"/>
    <x v="3"/>
    <x v="1"/>
    <x v="0"/>
    <x v="1"/>
    <x v="0"/>
  </r>
  <r>
    <x v="0"/>
    <x v="3"/>
    <x v="0"/>
    <x v="0"/>
    <x v="1"/>
    <x v="1"/>
    <x v="0"/>
    <x v="3"/>
    <x v="1"/>
    <x v="0"/>
    <x v="1"/>
    <x v="0"/>
  </r>
  <r>
    <x v="0"/>
    <x v="4"/>
    <x v="0"/>
    <x v="0"/>
    <x v="1"/>
    <x v="1"/>
    <x v="0"/>
    <x v="3"/>
    <x v="1"/>
    <x v="0"/>
    <x v="1"/>
    <x v="0"/>
  </r>
  <r>
    <x v="0"/>
    <x v="5"/>
    <x v="0"/>
    <x v="0"/>
    <x v="1"/>
    <x v="1"/>
    <x v="0"/>
    <x v="3"/>
    <x v="1"/>
    <x v="0"/>
    <x v="1"/>
    <x v="0"/>
  </r>
  <r>
    <x v="0"/>
    <x v="6"/>
    <x v="0"/>
    <x v="0"/>
    <x v="1"/>
    <x v="1"/>
    <x v="0"/>
    <x v="3"/>
    <x v="1"/>
    <x v="0"/>
    <x v="1"/>
    <x v="0"/>
  </r>
  <r>
    <x v="0"/>
    <x v="7"/>
    <x v="0"/>
    <x v="0"/>
    <x v="1"/>
    <x v="1"/>
    <x v="0"/>
    <x v="3"/>
    <x v="1"/>
    <x v="0"/>
    <x v="1"/>
    <x v="0"/>
  </r>
  <r>
    <x v="0"/>
    <x v="11"/>
    <x v="0"/>
    <x v="0"/>
    <x v="1"/>
    <x v="1"/>
    <x v="0"/>
    <x v="3"/>
    <x v="1"/>
    <x v="0"/>
    <x v="1"/>
    <x v="0"/>
  </r>
  <r>
    <x v="0"/>
    <x v="12"/>
    <x v="0"/>
    <x v="0"/>
    <x v="1"/>
    <x v="1"/>
    <x v="0"/>
    <x v="3"/>
    <x v="1"/>
    <x v="0"/>
    <x v="1"/>
    <x v="0"/>
  </r>
  <r>
    <x v="0"/>
    <x v="8"/>
    <x v="0"/>
    <x v="0"/>
    <x v="1"/>
    <x v="1"/>
    <x v="0"/>
    <x v="3"/>
    <x v="1"/>
    <x v="0"/>
    <x v="1"/>
    <x v="0"/>
  </r>
  <r>
    <x v="0"/>
    <x v="9"/>
    <x v="0"/>
    <x v="0"/>
    <x v="1"/>
    <x v="1"/>
    <x v="0"/>
    <x v="3"/>
    <x v="1"/>
    <x v="0"/>
    <x v="1"/>
    <x v="0"/>
  </r>
  <r>
    <x v="0"/>
    <x v="10"/>
    <x v="0"/>
    <x v="0"/>
    <x v="1"/>
    <x v="1"/>
    <x v="0"/>
    <x v="3"/>
    <x v="1"/>
    <x v="0"/>
    <x v="1"/>
    <x v="0"/>
  </r>
  <r>
    <x v="0"/>
    <x v="0"/>
    <x v="0"/>
    <x v="0"/>
    <x v="1"/>
    <x v="1"/>
    <x v="0"/>
    <x v="3"/>
    <x v="0"/>
    <x v="4"/>
    <x v="7"/>
    <x v="0"/>
  </r>
  <r>
    <x v="0"/>
    <x v="1"/>
    <x v="0"/>
    <x v="0"/>
    <x v="1"/>
    <x v="1"/>
    <x v="0"/>
    <x v="3"/>
    <x v="0"/>
    <x v="4"/>
    <x v="7"/>
    <x v="0"/>
  </r>
  <r>
    <x v="0"/>
    <x v="2"/>
    <x v="0"/>
    <x v="0"/>
    <x v="1"/>
    <x v="1"/>
    <x v="0"/>
    <x v="3"/>
    <x v="0"/>
    <x v="4"/>
    <x v="7"/>
    <x v="0"/>
  </r>
  <r>
    <x v="0"/>
    <x v="3"/>
    <x v="0"/>
    <x v="0"/>
    <x v="1"/>
    <x v="1"/>
    <x v="0"/>
    <x v="3"/>
    <x v="0"/>
    <x v="4"/>
    <x v="7"/>
    <x v="0"/>
  </r>
  <r>
    <x v="0"/>
    <x v="4"/>
    <x v="0"/>
    <x v="0"/>
    <x v="1"/>
    <x v="1"/>
    <x v="0"/>
    <x v="3"/>
    <x v="0"/>
    <x v="4"/>
    <x v="7"/>
    <x v="0"/>
  </r>
  <r>
    <x v="0"/>
    <x v="5"/>
    <x v="0"/>
    <x v="0"/>
    <x v="1"/>
    <x v="1"/>
    <x v="0"/>
    <x v="3"/>
    <x v="0"/>
    <x v="4"/>
    <x v="7"/>
    <x v="0"/>
  </r>
  <r>
    <x v="0"/>
    <x v="6"/>
    <x v="0"/>
    <x v="0"/>
    <x v="1"/>
    <x v="1"/>
    <x v="0"/>
    <x v="3"/>
    <x v="0"/>
    <x v="1"/>
    <x v="1"/>
    <x v="0"/>
  </r>
  <r>
    <x v="0"/>
    <x v="7"/>
    <x v="0"/>
    <x v="0"/>
    <x v="1"/>
    <x v="1"/>
    <x v="0"/>
    <x v="3"/>
    <x v="0"/>
    <x v="4"/>
    <x v="8"/>
    <x v="0"/>
  </r>
  <r>
    <x v="0"/>
    <x v="11"/>
    <x v="0"/>
    <x v="0"/>
    <x v="1"/>
    <x v="1"/>
    <x v="0"/>
    <x v="3"/>
    <x v="0"/>
    <x v="4"/>
    <x v="8"/>
    <x v="0"/>
  </r>
  <r>
    <x v="0"/>
    <x v="12"/>
    <x v="0"/>
    <x v="0"/>
    <x v="1"/>
    <x v="1"/>
    <x v="0"/>
    <x v="3"/>
    <x v="0"/>
    <x v="4"/>
    <x v="8"/>
    <x v="0"/>
  </r>
  <r>
    <x v="0"/>
    <x v="8"/>
    <x v="0"/>
    <x v="0"/>
    <x v="1"/>
    <x v="1"/>
    <x v="0"/>
    <x v="3"/>
    <x v="0"/>
    <x v="4"/>
    <x v="8"/>
    <x v="0"/>
  </r>
  <r>
    <x v="0"/>
    <x v="9"/>
    <x v="0"/>
    <x v="0"/>
    <x v="1"/>
    <x v="1"/>
    <x v="0"/>
    <x v="3"/>
    <x v="0"/>
    <x v="4"/>
    <x v="8"/>
    <x v="0"/>
  </r>
  <r>
    <x v="0"/>
    <x v="10"/>
    <x v="0"/>
    <x v="0"/>
    <x v="1"/>
    <x v="1"/>
    <x v="0"/>
    <x v="3"/>
    <x v="0"/>
    <x v="4"/>
    <x v="8"/>
    <x v="0"/>
  </r>
  <r>
    <x v="0"/>
    <x v="0"/>
    <x v="0"/>
    <x v="0"/>
    <x v="1"/>
    <x v="1"/>
    <x v="0"/>
    <x v="3"/>
    <x v="2"/>
    <x v="1"/>
    <x v="1"/>
    <x v="0"/>
  </r>
  <r>
    <x v="0"/>
    <x v="1"/>
    <x v="0"/>
    <x v="0"/>
    <x v="1"/>
    <x v="1"/>
    <x v="0"/>
    <x v="3"/>
    <x v="2"/>
    <x v="1"/>
    <x v="1"/>
    <x v="0"/>
  </r>
  <r>
    <x v="0"/>
    <x v="2"/>
    <x v="0"/>
    <x v="0"/>
    <x v="1"/>
    <x v="1"/>
    <x v="0"/>
    <x v="3"/>
    <x v="2"/>
    <x v="1"/>
    <x v="1"/>
    <x v="0"/>
  </r>
  <r>
    <x v="0"/>
    <x v="3"/>
    <x v="0"/>
    <x v="0"/>
    <x v="1"/>
    <x v="1"/>
    <x v="0"/>
    <x v="3"/>
    <x v="2"/>
    <x v="1"/>
    <x v="1"/>
    <x v="0"/>
  </r>
  <r>
    <x v="0"/>
    <x v="4"/>
    <x v="0"/>
    <x v="0"/>
    <x v="1"/>
    <x v="1"/>
    <x v="0"/>
    <x v="3"/>
    <x v="2"/>
    <x v="1"/>
    <x v="1"/>
    <x v="0"/>
  </r>
  <r>
    <x v="0"/>
    <x v="5"/>
    <x v="0"/>
    <x v="0"/>
    <x v="1"/>
    <x v="1"/>
    <x v="0"/>
    <x v="3"/>
    <x v="2"/>
    <x v="1"/>
    <x v="1"/>
    <x v="0"/>
  </r>
  <r>
    <x v="0"/>
    <x v="6"/>
    <x v="0"/>
    <x v="0"/>
    <x v="1"/>
    <x v="1"/>
    <x v="0"/>
    <x v="3"/>
    <x v="2"/>
    <x v="1"/>
    <x v="1"/>
    <x v="0"/>
  </r>
  <r>
    <x v="0"/>
    <x v="7"/>
    <x v="0"/>
    <x v="0"/>
    <x v="1"/>
    <x v="1"/>
    <x v="0"/>
    <x v="3"/>
    <x v="2"/>
    <x v="4"/>
    <x v="7"/>
    <x v="0"/>
  </r>
  <r>
    <x v="0"/>
    <x v="11"/>
    <x v="0"/>
    <x v="0"/>
    <x v="1"/>
    <x v="1"/>
    <x v="0"/>
    <x v="3"/>
    <x v="2"/>
    <x v="4"/>
    <x v="7"/>
    <x v="0"/>
  </r>
  <r>
    <x v="0"/>
    <x v="12"/>
    <x v="0"/>
    <x v="0"/>
    <x v="1"/>
    <x v="1"/>
    <x v="0"/>
    <x v="3"/>
    <x v="2"/>
    <x v="4"/>
    <x v="7"/>
    <x v="0"/>
  </r>
  <r>
    <x v="0"/>
    <x v="8"/>
    <x v="0"/>
    <x v="0"/>
    <x v="1"/>
    <x v="1"/>
    <x v="0"/>
    <x v="3"/>
    <x v="2"/>
    <x v="4"/>
    <x v="7"/>
    <x v="0"/>
  </r>
  <r>
    <x v="0"/>
    <x v="9"/>
    <x v="0"/>
    <x v="0"/>
    <x v="1"/>
    <x v="1"/>
    <x v="0"/>
    <x v="3"/>
    <x v="2"/>
    <x v="4"/>
    <x v="7"/>
    <x v="0"/>
  </r>
  <r>
    <x v="0"/>
    <x v="10"/>
    <x v="0"/>
    <x v="0"/>
    <x v="1"/>
    <x v="1"/>
    <x v="0"/>
    <x v="3"/>
    <x v="2"/>
    <x v="4"/>
    <x v="7"/>
    <x v="0"/>
  </r>
  <r>
    <x v="0"/>
    <x v="0"/>
    <x v="0"/>
    <x v="0"/>
    <x v="1"/>
    <x v="1"/>
    <x v="0"/>
    <x v="3"/>
    <x v="1"/>
    <x v="1"/>
    <x v="1"/>
    <x v="0"/>
  </r>
  <r>
    <x v="0"/>
    <x v="1"/>
    <x v="0"/>
    <x v="0"/>
    <x v="1"/>
    <x v="1"/>
    <x v="0"/>
    <x v="3"/>
    <x v="1"/>
    <x v="1"/>
    <x v="1"/>
    <x v="0"/>
  </r>
  <r>
    <x v="0"/>
    <x v="2"/>
    <x v="0"/>
    <x v="0"/>
    <x v="1"/>
    <x v="1"/>
    <x v="0"/>
    <x v="3"/>
    <x v="1"/>
    <x v="1"/>
    <x v="1"/>
    <x v="0"/>
  </r>
  <r>
    <x v="0"/>
    <x v="3"/>
    <x v="0"/>
    <x v="0"/>
    <x v="1"/>
    <x v="1"/>
    <x v="0"/>
    <x v="3"/>
    <x v="1"/>
    <x v="1"/>
    <x v="1"/>
    <x v="0"/>
  </r>
  <r>
    <x v="0"/>
    <x v="4"/>
    <x v="0"/>
    <x v="0"/>
    <x v="1"/>
    <x v="1"/>
    <x v="0"/>
    <x v="3"/>
    <x v="1"/>
    <x v="1"/>
    <x v="1"/>
    <x v="0"/>
  </r>
  <r>
    <x v="0"/>
    <x v="5"/>
    <x v="0"/>
    <x v="0"/>
    <x v="1"/>
    <x v="1"/>
    <x v="0"/>
    <x v="3"/>
    <x v="1"/>
    <x v="1"/>
    <x v="1"/>
    <x v="0"/>
  </r>
  <r>
    <x v="0"/>
    <x v="6"/>
    <x v="0"/>
    <x v="0"/>
    <x v="1"/>
    <x v="1"/>
    <x v="0"/>
    <x v="3"/>
    <x v="1"/>
    <x v="1"/>
    <x v="1"/>
    <x v="0"/>
  </r>
  <r>
    <x v="0"/>
    <x v="7"/>
    <x v="0"/>
    <x v="0"/>
    <x v="1"/>
    <x v="1"/>
    <x v="0"/>
    <x v="3"/>
    <x v="1"/>
    <x v="1"/>
    <x v="1"/>
    <x v="0"/>
  </r>
  <r>
    <x v="0"/>
    <x v="11"/>
    <x v="0"/>
    <x v="0"/>
    <x v="1"/>
    <x v="1"/>
    <x v="0"/>
    <x v="3"/>
    <x v="1"/>
    <x v="1"/>
    <x v="1"/>
    <x v="0"/>
  </r>
  <r>
    <x v="0"/>
    <x v="12"/>
    <x v="0"/>
    <x v="0"/>
    <x v="1"/>
    <x v="1"/>
    <x v="0"/>
    <x v="3"/>
    <x v="1"/>
    <x v="1"/>
    <x v="1"/>
    <x v="0"/>
  </r>
  <r>
    <x v="0"/>
    <x v="8"/>
    <x v="0"/>
    <x v="0"/>
    <x v="1"/>
    <x v="1"/>
    <x v="0"/>
    <x v="3"/>
    <x v="1"/>
    <x v="1"/>
    <x v="1"/>
    <x v="0"/>
  </r>
  <r>
    <x v="0"/>
    <x v="9"/>
    <x v="0"/>
    <x v="0"/>
    <x v="1"/>
    <x v="1"/>
    <x v="0"/>
    <x v="3"/>
    <x v="1"/>
    <x v="1"/>
    <x v="1"/>
    <x v="0"/>
  </r>
  <r>
    <x v="0"/>
    <x v="10"/>
    <x v="0"/>
    <x v="0"/>
    <x v="1"/>
    <x v="1"/>
    <x v="0"/>
    <x v="3"/>
    <x v="1"/>
    <x v="1"/>
    <x v="1"/>
    <x v="0"/>
  </r>
  <r>
    <x v="0"/>
    <x v="0"/>
    <x v="0"/>
    <x v="0"/>
    <x v="1"/>
    <x v="1"/>
    <x v="0"/>
    <x v="3"/>
    <x v="0"/>
    <x v="2"/>
    <x v="0"/>
    <x v="0"/>
  </r>
  <r>
    <x v="0"/>
    <x v="1"/>
    <x v="0"/>
    <x v="0"/>
    <x v="1"/>
    <x v="1"/>
    <x v="0"/>
    <x v="3"/>
    <x v="0"/>
    <x v="2"/>
    <x v="0"/>
    <x v="0"/>
  </r>
  <r>
    <x v="0"/>
    <x v="2"/>
    <x v="0"/>
    <x v="0"/>
    <x v="1"/>
    <x v="1"/>
    <x v="0"/>
    <x v="3"/>
    <x v="0"/>
    <x v="2"/>
    <x v="0"/>
    <x v="0"/>
  </r>
  <r>
    <x v="0"/>
    <x v="3"/>
    <x v="0"/>
    <x v="0"/>
    <x v="1"/>
    <x v="1"/>
    <x v="0"/>
    <x v="3"/>
    <x v="0"/>
    <x v="2"/>
    <x v="0"/>
    <x v="0"/>
  </r>
  <r>
    <x v="0"/>
    <x v="4"/>
    <x v="0"/>
    <x v="0"/>
    <x v="1"/>
    <x v="1"/>
    <x v="0"/>
    <x v="3"/>
    <x v="0"/>
    <x v="2"/>
    <x v="0"/>
    <x v="0"/>
  </r>
  <r>
    <x v="0"/>
    <x v="5"/>
    <x v="0"/>
    <x v="0"/>
    <x v="1"/>
    <x v="1"/>
    <x v="0"/>
    <x v="3"/>
    <x v="0"/>
    <x v="2"/>
    <x v="0"/>
    <x v="0"/>
  </r>
  <r>
    <x v="0"/>
    <x v="6"/>
    <x v="0"/>
    <x v="0"/>
    <x v="1"/>
    <x v="1"/>
    <x v="0"/>
    <x v="3"/>
    <x v="0"/>
    <x v="2"/>
    <x v="0"/>
    <x v="0"/>
  </r>
  <r>
    <x v="0"/>
    <x v="7"/>
    <x v="0"/>
    <x v="0"/>
    <x v="1"/>
    <x v="1"/>
    <x v="0"/>
    <x v="3"/>
    <x v="0"/>
    <x v="2"/>
    <x v="1"/>
    <x v="0"/>
  </r>
  <r>
    <x v="0"/>
    <x v="11"/>
    <x v="0"/>
    <x v="0"/>
    <x v="1"/>
    <x v="1"/>
    <x v="0"/>
    <x v="3"/>
    <x v="0"/>
    <x v="2"/>
    <x v="0"/>
    <x v="0"/>
  </r>
  <r>
    <x v="0"/>
    <x v="12"/>
    <x v="0"/>
    <x v="0"/>
    <x v="1"/>
    <x v="1"/>
    <x v="0"/>
    <x v="3"/>
    <x v="0"/>
    <x v="2"/>
    <x v="0"/>
    <x v="0"/>
  </r>
  <r>
    <x v="0"/>
    <x v="8"/>
    <x v="0"/>
    <x v="0"/>
    <x v="1"/>
    <x v="1"/>
    <x v="0"/>
    <x v="3"/>
    <x v="0"/>
    <x v="2"/>
    <x v="0"/>
    <x v="0"/>
  </r>
  <r>
    <x v="0"/>
    <x v="9"/>
    <x v="0"/>
    <x v="0"/>
    <x v="1"/>
    <x v="1"/>
    <x v="0"/>
    <x v="3"/>
    <x v="0"/>
    <x v="2"/>
    <x v="0"/>
    <x v="0"/>
  </r>
  <r>
    <x v="0"/>
    <x v="10"/>
    <x v="0"/>
    <x v="0"/>
    <x v="1"/>
    <x v="1"/>
    <x v="0"/>
    <x v="3"/>
    <x v="0"/>
    <x v="2"/>
    <x v="0"/>
    <x v="0"/>
  </r>
  <r>
    <x v="0"/>
    <x v="0"/>
    <x v="0"/>
    <x v="0"/>
    <x v="1"/>
    <x v="1"/>
    <x v="0"/>
    <x v="3"/>
    <x v="2"/>
    <x v="2"/>
    <x v="1"/>
    <x v="0"/>
  </r>
  <r>
    <x v="0"/>
    <x v="1"/>
    <x v="0"/>
    <x v="0"/>
    <x v="1"/>
    <x v="1"/>
    <x v="0"/>
    <x v="3"/>
    <x v="2"/>
    <x v="2"/>
    <x v="1"/>
    <x v="0"/>
  </r>
  <r>
    <x v="0"/>
    <x v="2"/>
    <x v="0"/>
    <x v="0"/>
    <x v="1"/>
    <x v="1"/>
    <x v="0"/>
    <x v="3"/>
    <x v="2"/>
    <x v="2"/>
    <x v="1"/>
    <x v="0"/>
  </r>
  <r>
    <x v="0"/>
    <x v="3"/>
    <x v="0"/>
    <x v="0"/>
    <x v="1"/>
    <x v="1"/>
    <x v="0"/>
    <x v="3"/>
    <x v="2"/>
    <x v="2"/>
    <x v="1"/>
    <x v="0"/>
  </r>
  <r>
    <x v="0"/>
    <x v="4"/>
    <x v="0"/>
    <x v="0"/>
    <x v="1"/>
    <x v="1"/>
    <x v="0"/>
    <x v="3"/>
    <x v="2"/>
    <x v="2"/>
    <x v="1"/>
    <x v="0"/>
  </r>
  <r>
    <x v="0"/>
    <x v="5"/>
    <x v="0"/>
    <x v="0"/>
    <x v="1"/>
    <x v="1"/>
    <x v="0"/>
    <x v="3"/>
    <x v="2"/>
    <x v="2"/>
    <x v="1"/>
    <x v="0"/>
  </r>
  <r>
    <x v="0"/>
    <x v="6"/>
    <x v="0"/>
    <x v="0"/>
    <x v="1"/>
    <x v="1"/>
    <x v="0"/>
    <x v="3"/>
    <x v="2"/>
    <x v="2"/>
    <x v="0"/>
    <x v="0"/>
  </r>
  <r>
    <x v="0"/>
    <x v="7"/>
    <x v="0"/>
    <x v="0"/>
    <x v="1"/>
    <x v="1"/>
    <x v="0"/>
    <x v="3"/>
    <x v="2"/>
    <x v="2"/>
    <x v="0"/>
    <x v="0"/>
  </r>
  <r>
    <x v="0"/>
    <x v="11"/>
    <x v="0"/>
    <x v="0"/>
    <x v="1"/>
    <x v="1"/>
    <x v="0"/>
    <x v="3"/>
    <x v="2"/>
    <x v="2"/>
    <x v="0"/>
    <x v="0"/>
  </r>
  <r>
    <x v="0"/>
    <x v="12"/>
    <x v="0"/>
    <x v="0"/>
    <x v="1"/>
    <x v="1"/>
    <x v="0"/>
    <x v="3"/>
    <x v="2"/>
    <x v="2"/>
    <x v="0"/>
    <x v="0"/>
  </r>
  <r>
    <x v="0"/>
    <x v="8"/>
    <x v="0"/>
    <x v="0"/>
    <x v="1"/>
    <x v="1"/>
    <x v="0"/>
    <x v="3"/>
    <x v="2"/>
    <x v="2"/>
    <x v="0"/>
    <x v="0"/>
  </r>
  <r>
    <x v="0"/>
    <x v="9"/>
    <x v="0"/>
    <x v="0"/>
    <x v="1"/>
    <x v="1"/>
    <x v="0"/>
    <x v="3"/>
    <x v="2"/>
    <x v="2"/>
    <x v="0"/>
    <x v="0"/>
  </r>
  <r>
    <x v="0"/>
    <x v="10"/>
    <x v="0"/>
    <x v="0"/>
    <x v="1"/>
    <x v="1"/>
    <x v="0"/>
    <x v="3"/>
    <x v="2"/>
    <x v="2"/>
    <x v="0"/>
    <x v="0"/>
  </r>
  <r>
    <x v="0"/>
    <x v="0"/>
    <x v="0"/>
    <x v="0"/>
    <x v="1"/>
    <x v="1"/>
    <x v="0"/>
    <x v="3"/>
    <x v="2"/>
    <x v="2"/>
    <x v="1"/>
    <x v="0"/>
  </r>
  <r>
    <x v="0"/>
    <x v="1"/>
    <x v="0"/>
    <x v="0"/>
    <x v="1"/>
    <x v="1"/>
    <x v="0"/>
    <x v="3"/>
    <x v="2"/>
    <x v="2"/>
    <x v="1"/>
    <x v="0"/>
  </r>
  <r>
    <x v="0"/>
    <x v="2"/>
    <x v="0"/>
    <x v="0"/>
    <x v="1"/>
    <x v="1"/>
    <x v="0"/>
    <x v="3"/>
    <x v="2"/>
    <x v="2"/>
    <x v="1"/>
    <x v="0"/>
  </r>
  <r>
    <x v="0"/>
    <x v="3"/>
    <x v="0"/>
    <x v="0"/>
    <x v="1"/>
    <x v="1"/>
    <x v="0"/>
    <x v="3"/>
    <x v="2"/>
    <x v="2"/>
    <x v="1"/>
    <x v="0"/>
  </r>
  <r>
    <x v="0"/>
    <x v="4"/>
    <x v="0"/>
    <x v="0"/>
    <x v="1"/>
    <x v="1"/>
    <x v="0"/>
    <x v="3"/>
    <x v="2"/>
    <x v="2"/>
    <x v="1"/>
    <x v="0"/>
  </r>
  <r>
    <x v="0"/>
    <x v="5"/>
    <x v="0"/>
    <x v="0"/>
    <x v="1"/>
    <x v="1"/>
    <x v="0"/>
    <x v="3"/>
    <x v="2"/>
    <x v="2"/>
    <x v="1"/>
    <x v="0"/>
  </r>
  <r>
    <x v="0"/>
    <x v="6"/>
    <x v="0"/>
    <x v="0"/>
    <x v="1"/>
    <x v="1"/>
    <x v="0"/>
    <x v="3"/>
    <x v="2"/>
    <x v="2"/>
    <x v="1"/>
    <x v="0"/>
  </r>
  <r>
    <x v="0"/>
    <x v="7"/>
    <x v="0"/>
    <x v="0"/>
    <x v="1"/>
    <x v="1"/>
    <x v="0"/>
    <x v="3"/>
    <x v="2"/>
    <x v="2"/>
    <x v="1"/>
    <x v="0"/>
  </r>
  <r>
    <x v="0"/>
    <x v="11"/>
    <x v="0"/>
    <x v="0"/>
    <x v="1"/>
    <x v="1"/>
    <x v="0"/>
    <x v="3"/>
    <x v="2"/>
    <x v="2"/>
    <x v="1"/>
    <x v="0"/>
  </r>
  <r>
    <x v="0"/>
    <x v="12"/>
    <x v="0"/>
    <x v="0"/>
    <x v="1"/>
    <x v="1"/>
    <x v="0"/>
    <x v="3"/>
    <x v="2"/>
    <x v="2"/>
    <x v="1"/>
    <x v="0"/>
  </r>
  <r>
    <x v="0"/>
    <x v="8"/>
    <x v="0"/>
    <x v="0"/>
    <x v="1"/>
    <x v="1"/>
    <x v="0"/>
    <x v="3"/>
    <x v="2"/>
    <x v="2"/>
    <x v="1"/>
    <x v="0"/>
  </r>
  <r>
    <x v="0"/>
    <x v="9"/>
    <x v="0"/>
    <x v="0"/>
    <x v="1"/>
    <x v="1"/>
    <x v="0"/>
    <x v="3"/>
    <x v="2"/>
    <x v="2"/>
    <x v="1"/>
    <x v="0"/>
  </r>
  <r>
    <x v="0"/>
    <x v="10"/>
    <x v="0"/>
    <x v="0"/>
    <x v="1"/>
    <x v="1"/>
    <x v="0"/>
    <x v="3"/>
    <x v="2"/>
    <x v="2"/>
    <x v="1"/>
    <x v="0"/>
  </r>
  <r>
    <x v="0"/>
    <x v="0"/>
    <x v="0"/>
    <x v="0"/>
    <x v="1"/>
    <x v="1"/>
    <x v="0"/>
    <x v="3"/>
    <x v="1"/>
    <x v="2"/>
    <x v="1"/>
    <x v="0"/>
  </r>
  <r>
    <x v="0"/>
    <x v="1"/>
    <x v="0"/>
    <x v="0"/>
    <x v="1"/>
    <x v="1"/>
    <x v="0"/>
    <x v="3"/>
    <x v="1"/>
    <x v="2"/>
    <x v="1"/>
    <x v="0"/>
  </r>
  <r>
    <x v="0"/>
    <x v="2"/>
    <x v="0"/>
    <x v="0"/>
    <x v="1"/>
    <x v="1"/>
    <x v="0"/>
    <x v="3"/>
    <x v="1"/>
    <x v="2"/>
    <x v="1"/>
    <x v="0"/>
  </r>
  <r>
    <x v="0"/>
    <x v="3"/>
    <x v="0"/>
    <x v="0"/>
    <x v="1"/>
    <x v="1"/>
    <x v="0"/>
    <x v="3"/>
    <x v="1"/>
    <x v="2"/>
    <x v="1"/>
    <x v="0"/>
  </r>
  <r>
    <x v="0"/>
    <x v="4"/>
    <x v="0"/>
    <x v="0"/>
    <x v="1"/>
    <x v="1"/>
    <x v="0"/>
    <x v="3"/>
    <x v="1"/>
    <x v="2"/>
    <x v="1"/>
    <x v="0"/>
  </r>
  <r>
    <x v="0"/>
    <x v="5"/>
    <x v="0"/>
    <x v="0"/>
    <x v="1"/>
    <x v="1"/>
    <x v="0"/>
    <x v="3"/>
    <x v="1"/>
    <x v="2"/>
    <x v="1"/>
    <x v="0"/>
  </r>
  <r>
    <x v="0"/>
    <x v="6"/>
    <x v="0"/>
    <x v="0"/>
    <x v="1"/>
    <x v="1"/>
    <x v="0"/>
    <x v="3"/>
    <x v="1"/>
    <x v="2"/>
    <x v="1"/>
    <x v="0"/>
  </r>
  <r>
    <x v="0"/>
    <x v="7"/>
    <x v="0"/>
    <x v="0"/>
    <x v="1"/>
    <x v="1"/>
    <x v="0"/>
    <x v="3"/>
    <x v="1"/>
    <x v="2"/>
    <x v="1"/>
    <x v="0"/>
  </r>
  <r>
    <x v="0"/>
    <x v="11"/>
    <x v="0"/>
    <x v="0"/>
    <x v="1"/>
    <x v="1"/>
    <x v="0"/>
    <x v="3"/>
    <x v="1"/>
    <x v="2"/>
    <x v="1"/>
    <x v="0"/>
  </r>
  <r>
    <x v="0"/>
    <x v="12"/>
    <x v="0"/>
    <x v="0"/>
    <x v="1"/>
    <x v="1"/>
    <x v="0"/>
    <x v="3"/>
    <x v="1"/>
    <x v="2"/>
    <x v="1"/>
    <x v="0"/>
  </r>
  <r>
    <x v="0"/>
    <x v="8"/>
    <x v="0"/>
    <x v="0"/>
    <x v="1"/>
    <x v="1"/>
    <x v="0"/>
    <x v="3"/>
    <x v="1"/>
    <x v="2"/>
    <x v="1"/>
    <x v="0"/>
  </r>
  <r>
    <x v="0"/>
    <x v="9"/>
    <x v="0"/>
    <x v="0"/>
    <x v="1"/>
    <x v="1"/>
    <x v="0"/>
    <x v="3"/>
    <x v="1"/>
    <x v="2"/>
    <x v="1"/>
    <x v="0"/>
  </r>
  <r>
    <x v="0"/>
    <x v="10"/>
    <x v="0"/>
    <x v="0"/>
    <x v="1"/>
    <x v="1"/>
    <x v="0"/>
    <x v="3"/>
    <x v="1"/>
    <x v="2"/>
    <x v="1"/>
    <x v="0"/>
  </r>
  <r>
    <x v="0"/>
    <x v="0"/>
    <x v="0"/>
    <x v="0"/>
    <x v="0"/>
    <x v="0"/>
    <x v="0"/>
    <x v="4"/>
    <x v="1"/>
    <x v="0"/>
    <x v="1"/>
    <x v="0"/>
  </r>
  <r>
    <x v="0"/>
    <x v="1"/>
    <x v="0"/>
    <x v="0"/>
    <x v="0"/>
    <x v="0"/>
    <x v="0"/>
    <x v="4"/>
    <x v="1"/>
    <x v="0"/>
    <x v="1"/>
    <x v="0"/>
  </r>
  <r>
    <x v="0"/>
    <x v="2"/>
    <x v="0"/>
    <x v="0"/>
    <x v="0"/>
    <x v="0"/>
    <x v="0"/>
    <x v="4"/>
    <x v="1"/>
    <x v="0"/>
    <x v="1"/>
    <x v="0"/>
  </r>
  <r>
    <x v="0"/>
    <x v="3"/>
    <x v="0"/>
    <x v="0"/>
    <x v="0"/>
    <x v="0"/>
    <x v="0"/>
    <x v="4"/>
    <x v="1"/>
    <x v="0"/>
    <x v="1"/>
    <x v="0"/>
  </r>
  <r>
    <x v="0"/>
    <x v="4"/>
    <x v="0"/>
    <x v="0"/>
    <x v="0"/>
    <x v="0"/>
    <x v="0"/>
    <x v="4"/>
    <x v="1"/>
    <x v="0"/>
    <x v="1"/>
    <x v="0"/>
  </r>
  <r>
    <x v="0"/>
    <x v="5"/>
    <x v="0"/>
    <x v="0"/>
    <x v="0"/>
    <x v="0"/>
    <x v="0"/>
    <x v="4"/>
    <x v="1"/>
    <x v="0"/>
    <x v="1"/>
    <x v="0"/>
  </r>
  <r>
    <x v="0"/>
    <x v="6"/>
    <x v="0"/>
    <x v="0"/>
    <x v="0"/>
    <x v="0"/>
    <x v="0"/>
    <x v="4"/>
    <x v="1"/>
    <x v="0"/>
    <x v="1"/>
    <x v="0"/>
  </r>
  <r>
    <x v="0"/>
    <x v="7"/>
    <x v="0"/>
    <x v="0"/>
    <x v="0"/>
    <x v="0"/>
    <x v="0"/>
    <x v="4"/>
    <x v="1"/>
    <x v="0"/>
    <x v="1"/>
    <x v="0"/>
  </r>
  <r>
    <x v="0"/>
    <x v="11"/>
    <x v="0"/>
    <x v="0"/>
    <x v="0"/>
    <x v="0"/>
    <x v="0"/>
    <x v="4"/>
    <x v="1"/>
    <x v="0"/>
    <x v="1"/>
    <x v="0"/>
  </r>
  <r>
    <x v="0"/>
    <x v="12"/>
    <x v="0"/>
    <x v="0"/>
    <x v="0"/>
    <x v="0"/>
    <x v="0"/>
    <x v="4"/>
    <x v="1"/>
    <x v="0"/>
    <x v="1"/>
    <x v="0"/>
  </r>
  <r>
    <x v="0"/>
    <x v="8"/>
    <x v="0"/>
    <x v="0"/>
    <x v="0"/>
    <x v="0"/>
    <x v="0"/>
    <x v="4"/>
    <x v="1"/>
    <x v="0"/>
    <x v="1"/>
    <x v="0"/>
  </r>
  <r>
    <x v="0"/>
    <x v="9"/>
    <x v="0"/>
    <x v="0"/>
    <x v="0"/>
    <x v="0"/>
    <x v="0"/>
    <x v="4"/>
    <x v="1"/>
    <x v="0"/>
    <x v="1"/>
    <x v="0"/>
  </r>
  <r>
    <x v="0"/>
    <x v="10"/>
    <x v="0"/>
    <x v="0"/>
    <x v="0"/>
    <x v="0"/>
    <x v="0"/>
    <x v="4"/>
    <x v="1"/>
    <x v="0"/>
    <x v="1"/>
    <x v="0"/>
  </r>
  <r>
    <x v="0"/>
    <x v="0"/>
    <x v="0"/>
    <x v="0"/>
    <x v="0"/>
    <x v="0"/>
    <x v="0"/>
    <x v="4"/>
    <x v="1"/>
    <x v="2"/>
    <x v="1"/>
    <x v="0"/>
  </r>
  <r>
    <x v="0"/>
    <x v="1"/>
    <x v="0"/>
    <x v="0"/>
    <x v="0"/>
    <x v="0"/>
    <x v="0"/>
    <x v="4"/>
    <x v="1"/>
    <x v="2"/>
    <x v="1"/>
    <x v="0"/>
  </r>
  <r>
    <x v="0"/>
    <x v="2"/>
    <x v="0"/>
    <x v="0"/>
    <x v="0"/>
    <x v="0"/>
    <x v="0"/>
    <x v="4"/>
    <x v="1"/>
    <x v="2"/>
    <x v="1"/>
    <x v="0"/>
  </r>
  <r>
    <x v="0"/>
    <x v="3"/>
    <x v="0"/>
    <x v="0"/>
    <x v="0"/>
    <x v="0"/>
    <x v="0"/>
    <x v="4"/>
    <x v="1"/>
    <x v="2"/>
    <x v="1"/>
    <x v="0"/>
  </r>
  <r>
    <x v="0"/>
    <x v="4"/>
    <x v="0"/>
    <x v="0"/>
    <x v="0"/>
    <x v="0"/>
    <x v="0"/>
    <x v="4"/>
    <x v="1"/>
    <x v="2"/>
    <x v="1"/>
    <x v="0"/>
  </r>
  <r>
    <x v="0"/>
    <x v="5"/>
    <x v="0"/>
    <x v="0"/>
    <x v="0"/>
    <x v="0"/>
    <x v="0"/>
    <x v="4"/>
    <x v="1"/>
    <x v="2"/>
    <x v="1"/>
    <x v="0"/>
  </r>
  <r>
    <x v="0"/>
    <x v="6"/>
    <x v="0"/>
    <x v="0"/>
    <x v="0"/>
    <x v="0"/>
    <x v="0"/>
    <x v="4"/>
    <x v="1"/>
    <x v="2"/>
    <x v="1"/>
    <x v="0"/>
  </r>
  <r>
    <x v="0"/>
    <x v="7"/>
    <x v="0"/>
    <x v="0"/>
    <x v="0"/>
    <x v="0"/>
    <x v="0"/>
    <x v="4"/>
    <x v="1"/>
    <x v="2"/>
    <x v="1"/>
    <x v="0"/>
  </r>
  <r>
    <x v="0"/>
    <x v="11"/>
    <x v="0"/>
    <x v="0"/>
    <x v="0"/>
    <x v="0"/>
    <x v="0"/>
    <x v="4"/>
    <x v="1"/>
    <x v="2"/>
    <x v="1"/>
    <x v="0"/>
  </r>
  <r>
    <x v="0"/>
    <x v="12"/>
    <x v="0"/>
    <x v="0"/>
    <x v="0"/>
    <x v="0"/>
    <x v="0"/>
    <x v="4"/>
    <x v="1"/>
    <x v="2"/>
    <x v="1"/>
    <x v="0"/>
  </r>
  <r>
    <x v="0"/>
    <x v="8"/>
    <x v="0"/>
    <x v="0"/>
    <x v="0"/>
    <x v="0"/>
    <x v="0"/>
    <x v="4"/>
    <x v="1"/>
    <x v="2"/>
    <x v="1"/>
    <x v="0"/>
  </r>
  <r>
    <x v="0"/>
    <x v="9"/>
    <x v="0"/>
    <x v="0"/>
    <x v="0"/>
    <x v="0"/>
    <x v="0"/>
    <x v="4"/>
    <x v="1"/>
    <x v="2"/>
    <x v="1"/>
    <x v="0"/>
  </r>
  <r>
    <x v="0"/>
    <x v="10"/>
    <x v="0"/>
    <x v="0"/>
    <x v="0"/>
    <x v="0"/>
    <x v="0"/>
    <x v="4"/>
    <x v="1"/>
    <x v="2"/>
    <x v="1"/>
    <x v="0"/>
  </r>
  <r>
    <x v="0"/>
    <x v="0"/>
    <x v="0"/>
    <x v="0"/>
    <x v="2"/>
    <x v="1"/>
    <x v="0"/>
    <x v="5"/>
    <x v="0"/>
    <x v="0"/>
    <x v="0"/>
    <x v="0"/>
  </r>
  <r>
    <x v="0"/>
    <x v="1"/>
    <x v="0"/>
    <x v="0"/>
    <x v="2"/>
    <x v="1"/>
    <x v="0"/>
    <x v="5"/>
    <x v="0"/>
    <x v="0"/>
    <x v="0"/>
    <x v="0"/>
  </r>
  <r>
    <x v="0"/>
    <x v="2"/>
    <x v="0"/>
    <x v="0"/>
    <x v="2"/>
    <x v="1"/>
    <x v="0"/>
    <x v="5"/>
    <x v="0"/>
    <x v="0"/>
    <x v="0"/>
    <x v="0"/>
  </r>
  <r>
    <x v="0"/>
    <x v="3"/>
    <x v="0"/>
    <x v="0"/>
    <x v="2"/>
    <x v="1"/>
    <x v="0"/>
    <x v="5"/>
    <x v="0"/>
    <x v="0"/>
    <x v="0"/>
    <x v="0"/>
  </r>
  <r>
    <x v="0"/>
    <x v="4"/>
    <x v="0"/>
    <x v="0"/>
    <x v="2"/>
    <x v="1"/>
    <x v="0"/>
    <x v="5"/>
    <x v="0"/>
    <x v="0"/>
    <x v="0"/>
    <x v="0"/>
  </r>
  <r>
    <x v="0"/>
    <x v="5"/>
    <x v="0"/>
    <x v="0"/>
    <x v="2"/>
    <x v="1"/>
    <x v="0"/>
    <x v="5"/>
    <x v="0"/>
    <x v="0"/>
    <x v="0"/>
    <x v="0"/>
  </r>
  <r>
    <x v="0"/>
    <x v="6"/>
    <x v="0"/>
    <x v="0"/>
    <x v="2"/>
    <x v="1"/>
    <x v="0"/>
    <x v="5"/>
    <x v="0"/>
    <x v="0"/>
    <x v="9"/>
    <x v="0"/>
  </r>
  <r>
    <x v="0"/>
    <x v="7"/>
    <x v="0"/>
    <x v="0"/>
    <x v="2"/>
    <x v="1"/>
    <x v="0"/>
    <x v="5"/>
    <x v="0"/>
    <x v="0"/>
    <x v="1"/>
    <x v="0"/>
  </r>
  <r>
    <x v="0"/>
    <x v="11"/>
    <x v="0"/>
    <x v="0"/>
    <x v="2"/>
    <x v="1"/>
    <x v="0"/>
    <x v="5"/>
    <x v="0"/>
    <x v="0"/>
    <x v="0"/>
    <x v="0"/>
  </r>
  <r>
    <x v="0"/>
    <x v="12"/>
    <x v="0"/>
    <x v="0"/>
    <x v="2"/>
    <x v="1"/>
    <x v="0"/>
    <x v="5"/>
    <x v="0"/>
    <x v="0"/>
    <x v="0"/>
    <x v="0"/>
  </r>
  <r>
    <x v="0"/>
    <x v="8"/>
    <x v="0"/>
    <x v="0"/>
    <x v="2"/>
    <x v="1"/>
    <x v="0"/>
    <x v="5"/>
    <x v="0"/>
    <x v="0"/>
    <x v="0"/>
    <x v="0"/>
  </r>
  <r>
    <x v="0"/>
    <x v="9"/>
    <x v="0"/>
    <x v="0"/>
    <x v="2"/>
    <x v="1"/>
    <x v="0"/>
    <x v="5"/>
    <x v="0"/>
    <x v="0"/>
    <x v="0"/>
    <x v="0"/>
  </r>
  <r>
    <x v="0"/>
    <x v="10"/>
    <x v="0"/>
    <x v="0"/>
    <x v="2"/>
    <x v="1"/>
    <x v="0"/>
    <x v="5"/>
    <x v="0"/>
    <x v="0"/>
    <x v="0"/>
    <x v="0"/>
  </r>
  <r>
    <x v="0"/>
    <x v="0"/>
    <x v="0"/>
    <x v="0"/>
    <x v="2"/>
    <x v="1"/>
    <x v="0"/>
    <x v="5"/>
    <x v="2"/>
    <x v="0"/>
    <x v="1"/>
    <x v="0"/>
  </r>
  <r>
    <x v="0"/>
    <x v="1"/>
    <x v="0"/>
    <x v="0"/>
    <x v="2"/>
    <x v="1"/>
    <x v="0"/>
    <x v="5"/>
    <x v="2"/>
    <x v="0"/>
    <x v="1"/>
    <x v="0"/>
  </r>
  <r>
    <x v="0"/>
    <x v="2"/>
    <x v="0"/>
    <x v="0"/>
    <x v="2"/>
    <x v="1"/>
    <x v="0"/>
    <x v="5"/>
    <x v="2"/>
    <x v="0"/>
    <x v="1"/>
    <x v="0"/>
  </r>
  <r>
    <x v="0"/>
    <x v="3"/>
    <x v="0"/>
    <x v="0"/>
    <x v="2"/>
    <x v="1"/>
    <x v="0"/>
    <x v="5"/>
    <x v="2"/>
    <x v="0"/>
    <x v="1"/>
    <x v="0"/>
  </r>
  <r>
    <x v="0"/>
    <x v="4"/>
    <x v="0"/>
    <x v="0"/>
    <x v="2"/>
    <x v="1"/>
    <x v="0"/>
    <x v="5"/>
    <x v="2"/>
    <x v="0"/>
    <x v="1"/>
    <x v="0"/>
  </r>
  <r>
    <x v="0"/>
    <x v="5"/>
    <x v="0"/>
    <x v="0"/>
    <x v="2"/>
    <x v="1"/>
    <x v="0"/>
    <x v="5"/>
    <x v="2"/>
    <x v="0"/>
    <x v="1"/>
    <x v="0"/>
  </r>
  <r>
    <x v="0"/>
    <x v="6"/>
    <x v="0"/>
    <x v="0"/>
    <x v="2"/>
    <x v="1"/>
    <x v="0"/>
    <x v="5"/>
    <x v="2"/>
    <x v="0"/>
    <x v="1"/>
    <x v="0"/>
  </r>
  <r>
    <x v="0"/>
    <x v="7"/>
    <x v="0"/>
    <x v="0"/>
    <x v="2"/>
    <x v="1"/>
    <x v="0"/>
    <x v="5"/>
    <x v="2"/>
    <x v="0"/>
    <x v="1"/>
    <x v="0"/>
  </r>
  <r>
    <x v="0"/>
    <x v="11"/>
    <x v="0"/>
    <x v="0"/>
    <x v="2"/>
    <x v="1"/>
    <x v="0"/>
    <x v="5"/>
    <x v="2"/>
    <x v="0"/>
    <x v="1"/>
    <x v="0"/>
  </r>
  <r>
    <x v="0"/>
    <x v="12"/>
    <x v="0"/>
    <x v="0"/>
    <x v="2"/>
    <x v="1"/>
    <x v="0"/>
    <x v="5"/>
    <x v="2"/>
    <x v="0"/>
    <x v="1"/>
    <x v="0"/>
  </r>
  <r>
    <x v="0"/>
    <x v="8"/>
    <x v="0"/>
    <x v="0"/>
    <x v="2"/>
    <x v="1"/>
    <x v="0"/>
    <x v="5"/>
    <x v="2"/>
    <x v="0"/>
    <x v="1"/>
    <x v="0"/>
  </r>
  <r>
    <x v="0"/>
    <x v="9"/>
    <x v="0"/>
    <x v="0"/>
    <x v="2"/>
    <x v="1"/>
    <x v="0"/>
    <x v="5"/>
    <x v="2"/>
    <x v="0"/>
    <x v="1"/>
    <x v="0"/>
  </r>
  <r>
    <x v="0"/>
    <x v="10"/>
    <x v="0"/>
    <x v="0"/>
    <x v="2"/>
    <x v="1"/>
    <x v="0"/>
    <x v="5"/>
    <x v="2"/>
    <x v="0"/>
    <x v="1"/>
    <x v="0"/>
  </r>
  <r>
    <x v="0"/>
    <x v="0"/>
    <x v="0"/>
    <x v="0"/>
    <x v="2"/>
    <x v="1"/>
    <x v="0"/>
    <x v="5"/>
    <x v="0"/>
    <x v="2"/>
    <x v="0"/>
    <x v="0"/>
  </r>
  <r>
    <x v="0"/>
    <x v="1"/>
    <x v="0"/>
    <x v="0"/>
    <x v="2"/>
    <x v="1"/>
    <x v="0"/>
    <x v="5"/>
    <x v="0"/>
    <x v="2"/>
    <x v="0"/>
    <x v="0"/>
  </r>
  <r>
    <x v="0"/>
    <x v="2"/>
    <x v="0"/>
    <x v="0"/>
    <x v="2"/>
    <x v="1"/>
    <x v="0"/>
    <x v="5"/>
    <x v="0"/>
    <x v="2"/>
    <x v="0"/>
    <x v="0"/>
  </r>
  <r>
    <x v="0"/>
    <x v="3"/>
    <x v="0"/>
    <x v="0"/>
    <x v="2"/>
    <x v="1"/>
    <x v="0"/>
    <x v="5"/>
    <x v="0"/>
    <x v="2"/>
    <x v="0"/>
    <x v="0"/>
  </r>
  <r>
    <x v="0"/>
    <x v="4"/>
    <x v="0"/>
    <x v="0"/>
    <x v="2"/>
    <x v="1"/>
    <x v="0"/>
    <x v="5"/>
    <x v="0"/>
    <x v="2"/>
    <x v="0"/>
    <x v="0"/>
  </r>
  <r>
    <x v="0"/>
    <x v="5"/>
    <x v="0"/>
    <x v="0"/>
    <x v="2"/>
    <x v="1"/>
    <x v="0"/>
    <x v="5"/>
    <x v="0"/>
    <x v="2"/>
    <x v="0"/>
    <x v="0"/>
  </r>
  <r>
    <x v="0"/>
    <x v="6"/>
    <x v="0"/>
    <x v="0"/>
    <x v="2"/>
    <x v="1"/>
    <x v="0"/>
    <x v="5"/>
    <x v="0"/>
    <x v="2"/>
    <x v="9"/>
    <x v="0"/>
  </r>
  <r>
    <x v="0"/>
    <x v="7"/>
    <x v="0"/>
    <x v="0"/>
    <x v="2"/>
    <x v="1"/>
    <x v="0"/>
    <x v="5"/>
    <x v="0"/>
    <x v="2"/>
    <x v="1"/>
    <x v="0"/>
  </r>
  <r>
    <x v="0"/>
    <x v="11"/>
    <x v="0"/>
    <x v="0"/>
    <x v="2"/>
    <x v="1"/>
    <x v="0"/>
    <x v="5"/>
    <x v="0"/>
    <x v="2"/>
    <x v="0"/>
    <x v="0"/>
  </r>
  <r>
    <x v="0"/>
    <x v="12"/>
    <x v="0"/>
    <x v="0"/>
    <x v="2"/>
    <x v="1"/>
    <x v="0"/>
    <x v="5"/>
    <x v="0"/>
    <x v="2"/>
    <x v="0"/>
    <x v="0"/>
  </r>
  <r>
    <x v="0"/>
    <x v="8"/>
    <x v="0"/>
    <x v="0"/>
    <x v="2"/>
    <x v="1"/>
    <x v="0"/>
    <x v="5"/>
    <x v="0"/>
    <x v="2"/>
    <x v="0"/>
    <x v="0"/>
  </r>
  <r>
    <x v="0"/>
    <x v="9"/>
    <x v="0"/>
    <x v="0"/>
    <x v="2"/>
    <x v="1"/>
    <x v="0"/>
    <x v="5"/>
    <x v="0"/>
    <x v="2"/>
    <x v="0"/>
    <x v="0"/>
  </r>
  <r>
    <x v="0"/>
    <x v="10"/>
    <x v="0"/>
    <x v="0"/>
    <x v="2"/>
    <x v="1"/>
    <x v="0"/>
    <x v="5"/>
    <x v="0"/>
    <x v="2"/>
    <x v="0"/>
    <x v="0"/>
  </r>
  <r>
    <x v="0"/>
    <x v="0"/>
    <x v="0"/>
    <x v="0"/>
    <x v="2"/>
    <x v="1"/>
    <x v="0"/>
    <x v="5"/>
    <x v="2"/>
    <x v="2"/>
    <x v="1"/>
    <x v="0"/>
  </r>
  <r>
    <x v="0"/>
    <x v="1"/>
    <x v="0"/>
    <x v="0"/>
    <x v="2"/>
    <x v="1"/>
    <x v="0"/>
    <x v="5"/>
    <x v="2"/>
    <x v="2"/>
    <x v="1"/>
    <x v="0"/>
  </r>
  <r>
    <x v="0"/>
    <x v="2"/>
    <x v="0"/>
    <x v="0"/>
    <x v="2"/>
    <x v="1"/>
    <x v="0"/>
    <x v="5"/>
    <x v="2"/>
    <x v="2"/>
    <x v="1"/>
    <x v="0"/>
  </r>
  <r>
    <x v="0"/>
    <x v="3"/>
    <x v="0"/>
    <x v="0"/>
    <x v="2"/>
    <x v="1"/>
    <x v="0"/>
    <x v="5"/>
    <x v="2"/>
    <x v="2"/>
    <x v="1"/>
    <x v="0"/>
  </r>
  <r>
    <x v="0"/>
    <x v="4"/>
    <x v="0"/>
    <x v="0"/>
    <x v="2"/>
    <x v="1"/>
    <x v="0"/>
    <x v="5"/>
    <x v="2"/>
    <x v="2"/>
    <x v="1"/>
    <x v="0"/>
  </r>
  <r>
    <x v="0"/>
    <x v="5"/>
    <x v="0"/>
    <x v="0"/>
    <x v="2"/>
    <x v="1"/>
    <x v="0"/>
    <x v="5"/>
    <x v="2"/>
    <x v="2"/>
    <x v="1"/>
    <x v="0"/>
  </r>
  <r>
    <x v="0"/>
    <x v="6"/>
    <x v="0"/>
    <x v="0"/>
    <x v="2"/>
    <x v="1"/>
    <x v="0"/>
    <x v="5"/>
    <x v="2"/>
    <x v="2"/>
    <x v="1"/>
    <x v="0"/>
  </r>
  <r>
    <x v="0"/>
    <x v="7"/>
    <x v="0"/>
    <x v="0"/>
    <x v="2"/>
    <x v="1"/>
    <x v="0"/>
    <x v="5"/>
    <x v="2"/>
    <x v="2"/>
    <x v="1"/>
    <x v="0"/>
  </r>
  <r>
    <x v="0"/>
    <x v="11"/>
    <x v="0"/>
    <x v="0"/>
    <x v="2"/>
    <x v="1"/>
    <x v="0"/>
    <x v="5"/>
    <x v="2"/>
    <x v="2"/>
    <x v="1"/>
    <x v="0"/>
  </r>
  <r>
    <x v="0"/>
    <x v="12"/>
    <x v="0"/>
    <x v="0"/>
    <x v="2"/>
    <x v="1"/>
    <x v="0"/>
    <x v="5"/>
    <x v="2"/>
    <x v="2"/>
    <x v="1"/>
    <x v="0"/>
  </r>
  <r>
    <x v="0"/>
    <x v="8"/>
    <x v="0"/>
    <x v="0"/>
    <x v="2"/>
    <x v="1"/>
    <x v="0"/>
    <x v="5"/>
    <x v="2"/>
    <x v="2"/>
    <x v="1"/>
    <x v="0"/>
  </r>
  <r>
    <x v="0"/>
    <x v="9"/>
    <x v="0"/>
    <x v="0"/>
    <x v="2"/>
    <x v="1"/>
    <x v="0"/>
    <x v="5"/>
    <x v="2"/>
    <x v="2"/>
    <x v="1"/>
    <x v="0"/>
  </r>
  <r>
    <x v="0"/>
    <x v="10"/>
    <x v="0"/>
    <x v="0"/>
    <x v="2"/>
    <x v="1"/>
    <x v="0"/>
    <x v="5"/>
    <x v="2"/>
    <x v="2"/>
    <x v="1"/>
    <x v="0"/>
  </r>
  <r>
    <x v="0"/>
    <x v="0"/>
    <x v="0"/>
    <x v="0"/>
    <x v="2"/>
    <x v="1"/>
    <x v="0"/>
    <x v="5"/>
    <x v="1"/>
    <x v="2"/>
    <x v="1"/>
    <x v="0"/>
  </r>
  <r>
    <x v="0"/>
    <x v="1"/>
    <x v="0"/>
    <x v="0"/>
    <x v="2"/>
    <x v="1"/>
    <x v="0"/>
    <x v="5"/>
    <x v="1"/>
    <x v="2"/>
    <x v="1"/>
    <x v="0"/>
  </r>
  <r>
    <x v="0"/>
    <x v="2"/>
    <x v="0"/>
    <x v="0"/>
    <x v="2"/>
    <x v="1"/>
    <x v="0"/>
    <x v="5"/>
    <x v="1"/>
    <x v="2"/>
    <x v="1"/>
    <x v="0"/>
  </r>
  <r>
    <x v="0"/>
    <x v="3"/>
    <x v="0"/>
    <x v="0"/>
    <x v="2"/>
    <x v="1"/>
    <x v="0"/>
    <x v="5"/>
    <x v="1"/>
    <x v="2"/>
    <x v="1"/>
    <x v="0"/>
  </r>
  <r>
    <x v="0"/>
    <x v="4"/>
    <x v="0"/>
    <x v="0"/>
    <x v="2"/>
    <x v="1"/>
    <x v="0"/>
    <x v="5"/>
    <x v="1"/>
    <x v="2"/>
    <x v="1"/>
    <x v="0"/>
  </r>
  <r>
    <x v="0"/>
    <x v="5"/>
    <x v="0"/>
    <x v="0"/>
    <x v="2"/>
    <x v="1"/>
    <x v="0"/>
    <x v="5"/>
    <x v="1"/>
    <x v="2"/>
    <x v="1"/>
    <x v="0"/>
  </r>
  <r>
    <x v="0"/>
    <x v="6"/>
    <x v="0"/>
    <x v="0"/>
    <x v="2"/>
    <x v="1"/>
    <x v="0"/>
    <x v="5"/>
    <x v="1"/>
    <x v="2"/>
    <x v="1"/>
    <x v="0"/>
  </r>
  <r>
    <x v="0"/>
    <x v="7"/>
    <x v="0"/>
    <x v="0"/>
    <x v="2"/>
    <x v="1"/>
    <x v="0"/>
    <x v="5"/>
    <x v="1"/>
    <x v="2"/>
    <x v="1"/>
    <x v="0"/>
  </r>
  <r>
    <x v="0"/>
    <x v="11"/>
    <x v="0"/>
    <x v="0"/>
    <x v="2"/>
    <x v="1"/>
    <x v="0"/>
    <x v="5"/>
    <x v="1"/>
    <x v="2"/>
    <x v="1"/>
    <x v="0"/>
  </r>
  <r>
    <x v="0"/>
    <x v="12"/>
    <x v="0"/>
    <x v="0"/>
    <x v="2"/>
    <x v="1"/>
    <x v="0"/>
    <x v="5"/>
    <x v="1"/>
    <x v="2"/>
    <x v="1"/>
    <x v="0"/>
  </r>
  <r>
    <x v="0"/>
    <x v="8"/>
    <x v="0"/>
    <x v="0"/>
    <x v="2"/>
    <x v="1"/>
    <x v="0"/>
    <x v="5"/>
    <x v="1"/>
    <x v="2"/>
    <x v="1"/>
    <x v="0"/>
  </r>
  <r>
    <x v="0"/>
    <x v="9"/>
    <x v="0"/>
    <x v="0"/>
    <x v="2"/>
    <x v="1"/>
    <x v="0"/>
    <x v="5"/>
    <x v="1"/>
    <x v="2"/>
    <x v="1"/>
    <x v="0"/>
  </r>
  <r>
    <x v="0"/>
    <x v="10"/>
    <x v="0"/>
    <x v="0"/>
    <x v="2"/>
    <x v="1"/>
    <x v="0"/>
    <x v="5"/>
    <x v="1"/>
    <x v="2"/>
    <x v="1"/>
    <x v="0"/>
  </r>
  <r>
    <x v="0"/>
    <x v="0"/>
    <x v="0"/>
    <x v="0"/>
    <x v="2"/>
    <x v="1"/>
    <x v="0"/>
    <x v="1"/>
    <x v="3"/>
    <x v="3"/>
    <x v="10"/>
    <x v="0"/>
  </r>
  <r>
    <x v="0"/>
    <x v="1"/>
    <x v="0"/>
    <x v="0"/>
    <x v="2"/>
    <x v="1"/>
    <x v="0"/>
    <x v="1"/>
    <x v="3"/>
    <x v="3"/>
    <x v="10"/>
    <x v="0"/>
  </r>
  <r>
    <x v="0"/>
    <x v="2"/>
    <x v="0"/>
    <x v="0"/>
    <x v="2"/>
    <x v="1"/>
    <x v="0"/>
    <x v="1"/>
    <x v="3"/>
    <x v="3"/>
    <x v="10"/>
    <x v="0"/>
  </r>
  <r>
    <x v="0"/>
    <x v="3"/>
    <x v="0"/>
    <x v="0"/>
    <x v="2"/>
    <x v="1"/>
    <x v="0"/>
    <x v="1"/>
    <x v="3"/>
    <x v="3"/>
    <x v="10"/>
    <x v="0"/>
  </r>
  <r>
    <x v="0"/>
    <x v="4"/>
    <x v="0"/>
    <x v="0"/>
    <x v="2"/>
    <x v="1"/>
    <x v="0"/>
    <x v="1"/>
    <x v="3"/>
    <x v="3"/>
    <x v="10"/>
    <x v="0"/>
  </r>
  <r>
    <x v="0"/>
    <x v="5"/>
    <x v="0"/>
    <x v="0"/>
    <x v="2"/>
    <x v="1"/>
    <x v="0"/>
    <x v="1"/>
    <x v="3"/>
    <x v="3"/>
    <x v="10"/>
    <x v="0"/>
  </r>
  <r>
    <x v="0"/>
    <x v="6"/>
    <x v="0"/>
    <x v="0"/>
    <x v="2"/>
    <x v="1"/>
    <x v="0"/>
    <x v="1"/>
    <x v="3"/>
    <x v="3"/>
    <x v="7"/>
    <x v="0"/>
  </r>
  <r>
    <x v="0"/>
    <x v="7"/>
    <x v="0"/>
    <x v="0"/>
    <x v="2"/>
    <x v="1"/>
    <x v="0"/>
    <x v="1"/>
    <x v="3"/>
    <x v="3"/>
    <x v="11"/>
    <x v="0"/>
  </r>
  <r>
    <x v="0"/>
    <x v="11"/>
    <x v="0"/>
    <x v="0"/>
    <x v="2"/>
    <x v="1"/>
    <x v="0"/>
    <x v="1"/>
    <x v="3"/>
    <x v="3"/>
    <x v="10"/>
    <x v="0"/>
  </r>
  <r>
    <x v="0"/>
    <x v="12"/>
    <x v="0"/>
    <x v="0"/>
    <x v="2"/>
    <x v="1"/>
    <x v="0"/>
    <x v="1"/>
    <x v="3"/>
    <x v="3"/>
    <x v="10"/>
    <x v="0"/>
  </r>
  <r>
    <x v="0"/>
    <x v="8"/>
    <x v="0"/>
    <x v="0"/>
    <x v="2"/>
    <x v="1"/>
    <x v="0"/>
    <x v="1"/>
    <x v="3"/>
    <x v="3"/>
    <x v="10"/>
    <x v="0"/>
  </r>
  <r>
    <x v="0"/>
    <x v="9"/>
    <x v="0"/>
    <x v="0"/>
    <x v="2"/>
    <x v="1"/>
    <x v="0"/>
    <x v="1"/>
    <x v="3"/>
    <x v="3"/>
    <x v="10"/>
    <x v="0"/>
  </r>
  <r>
    <x v="0"/>
    <x v="10"/>
    <x v="0"/>
    <x v="0"/>
    <x v="2"/>
    <x v="1"/>
    <x v="0"/>
    <x v="1"/>
    <x v="3"/>
    <x v="3"/>
    <x v="10"/>
    <x v="0"/>
  </r>
  <r>
    <x v="0"/>
    <x v="0"/>
    <x v="0"/>
    <x v="0"/>
    <x v="2"/>
    <x v="1"/>
    <x v="0"/>
    <x v="2"/>
    <x v="3"/>
    <x v="3"/>
    <x v="4"/>
    <x v="0"/>
  </r>
  <r>
    <x v="0"/>
    <x v="1"/>
    <x v="0"/>
    <x v="0"/>
    <x v="2"/>
    <x v="1"/>
    <x v="0"/>
    <x v="2"/>
    <x v="3"/>
    <x v="3"/>
    <x v="4"/>
    <x v="0"/>
  </r>
  <r>
    <x v="0"/>
    <x v="2"/>
    <x v="0"/>
    <x v="0"/>
    <x v="2"/>
    <x v="1"/>
    <x v="0"/>
    <x v="2"/>
    <x v="3"/>
    <x v="3"/>
    <x v="4"/>
    <x v="0"/>
  </r>
  <r>
    <x v="0"/>
    <x v="3"/>
    <x v="0"/>
    <x v="0"/>
    <x v="2"/>
    <x v="1"/>
    <x v="0"/>
    <x v="2"/>
    <x v="3"/>
    <x v="3"/>
    <x v="4"/>
    <x v="0"/>
  </r>
  <r>
    <x v="0"/>
    <x v="4"/>
    <x v="0"/>
    <x v="0"/>
    <x v="2"/>
    <x v="1"/>
    <x v="0"/>
    <x v="2"/>
    <x v="3"/>
    <x v="3"/>
    <x v="4"/>
    <x v="0"/>
  </r>
  <r>
    <x v="0"/>
    <x v="5"/>
    <x v="0"/>
    <x v="0"/>
    <x v="2"/>
    <x v="1"/>
    <x v="0"/>
    <x v="2"/>
    <x v="3"/>
    <x v="3"/>
    <x v="4"/>
    <x v="0"/>
  </r>
  <r>
    <x v="0"/>
    <x v="6"/>
    <x v="0"/>
    <x v="0"/>
    <x v="2"/>
    <x v="1"/>
    <x v="0"/>
    <x v="2"/>
    <x v="3"/>
    <x v="3"/>
    <x v="4"/>
    <x v="0"/>
  </r>
  <r>
    <x v="0"/>
    <x v="7"/>
    <x v="0"/>
    <x v="0"/>
    <x v="2"/>
    <x v="1"/>
    <x v="0"/>
    <x v="2"/>
    <x v="3"/>
    <x v="3"/>
    <x v="4"/>
    <x v="0"/>
  </r>
  <r>
    <x v="0"/>
    <x v="11"/>
    <x v="0"/>
    <x v="0"/>
    <x v="2"/>
    <x v="1"/>
    <x v="0"/>
    <x v="2"/>
    <x v="3"/>
    <x v="3"/>
    <x v="4"/>
    <x v="0"/>
  </r>
  <r>
    <x v="0"/>
    <x v="12"/>
    <x v="0"/>
    <x v="0"/>
    <x v="2"/>
    <x v="1"/>
    <x v="0"/>
    <x v="2"/>
    <x v="3"/>
    <x v="3"/>
    <x v="4"/>
    <x v="0"/>
  </r>
  <r>
    <x v="0"/>
    <x v="8"/>
    <x v="0"/>
    <x v="0"/>
    <x v="2"/>
    <x v="1"/>
    <x v="0"/>
    <x v="2"/>
    <x v="3"/>
    <x v="3"/>
    <x v="4"/>
    <x v="0"/>
  </r>
  <r>
    <x v="0"/>
    <x v="9"/>
    <x v="0"/>
    <x v="0"/>
    <x v="2"/>
    <x v="1"/>
    <x v="0"/>
    <x v="2"/>
    <x v="3"/>
    <x v="3"/>
    <x v="4"/>
    <x v="0"/>
  </r>
  <r>
    <x v="0"/>
    <x v="10"/>
    <x v="0"/>
    <x v="0"/>
    <x v="2"/>
    <x v="1"/>
    <x v="0"/>
    <x v="2"/>
    <x v="3"/>
    <x v="3"/>
    <x v="4"/>
    <x v="0"/>
  </r>
  <r>
    <x v="0"/>
    <x v="0"/>
    <x v="0"/>
    <x v="0"/>
    <x v="0"/>
    <x v="0"/>
    <x v="0"/>
    <x v="4"/>
    <x v="2"/>
    <x v="0"/>
    <x v="1"/>
    <x v="0"/>
  </r>
  <r>
    <x v="0"/>
    <x v="1"/>
    <x v="0"/>
    <x v="0"/>
    <x v="0"/>
    <x v="0"/>
    <x v="0"/>
    <x v="4"/>
    <x v="2"/>
    <x v="0"/>
    <x v="1"/>
    <x v="0"/>
  </r>
  <r>
    <x v="0"/>
    <x v="2"/>
    <x v="0"/>
    <x v="0"/>
    <x v="0"/>
    <x v="0"/>
    <x v="0"/>
    <x v="4"/>
    <x v="2"/>
    <x v="0"/>
    <x v="1"/>
    <x v="0"/>
  </r>
  <r>
    <x v="0"/>
    <x v="3"/>
    <x v="0"/>
    <x v="0"/>
    <x v="0"/>
    <x v="0"/>
    <x v="0"/>
    <x v="4"/>
    <x v="2"/>
    <x v="0"/>
    <x v="1"/>
    <x v="0"/>
  </r>
  <r>
    <x v="0"/>
    <x v="4"/>
    <x v="0"/>
    <x v="0"/>
    <x v="0"/>
    <x v="0"/>
    <x v="0"/>
    <x v="4"/>
    <x v="2"/>
    <x v="0"/>
    <x v="1"/>
    <x v="0"/>
  </r>
  <r>
    <x v="0"/>
    <x v="5"/>
    <x v="0"/>
    <x v="0"/>
    <x v="0"/>
    <x v="0"/>
    <x v="0"/>
    <x v="4"/>
    <x v="2"/>
    <x v="0"/>
    <x v="1"/>
    <x v="0"/>
  </r>
  <r>
    <x v="0"/>
    <x v="6"/>
    <x v="0"/>
    <x v="0"/>
    <x v="0"/>
    <x v="0"/>
    <x v="0"/>
    <x v="4"/>
    <x v="2"/>
    <x v="0"/>
    <x v="1"/>
    <x v="0"/>
  </r>
  <r>
    <x v="0"/>
    <x v="7"/>
    <x v="0"/>
    <x v="0"/>
    <x v="0"/>
    <x v="0"/>
    <x v="0"/>
    <x v="4"/>
    <x v="2"/>
    <x v="0"/>
    <x v="1"/>
    <x v="0"/>
  </r>
  <r>
    <x v="0"/>
    <x v="11"/>
    <x v="0"/>
    <x v="0"/>
    <x v="0"/>
    <x v="0"/>
    <x v="0"/>
    <x v="4"/>
    <x v="2"/>
    <x v="0"/>
    <x v="1"/>
    <x v="0"/>
  </r>
  <r>
    <x v="0"/>
    <x v="12"/>
    <x v="0"/>
    <x v="0"/>
    <x v="0"/>
    <x v="0"/>
    <x v="0"/>
    <x v="4"/>
    <x v="2"/>
    <x v="0"/>
    <x v="1"/>
    <x v="0"/>
  </r>
  <r>
    <x v="0"/>
    <x v="8"/>
    <x v="0"/>
    <x v="0"/>
    <x v="0"/>
    <x v="0"/>
    <x v="0"/>
    <x v="4"/>
    <x v="2"/>
    <x v="0"/>
    <x v="1"/>
    <x v="0"/>
  </r>
  <r>
    <x v="0"/>
    <x v="9"/>
    <x v="0"/>
    <x v="0"/>
    <x v="0"/>
    <x v="0"/>
    <x v="0"/>
    <x v="4"/>
    <x v="2"/>
    <x v="0"/>
    <x v="1"/>
    <x v="0"/>
  </r>
  <r>
    <x v="0"/>
    <x v="10"/>
    <x v="0"/>
    <x v="0"/>
    <x v="0"/>
    <x v="0"/>
    <x v="0"/>
    <x v="4"/>
    <x v="2"/>
    <x v="0"/>
    <x v="1"/>
    <x v="0"/>
  </r>
  <r>
    <x v="0"/>
    <x v="0"/>
    <x v="0"/>
    <x v="0"/>
    <x v="0"/>
    <x v="0"/>
    <x v="0"/>
    <x v="4"/>
    <x v="2"/>
    <x v="2"/>
    <x v="1"/>
    <x v="0"/>
  </r>
  <r>
    <x v="0"/>
    <x v="1"/>
    <x v="0"/>
    <x v="0"/>
    <x v="0"/>
    <x v="0"/>
    <x v="0"/>
    <x v="4"/>
    <x v="2"/>
    <x v="2"/>
    <x v="1"/>
    <x v="0"/>
  </r>
  <r>
    <x v="0"/>
    <x v="2"/>
    <x v="0"/>
    <x v="0"/>
    <x v="0"/>
    <x v="0"/>
    <x v="0"/>
    <x v="4"/>
    <x v="2"/>
    <x v="2"/>
    <x v="1"/>
    <x v="0"/>
  </r>
  <r>
    <x v="0"/>
    <x v="3"/>
    <x v="0"/>
    <x v="0"/>
    <x v="0"/>
    <x v="0"/>
    <x v="0"/>
    <x v="4"/>
    <x v="2"/>
    <x v="2"/>
    <x v="1"/>
    <x v="0"/>
  </r>
  <r>
    <x v="0"/>
    <x v="4"/>
    <x v="0"/>
    <x v="0"/>
    <x v="0"/>
    <x v="0"/>
    <x v="0"/>
    <x v="4"/>
    <x v="2"/>
    <x v="2"/>
    <x v="1"/>
    <x v="0"/>
  </r>
  <r>
    <x v="0"/>
    <x v="5"/>
    <x v="0"/>
    <x v="0"/>
    <x v="0"/>
    <x v="0"/>
    <x v="0"/>
    <x v="4"/>
    <x v="2"/>
    <x v="2"/>
    <x v="1"/>
    <x v="0"/>
  </r>
  <r>
    <x v="0"/>
    <x v="6"/>
    <x v="0"/>
    <x v="0"/>
    <x v="0"/>
    <x v="0"/>
    <x v="0"/>
    <x v="4"/>
    <x v="2"/>
    <x v="2"/>
    <x v="1"/>
    <x v="0"/>
  </r>
  <r>
    <x v="0"/>
    <x v="7"/>
    <x v="0"/>
    <x v="0"/>
    <x v="0"/>
    <x v="0"/>
    <x v="0"/>
    <x v="4"/>
    <x v="2"/>
    <x v="2"/>
    <x v="1"/>
    <x v="0"/>
  </r>
  <r>
    <x v="0"/>
    <x v="11"/>
    <x v="0"/>
    <x v="0"/>
    <x v="0"/>
    <x v="0"/>
    <x v="0"/>
    <x v="4"/>
    <x v="2"/>
    <x v="2"/>
    <x v="1"/>
    <x v="0"/>
  </r>
  <r>
    <x v="0"/>
    <x v="12"/>
    <x v="0"/>
    <x v="0"/>
    <x v="0"/>
    <x v="0"/>
    <x v="0"/>
    <x v="4"/>
    <x v="2"/>
    <x v="2"/>
    <x v="1"/>
    <x v="0"/>
  </r>
  <r>
    <x v="0"/>
    <x v="8"/>
    <x v="0"/>
    <x v="0"/>
    <x v="0"/>
    <x v="0"/>
    <x v="0"/>
    <x v="4"/>
    <x v="2"/>
    <x v="2"/>
    <x v="1"/>
    <x v="0"/>
  </r>
  <r>
    <x v="0"/>
    <x v="9"/>
    <x v="0"/>
    <x v="0"/>
    <x v="0"/>
    <x v="0"/>
    <x v="0"/>
    <x v="4"/>
    <x v="2"/>
    <x v="2"/>
    <x v="1"/>
    <x v="0"/>
  </r>
  <r>
    <x v="0"/>
    <x v="10"/>
    <x v="0"/>
    <x v="0"/>
    <x v="0"/>
    <x v="0"/>
    <x v="0"/>
    <x v="4"/>
    <x v="2"/>
    <x v="2"/>
    <x v="1"/>
    <x v="0"/>
  </r>
  <r>
    <x v="0"/>
    <x v="0"/>
    <x v="0"/>
    <x v="0"/>
    <x v="3"/>
    <x v="1"/>
    <x v="0"/>
    <x v="6"/>
    <x v="0"/>
    <x v="0"/>
    <x v="0"/>
    <x v="0"/>
  </r>
  <r>
    <x v="0"/>
    <x v="1"/>
    <x v="0"/>
    <x v="0"/>
    <x v="3"/>
    <x v="1"/>
    <x v="0"/>
    <x v="6"/>
    <x v="0"/>
    <x v="0"/>
    <x v="0"/>
    <x v="0"/>
  </r>
  <r>
    <x v="0"/>
    <x v="2"/>
    <x v="0"/>
    <x v="0"/>
    <x v="3"/>
    <x v="1"/>
    <x v="0"/>
    <x v="6"/>
    <x v="0"/>
    <x v="0"/>
    <x v="0"/>
    <x v="0"/>
  </r>
  <r>
    <x v="0"/>
    <x v="3"/>
    <x v="0"/>
    <x v="0"/>
    <x v="3"/>
    <x v="1"/>
    <x v="0"/>
    <x v="6"/>
    <x v="0"/>
    <x v="0"/>
    <x v="0"/>
    <x v="0"/>
  </r>
  <r>
    <x v="0"/>
    <x v="4"/>
    <x v="0"/>
    <x v="0"/>
    <x v="3"/>
    <x v="1"/>
    <x v="0"/>
    <x v="6"/>
    <x v="0"/>
    <x v="0"/>
    <x v="0"/>
    <x v="0"/>
  </r>
  <r>
    <x v="0"/>
    <x v="5"/>
    <x v="0"/>
    <x v="0"/>
    <x v="3"/>
    <x v="1"/>
    <x v="0"/>
    <x v="6"/>
    <x v="0"/>
    <x v="0"/>
    <x v="0"/>
    <x v="0"/>
  </r>
  <r>
    <x v="0"/>
    <x v="6"/>
    <x v="0"/>
    <x v="0"/>
    <x v="3"/>
    <x v="1"/>
    <x v="0"/>
    <x v="6"/>
    <x v="0"/>
    <x v="0"/>
    <x v="9"/>
    <x v="0"/>
  </r>
  <r>
    <x v="0"/>
    <x v="7"/>
    <x v="0"/>
    <x v="0"/>
    <x v="3"/>
    <x v="1"/>
    <x v="0"/>
    <x v="6"/>
    <x v="0"/>
    <x v="0"/>
    <x v="1"/>
    <x v="0"/>
  </r>
  <r>
    <x v="0"/>
    <x v="11"/>
    <x v="0"/>
    <x v="0"/>
    <x v="3"/>
    <x v="1"/>
    <x v="0"/>
    <x v="6"/>
    <x v="0"/>
    <x v="0"/>
    <x v="0"/>
    <x v="0"/>
  </r>
  <r>
    <x v="0"/>
    <x v="12"/>
    <x v="0"/>
    <x v="0"/>
    <x v="3"/>
    <x v="1"/>
    <x v="0"/>
    <x v="6"/>
    <x v="0"/>
    <x v="0"/>
    <x v="0"/>
    <x v="0"/>
  </r>
  <r>
    <x v="0"/>
    <x v="8"/>
    <x v="0"/>
    <x v="0"/>
    <x v="3"/>
    <x v="1"/>
    <x v="0"/>
    <x v="6"/>
    <x v="0"/>
    <x v="0"/>
    <x v="0"/>
    <x v="0"/>
  </r>
  <r>
    <x v="0"/>
    <x v="9"/>
    <x v="0"/>
    <x v="0"/>
    <x v="3"/>
    <x v="1"/>
    <x v="0"/>
    <x v="6"/>
    <x v="0"/>
    <x v="0"/>
    <x v="0"/>
    <x v="0"/>
  </r>
  <r>
    <x v="0"/>
    <x v="10"/>
    <x v="0"/>
    <x v="0"/>
    <x v="3"/>
    <x v="1"/>
    <x v="0"/>
    <x v="6"/>
    <x v="0"/>
    <x v="0"/>
    <x v="0"/>
    <x v="0"/>
  </r>
  <r>
    <x v="0"/>
    <x v="0"/>
    <x v="0"/>
    <x v="0"/>
    <x v="3"/>
    <x v="1"/>
    <x v="0"/>
    <x v="6"/>
    <x v="2"/>
    <x v="0"/>
    <x v="1"/>
    <x v="0"/>
  </r>
  <r>
    <x v="0"/>
    <x v="1"/>
    <x v="0"/>
    <x v="0"/>
    <x v="3"/>
    <x v="1"/>
    <x v="0"/>
    <x v="6"/>
    <x v="2"/>
    <x v="0"/>
    <x v="1"/>
    <x v="0"/>
  </r>
  <r>
    <x v="0"/>
    <x v="2"/>
    <x v="0"/>
    <x v="0"/>
    <x v="3"/>
    <x v="1"/>
    <x v="0"/>
    <x v="6"/>
    <x v="2"/>
    <x v="0"/>
    <x v="1"/>
    <x v="0"/>
  </r>
  <r>
    <x v="0"/>
    <x v="3"/>
    <x v="0"/>
    <x v="0"/>
    <x v="3"/>
    <x v="1"/>
    <x v="0"/>
    <x v="6"/>
    <x v="2"/>
    <x v="0"/>
    <x v="1"/>
    <x v="0"/>
  </r>
  <r>
    <x v="0"/>
    <x v="4"/>
    <x v="0"/>
    <x v="0"/>
    <x v="3"/>
    <x v="1"/>
    <x v="0"/>
    <x v="6"/>
    <x v="2"/>
    <x v="0"/>
    <x v="1"/>
    <x v="0"/>
  </r>
  <r>
    <x v="0"/>
    <x v="5"/>
    <x v="0"/>
    <x v="0"/>
    <x v="3"/>
    <x v="1"/>
    <x v="0"/>
    <x v="6"/>
    <x v="2"/>
    <x v="0"/>
    <x v="1"/>
    <x v="0"/>
  </r>
  <r>
    <x v="0"/>
    <x v="6"/>
    <x v="0"/>
    <x v="0"/>
    <x v="3"/>
    <x v="1"/>
    <x v="0"/>
    <x v="6"/>
    <x v="2"/>
    <x v="0"/>
    <x v="1"/>
    <x v="0"/>
  </r>
  <r>
    <x v="0"/>
    <x v="7"/>
    <x v="0"/>
    <x v="0"/>
    <x v="3"/>
    <x v="1"/>
    <x v="0"/>
    <x v="6"/>
    <x v="2"/>
    <x v="0"/>
    <x v="1"/>
    <x v="0"/>
  </r>
  <r>
    <x v="0"/>
    <x v="11"/>
    <x v="0"/>
    <x v="0"/>
    <x v="3"/>
    <x v="1"/>
    <x v="0"/>
    <x v="6"/>
    <x v="2"/>
    <x v="0"/>
    <x v="1"/>
    <x v="0"/>
  </r>
  <r>
    <x v="0"/>
    <x v="12"/>
    <x v="0"/>
    <x v="0"/>
    <x v="3"/>
    <x v="1"/>
    <x v="0"/>
    <x v="6"/>
    <x v="2"/>
    <x v="0"/>
    <x v="1"/>
    <x v="0"/>
  </r>
  <r>
    <x v="0"/>
    <x v="8"/>
    <x v="0"/>
    <x v="0"/>
    <x v="3"/>
    <x v="1"/>
    <x v="0"/>
    <x v="6"/>
    <x v="2"/>
    <x v="0"/>
    <x v="1"/>
    <x v="0"/>
  </r>
  <r>
    <x v="0"/>
    <x v="9"/>
    <x v="0"/>
    <x v="0"/>
    <x v="3"/>
    <x v="1"/>
    <x v="0"/>
    <x v="6"/>
    <x v="2"/>
    <x v="0"/>
    <x v="1"/>
    <x v="0"/>
  </r>
  <r>
    <x v="0"/>
    <x v="10"/>
    <x v="0"/>
    <x v="0"/>
    <x v="3"/>
    <x v="1"/>
    <x v="0"/>
    <x v="6"/>
    <x v="2"/>
    <x v="0"/>
    <x v="1"/>
    <x v="0"/>
  </r>
  <r>
    <x v="0"/>
    <x v="0"/>
    <x v="0"/>
    <x v="0"/>
    <x v="3"/>
    <x v="1"/>
    <x v="0"/>
    <x v="6"/>
    <x v="1"/>
    <x v="0"/>
    <x v="1"/>
    <x v="0"/>
  </r>
  <r>
    <x v="0"/>
    <x v="1"/>
    <x v="0"/>
    <x v="0"/>
    <x v="3"/>
    <x v="1"/>
    <x v="0"/>
    <x v="6"/>
    <x v="1"/>
    <x v="0"/>
    <x v="1"/>
    <x v="0"/>
  </r>
  <r>
    <x v="0"/>
    <x v="2"/>
    <x v="0"/>
    <x v="0"/>
    <x v="3"/>
    <x v="1"/>
    <x v="0"/>
    <x v="6"/>
    <x v="1"/>
    <x v="0"/>
    <x v="1"/>
    <x v="0"/>
  </r>
  <r>
    <x v="0"/>
    <x v="3"/>
    <x v="0"/>
    <x v="0"/>
    <x v="3"/>
    <x v="1"/>
    <x v="0"/>
    <x v="6"/>
    <x v="1"/>
    <x v="0"/>
    <x v="1"/>
    <x v="0"/>
  </r>
  <r>
    <x v="0"/>
    <x v="4"/>
    <x v="0"/>
    <x v="0"/>
    <x v="3"/>
    <x v="1"/>
    <x v="0"/>
    <x v="6"/>
    <x v="1"/>
    <x v="0"/>
    <x v="1"/>
    <x v="0"/>
  </r>
  <r>
    <x v="0"/>
    <x v="5"/>
    <x v="0"/>
    <x v="0"/>
    <x v="3"/>
    <x v="1"/>
    <x v="0"/>
    <x v="6"/>
    <x v="1"/>
    <x v="0"/>
    <x v="1"/>
    <x v="0"/>
  </r>
  <r>
    <x v="0"/>
    <x v="6"/>
    <x v="0"/>
    <x v="0"/>
    <x v="3"/>
    <x v="1"/>
    <x v="0"/>
    <x v="6"/>
    <x v="1"/>
    <x v="0"/>
    <x v="1"/>
    <x v="0"/>
  </r>
  <r>
    <x v="0"/>
    <x v="7"/>
    <x v="0"/>
    <x v="0"/>
    <x v="3"/>
    <x v="1"/>
    <x v="0"/>
    <x v="6"/>
    <x v="1"/>
    <x v="0"/>
    <x v="1"/>
    <x v="0"/>
  </r>
  <r>
    <x v="0"/>
    <x v="11"/>
    <x v="0"/>
    <x v="0"/>
    <x v="3"/>
    <x v="1"/>
    <x v="0"/>
    <x v="6"/>
    <x v="1"/>
    <x v="0"/>
    <x v="1"/>
    <x v="0"/>
  </r>
  <r>
    <x v="0"/>
    <x v="12"/>
    <x v="0"/>
    <x v="0"/>
    <x v="3"/>
    <x v="1"/>
    <x v="0"/>
    <x v="6"/>
    <x v="1"/>
    <x v="0"/>
    <x v="1"/>
    <x v="0"/>
  </r>
  <r>
    <x v="0"/>
    <x v="8"/>
    <x v="0"/>
    <x v="0"/>
    <x v="3"/>
    <x v="1"/>
    <x v="0"/>
    <x v="6"/>
    <x v="1"/>
    <x v="0"/>
    <x v="1"/>
    <x v="0"/>
  </r>
  <r>
    <x v="0"/>
    <x v="9"/>
    <x v="0"/>
    <x v="0"/>
    <x v="3"/>
    <x v="1"/>
    <x v="0"/>
    <x v="6"/>
    <x v="1"/>
    <x v="0"/>
    <x v="1"/>
    <x v="0"/>
  </r>
  <r>
    <x v="0"/>
    <x v="10"/>
    <x v="0"/>
    <x v="0"/>
    <x v="3"/>
    <x v="1"/>
    <x v="0"/>
    <x v="6"/>
    <x v="1"/>
    <x v="0"/>
    <x v="1"/>
    <x v="0"/>
  </r>
  <r>
    <x v="0"/>
    <x v="0"/>
    <x v="0"/>
    <x v="0"/>
    <x v="3"/>
    <x v="1"/>
    <x v="0"/>
    <x v="6"/>
    <x v="0"/>
    <x v="4"/>
    <x v="10"/>
    <x v="0"/>
  </r>
  <r>
    <x v="0"/>
    <x v="1"/>
    <x v="0"/>
    <x v="0"/>
    <x v="3"/>
    <x v="1"/>
    <x v="0"/>
    <x v="6"/>
    <x v="0"/>
    <x v="4"/>
    <x v="10"/>
    <x v="0"/>
  </r>
  <r>
    <x v="0"/>
    <x v="2"/>
    <x v="0"/>
    <x v="0"/>
    <x v="3"/>
    <x v="1"/>
    <x v="0"/>
    <x v="6"/>
    <x v="0"/>
    <x v="4"/>
    <x v="10"/>
    <x v="0"/>
  </r>
  <r>
    <x v="0"/>
    <x v="3"/>
    <x v="0"/>
    <x v="0"/>
    <x v="3"/>
    <x v="1"/>
    <x v="0"/>
    <x v="6"/>
    <x v="0"/>
    <x v="4"/>
    <x v="10"/>
    <x v="0"/>
  </r>
  <r>
    <x v="0"/>
    <x v="4"/>
    <x v="0"/>
    <x v="0"/>
    <x v="3"/>
    <x v="1"/>
    <x v="0"/>
    <x v="6"/>
    <x v="0"/>
    <x v="4"/>
    <x v="10"/>
    <x v="0"/>
  </r>
  <r>
    <x v="0"/>
    <x v="5"/>
    <x v="0"/>
    <x v="0"/>
    <x v="3"/>
    <x v="1"/>
    <x v="0"/>
    <x v="6"/>
    <x v="0"/>
    <x v="4"/>
    <x v="7"/>
    <x v="0"/>
  </r>
  <r>
    <x v="0"/>
    <x v="6"/>
    <x v="0"/>
    <x v="0"/>
    <x v="3"/>
    <x v="1"/>
    <x v="0"/>
    <x v="6"/>
    <x v="0"/>
    <x v="4"/>
    <x v="10"/>
    <x v="0"/>
  </r>
  <r>
    <x v="0"/>
    <x v="7"/>
    <x v="0"/>
    <x v="0"/>
    <x v="3"/>
    <x v="1"/>
    <x v="0"/>
    <x v="6"/>
    <x v="0"/>
    <x v="4"/>
    <x v="10"/>
    <x v="0"/>
  </r>
  <r>
    <x v="0"/>
    <x v="11"/>
    <x v="0"/>
    <x v="0"/>
    <x v="3"/>
    <x v="1"/>
    <x v="0"/>
    <x v="6"/>
    <x v="0"/>
    <x v="4"/>
    <x v="10"/>
    <x v="0"/>
  </r>
  <r>
    <x v="0"/>
    <x v="12"/>
    <x v="0"/>
    <x v="0"/>
    <x v="3"/>
    <x v="1"/>
    <x v="0"/>
    <x v="6"/>
    <x v="0"/>
    <x v="4"/>
    <x v="10"/>
    <x v="0"/>
  </r>
  <r>
    <x v="0"/>
    <x v="8"/>
    <x v="0"/>
    <x v="0"/>
    <x v="3"/>
    <x v="1"/>
    <x v="0"/>
    <x v="6"/>
    <x v="0"/>
    <x v="4"/>
    <x v="10"/>
    <x v="0"/>
  </r>
  <r>
    <x v="0"/>
    <x v="9"/>
    <x v="0"/>
    <x v="0"/>
    <x v="3"/>
    <x v="1"/>
    <x v="0"/>
    <x v="6"/>
    <x v="0"/>
    <x v="4"/>
    <x v="10"/>
    <x v="0"/>
  </r>
  <r>
    <x v="0"/>
    <x v="10"/>
    <x v="0"/>
    <x v="0"/>
    <x v="3"/>
    <x v="1"/>
    <x v="0"/>
    <x v="6"/>
    <x v="0"/>
    <x v="4"/>
    <x v="10"/>
    <x v="0"/>
  </r>
  <r>
    <x v="0"/>
    <x v="0"/>
    <x v="0"/>
    <x v="0"/>
    <x v="3"/>
    <x v="1"/>
    <x v="0"/>
    <x v="6"/>
    <x v="2"/>
    <x v="4"/>
    <x v="1"/>
    <x v="0"/>
  </r>
  <r>
    <x v="0"/>
    <x v="1"/>
    <x v="0"/>
    <x v="0"/>
    <x v="3"/>
    <x v="1"/>
    <x v="0"/>
    <x v="6"/>
    <x v="2"/>
    <x v="4"/>
    <x v="1"/>
    <x v="0"/>
  </r>
  <r>
    <x v="0"/>
    <x v="2"/>
    <x v="0"/>
    <x v="0"/>
    <x v="3"/>
    <x v="1"/>
    <x v="0"/>
    <x v="6"/>
    <x v="2"/>
    <x v="4"/>
    <x v="1"/>
    <x v="0"/>
  </r>
  <r>
    <x v="0"/>
    <x v="3"/>
    <x v="0"/>
    <x v="0"/>
    <x v="3"/>
    <x v="1"/>
    <x v="0"/>
    <x v="6"/>
    <x v="2"/>
    <x v="4"/>
    <x v="1"/>
    <x v="0"/>
  </r>
  <r>
    <x v="0"/>
    <x v="4"/>
    <x v="0"/>
    <x v="0"/>
    <x v="3"/>
    <x v="1"/>
    <x v="0"/>
    <x v="6"/>
    <x v="2"/>
    <x v="4"/>
    <x v="1"/>
    <x v="0"/>
  </r>
  <r>
    <x v="0"/>
    <x v="5"/>
    <x v="0"/>
    <x v="0"/>
    <x v="3"/>
    <x v="1"/>
    <x v="0"/>
    <x v="6"/>
    <x v="2"/>
    <x v="4"/>
    <x v="1"/>
    <x v="0"/>
  </r>
  <r>
    <x v="0"/>
    <x v="6"/>
    <x v="0"/>
    <x v="0"/>
    <x v="3"/>
    <x v="1"/>
    <x v="0"/>
    <x v="6"/>
    <x v="2"/>
    <x v="4"/>
    <x v="1"/>
    <x v="0"/>
  </r>
  <r>
    <x v="0"/>
    <x v="7"/>
    <x v="0"/>
    <x v="0"/>
    <x v="3"/>
    <x v="1"/>
    <x v="0"/>
    <x v="6"/>
    <x v="2"/>
    <x v="4"/>
    <x v="1"/>
    <x v="0"/>
  </r>
  <r>
    <x v="0"/>
    <x v="11"/>
    <x v="0"/>
    <x v="0"/>
    <x v="3"/>
    <x v="1"/>
    <x v="0"/>
    <x v="6"/>
    <x v="2"/>
    <x v="4"/>
    <x v="1"/>
    <x v="0"/>
  </r>
  <r>
    <x v="0"/>
    <x v="12"/>
    <x v="0"/>
    <x v="0"/>
    <x v="3"/>
    <x v="1"/>
    <x v="0"/>
    <x v="6"/>
    <x v="2"/>
    <x v="4"/>
    <x v="1"/>
    <x v="0"/>
  </r>
  <r>
    <x v="0"/>
    <x v="8"/>
    <x v="0"/>
    <x v="0"/>
    <x v="3"/>
    <x v="1"/>
    <x v="0"/>
    <x v="6"/>
    <x v="2"/>
    <x v="4"/>
    <x v="1"/>
    <x v="0"/>
  </r>
  <r>
    <x v="0"/>
    <x v="9"/>
    <x v="0"/>
    <x v="0"/>
    <x v="3"/>
    <x v="1"/>
    <x v="0"/>
    <x v="6"/>
    <x v="2"/>
    <x v="4"/>
    <x v="1"/>
    <x v="0"/>
  </r>
  <r>
    <x v="0"/>
    <x v="10"/>
    <x v="0"/>
    <x v="0"/>
    <x v="3"/>
    <x v="1"/>
    <x v="0"/>
    <x v="6"/>
    <x v="2"/>
    <x v="4"/>
    <x v="1"/>
    <x v="0"/>
  </r>
  <r>
    <x v="0"/>
    <x v="0"/>
    <x v="0"/>
    <x v="0"/>
    <x v="3"/>
    <x v="1"/>
    <x v="0"/>
    <x v="6"/>
    <x v="1"/>
    <x v="4"/>
    <x v="1"/>
    <x v="0"/>
  </r>
  <r>
    <x v="0"/>
    <x v="1"/>
    <x v="0"/>
    <x v="0"/>
    <x v="3"/>
    <x v="1"/>
    <x v="0"/>
    <x v="6"/>
    <x v="1"/>
    <x v="4"/>
    <x v="1"/>
    <x v="0"/>
  </r>
  <r>
    <x v="0"/>
    <x v="2"/>
    <x v="0"/>
    <x v="0"/>
    <x v="3"/>
    <x v="1"/>
    <x v="0"/>
    <x v="6"/>
    <x v="1"/>
    <x v="4"/>
    <x v="1"/>
    <x v="0"/>
  </r>
  <r>
    <x v="0"/>
    <x v="3"/>
    <x v="0"/>
    <x v="0"/>
    <x v="3"/>
    <x v="1"/>
    <x v="0"/>
    <x v="6"/>
    <x v="1"/>
    <x v="4"/>
    <x v="1"/>
    <x v="0"/>
  </r>
  <r>
    <x v="0"/>
    <x v="4"/>
    <x v="0"/>
    <x v="0"/>
    <x v="3"/>
    <x v="1"/>
    <x v="0"/>
    <x v="6"/>
    <x v="1"/>
    <x v="4"/>
    <x v="1"/>
    <x v="0"/>
  </r>
  <r>
    <x v="0"/>
    <x v="5"/>
    <x v="0"/>
    <x v="0"/>
    <x v="3"/>
    <x v="1"/>
    <x v="0"/>
    <x v="6"/>
    <x v="1"/>
    <x v="4"/>
    <x v="1"/>
    <x v="0"/>
  </r>
  <r>
    <x v="0"/>
    <x v="6"/>
    <x v="0"/>
    <x v="0"/>
    <x v="3"/>
    <x v="1"/>
    <x v="0"/>
    <x v="6"/>
    <x v="1"/>
    <x v="4"/>
    <x v="1"/>
    <x v="0"/>
  </r>
  <r>
    <x v="0"/>
    <x v="7"/>
    <x v="0"/>
    <x v="0"/>
    <x v="3"/>
    <x v="1"/>
    <x v="0"/>
    <x v="6"/>
    <x v="1"/>
    <x v="4"/>
    <x v="1"/>
    <x v="0"/>
  </r>
  <r>
    <x v="0"/>
    <x v="11"/>
    <x v="0"/>
    <x v="0"/>
    <x v="3"/>
    <x v="1"/>
    <x v="0"/>
    <x v="6"/>
    <x v="1"/>
    <x v="4"/>
    <x v="1"/>
    <x v="0"/>
  </r>
  <r>
    <x v="0"/>
    <x v="12"/>
    <x v="0"/>
    <x v="0"/>
    <x v="3"/>
    <x v="1"/>
    <x v="0"/>
    <x v="6"/>
    <x v="1"/>
    <x v="4"/>
    <x v="1"/>
    <x v="0"/>
  </r>
  <r>
    <x v="0"/>
    <x v="8"/>
    <x v="0"/>
    <x v="0"/>
    <x v="3"/>
    <x v="1"/>
    <x v="0"/>
    <x v="6"/>
    <x v="1"/>
    <x v="4"/>
    <x v="1"/>
    <x v="0"/>
  </r>
  <r>
    <x v="0"/>
    <x v="9"/>
    <x v="0"/>
    <x v="0"/>
    <x v="3"/>
    <x v="1"/>
    <x v="0"/>
    <x v="6"/>
    <x v="1"/>
    <x v="4"/>
    <x v="1"/>
    <x v="0"/>
  </r>
  <r>
    <x v="0"/>
    <x v="10"/>
    <x v="0"/>
    <x v="0"/>
    <x v="3"/>
    <x v="1"/>
    <x v="0"/>
    <x v="6"/>
    <x v="1"/>
    <x v="4"/>
    <x v="1"/>
    <x v="0"/>
  </r>
  <r>
    <x v="0"/>
    <x v="0"/>
    <x v="0"/>
    <x v="0"/>
    <x v="3"/>
    <x v="1"/>
    <x v="0"/>
    <x v="6"/>
    <x v="2"/>
    <x v="2"/>
    <x v="1"/>
    <x v="0"/>
  </r>
  <r>
    <x v="0"/>
    <x v="1"/>
    <x v="0"/>
    <x v="0"/>
    <x v="3"/>
    <x v="1"/>
    <x v="0"/>
    <x v="6"/>
    <x v="2"/>
    <x v="2"/>
    <x v="1"/>
    <x v="0"/>
  </r>
  <r>
    <x v="0"/>
    <x v="2"/>
    <x v="0"/>
    <x v="0"/>
    <x v="3"/>
    <x v="1"/>
    <x v="0"/>
    <x v="6"/>
    <x v="2"/>
    <x v="2"/>
    <x v="1"/>
    <x v="0"/>
  </r>
  <r>
    <x v="0"/>
    <x v="3"/>
    <x v="0"/>
    <x v="0"/>
    <x v="3"/>
    <x v="1"/>
    <x v="0"/>
    <x v="6"/>
    <x v="2"/>
    <x v="2"/>
    <x v="1"/>
    <x v="0"/>
  </r>
  <r>
    <x v="0"/>
    <x v="4"/>
    <x v="0"/>
    <x v="0"/>
    <x v="3"/>
    <x v="1"/>
    <x v="0"/>
    <x v="6"/>
    <x v="2"/>
    <x v="2"/>
    <x v="1"/>
    <x v="0"/>
  </r>
  <r>
    <x v="0"/>
    <x v="5"/>
    <x v="0"/>
    <x v="0"/>
    <x v="3"/>
    <x v="1"/>
    <x v="0"/>
    <x v="6"/>
    <x v="2"/>
    <x v="2"/>
    <x v="1"/>
    <x v="0"/>
  </r>
  <r>
    <x v="0"/>
    <x v="6"/>
    <x v="0"/>
    <x v="0"/>
    <x v="3"/>
    <x v="1"/>
    <x v="0"/>
    <x v="6"/>
    <x v="2"/>
    <x v="2"/>
    <x v="1"/>
    <x v="0"/>
  </r>
  <r>
    <x v="0"/>
    <x v="7"/>
    <x v="0"/>
    <x v="0"/>
    <x v="3"/>
    <x v="1"/>
    <x v="0"/>
    <x v="6"/>
    <x v="2"/>
    <x v="2"/>
    <x v="1"/>
    <x v="0"/>
  </r>
  <r>
    <x v="0"/>
    <x v="11"/>
    <x v="0"/>
    <x v="0"/>
    <x v="3"/>
    <x v="1"/>
    <x v="0"/>
    <x v="6"/>
    <x v="2"/>
    <x v="2"/>
    <x v="1"/>
    <x v="0"/>
  </r>
  <r>
    <x v="0"/>
    <x v="12"/>
    <x v="0"/>
    <x v="0"/>
    <x v="3"/>
    <x v="1"/>
    <x v="0"/>
    <x v="6"/>
    <x v="2"/>
    <x v="2"/>
    <x v="1"/>
    <x v="0"/>
  </r>
  <r>
    <x v="0"/>
    <x v="8"/>
    <x v="0"/>
    <x v="0"/>
    <x v="3"/>
    <x v="1"/>
    <x v="0"/>
    <x v="6"/>
    <x v="2"/>
    <x v="2"/>
    <x v="1"/>
    <x v="0"/>
  </r>
  <r>
    <x v="0"/>
    <x v="9"/>
    <x v="0"/>
    <x v="0"/>
    <x v="3"/>
    <x v="1"/>
    <x v="0"/>
    <x v="6"/>
    <x v="2"/>
    <x v="2"/>
    <x v="1"/>
    <x v="0"/>
  </r>
  <r>
    <x v="0"/>
    <x v="10"/>
    <x v="0"/>
    <x v="0"/>
    <x v="3"/>
    <x v="1"/>
    <x v="0"/>
    <x v="6"/>
    <x v="2"/>
    <x v="2"/>
    <x v="1"/>
    <x v="0"/>
  </r>
  <r>
    <x v="0"/>
    <x v="0"/>
    <x v="0"/>
    <x v="0"/>
    <x v="3"/>
    <x v="1"/>
    <x v="0"/>
    <x v="6"/>
    <x v="1"/>
    <x v="2"/>
    <x v="1"/>
    <x v="0"/>
  </r>
  <r>
    <x v="0"/>
    <x v="1"/>
    <x v="0"/>
    <x v="0"/>
    <x v="3"/>
    <x v="1"/>
    <x v="0"/>
    <x v="6"/>
    <x v="1"/>
    <x v="2"/>
    <x v="1"/>
    <x v="0"/>
  </r>
  <r>
    <x v="0"/>
    <x v="2"/>
    <x v="0"/>
    <x v="0"/>
    <x v="3"/>
    <x v="1"/>
    <x v="0"/>
    <x v="6"/>
    <x v="1"/>
    <x v="2"/>
    <x v="1"/>
    <x v="0"/>
  </r>
  <r>
    <x v="0"/>
    <x v="3"/>
    <x v="0"/>
    <x v="0"/>
    <x v="3"/>
    <x v="1"/>
    <x v="0"/>
    <x v="6"/>
    <x v="1"/>
    <x v="2"/>
    <x v="1"/>
    <x v="0"/>
  </r>
  <r>
    <x v="0"/>
    <x v="4"/>
    <x v="0"/>
    <x v="0"/>
    <x v="3"/>
    <x v="1"/>
    <x v="0"/>
    <x v="6"/>
    <x v="1"/>
    <x v="2"/>
    <x v="1"/>
    <x v="0"/>
  </r>
  <r>
    <x v="0"/>
    <x v="5"/>
    <x v="0"/>
    <x v="0"/>
    <x v="3"/>
    <x v="1"/>
    <x v="0"/>
    <x v="6"/>
    <x v="1"/>
    <x v="2"/>
    <x v="1"/>
    <x v="0"/>
  </r>
  <r>
    <x v="0"/>
    <x v="6"/>
    <x v="0"/>
    <x v="0"/>
    <x v="3"/>
    <x v="1"/>
    <x v="0"/>
    <x v="6"/>
    <x v="1"/>
    <x v="2"/>
    <x v="1"/>
    <x v="0"/>
  </r>
  <r>
    <x v="0"/>
    <x v="7"/>
    <x v="0"/>
    <x v="0"/>
    <x v="3"/>
    <x v="1"/>
    <x v="0"/>
    <x v="6"/>
    <x v="1"/>
    <x v="2"/>
    <x v="1"/>
    <x v="0"/>
  </r>
  <r>
    <x v="0"/>
    <x v="11"/>
    <x v="0"/>
    <x v="0"/>
    <x v="3"/>
    <x v="1"/>
    <x v="0"/>
    <x v="6"/>
    <x v="1"/>
    <x v="2"/>
    <x v="1"/>
    <x v="0"/>
  </r>
  <r>
    <x v="0"/>
    <x v="12"/>
    <x v="0"/>
    <x v="0"/>
    <x v="3"/>
    <x v="1"/>
    <x v="0"/>
    <x v="6"/>
    <x v="1"/>
    <x v="2"/>
    <x v="1"/>
    <x v="0"/>
  </r>
  <r>
    <x v="0"/>
    <x v="8"/>
    <x v="0"/>
    <x v="0"/>
    <x v="3"/>
    <x v="1"/>
    <x v="0"/>
    <x v="6"/>
    <x v="1"/>
    <x v="2"/>
    <x v="1"/>
    <x v="0"/>
  </r>
  <r>
    <x v="0"/>
    <x v="9"/>
    <x v="0"/>
    <x v="0"/>
    <x v="3"/>
    <x v="1"/>
    <x v="0"/>
    <x v="6"/>
    <x v="1"/>
    <x v="2"/>
    <x v="1"/>
    <x v="0"/>
  </r>
  <r>
    <x v="0"/>
    <x v="10"/>
    <x v="0"/>
    <x v="0"/>
    <x v="3"/>
    <x v="1"/>
    <x v="0"/>
    <x v="6"/>
    <x v="1"/>
    <x v="2"/>
    <x v="1"/>
    <x v="0"/>
  </r>
  <r>
    <x v="0"/>
    <x v="0"/>
    <x v="0"/>
    <x v="0"/>
    <x v="0"/>
    <x v="0"/>
    <x v="0"/>
    <x v="0"/>
    <x v="0"/>
    <x v="2"/>
    <x v="0"/>
    <x v="0"/>
  </r>
  <r>
    <x v="0"/>
    <x v="1"/>
    <x v="0"/>
    <x v="0"/>
    <x v="0"/>
    <x v="0"/>
    <x v="0"/>
    <x v="0"/>
    <x v="0"/>
    <x v="2"/>
    <x v="0"/>
    <x v="0"/>
  </r>
  <r>
    <x v="0"/>
    <x v="2"/>
    <x v="0"/>
    <x v="0"/>
    <x v="0"/>
    <x v="0"/>
    <x v="0"/>
    <x v="0"/>
    <x v="0"/>
    <x v="2"/>
    <x v="0"/>
    <x v="0"/>
  </r>
  <r>
    <x v="0"/>
    <x v="3"/>
    <x v="0"/>
    <x v="0"/>
    <x v="0"/>
    <x v="0"/>
    <x v="0"/>
    <x v="0"/>
    <x v="0"/>
    <x v="2"/>
    <x v="0"/>
    <x v="0"/>
  </r>
  <r>
    <x v="0"/>
    <x v="4"/>
    <x v="0"/>
    <x v="0"/>
    <x v="0"/>
    <x v="0"/>
    <x v="0"/>
    <x v="0"/>
    <x v="0"/>
    <x v="2"/>
    <x v="0"/>
    <x v="0"/>
  </r>
  <r>
    <x v="0"/>
    <x v="5"/>
    <x v="0"/>
    <x v="0"/>
    <x v="0"/>
    <x v="0"/>
    <x v="0"/>
    <x v="0"/>
    <x v="0"/>
    <x v="2"/>
    <x v="0"/>
    <x v="0"/>
  </r>
  <r>
    <x v="0"/>
    <x v="6"/>
    <x v="0"/>
    <x v="0"/>
    <x v="0"/>
    <x v="0"/>
    <x v="0"/>
    <x v="0"/>
    <x v="0"/>
    <x v="2"/>
    <x v="1"/>
    <x v="0"/>
  </r>
  <r>
    <x v="0"/>
    <x v="7"/>
    <x v="0"/>
    <x v="0"/>
    <x v="0"/>
    <x v="0"/>
    <x v="0"/>
    <x v="0"/>
    <x v="0"/>
    <x v="2"/>
    <x v="0"/>
    <x v="0"/>
  </r>
  <r>
    <x v="0"/>
    <x v="8"/>
    <x v="0"/>
    <x v="0"/>
    <x v="0"/>
    <x v="0"/>
    <x v="0"/>
    <x v="0"/>
    <x v="0"/>
    <x v="2"/>
    <x v="0"/>
    <x v="0"/>
  </r>
  <r>
    <x v="0"/>
    <x v="9"/>
    <x v="0"/>
    <x v="0"/>
    <x v="0"/>
    <x v="0"/>
    <x v="0"/>
    <x v="0"/>
    <x v="0"/>
    <x v="2"/>
    <x v="0"/>
    <x v="0"/>
  </r>
  <r>
    <x v="0"/>
    <x v="10"/>
    <x v="0"/>
    <x v="0"/>
    <x v="0"/>
    <x v="0"/>
    <x v="0"/>
    <x v="0"/>
    <x v="0"/>
    <x v="2"/>
    <x v="0"/>
    <x v="0"/>
  </r>
  <r>
    <x v="0"/>
    <x v="0"/>
    <x v="0"/>
    <x v="0"/>
    <x v="0"/>
    <x v="0"/>
    <x v="0"/>
    <x v="0"/>
    <x v="2"/>
    <x v="0"/>
    <x v="1"/>
    <x v="0"/>
  </r>
  <r>
    <x v="0"/>
    <x v="1"/>
    <x v="0"/>
    <x v="0"/>
    <x v="0"/>
    <x v="0"/>
    <x v="0"/>
    <x v="0"/>
    <x v="2"/>
    <x v="0"/>
    <x v="1"/>
    <x v="0"/>
  </r>
  <r>
    <x v="0"/>
    <x v="2"/>
    <x v="0"/>
    <x v="0"/>
    <x v="0"/>
    <x v="0"/>
    <x v="0"/>
    <x v="0"/>
    <x v="2"/>
    <x v="0"/>
    <x v="1"/>
    <x v="0"/>
  </r>
  <r>
    <x v="0"/>
    <x v="3"/>
    <x v="0"/>
    <x v="0"/>
    <x v="0"/>
    <x v="0"/>
    <x v="0"/>
    <x v="0"/>
    <x v="2"/>
    <x v="0"/>
    <x v="1"/>
    <x v="0"/>
  </r>
  <r>
    <x v="0"/>
    <x v="4"/>
    <x v="0"/>
    <x v="0"/>
    <x v="0"/>
    <x v="0"/>
    <x v="0"/>
    <x v="0"/>
    <x v="2"/>
    <x v="0"/>
    <x v="1"/>
    <x v="0"/>
  </r>
  <r>
    <x v="0"/>
    <x v="5"/>
    <x v="0"/>
    <x v="0"/>
    <x v="0"/>
    <x v="0"/>
    <x v="0"/>
    <x v="0"/>
    <x v="2"/>
    <x v="0"/>
    <x v="1"/>
    <x v="0"/>
  </r>
  <r>
    <x v="0"/>
    <x v="6"/>
    <x v="0"/>
    <x v="0"/>
    <x v="0"/>
    <x v="0"/>
    <x v="0"/>
    <x v="0"/>
    <x v="2"/>
    <x v="0"/>
    <x v="1"/>
    <x v="0"/>
  </r>
  <r>
    <x v="0"/>
    <x v="7"/>
    <x v="0"/>
    <x v="0"/>
    <x v="0"/>
    <x v="0"/>
    <x v="0"/>
    <x v="0"/>
    <x v="2"/>
    <x v="0"/>
    <x v="1"/>
    <x v="0"/>
  </r>
  <r>
    <x v="0"/>
    <x v="11"/>
    <x v="0"/>
    <x v="0"/>
    <x v="0"/>
    <x v="0"/>
    <x v="0"/>
    <x v="0"/>
    <x v="2"/>
    <x v="0"/>
    <x v="1"/>
    <x v="0"/>
  </r>
  <r>
    <x v="0"/>
    <x v="12"/>
    <x v="0"/>
    <x v="0"/>
    <x v="0"/>
    <x v="0"/>
    <x v="0"/>
    <x v="0"/>
    <x v="2"/>
    <x v="0"/>
    <x v="1"/>
    <x v="0"/>
  </r>
  <r>
    <x v="0"/>
    <x v="8"/>
    <x v="0"/>
    <x v="0"/>
    <x v="0"/>
    <x v="0"/>
    <x v="0"/>
    <x v="0"/>
    <x v="2"/>
    <x v="0"/>
    <x v="1"/>
    <x v="0"/>
  </r>
  <r>
    <x v="0"/>
    <x v="9"/>
    <x v="0"/>
    <x v="0"/>
    <x v="0"/>
    <x v="0"/>
    <x v="0"/>
    <x v="0"/>
    <x v="2"/>
    <x v="0"/>
    <x v="1"/>
    <x v="0"/>
  </r>
  <r>
    <x v="0"/>
    <x v="10"/>
    <x v="0"/>
    <x v="0"/>
    <x v="0"/>
    <x v="0"/>
    <x v="0"/>
    <x v="0"/>
    <x v="2"/>
    <x v="0"/>
    <x v="1"/>
    <x v="0"/>
  </r>
  <r>
    <x v="0"/>
    <x v="11"/>
    <x v="0"/>
    <x v="0"/>
    <x v="0"/>
    <x v="0"/>
    <x v="0"/>
    <x v="0"/>
    <x v="0"/>
    <x v="2"/>
    <x v="0"/>
    <x v="0"/>
  </r>
  <r>
    <x v="0"/>
    <x v="12"/>
    <x v="0"/>
    <x v="0"/>
    <x v="0"/>
    <x v="0"/>
    <x v="0"/>
    <x v="0"/>
    <x v="0"/>
    <x v="2"/>
    <x v="0"/>
    <x v="0"/>
  </r>
  <r>
    <x v="0"/>
    <x v="11"/>
    <x v="0"/>
    <x v="0"/>
    <x v="0"/>
    <x v="0"/>
    <x v="0"/>
    <x v="0"/>
    <x v="0"/>
    <x v="0"/>
    <x v="0"/>
    <x v="0"/>
  </r>
  <r>
    <x v="0"/>
    <x v="12"/>
    <x v="0"/>
    <x v="0"/>
    <x v="0"/>
    <x v="0"/>
    <x v="0"/>
    <x v="0"/>
    <x v="0"/>
    <x v="0"/>
    <x v="0"/>
    <x v="0"/>
  </r>
  <r>
    <x v="0"/>
    <x v="0"/>
    <x v="0"/>
    <x v="0"/>
    <x v="0"/>
    <x v="0"/>
    <x v="0"/>
    <x v="0"/>
    <x v="0"/>
    <x v="4"/>
    <x v="7"/>
    <x v="0"/>
  </r>
  <r>
    <x v="0"/>
    <x v="1"/>
    <x v="0"/>
    <x v="0"/>
    <x v="0"/>
    <x v="0"/>
    <x v="0"/>
    <x v="0"/>
    <x v="0"/>
    <x v="4"/>
    <x v="7"/>
    <x v="0"/>
  </r>
  <r>
    <x v="0"/>
    <x v="2"/>
    <x v="0"/>
    <x v="0"/>
    <x v="0"/>
    <x v="0"/>
    <x v="0"/>
    <x v="0"/>
    <x v="0"/>
    <x v="4"/>
    <x v="7"/>
    <x v="0"/>
  </r>
  <r>
    <x v="0"/>
    <x v="3"/>
    <x v="0"/>
    <x v="0"/>
    <x v="0"/>
    <x v="0"/>
    <x v="0"/>
    <x v="0"/>
    <x v="0"/>
    <x v="4"/>
    <x v="7"/>
    <x v="0"/>
  </r>
  <r>
    <x v="0"/>
    <x v="4"/>
    <x v="0"/>
    <x v="0"/>
    <x v="0"/>
    <x v="0"/>
    <x v="0"/>
    <x v="0"/>
    <x v="0"/>
    <x v="4"/>
    <x v="7"/>
    <x v="0"/>
  </r>
  <r>
    <x v="0"/>
    <x v="5"/>
    <x v="0"/>
    <x v="0"/>
    <x v="0"/>
    <x v="0"/>
    <x v="0"/>
    <x v="0"/>
    <x v="0"/>
    <x v="4"/>
    <x v="7"/>
    <x v="0"/>
  </r>
  <r>
    <x v="0"/>
    <x v="6"/>
    <x v="0"/>
    <x v="0"/>
    <x v="0"/>
    <x v="0"/>
    <x v="0"/>
    <x v="0"/>
    <x v="0"/>
    <x v="1"/>
    <x v="7"/>
    <x v="0"/>
  </r>
  <r>
    <x v="0"/>
    <x v="7"/>
    <x v="0"/>
    <x v="0"/>
    <x v="0"/>
    <x v="0"/>
    <x v="0"/>
    <x v="0"/>
    <x v="0"/>
    <x v="4"/>
    <x v="7"/>
    <x v="0"/>
  </r>
  <r>
    <x v="0"/>
    <x v="11"/>
    <x v="0"/>
    <x v="0"/>
    <x v="0"/>
    <x v="0"/>
    <x v="0"/>
    <x v="0"/>
    <x v="0"/>
    <x v="4"/>
    <x v="7"/>
    <x v="0"/>
  </r>
  <r>
    <x v="0"/>
    <x v="12"/>
    <x v="0"/>
    <x v="0"/>
    <x v="0"/>
    <x v="0"/>
    <x v="0"/>
    <x v="0"/>
    <x v="0"/>
    <x v="4"/>
    <x v="7"/>
    <x v="0"/>
  </r>
  <r>
    <x v="0"/>
    <x v="8"/>
    <x v="0"/>
    <x v="0"/>
    <x v="0"/>
    <x v="0"/>
    <x v="0"/>
    <x v="0"/>
    <x v="0"/>
    <x v="4"/>
    <x v="7"/>
    <x v="0"/>
  </r>
  <r>
    <x v="0"/>
    <x v="9"/>
    <x v="0"/>
    <x v="0"/>
    <x v="0"/>
    <x v="0"/>
    <x v="0"/>
    <x v="0"/>
    <x v="0"/>
    <x v="4"/>
    <x v="7"/>
    <x v="0"/>
  </r>
  <r>
    <x v="0"/>
    <x v="0"/>
    <x v="0"/>
    <x v="0"/>
    <x v="2"/>
    <x v="1"/>
    <x v="0"/>
    <x v="5"/>
    <x v="0"/>
    <x v="4"/>
    <x v="7"/>
    <x v="0"/>
  </r>
  <r>
    <x v="0"/>
    <x v="1"/>
    <x v="0"/>
    <x v="0"/>
    <x v="2"/>
    <x v="1"/>
    <x v="0"/>
    <x v="5"/>
    <x v="0"/>
    <x v="4"/>
    <x v="7"/>
    <x v="0"/>
  </r>
  <r>
    <x v="0"/>
    <x v="2"/>
    <x v="0"/>
    <x v="0"/>
    <x v="2"/>
    <x v="1"/>
    <x v="0"/>
    <x v="5"/>
    <x v="0"/>
    <x v="4"/>
    <x v="7"/>
    <x v="0"/>
  </r>
  <r>
    <x v="0"/>
    <x v="3"/>
    <x v="0"/>
    <x v="0"/>
    <x v="2"/>
    <x v="1"/>
    <x v="0"/>
    <x v="5"/>
    <x v="0"/>
    <x v="4"/>
    <x v="7"/>
    <x v="0"/>
  </r>
  <r>
    <x v="0"/>
    <x v="4"/>
    <x v="0"/>
    <x v="0"/>
    <x v="2"/>
    <x v="1"/>
    <x v="0"/>
    <x v="5"/>
    <x v="0"/>
    <x v="4"/>
    <x v="7"/>
    <x v="0"/>
  </r>
  <r>
    <x v="0"/>
    <x v="5"/>
    <x v="0"/>
    <x v="0"/>
    <x v="2"/>
    <x v="1"/>
    <x v="0"/>
    <x v="5"/>
    <x v="0"/>
    <x v="4"/>
    <x v="7"/>
    <x v="0"/>
  </r>
  <r>
    <x v="0"/>
    <x v="6"/>
    <x v="0"/>
    <x v="0"/>
    <x v="2"/>
    <x v="1"/>
    <x v="0"/>
    <x v="5"/>
    <x v="0"/>
    <x v="4"/>
    <x v="7"/>
    <x v="0"/>
  </r>
  <r>
    <x v="0"/>
    <x v="7"/>
    <x v="0"/>
    <x v="0"/>
    <x v="2"/>
    <x v="1"/>
    <x v="0"/>
    <x v="5"/>
    <x v="0"/>
    <x v="1"/>
    <x v="7"/>
    <x v="0"/>
  </r>
  <r>
    <x v="0"/>
    <x v="11"/>
    <x v="0"/>
    <x v="0"/>
    <x v="2"/>
    <x v="1"/>
    <x v="0"/>
    <x v="5"/>
    <x v="0"/>
    <x v="4"/>
    <x v="7"/>
    <x v="0"/>
  </r>
  <r>
    <x v="0"/>
    <x v="12"/>
    <x v="0"/>
    <x v="0"/>
    <x v="2"/>
    <x v="1"/>
    <x v="0"/>
    <x v="5"/>
    <x v="0"/>
    <x v="4"/>
    <x v="7"/>
    <x v="0"/>
  </r>
  <r>
    <x v="0"/>
    <x v="8"/>
    <x v="0"/>
    <x v="0"/>
    <x v="2"/>
    <x v="1"/>
    <x v="0"/>
    <x v="5"/>
    <x v="0"/>
    <x v="4"/>
    <x v="7"/>
    <x v="0"/>
  </r>
  <r>
    <x v="0"/>
    <x v="9"/>
    <x v="0"/>
    <x v="0"/>
    <x v="2"/>
    <x v="1"/>
    <x v="0"/>
    <x v="5"/>
    <x v="0"/>
    <x v="4"/>
    <x v="7"/>
    <x v="0"/>
  </r>
  <r>
    <x v="0"/>
    <x v="10"/>
    <x v="0"/>
    <x v="0"/>
    <x v="2"/>
    <x v="1"/>
    <x v="0"/>
    <x v="5"/>
    <x v="0"/>
    <x v="4"/>
    <x v="7"/>
    <x v="0"/>
  </r>
  <r>
    <x v="0"/>
    <x v="10"/>
    <x v="0"/>
    <x v="0"/>
    <x v="0"/>
    <x v="0"/>
    <x v="0"/>
    <x v="0"/>
    <x v="0"/>
    <x v="4"/>
    <x v="7"/>
    <x v="0"/>
  </r>
  <r>
    <x v="0"/>
    <x v="0"/>
    <x v="0"/>
    <x v="0"/>
    <x v="3"/>
    <x v="1"/>
    <x v="0"/>
    <x v="6"/>
    <x v="2"/>
    <x v="2"/>
    <x v="1"/>
    <x v="0"/>
  </r>
  <r>
    <x v="0"/>
    <x v="1"/>
    <x v="0"/>
    <x v="0"/>
    <x v="3"/>
    <x v="1"/>
    <x v="0"/>
    <x v="6"/>
    <x v="2"/>
    <x v="2"/>
    <x v="1"/>
    <x v="0"/>
  </r>
  <r>
    <x v="0"/>
    <x v="2"/>
    <x v="0"/>
    <x v="0"/>
    <x v="3"/>
    <x v="1"/>
    <x v="0"/>
    <x v="6"/>
    <x v="2"/>
    <x v="2"/>
    <x v="1"/>
    <x v="0"/>
  </r>
  <r>
    <x v="0"/>
    <x v="3"/>
    <x v="0"/>
    <x v="0"/>
    <x v="3"/>
    <x v="1"/>
    <x v="0"/>
    <x v="6"/>
    <x v="2"/>
    <x v="2"/>
    <x v="1"/>
    <x v="0"/>
  </r>
  <r>
    <x v="0"/>
    <x v="4"/>
    <x v="0"/>
    <x v="0"/>
    <x v="3"/>
    <x v="1"/>
    <x v="0"/>
    <x v="6"/>
    <x v="2"/>
    <x v="2"/>
    <x v="1"/>
    <x v="0"/>
  </r>
  <r>
    <x v="0"/>
    <x v="5"/>
    <x v="0"/>
    <x v="0"/>
    <x v="3"/>
    <x v="1"/>
    <x v="0"/>
    <x v="6"/>
    <x v="2"/>
    <x v="2"/>
    <x v="1"/>
    <x v="0"/>
  </r>
  <r>
    <x v="0"/>
    <x v="6"/>
    <x v="0"/>
    <x v="0"/>
    <x v="3"/>
    <x v="1"/>
    <x v="0"/>
    <x v="6"/>
    <x v="2"/>
    <x v="2"/>
    <x v="1"/>
    <x v="0"/>
  </r>
  <r>
    <x v="0"/>
    <x v="7"/>
    <x v="0"/>
    <x v="0"/>
    <x v="3"/>
    <x v="1"/>
    <x v="0"/>
    <x v="6"/>
    <x v="2"/>
    <x v="2"/>
    <x v="1"/>
    <x v="0"/>
  </r>
  <r>
    <x v="0"/>
    <x v="11"/>
    <x v="0"/>
    <x v="0"/>
    <x v="3"/>
    <x v="1"/>
    <x v="0"/>
    <x v="6"/>
    <x v="2"/>
    <x v="2"/>
    <x v="1"/>
    <x v="0"/>
  </r>
  <r>
    <x v="0"/>
    <x v="12"/>
    <x v="0"/>
    <x v="0"/>
    <x v="3"/>
    <x v="1"/>
    <x v="0"/>
    <x v="6"/>
    <x v="2"/>
    <x v="2"/>
    <x v="1"/>
    <x v="0"/>
  </r>
  <r>
    <x v="0"/>
    <x v="8"/>
    <x v="0"/>
    <x v="0"/>
    <x v="3"/>
    <x v="1"/>
    <x v="0"/>
    <x v="6"/>
    <x v="2"/>
    <x v="2"/>
    <x v="1"/>
    <x v="0"/>
  </r>
  <r>
    <x v="0"/>
    <x v="9"/>
    <x v="0"/>
    <x v="0"/>
    <x v="3"/>
    <x v="1"/>
    <x v="0"/>
    <x v="6"/>
    <x v="2"/>
    <x v="2"/>
    <x v="1"/>
    <x v="0"/>
  </r>
  <r>
    <x v="0"/>
    <x v="10"/>
    <x v="0"/>
    <x v="0"/>
    <x v="3"/>
    <x v="1"/>
    <x v="0"/>
    <x v="6"/>
    <x v="2"/>
    <x v="2"/>
    <x v="1"/>
    <x v="0"/>
  </r>
  <r>
    <x v="0"/>
    <x v="0"/>
    <x v="0"/>
    <x v="0"/>
    <x v="3"/>
    <x v="0"/>
    <x v="0"/>
    <x v="4"/>
    <x v="0"/>
    <x v="0"/>
    <x v="0"/>
    <x v="0"/>
  </r>
  <r>
    <x v="0"/>
    <x v="1"/>
    <x v="0"/>
    <x v="0"/>
    <x v="3"/>
    <x v="0"/>
    <x v="0"/>
    <x v="4"/>
    <x v="0"/>
    <x v="0"/>
    <x v="0"/>
    <x v="0"/>
  </r>
  <r>
    <x v="0"/>
    <x v="2"/>
    <x v="0"/>
    <x v="0"/>
    <x v="3"/>
    <x v="0"/>
    <x v="0"/>
    <x v="4"/>
    <x v="0"/>
    <x v="0"/>
    <x v="0"/>
    <x v="0"/>
  </r>
  <r>
    <x v="0"/>
    <x v="3"/>
    <x v="0"/>
    <x v="0"/>
    <x v="3"/>
    <x v="0"/>
    <x v="0"/>
    <x v="4"/>
    <x v="0"/>
    <x v="0"/>
    <x v="0"/>
    <x v="0"/>
  </r>
  <r>
    <x v="0"/>
    <x v="4"/>
    <x v="0"/>
    <x v="0"/>
    <x v="3"/>
    <x v="0"/>
    <x v="0"/>
    <x v="4"/>
    <x v="0"/>
    <x v="0"/>
    <x v="0"/>
    <x v="0"/>
  </r>
  <r>
    <x v="0"/>
    <x v="5"/>
    <x v="0"/>
    <x v="0"/>
    <x v="3"/>
    <x v="0"/>
    <x v="0"/>
    <x v="4"/>
    <x v="0"/>
    <x v="0"/>
    <x v="0"/>
    <x v="0"/>
  </r>
  <r>
    <x v="0"/>
    <x v="6"/>
    <x v="0"/>
    <x v="0"/>
    <x v="3"/>
    <x v="0"/>
    <x v="0"/>
    <x v="4"/>
    <x v="0"/>
    <x v="0"/>
    <x v="0"/>
    <x v="0"/>
  </r>
  <r>
    <x v="0"/>
    <x v="7"/>
    <x v="0"/>
    <x v="0"/>
    <x v="3"/>
    <x v="0"/>
    <x v="0"/>
    <x v="4"/>
    <x v="0"/>
    <x v="0"/>
    <x v="0"/>
    <x v="0"/>
  </r>
  <r>
    <x v="0"/>
    <x v="11"/>
    <x v="0"/>
    <x v="0"/>
    <x v="3"/>
    <x v="0"/>
    <x v="0"/>
    <x v="4"/>
    <x v="0"/>
    <x v="0"/>
    <x v="0"/>
    <x v="0"/>
  </r>
  <r>
    <x v="0"/>
    <x v="12"/>
    <x v="0"/>
    <x v="0"/>
    <x v="3"/>
    <x v="0"/>
    <x v="0"/>
    <x v="4"/>
    <x v="0"/>
    <x v="0"/>
    <x v="0"/>
    <x v="0"/>
  </r>
  <r>
    <x v="0"/>
    <x v="8"/>
    <x v="0"/>
    <x v="0"/>
    <x v="3"/>
    <x v="0"/>
    <x v="0"/>
    <x v="4"/>
    <x v="0"/>
    <x v="0"/>
    <x v="0"/>
    <x v="0"/>
  </r>
  <r>
    <x v="0"/>
    <x v="9"/>
    <x v="0"/>
    <x v="0"/>
    <x v="3"/>
    <x v="0"/>
    <x v="0"/>
    <x v="4"/>
    <x v="0"/>
    <x v="0"/>
    <x v="0"/>
    <x v="0"/>
  </r>
  <r>
    <x v="0"/>
    <x v="10"/>
    <x v="0"/>
    <x v="0"/>
    <x v="3"/>
    <x v="0"/>
    <x v="0"/>
    <x v="4"/>
    <x v="0"/>
    <x v="0"/>
    <x v="0"/>
    <x v="0"/>
  </r>
  <r>
    <x v="0"/>
    <x v="0"/>
    <x v="0"/>
    <x v="0"/>
    <x v="3"/>
    <x v="0"/>
    <x v="0"/>
    <x v="4"/>
    <x v="0"/>
    <x v="2"/>
    <x v="0"/>
    <x v="0"/>
  </r>
  <r>
    <x v="0"/>
    <x v="1"/>
    <x v="0"/>
    <x v="0"/>
    <x v="3"/>
    <x v="0"/>
    <x v="0"/>
    <x v="4"/>
    <x v="0"/>
    <x v="2"/>
    <x v="0"/>
    <x v="0"/>
  </r>
  <r>
    <x v="0"/>
    <x v="2"/>
    <x v="0"/>
    <x v="0"/>
    <x v="3"/>
    <x v="0"/>
    <x v="0"/>
    <x v="4"/>
    <x v="0"/>
    <x v="2"/>
    <x v="0"/>
    <x v="0"/>
  </r>
  <r>
    <x v="0"/>
    <x v="3"/>
    <x v="0"/>
    <x v="0"/>
    <x v="3"/>
    <x v="0"/>
    <x v="0"/>
    <x v="4"/>
    <x v="0"/>
    <x v="2"/>
    <x v="0"/>
    <x v="0"/>
  </r>
  <r>
    <x v="0"/>
    <x v="4"/>
    <x v="0"/>
    <x v="0"/>
    <x v="3"/>
    <x v="0"/>
    <x v="0"/>
    <x v="4"/>
    <x v="0"/>
    <x v="2"/>
    <x v="0"/>
    <x v="0"/>
  </r>
  <r>
    <x v="0"/>
    <x v="5"/>
    <x v="0"/>
    <x v="0"/>
    <x v="3"/>
    <x v="0"/>
    <x v="0"/>
    <x v="4"/>
    <x v="0"/>
    <x v="2"/>
    <x v="0"/>
    <x v="0"/>
  </r>
  <r>
    <x v="0"/>
    <x v="6"/>
    <x v="0"/>
    <x v="0"/>
    <x v="3"/>
    <x v="0"/>
    <x v="0"/>
    <x v="4"/>
    <x v="0"/>
    <x v="2"/>
    <x v="0"/>
    <x v="0"/>
  </r>
  <r>
    <x v="0"/>
    <x v="7"/>
    <x v="0"/>
    <x v="0"/>
    <x v="3"/>
    <x v="0"/>
    <x v="0"/>
    <x v="4"/>
    <x v="0"/>
    <x v="2"/>
    <x v="0"/>
    <x v="0"/>
  </r>
  <r>
    <x v="0"/>
    <x v="11"/>
    <x v="0"/>
    <x v="0"/>
    <x v="3"/>
    <x v="0"/>
    <x v="0"/>
    <x v="4"/>
    <x v="0"/>
    <x v="2"/>
    <x v="0"/>
    <x v="0"/>
  </r>
  <r>
    <x v="0"/>
    <x v="12"/>
    <x v="0"/>
    <x v="0"/>
    <x v="3"/>
    <x v="0"/>
    <x v="0"/>
    <x v="4"/>
    <x v="0"/>
    <x v="2"/>
    <x v="0"/>
    <x v="0"/>
  </r>
  <r>
    <x v="0"/>
    <x v="8"/>
    <x v="0"/>
    <x v="0"/>
    <x v="3"/>
    <x v="0"/>
    <x v="0"/>
    <x v="4"/>
    <x v="0"/>
    <x v="2"/>
    <x v="0"/>
    <x v="0"/>
  </r>
  <r>
    <x v="0"/>
    <x v="9"/>
    <x v="0"/>
    <x v="0"/>
    <x v="3"/>
    <x v="0"/>
    <x v="0"/>
    <x v="4"/>
    <x v="0"/>
    <x v="2"/>
    <x v="0"/>
    <x v="0"/>
  </r>
  <r>
    <x v="0"/>
    <x v="10"/>
    <x v="0"/>
    <x v="0"/>
    <x v="3"/>
    <x v="0"/>
    <x v="0"/>
    <x v="4"/>
    <x v="0"/>
    <x v="2"/>
    <x v="0"/>
    <x v="0"/>
  </r>
  <r>
    <x v="0"/>
    <x v="0"/>
    <x v="0"/>
    <x v="0"/>
    <x v="0"/>
    <x v="0"/>
    <x v="1"/>
    <x v="0"/>
    <x v="0"/>
    <x v="0"/>
    <x v="0"/>
    <x v="0"/>
  </r>
  <r>
    <x v="0"/>
    <x v="1"/>
    <x v="0"/>
    <x v="0"/>
    <x v="0"/>
    <x v="0"/>
    <x v="1"/>
    <x v="0"/>
    <x v="0"/>
    <x v="0"/>
    <x v="0"/>
    <x v="0"/>
  </r>
  <r>
    <x v="0"/>
    <x v="2"/>
    <x v="0"/>
    <x v="0"/>
    <x v="0"/>
    <x v="0"/>
    <x v="1"/>
    <x v="0"/>
    <x v="0"/>
    <x v="0"/>
    <x v="0"/>
    <x v="0"/>
  </r>
  <r>
    <x v="0"/>
    <x v="3"/>
    <x v="0"/>
    <x v="0"/>
    <x v="0"/>
    <x v="0"/>
    <x v="1"/>
    <x v="0"/>
    <x v="0"/>
    <x v="0"/>
    <x v="0"/>
    <x v="0"/>
  </r>
  <r>
    <x v="0"/>
    <x v="4"/>
    <x v="0"/>
    <x v="0"/>
    <x v="0"/>
    <x v="0"/>
    <x v="1"/>
    <x v="0"/>
    <x v="0"/>
    <x v="0"/>
    <x v="0"/>
    <x v="0"/>
  </r>
  <r>
    <x v="0"/>
    <x v="5"/>
    <x v="0"/>
    <x v="0"/>
    <x v="0"/>
    <x v="0"/>
    <x v="1"/>
    <x v="0"/>
    <x v="0"/>
    <x v="0"/>
    <x v="12"/>
    <x v="0"/>
  </r>
  <r>
    <x v="0"/>
    <x v="6"/>
    <x v="0"/>
    <x v="0"/>
    <x v="0"/>
    <x v="0"/>
    <x v="1"/>
    <x v="0"/>
    <x v="0"/>
    <x v="0"/>
    <x v="12"/>
    <x v="0"/>
  </r>
  <r>
    <x v="0"/>
    <x v="7"/>
    <x v="0"/>
    <x v="0"/>
    <x v="0"/>
    <x v="0"/>
    <x v="1"/>
    <x v="0"/>
    <x v="0"/>
    <x v="0"/>
    <x v="13"/>
    <x v="0"/>
  </r>
  <r>
    <x v="0"/>
    <x v="8"/>
    <x v="0"/>
    <x v="0"/>
    <x v="0"/>
    <x v="0"/>
    <x v="1"/>
    <x v="0"/>
    <x v="0"/>
    <x v="0"/>
    <x v="0"/>
    <x v="0"/>
  </r>
  <r>
    <x v="0"/>
    <x v="9"/>
    <x v="0"/>
    <x v="0"/>
    <x v="0"/>
    <x v="0"/>
    <x v="1"/>
    <x v="0"/>
    <x v="0"/>
    <x v="0"/>
    <x v="0"/>
    <x v="0"/>
  </r>
  <r>
    <x v="0"/>
    <x v="10"/>
    <x v="0"/>
    <x v="0"/>
    <x v="0"/>
    <x v="0"/>
    <x v="1"/>
    <x v="0"/>
    <x v="0"/>
    <x v="0"/>
    <x v="0"/>
    <x v="0"/>
  </r>
  <r>
    <x v="0"/>
    <x v="0"/>
    <x v="0"/>
    <x v="0"/>
    <x v="0"/>
    <x v="0"/>
    <x v="1"/>
    <x v="0"/>
    <x v="1"/>
    <x v="0"/>
    <x v="1"/>
    <x v="0"/>
  </r>
  <r>
    <x v="0"/>
    <x v="1"/>
    <x v="0"/>
    <x v="0"/>
    <x v="0"/>
    <x v="0"/>
    <x v="1"/>
    <x v="0"/>
    <x v="1"/>
    <x v="0"/>
    <x v="1"/>
    <x v="0"/>
  </r>
  <r>
    <x v="0"/>
    <x v="2"/>
    <x v="0"/>
    <x v="0"/>
    <x v="0"/>
    <x v="0"/>
    <x v="1"/>
    <x v="0"/>
    <x v="1"/>
    <x v="0"/>
    <x v="1"/>
    <x v="0"/>
  </r>
  <r>
    <x v="0"/>
    <x v="3"/>
    <x v="0"/>
    <x v="0"/>
    <x v="0"/>
    <x v="0"/>
    <x v="1"/>
    <x v="0"/>
    <x v="1"/>
    <x v="0"/>
    <x v="1"/>
    <x v="0"/>
  </r>
  <r>
    <x v="0"/>
    <x v="4"/>
    <x v="0"/>
    <x v="0"/>
    <x v="0"/>
    <x v="0"/>
    <x v="1"/>
    <x v="0"/>
    <x v="1"/>
    <x v="0"/>
    <x v="1"/>
    <x v="0"/>
  </r>
  <r>
    <x v="0"/>
    <x v="5"/>
    <x v="0"/>
    <x v="0"/>
    <x v="0"/>
    <x v="0"/>
    <x v="1"/>
    <x v="0"/>
    <x v="1"/>
    <x v="0"/>
    <x v="1"/>
    <x v="0"/>
  </r>
  <r>
    <x v="0"/>
    <x v="6"/>
    <x v="0"/>
    <x v="0"/>
    <x v="0"/>
    <x v="0"/>
    <x v="1"/>
    <x v="0"/>
    <x v="1"/>
    <x v="0"/>
    <x v="1"/>
    <x v="0"/>
  </r>
  <r>
    <x v="0"/>
    <x v="7"/>
    <x v="0"/>
    <x v="0"/>
    <x v="0"/>
    <x v="0"/>
    <x v="1"/>
    <x v="0"/>
    <x v="1"/>
    <x v="0"/>
    <x v="1"/>
    <x v="0"/>
  </r>
  <r>
    <x v="0"/>
    <x v="11"/>
    <x v="0"/>
    <x v="0"/>
    <x v="0"/>
    <x v="0"/>
    <x v="1"/>
    <x v="0"/>
    <x v="1"/>
    <x v="0"/>
    <x v="1"/>
    <x v="0"/>
  </r>
  <r>
    <x v="0"/>
    <x v="12"/>
    <x v="0"/>
    <x v="0"/>
    <x v="0"/>
    <x v="0"/>
    <x v="1"/>
    <x v="0"/>
    <x v="1"/>
    <x v="0"/>
    <x v="1"/>
    <x v="0"/>
  </r>
  <r>
    <x v="0"/>
    <x v="8"/>
    <x v="0"/>
    <x v="0"/>
    <x v="0"/>
    <x v="0"/>
    <x v="1"/>
    <x v="0"/>
    <x v="1"/>
    <x v="0"/>
    <x v="1"/>
    <x v="0"/>
  </r>
  <r>
    <x v="0"/>
    <x v="9"/>
    <x v="0"/>
    <x v="0"/>
    <x v="0"/>
    <x v="0"/>
    <x v="1"/>
    <x v="0"/>
    <x v="1"/>
    <x v="0"/>
    <x v="1"/>
    <x v="0"/>
  </r>
  <r>
    <x v="0"/>
    <x v="10"/>
    <x v="0"/>
    <x v="0"/>
    <x v="0"/>
    <x v="0"/>
    <x v="1"/>
    <x v="0"/>
    <x v="1"/>
    <x v="0"/>
    <x v="1"/>
    <x v="0"/>
  </r>
  <r>
    <x v="0"/>
    <x v="12"/>
    <x v="0"/>
    <x v="0"/>
    <x v="0"/>
    <x v="0"/>
    <x v="1"/>
    <x v="0"/>
    <x v="1"/>
    <x v="0"/>
    <x v="1"/>
    <x v="0"/>
  </r>
  <r>
    <x v="0"/>
    <x v="0"/>
    <x v="0"/>
    <x v="0"/>
    <x v="0"/>
    <x v="0"/>
    <x v="1"/>
    <x v="0"/>
    <x v="2"/>
    <x v="1"/>
    <x v="1"/>
    <x v="0"/>
  </r>
  <r>
    <x v="0"/>
    <x v="1"/>
    <x v="0"/>
    <x v="0"/>
    <x v="0"/>
    <x v="0"/>
    <x v="1"/>
    <x v="0"/>
    <x v="2"/>
    <x v="1"/>
    <x v="1"/>
    <x v="0"/>
  </r>
  <r>
    <x v="0"/>
    <x v="2"/>
    <x v="0"/>
    <x v="0"/>
    <x v="0"/>
    <x v="0"/>
    <x v="1"/>
    <x v="0"/>
    <x v="2"/>
    <x v="1"/>
    <x v="1"/>
    <x v="0"/>
  </r>
  <r>
    <x v="0"/>
    <x v="3"/>
    <x v="0"/>
    <x v="0"/>
    <x v="0"/>
    <x v="0"/>
    <x v="1"/>
    <x v="0"/>
    <x v="2"/>
    <x v="1"/>
    <x v="1"/>
    <x v="0"/>
  </r>
  <r>
    <x v="0"/>
    <x v="4"/>
    <x v="0"/>
    <x v="0"/>
    <x v="0"/>
    <x v="0"/>
    <x v="1"/>
    <x v="0"/>
    <x v="2"/>
    <x v="1"/>
    <x v="1"/>
    <x v="0"/>
  </r>
  <r>
    <x v="0"/>
    <x v="5"/>
    <x v="0"/>
    <x v="0"/>
    <x v="0"/>
    <x v="0"/>
    <x v="1"/>
    <x v="0"/>
    <x v="2"/>
    <x v="1"/>
    <x v="1"/>
    <x v="0"/>
  </r>
  <r>
    <x v="0"/>
    <x v="6"/>
    <x v="0"/>
    <x v="0"/>
    <x v="0"/>
    <x v="0"/>
    <x v="1"/>
    <x v="0"/>
    <x v="2"/>
    <x v="4"/>
    <x v="7"/>
    <x v="0"/>
  </r>
  <r>
    <x v="0"/>
    <x v="7"/>
    <x v="0"/>
    <x v="0"/>
    <x v="0"/>
    <x v="0"/>
    <x v="1"/>
    <x v="0"/>
    <x v="2"/>
    <x v="1"/>
    <x v="1"/>
    <x v="0"/>
  </r>
  <r>
    <x v="0"/>
    <x v="11"/>
    <x v="0"/>
    <x v="0"/>
    <x v="0"/>
    <x v="0"/>
    <x v="1"/>
    <x v="0"/>
    <x v="2"/>
    <x v="1"/>
    <x v="1"/>
    <x v="0"/>
  </r>
  <r>
    <x v="0"/>
    <x v="12"/>
    <x v="0"/>
    <x v="0"/>
    <x v="0"/>
    <x v="0"/>
    <x v="1"/>
    <x v="0"/>
    <x v="2"/>
    <x v="1"/>
    <x v="1"/>
    <x v="0"/>
  </r>
  <r>
    <x v="0"/>
    <x v="9"/>
    <x v="0"/>
    <x v="0"/>
    <x v="0"/>
    <x v="0"/>
    <x v="1"/>
    <x v="0"/>
    <x v="2"/>
    <x v="1"/>
    <x v="1"/>
    <x v="0"/>
  </r>
  <r>
    <x v="0"/>
    <x v="10"/>
    <x v="0"/>
    <x v="0"/>
    <x v="0"/>
    <x v="0"/>
    <x v="1"/>
    <x v="0"/>
    <x v="2"/>
    <x v="1"/>
    <x v="1"/>
    <x v="0"/>
  </r>
  <r>
    <x v="0"/>
    <x v="12"/>
    <x v="0"/>
    <x v="0"/>
    <x v="0"/>
    <x v="0"/>
    <x v="1"/>
    <x v="0"/>
    <x v="1"/>
    <x v="1"/>
    <x v="1"/>
    <x v="0"/>
  </r>
  <r>
    <x v="0"/>
    <x v="0"/>
    <x v="0"/>
    <x v="0"/>
    <x v="0"/>
    <x v="0"/>
    <x v="1"/>
    <x v="0"/>
    <x v="1"/>
    <x v="1"/>
    <x v="1"/>
    <x v="0"/>
  </r>
  <r>
    <x v="0"/>
    <x v="1"/>
    <x v="0"/>
    <x v="0"/>
    <x v="0"/>
    <x v="0"/>
    <x v="1"/>
    <x v="0"/>
    <x v="1"/>
    <x v="1"/>
    <x v="1"/>
    <x v="0"/>
  </r>
  <r>
    <x v="0"/>
    <x v="2"/>
    <x v="0"/>
    <x v="0"/>
    <x v="0"/>
    <x v="0"/>
    <x v="1"/>
    <x v="0"/>
    <x v="1"/>
    <x v="1"/>
    <x v="1"/>
    <x v="0"/>
  </r>
  <r>
    <x v="0"/>
    <x v="3"/>
    <x v="0"/>
    <x v="0"/>
    <x v="0"/>
    <x v="0"/>
    <x v="1"/>
    <x v="0"/>
    <x v="1"/>
    <x v="1"/>
    <x v="1"/>
    <x v="0"/>
  </r>
  <r>
    <x v="0"/>
    <x v="4"/>
    <x v="0"/>
    <x v="0"/>
    <x v="0"/>
    <x v="0"/>
    <x v="1"/>
    <x v="0"/>
    <x v="1"/>
    <x v="1"/>
    <x v="1"/>
    <x v="0"/>
  </r>
  <r>
    <x v="0"/>
    <x v="5"/>
    <x v="0"/>
    <x v="0"/>
    <x v="0"/>
    <x v="0"/>
    <x v="1"/>
    <x v="0"/>
    <x v="1"/>
    <x v="1"/>
    <x v="1"/>
    <x v="0"/>
  </r>
  <r>
    <x v="0"/>
    <x v="6"/>
    <x v="0"/>
    <x v="0"/>
    <x v="0"/>
    <x v="0"/>
    <x v="1"/>
    <x v="0"/>
    <x v="1"/>
    <x v="1"/>
    <x v="1"/>
    <x v="0"/>
  </r>
  <r>
    <x v="0"/>
    <x v="7"/>
    <x v="0"/>
    <x v="0"/>
    <x v="0"/>
    <x v="0"/>
    <x v="1"/>
    <x v="0"/>
    <x v="1"/>
    <x v="1"/>
    <x v="1"/>
    <x v="0"/>
  </r>
  <r>
    <x v="0"/>
    <x v="11"/>
    <x v="0"/>
    <x v="0"/>
    <x v="0"/>
    <x v="0"/>
    <x v="1"/>
    <x v="0"/>
    <x v="1"/>
    <x v="1"/>
    <x v="1"/>
    <x v="0"/>
  </r>
  <r>
    <x v="0"/>
    <x v="12"/>
    <x v="0"/>
    <x v="0"/>
    <x v="0"/>
    <x v="0"/>
    <x v="1"/>
    <x v="0"/>
    <x v="1"/>
    <x v="1"/>
    <x v="1"/>
    <x v="0"/>
  </r>
  <r>
    <x v="0"/>
    <x v="8"/>
    <x v="0"/>
    <x v="0"/>
    <x v="0"/>
    <x v="0"/>
    <x v="1"/>
    <x v="0"/>
    <x v="1"/>
    <x v="1"/>
    <x v="1"/>
    <x v="0"/>
  </r>
  <r>
    <x v="0"/>
    <x v="9"/>
    <x v="0"/>
    <x v="0"/>
    <x v="0"/>
    <x v="0"/>
    <x v="1"/>
    <x v="0"/>
    <x v="1"/>
    <x v="1"/>
    <x v="1"/>
    <x v="0"/>
  </r>
  <r>
    <x v="0"/>
    <x v="10"/>
    <x v="0"/>
    <x v="0"/>
    <x v="0"/>
    <x v="0"/>
    <x v="1"/>
    <x v="0"/>
    <x v="1"/>
    <x v="1"/>
    <x v="1"/>
    <x v="0"/>
  </r>
  <r>
    <x v="0"/>
    <x v="0"/>
    <x v="0"/>
    <x v="0"/>
    <x v="0"/>
    <x v="0"/>
    <x v="1"/>
    <x v="0"/>
    <x v="2"/>
    <x v="2"/>
    <x v="1"/>
    <x v="0"/>
  </r>
  <r>
    <x v="0"/>
    <x v="1"/>
    <x v="0"/>
    <x v="0"/>
    <x v="0"/>
    <x v="0"/>
    <x v="1"/>
    <x v="0"/>
    <x v="2"/>
    <x v="2"/>
    <x v="1"/>
    <x v="0"/>
  </r>
  <r>
    <x v="0"/>
    <x v="2"/>
    <x v="0"/>
    <x v="0"/>
    <x v="0"/>
    <x v="0"/>
    <x v="1"/>
    <x v="0"/>
    <x v="2"/>
    <x v="2"/>
    <x v="1"/>
    <x v="0"/>
  </r>
  <r>
    <x v="0"/>
    <x v="3"/>
    <x v="0"/>
    <x v="0"/>
    <x v="0"/>
    <x v="0"/>
    <x v="1"/>
    <x v="0"/>
    <x v="2"/>
    <x v="2"/>
    <x v="1"/>
    <x v="0"/>
  </r>
  <r>
    <x v="0"/>
    <x v="4"/>
    <x v="0"/>
    <x v="0"/>
    <x v="0"/>
    <x v="0"/>
    <x v="1"/>
    <x v="0"/>
    <x v="2"/>
    <x v="2"/>
    <x v="1"/>
    <x v="0"/>
  </r>
  <r>
    <x v="0"/>
    <x v="5"/>
    <x v="0"/>
    <x v="0"/>
    <x v="0"/>
    <x v="0"/>
    <x v="1"/>
    <x v="0"/>
    <x v="2"/>
    <x v="2"/>
    <x v="1"/>
    <x v="0"/>
  </r>
  <r>
    <x v="0"/>
    <x v="6"/>
    <x v="0"/>
    <x v="0"/>
    <x v="0"/>
    <x v="0"/>
    <x v="1"/>
    <x v="0"/>
    <x v="2"/>
    <x v="2"/>
    <x v="14"/>
    <x v="0"/>
  </r>
  <r>
    <x v="0"/>
    <x v="7"/>
    <x v="0"/>
    <x v="0"/>
    <x v="0"/>
    <x v="0"/>
    <x v="1"/>
    <x v="0"/>
    <x v="2"/>
    <x v="2"/>
    <x v="14"/>
    <x v="0"/>
  </r>
  <r>
    <x v="0"/>
    <x v="11"/>
    <x v="0"/>
    <x v="0"/>
    <x v="0"/>
    <x v="0"/>
    <x v="1"/>
    <x v="0"/>
    <x v="2"/>
    <x v="2"/>
    <x v="15"/>
    <x v="0"/>
  </r>
  <r>
    <x v="0"/>
    <x v="12"/>
    <x v="0"/>
    <x v="0"/>
    <x v="0"/>
    <x v="0"/>
    <x v="1"/>
    <x v="0"/>
    <x v="2"/>
    <x v="2"/>
    <x v="1"/>
    <x v="0"/>
  </r>
  <r>
    <x v="0"/>
    <x v="8"/>
    <x v="0"/>
    <x v="0"/>
    <x v="0"/>
    <x v="0"/>
    <x v="1"/>
    <x v="0"/>
    <x v="2"/>
    <x v="2"/>
    <x v="1"/>
    <x v="0"/>
  </r>
  <r>
    <x v="0"/>
    <x v="9"/>
    <x v="0"/>
    <x v="0"/>
    <x v="0"/>
    <x v="0"/>
    <x v="1"/>
    <x v="0"/>
    <x v="2"/>
    <x v="2"/>
    <x v="1"/>
    <x v="0"/>
  </r>
  <r>
    <x v="0"/>
    <x v="10"/>
    <x v="0"/>
    <x v="0"/>
    <x v="0"/>
    <x v="0"/>
    <x v="1"/>
    <x v="0"/>
    <x v="2"/>
    <x v="2"/>
    <x v="1"/>
    <x v="0"/>
  </r>
  <r>
    <x v="0"/>
    <x v="0"/>
    <x v="0"/>
    <x v="0"/>
    <x v="0"/>
    <x v="0"/>
    <x v="1"/>
    <x v="0"/>
    <x v="1"/>
    <x v="2"/>
    <x v="1"/>
    <x v="0"/>
  </r>
  <r>
    <x v="0"/>
    <x v="1"/>
    <x v="0"/>
    <x v="0"/>
    <x v="0"/>
    <x v="0"/>
    <x v="1"/>
    <x v="0"/>
    <x v="1"/>
    <x v="2"/>
    <x v="1"/>
    <x v="0"/>
  </r>
  <r>
    <x v="0"/>
    <x v="2"/>
    <x v="0"/>
    <x v="0"/>
    <x v="0"/>
    <x v="0"/>
    <x v="1"/>
    <x v="0"/>
    <x v="1"/>
    <x v="2"/>
    <x v="1"/>
    <x v="0"/>
  </r>
  <r>
    <x v="0"/>
    <x v="3"/>
    <x v="0"/>
    <x v="0"/>
    <x v="0"/>
    <x v="0"/>
    <x v="1"/>
    <x v="0"/>
    <x v="1"/>
    <x v="2"/>
    <x v="1"/>
    <x v="0"/>
  </r>
  <r>
    <x v="0"/>
    <x v="4"/>
    <x v="0"/>
    <x v="0"/>
    <x v="0"/>
    <x v="0"/>
    <x v="1"/>
    <x v="0"/>
    <x v="1"/>
    <x v="2"/>
    <x v="1"/>
    <x v="0"/>
  </r>
  <r>
    <x v="0"/>
    <x v="5"/>
    <x v="0"/>
    <x v="0"/>
    <x v="0"/>
    <x v="0"/>
    <x v="1"/>
    <x v="0"/>
    <x v="1"/>
    <x v="2"/>
    <x v="1"/>
    <x v="0"/>
  </r>
  <r>
    <x v="0"/>
    <x v="6"/>
    <x v="0"/>
    <x v="0"/>
    <x v="0"/>
    <x v="0"/>
    <x v="1"/>
    <x v="0"/>
    <x v="1"/>
    <x v="2"/>
    <x v="1"/>
    <x v="0"/>
  </r>
  <r>
    <x v="0"/>
    <x v="7"/>
    <x v="0"/>
    <x v="0"/>
    <x v="0"/>
    <x v="0"/>
    <x v="1"/>
    <x v="0"/>
    <x v="1"/>
    <x v="2"/>
    <x v="1"/>
    <x v="0"/>
  </r>
  <r>
    <x v="0"/>
    <x v="11"/>
    <x v="0"/>
    <x v="0"/>
    <x v="0"/>
    <x v="0"/>
    <x v="1"/>
    <x v="0"/>
    <x v="1"/>
    <x v="2"/>
    <x v="1"/>
    <x v="0"/>
  </r>
  <r>
    <x v="0"/>
    <x v="12"/>
    <x v="0"/>
    <x v="0"/>
    <x v="0"/>
    <x v="0"/>
    <x v="1"/>
    <x v="0"/>
    <x v="1"/>
    <x v="2"/>
    <x v="1"/>
    <x v="0"/>
  </r>
  <r>
    <x v="0"/>
    <x v="8"/>
    <x v="0"/>
    <x v="0"/>
    <x v="0"/>
    <x v="0"/>
    <x v="1"/>
    <x v="0"/>
    <x v="1"/>
    <x v="2"/>
    <x v="1"/>
    <x v="0"/>
  </r>
  <r>
    <x v="0"/>
    <x v="9"/>
    <x v="0"/>
    <x v="0"/>
    <x v="0"/>
    <x v="0"/>
    <x v="1"/>
    <x v="0"/>
    <x v="1"/>
    <x v="2"/>
    <x v="1"/>
    <x v="0"/>
  </r>
  <r>
    <x v="0"/>
    <x v="10"/>
    <x v="0"/>
    <x v="0"/>
    <x v="0"/>
    <x v="0"/>
    <x v="1"/>
    <x v="0"/>
    <x v="1"/>
    <x v="2"/>
    <x v="1"/>
    <x v="0"/>
  </r>
  <r>
    <x v="0"/>
    <x v="0"/>
    <x v="0"/>
    <x v="0"/>
    <x v="0"/>
    <x v="0"/>
    <x v="1"/>
    <x v="1"/>
    <x v="3"/>
    <x v="3"/>
    <x v="2"/>
    <x v="0"/>
  </r>
  <r>
    <x v="0"/>
    <x v="1"/>
    <x v="0"/>
    <x v="0"/>
    <x v="0"/>
    <x v="0"/>
    <x v="1"/>
    <x v="1"/>
    <x v="3"/>
    <x v="3"/>
    <x v="2"/>
    <x v="0"/>
  </r>
  <r>
    <x v="0"/>
    <x v="2"/>
    <x v="0"/>
    <x v="0"/>
    <x v="0"/>
    <x v="0"/>
    <x v="1"/>
    <x v="1"/>
    <x v="3"/>
    <x v="3"/>
    <x v="2"/>
    <x v="0"/>
  </r>
  <r>
    <x v="0"/>
    <x v="3"/>
    <x v="0"/>
    <x v="0"/>
    <x v="0"/>
    <x v="0"/>
    <x v="1"/>
    <x v="1"/>
    <x v="3"/>
    <x v="3"/>
    <x v="2"/>
    <x v="0"/>
  </r>
  <r>
    <x v="0"/>
    <x v="4"/>
    <x v="0"/>
    <x v="0"/>
    <x v="0"/>
    <x v="0"/>
    <x v="1"/>
    <x v="1"/>
    <x v="3"/>
    <x v="3"/>
    <x v="2"/>
    <x v="0"/>
  </r>
  <r>
    <x v="0"/>
    <x v="5"/>
    <x v="0"/>
    <x v="0"/>
    <x v="0"/>
    <x v="0"/>
    <x v="1"/>
    <x v="1"/>
    <x v="3"/>
    <x v="3"/>
    <x v="2"/>
    <x v="0"/>
  </r>
  <r>
    <x v="0"/>
    <x v="6"/>
    <x v="0"/>
    <x v="0"/>
    <x v="0"/>
    <x v="0"/>
    <x v="1"/>
    <x v="1"/>
    <x v="3"/>
    <x v="3"/>
    <x v="2"/>
    <x v="0"/>
  </r>
  <r>
    <x v="0"/>
    <x v="7"/>
    <x v="0"/>
    <x v="0"/>
    <x v="0"/>
    <x v="0"/>
    <x v="1"/>
    <x v="1"/>
    <x v="3"/>
    <x v="3"/>
    <x v="2"/>
    <x v="0"/>
  </r>
  <r>
    <x v="0"/>
    <x v="11"/>
    <x v="0"/>
    <x v="0"/>
    <x v="0"/>
    <x v="0"/>
    <x v="1"/>
    <x v="1"/>
    <x v="3"/>
    <x v="3"/>
    <x v="2"/>
    <x v="0"/>
  </r>
  <r>
    <x v="0"/>
    <x v="12"/>
    <x v="0"/>
    <x v="0"/>
    <x v="0"/>
    <x v="0"/>
    <x v="1"/>
    <x v="1"/>
    <x v="3"/>
    <x v="3"/>
    <x v="2"/>
    <x v="0"/>
  </r>
  <r>
    <x v="0"/>
    <x v="8"/>
    <x v="0"/>
    <x v="0"/>
    <x v="0"/>
    <x v="0"/>
    <x v="1"/>
    <x v="1"/>
    <x v="3"/>
    <x v="3"/>
    <x v="2"/>
    <x v="0"/>
  </r>
  <r>
    <x v="0"/>
    <x v="9"/>
    <x v="0"/>
    <x v="0"/>
    <x v="0"/>
    <x v="0"/>
    <x v="1"/>
    <x v="1"/>
    <x v="3"/>
    <x v="3"/>
    <x v="2"/>
    <x v="0"/>
  </r>
  <r>
    <x v="0"/>
    <x v="10"/>
    <x v="0"/>
    <x v="0"/>
    <x v="0"/>
    <x v="0"/>
    <x v="1"/>
    <x v="1"/>
    <x v="3"/>
    <x v="3"/>
    <x v="2"/>
    <x v="0"/>
  </r>
  <r>
    <x v="0"/>
    <x v="0"/>
    <x v="0"/>
    <x v="0"/>
    <x v="0"/>
    <x v="0"/>
    <x v="1"/>
    <x v="2"/>
    <x v="3"/>
    <x v="3"/>
    <x v="4"/>
    <x v="0"/>
  </r>
  <r>
    <x v="0"/>
    <x v="1"/>
    <x v="0"/>
    <x v="0"/>
    <x v="0"/>
    <x v="0"/>
    <x v="1"/>
    <x v="2"/>
    <x v="3"/>
    <x v="3"/>
    <x v="4"/>
    <x v="0"/>
  </r>
  <r>
    <x v="0"/>
    <x v="2"/>
    <x v="0"/>
    <x v="0"/>
    <x v="0"/>
    <x v="0"/>
    <x v="1"/>
    <x v="2"/>
    <x v="3"/>
    <x v="3"/>
    <x v="4"/>
    <x v="0"/>
  </r>
  <r>
    <x v="0"/>
    <x v="3"/>
    <x v="0"/>
    <x v="0"/>
    <x v="0"/>
    <x v="0"/>
    <x v="1"/>
    <x v="2"/>
    <x v="3"/>
    <x v="3"/>
    <x v="4"/>
    <x v="0"/>
  </r>
  <r>
    <x v="0"/>
    <x v="4"/>
    <x v="0"/>
    <x v="0"/>
    <x v="0"/>
    <x v="0"/>
    <x v="1"/>
    <x v="2"/>
    <x v="3"/>
    <x v="3"/>
    <x v="4"/>
    <x v="0"/>
  </r>
  <r>
    <x v="0"/>
    <x v="5"/>
    <x v="0"/>
    <x v="0"/>
    <x v="0"/>
    <x v="0"/>
    <x v="1"/>
    <x v="2"/>
    <x v="3"/>
    <x v="3"/>
    <x v="4"/>
    <x v="0"/>
  </r>
  <r>
    <x v="0"/>
    <x v="6"/>
    <x v="0"/>
    <x v="0"/>
    <x v="0"/>
    <x v="0"/>
    <x v="1"/>
    <x v="2"/>
    <x v="3"/>
    <x v="3"/>
    <x v="4"/>
    <x v="0"/>
  </r>
  <r>
    <x v="0"/>
    <x v="7"/>
    <x v="0"/>
    <x v="0"/>
    <x v="0"/>
    <x v="0"/>
    <x v="1"/>
    <x v="2"/>
    <x v="3"/>
    <x v="3"/>
    <x v="4"/>
    <x v="0"/>
  </r>
  <r>
    <x v="0"/>
    <x v="11"/>
    <x v="0"/>
    <x v="0"/>
    <x v="0"/>
    <x v="0"/>
    <x v="1"/>
    <x v="2"/>
    <x v="3"/>
    <x v="3"/>
    <x v="4"/>
    <x v="0"/>
  </r>
  <r>
    <x v="0"/>
    <x v="12"/>
    <x v="0"/>
    <x v="0"/>
    <x v="0"/>
    <x v="0"/>
    <x v="1"/>
    <x v="2"/>
    <x v="3"/>
    <x v="3"/>
    <x v="4"/>
    <x v="0"/>
  </r>
  <r>
    <x v="0"/>
    <x v="8"/>
    <x v="0"/>
    <x v="0"/>
    <x v="0"/>
    <x v="0"/>
    <x v="1"/>
    <x v="2"/>
    <x v="3"/>
    <x v="3"/>
    <x v="4"/>
    <x v="0"/>
  </r>
  <r>
    <x v="0"/>
    <x v="9"/>
    <x v="0"/>
    <x v="0"/>
    <x v="0"/>
    <x v="0"/>
    <x v="1"/>
    <x v="2"/>
    <x v="3"/>
    <x v="3"/>
    <x v="4"/>
    <x v="0"/>
  </r>
  <r>
    <x v="0"/>
    <x v="10"/>
    <x v="0"/>
    <x v="0"/>
    <x v="0"/>
    <x v="0"/>
    <x v="1"/>
    <x v="2"/>
    <x v="3"/>
    <x v="3"/>
    <x v="4"/>
    <x v="0"/>
  </r>
  <r>
    <x v="0"/>
    <x v="0"/>
    <x v="0"/>
    <x v="0"/>
    <x v="1"/>
    <x v="1"/>
    <x v="1"/>
    <x v="3"/>
    <x v="0"/>
    <x v="0"/>
    <x v="0"/>
    <x v="0"/>
  </r>
  <r>
    <x v="0"/>
    <x v="1"/>
    <x v="0"/>
    <x v="0"/>
    <x v="1"/>
    <x v="1"/>
    <x v="1"/>
    <x v="3"/>
    <x v="0"/>
    <x v="0"/>
    <x v="0"/>
    <x v="0"/>
  </r>
  <r>
    <x v="0"/>
    <x v="2"/>
    <x v="0"/>
    <x v="0"/>
    <x v="1"/>
    <x v="1"/>
    <x v="1"/>
    <x v="3"/>
    <x v="0"/>
    <x v="0"/>
    <x v="0"/>
    <x v="0"/>
  </r>
  <r>
    <x v="0"/>
    <x v="3"/>
    <x v="0"/>
    <x v="0"/>
    <x v="1"/>
    <x v="1"/>
    <x v="1"/>
    <x v="3"/>
    <x v="0"/>
    <x v="0"/>
    <x v="0"/>
    <x v="0"/>
  </r>
  <r>
    <x v="0"/>
    <x v="4"/>
    <x v="0"/>
    <x v="0"/>
    <x v="1"/>
    <x v="1"/>
    <x v="1"/>
    <x v="3"/>
    <x v="0"/>
    <x v="0"/>
    <x v="0"/>
    <x v="0"/>
  </r>
  <r>
    <x v="0"/>
    <x v="5"/>
    <x v="0"/>
    <x v="0"/>
    <x v="1"/>
    <x v="1"/>
    <x v="1"/>
    <x v="3"/>
    <x v="0"/>
    <x v="0"/>
    <x v="0"/>
    <x v="0"/>
  </r>
  <r>
    <x v="0"/>
    <x v="6"/>
    <x v="0"/>
    <x v="0"/>
    <x v="1"/>
    <x v="1"/>
    <x v="1"/>
    <x v="3"/>
    <x v="0"/>
    <x v="0"/>
    <x v="12"/>
    <x v="0"/>
  </r>
  <r>
    <x v="0"/>
    <x v="7"/>
    <x v="0"/>
    <x v="0"/>
    <x v="1"/>
    <x v="1"/>
    <x v="1"/>
    <x v="3"/>
    <x v="0"/>
    <x v="0"/>
    <x v="13"/>
    <x v="0"/>
  </r>
  <r>
    <x v="0"/>
    <x v="11"/>
    <x v="0"/>
    <x v="0"/>
    <x v="1"/>
    <x v="1"/>
    <x v="1"/>
    <x v="3"/>
    <x v="0"/>
    <x v="0"/>
    <x v="0"/>
    <x v="0"/>
  </r>
  <r>
    <x v="0"/>
    <x v="12"/>
    <x v="0"/>
    <x v="0"/>
    <x v="1"/>
    <x v="1"/>
    <x v="1"/>
    <x v="3"/>
    <x v="0"/>
    <x v="0"/>
    <x v="0"/>
    <x v="0"/>
  </r>
  <r>
    <x v="0"/>
    <x v="8"/>
    <x v="0"/>
    <x v="0"/>
    <x v="1"/>
    <x v="1"/>
    <x v="1"/>
    <x v="3"/>
    <x v="0"/>
    <x v="0"/>
    <x v="0"/>
    <x v="0"/>
  </r>
  <r>
    <x v="0"/>
    <x v="9"/>
    <x v="0"/>
    <x v="0"/>
    <x v="1"/>
    <x v="1"/>
    <x v="1"/>
    <x v="3"/>
    <x v="0"/>
    <x v="0"/>
    <x v="0"/>
    <x v="0"/>
  </r>
  <r>
    <x v="0"/>
    <x v="10"/>
    <x v="0"/>
    <x v="0"/>
    <x v="1"/>
    <x v="1"/>
    <x v="1"/>
    <x v="3"/>
    <x v="0"/>
    <x v="0"/>
    <x v="0"/>
    <x v="0"/>
  </r>
  <r>
    <x v="0"/>
    <x v="0"/>
    <x v="0"/>
    <x v="0"/>
    <x v="1"/>
    <x v="1"/>
    <x v="1"/>
    <x v="3"/>
    <x v="2"/>
    <x v="0"/>
    <x v="1"/>
    <x v="0"/>
  </r>
  <r>
    <x v="0"/>
    <x v="1"/>
    <x v="0"/>
    <x v="0"/>
    <x v="1"/>
    <x v="1"/>
    <x v="1"/>
    <x v="3"/>
    <x v="2"/>
    <x v="0"/>
    <x v="1"/>
    <x v="0"/>
  </r>
  <r>
    <x v="0"/>
    <x v="2"/>
    <x v="0"/>
    <x v="0"/>
    <x v="1"/>
    <x v="1"/>
    <x v="1"/>
    <x v="3"/>
    <x v="2"/>
    <x v="0"/>
    <x v="1"/>
    <x v="0"/>
  </r>
  <r>
    <x v="0"/>
    <x v="3"/>
    <x v="0"/>
    <x v="0"/>
    <x v="1"/>
    <x v="1"/>
    <x v="1"/>
    <x v="3"/>
    <x v="2"/>
    <x v="0"/>
    <x v="1"/>
    <x v="0"/>
  </r>
  <r>
    <x v="0"/>
    <x v="4"/>
    <x v="0"/>
    <x v="0"/>
    <x v="1"/>
    <x v="1"/>
    <x v="1"/>
    <x v="3"/>
    <x v="2"/>
    <x v="0"/>
    <x v="1"/>
    <x v="0"/>
  </r>
  <r>
    <x v="0"/>
    <x v="5"/>
    <x v="0"/>
    <x v="0"/>
    <x v="1"/>
    <x v="1"/>
    <x v="1"/>
    <x v="3"/>
    <x v="2"/>
    <x v="0"/>
    <x v="1"/>
    <x v="0"/>
  </r>
  <r>
    <x v="0"/>
    <x v="6"/>
    <x v="0"/>
    <x v="0"/>
    <x v="1"/>
    <x v="1"/>
    <x v="1"/>
    <x v="3"/>
    <x v="2"/>
    <x v="0"/>
    <x v="1"/>
    <x v="0"/>
  </r>
  <r>
    <x v="0"/>
    <x v="7"/>
    <x v="0"/>
    <x v="0"/>
    <x v="1"/>
    <x v="1"/>
    <x v="1"/>
    <x v="3"/>
    <x v="2"/>
    <x v="0"/>
    <x v="14"/>
    <x v="0"/>
  </r>
  <r>
    <x v="0"/>
    <x v="11"/>
    <x v="0"/>
    <x v="0"/>
    <x v="1"/>
    <x v="1"/>
    <x v="1"/>
    <x v="3"/>
    <x v="2"/>
    <x v="0"/>
    <x v="15"/>
    <x v="0"/>
  </r>
  <r>
    <x v="0"/>
    <x v="12"/>
    <x v="0"/>
    <x v="0"/>
    <x v="1"/>
    <x v="1"/>
    <x v="1"/>
    <x v="3"/>
    <x v="2"/>
    <x v="0"/>
    <x v="1"/>
    <x v="0"/>
  </r>
  <r>
    <x v="0"/>
    <x v="8"/>
    <x v="0"/>
    <x v="0"/>
    <x v="1"/>
    <x v="1"/>
    <x v="1"/>
    <x v="3"/>
    <x v="2"/>
    <x v="0"/>
    <x v="1"/>
    <x v="0"/>
  </r>
  <r>
    <x v="0"/>
    <x v="9"/>
    <x v="0"/>
    <x v="0"/>
    <x v="1"/>
    <x v="1"/>
    <x v="1"/>
    <x v="3"/>
    <x v="2"/>
    <x v="0"/>
    <x v="1"/>
    <x v="0"/>
  </r>
  <r>
    <x v="0"/>
    <x v="10"/>
    <x v="0"/>
    <x v="0"/>
    <x v="1"/>
    <x v="1"/>
    <x v="1"/>
    <x v="3"/>
    <x v="2"/>
    <x v="0"/>
    <x v="1"/>
    <x v="0"/>
  </r>
  <r>
    <x v="0"/>
    <x v="0"/>
    <x v="0"/>
    <x v="0"/>
    <x v="1"/>
    <x v="1"/>
    <x v="1"/>
    <x v="3"/>
    <x v="1"/>
    <x v="0"/>
    <x v="1"/>
    <x v="0"/>
  </r>
  <r>
    <x v="0"/>
    <x v="1"/>
    <x v="0"/>
    <x v="0"/>
    <x v="1"/>
    <x v="1"/>
    <x v="1"/>
    <x v="3"/>
    <x v="1"/>
    <x v="0"/>
    <x v="1"/>
    <x v="0"/>
  </r>
  <r>
    <x v="0"/>
    <x v="2"/>
    <x v="0"/>
    <x v="0"/>
    <x v="1"/>
    <x v="1"/>
    <x v="1"/>
    <x v="3"/>
    <x v="1"/>
    <x v="0"/>
    <x v="1"/>
    <x v="0"/>
  </r>
  <r>
    <x v="0"/>
    <x v="3"/>
    <x v="0"/>
    <x v="0"/>
    <x v="1"/>
    <x v="1"/>
    <x v="1"/>
    <x v="3"/>
    <x v="1"/>
    <x v="0"/>
    <x v="1"/>
    <x v="0"/>
  </r>
  <r>
    <x v="0"/>
    <x v="4"/>
    <x v="0"/>
    <x v="0"/>
    <x v="1"/>
    <x v="1"/>
    <x v="1"/>
    <x v="3"/>
    <x v="1"/>
    <x v="0"/>
    <x v="1"/>
    <x v="0"/>
  </r>
  <r>
    <x v="0"/>
    <x v="5"/>
    <x v="0"/>
    <x v="0"/>
    <x v="1"/>
    <x v="1"/>
    <x v="1"/>
    <x v="3"/>
    <x v="1"/>
    <x v="0"/>
    <x v="1"/>
    <x v="0"/>
  </r>
  <r>
    <x v="0"/>
    <x v="6"/>
    <x v="0"/>
    <x v="0"/>
    <x v="1"/>
    <x v="1"/>
    <x v="1"/>
    <x v="3"/>
    <x v="1"/>
    <x v="0"/>
    <x v="1"/>
    <x v="0"/>
  </r>
  <r>
    <x v="0"/>
    <x v="7"/>
    <x v="0"/>
    <x v="0"/>
    <x v="1"/>
    <x v="1"/>
    <x v="1"/>
    <x v="3"/>
    <x v="1"/>
    <x v="0"/>
    <x v="1"/>
    <x v="0"/>
  </r>
  <r>
    <x v="0"/>
    <x v="11"/>
    <x v="0"/>
    <x v="0"/>
    <x v="1"/>
    <x v="1"/>
    <x v="1"/>
    <x v="3"/>
    <x v="1"/>
    <x v="0"/>
    <x v="1"/>
    <x v="0"/>
  </r>
  <r>
    <x v="0"/>
    <x v="12"/>
    <x v="0"/>
    <x v="0"/>
    <x v="1"/>
    <x v="1"/>
    <x v="1"/>
    <x v="3"/>
    <x v="1"/>
    <x v="0"/>
    <x v="1"/>
    <x v="0"/>
  </r>
  <r>
    <x v="0"/>
    <x v="8"/>
    <x v="0"/>
    <x v="0"/>
    <x v="1"/>
    <x v="1"/>
    <x v="1"/>
    <x v="3"/>
    <x v="1"/>
    <x v="0"/>
    <x v="1"/>
    <x v="0"/>
  </r>
  <r>
    <x v="0"/>
    <x v="9"/>
    <x v="0"/>
    <x v="0"/>
    <x v="1"/>
    <x v="1"/>
    <x v="1"/>
    <x v="3"/>
    <x v="1"/>
    <x v="0"/>
    <x v="1"/>
    <x v="0"/>
  </r>
  <r>
    <x v="0"/>
    <x v="10"/>
    <x v="0"/>
    <x v="0"/>
    <x v="1"/>
    <x v="1"/>
    <x v="1"/>
    <x v="3"/>
    <x v="1"/>
    <x v="0"/>
    <x v="1"/>
    <x v="0"/>
  </r>
  <r>
    <x v="0"/>
    <x v="0"/>
    <x v="0"/>
    <x v="0"/>
    <x v="1"/>
    <x v="1"/>
    <x v="1"/>
    <x v="3"/>
    <x v="0"/>
    <x v="4"/>
    <x v="7"/>
    <x v="0"/>
  </r>
  <r>
    <x v="0"/>
    <x v="1"/>
    <x v="0"/>
    <x v="0"/>
    <x v="1"/>
    <x v="1"/>
    <x v="1"/>
    <x v="3"/>
    <x v="0"/>
    <x v="4"/>
    <x v="7"/>
    <x v="0"/>
  </r>
  <r>
    <x v="0"/>
    <x v="2"/>
    <x v="0"/>
    <x v="0"/>
    <x v="1"/>
    <x v="1"/>
    <x v="1"/>
    <x v="3"/>
    <x v="0"/>
    <x v="4"/>
    <x v="7"/>
    <x v="0"/>
  </r>
  <r>
    <x v="0"/>
    <x v="3"/>
    <x v="0"/>
    <x v="0"/>
    <x v="1"/>
    <x v="1"/>
    <x v="1"/>
    <x v="3"/>
    <x v="0"/>
    <x v="4"/>
    <x v="7"/>
    <x v="0"/>
  </r>
  <r>
    <x v="0"/>
    <x v="4"/>
    <x v="0"/>
    <x v="0"/>
    <x v="1"/>
    <x v="1"/>
    <x v="1"/>
    <x v="3"/>
    <x v="0"/>
    <x v="4"/>
    <x v="7"/>
    <x v="0"/>
  </r>
  <r>
    <x v="0"/>
    <x v="5"/>
    <x v="0"/>
    <x v="0"/>
    <x v="1"/>
    <x v="1"/>
    <x v="1"/>
    <x v="3"/>
    <x v="0"/>
    <x v="4"/>
    <x v="7"/>
    <x v="0"/>
  </r>
  <r>
    <x v="0"/>
    <x v="6"/>
    <x v="0"/>
    <x v="0"/>
    <x v="1"/>
    <x v="1"/>
    <x v="1"/>
    <x v="3"/>
    <x v="0"/>
    <x v="4"/>
    <x v="16"/>
    <x v="0"/>
  </r>
  <r>
    <x v="0"/>
    <x v="7"/>
    <x v="0"/>
    <x v="0"/>
    <x v="1"/>
    <x v="1"/>
    <x v="1"/>
    <x v="3"/>
    <x v="0"/>
    <x v="4"/>
    <x v="17"/>
    <x v="0"/>
  </r>
  <r>
    <x v="0"/>
    <x v="11"/>
    <x v="0"/>
    <x v="0"/>
    <x v="1"/>
    <x v="1"/>
    <x v="1"/>
    <x v="3"/>
    <x v="0"/>
    <x v="4"/>
    <x v="7"/>
    <x v="0"/>
  </r>
  <r>
    <x v="0"/>
    <x v="12"/>
    <x v="0"/>
    <x v="0"/>
    <x v="1"/>
    <x v="1"/>
    <x v="1"/>
    <x v="3"/>
    <x v="0"/>
    <x v="4"/>
    <x v="7"/>
    <x v="0"/>
  </r>
  <r>
    <x v="0"/>
    <x v="8"/>
    <x v="0"/>
    <x v="0"/>
    <x v="1"/>
    <x v="1"/>
    <x v="1"/>
    <x v="3"/>
    <x v="0"/>
    <x v="4"/>
    <x v="7"/>
    <x v="0"/>
  </r>
  <r>
    <x v="0"/>
    <x v="9"/>
    <x v="0"/>
    <x v="0"/>
    <x v="1"/>
    <x v="1"/>
    <x v="1"/>
    <x v="3"/>
    <x v="0"/>
    <x v="4"/>
    <x v="7"/>
    <x v="0"/>
  </r>
  <r>
    <x v="0"/>
    <x v="10"/>
    <x v="0"/>
    <x v="0"/>
    <x v="1"/>
    <x v="1"/>
    <x v="1"/>
    <x v="3"/>
    <x v="0"/>
    <x v="4"/>
    <x v="7"/>
    <x v="0"/>
  </r>
  <r>
    <x v="0"/>
    <x v="0"/>
    <x v="0"/>
    <x v="0"/>
    <x v="1"/>
    <x v="1"/>
    <x v="1"/>
    <x v="3"/>
    <x v="2"/>
    <x v="1"/>
    <x v="1"/>
    <x v="0"/>
  </r>
  <r>
    <x v="0"/>
    <x v="1"/>
    <x v="0"/>
    <x v="0"/>
    <x v="1"/>
    <x v="1"/>
    <x v="1"/>
    <x v="3"/>
    <x v="2"/>
    <x v="1"/>
    <x v="1"/>
    <x v="0"/>
  </r>
  <r>
    <x v="0"/>
    <x v="2"/>
    <x v="0"/>
    <x v="0"/>
    <x v="1"/>
    <x v="1"/>
    <x v="1"/>
    <x v="3"/>
    <x v="2"/>
    <x v="1"/>
    <x v="1"/>
    <x v="0"/>
  </r>
  <r>
    <x v="0"/>
    <x v="3"/>
    <x v="0"/>
    <x v="0"/>
    <x v="1"/>
    <x v="1"/>
    <x v="1"/>
    <x v="3"/>
    <x v="2"/>
    <x v="1"/>
    <x v="1"/>
    <x v="0"/>
  </r>
  <r>
    <x v="0"/>
    <x v="4"/>
    <x v="0"/>
    <x v="0"/>
    <x v="1"/>
    <x v="1"/>
    <x v="1"/>
    <x v="3"/>
    <x v="2"/>
    <x v="1"/>
    <x v="1"/>
    <x v="0"/>
  </r>
  <r>
    <x v="0"/>
    <x v="5"/>
    <x v="0"/>
    <x v="0"/>
    <x v="1"/>
    <x v="1"/>
    <x v="1"/>
    <x v="3"/>
    <x v="2"/>
    <x v="1"/>
    <x v="1"/>
    <x v="0"/>
  </r>
  <r>
    <x v="0"/>
    <x v="6"/>
    <x v="0"/>
    <x v="0"/>
    <x v="1"/>
    <x v="1"/>
    <x v="1"/>
    <x v="3"/>
    <x v="2"/>
    <x v="1"/>
    <x v="1"/>
    <x v="0"/>
  </r>
  <r>
    <x v="0"/>
    <x v="7"/>
    <x v="0"/>
    <x v="0"/>
    <x v="1"/>
    <x v="1"/>
    <x v="1"/>
    <x v="3"/>
    <x v="2"/>
    <x v="4"/>
    <x v="7"/>
    <x v="0"/>
  </r>
  <r>
    <x v="0"/>
    <x v="11"/>
    <x v="0"/>
    <x v="0"/>
    <x v="1"/>
    <x v="1"/>
    <x v="1"/>
    <x v="3"/>
    <x v="2"/>
    <x v="4"/>
    <x v="7"/>
    <x v="0"/>
  </r>
  <r>
    <x v="0"/>
    <x v="12"/>
    <x v="0"/>
    <x v="0"/>
    <x v="1"/>
    <x v="1"/>
    <x v="1"/>
    <x v="3"/>
    <x v="2"/>
    <x v="1"/>
    <x v="7"/>
    <x v="0"/>
  </r>
  <r>
    <x v="0"/>
    <x v="8"/>
    <x v="0"/>
    <x v="0"/>
    <x v="1"/>
    <x v="1"/>
    <x v="1"/>
    <x v="3"/>
    <x v="2"/>
    <x v="1"/>
    <x v="7"/>
    <x v="0"/>
  </r>
  <r>
    <x v="0"/>
    <x v="9"/>
    <x v="0"/>
    <x v="0"/>
    <x v="1"/>
    <x v="1"/>
    <x v="1"/>
    <x v="3"/>
    <x v="2"/>
    <x v="1"/>
    <x v="7"/>
    <x v="0"/>
  </r>
  <r>
    <x v="0"/>
    <x v="10"/>
    <x v="0"/>
    <x v="0"/>
    <x v="1"/>
    <x v="1"/>
    <x v="1"/>
    <x v="3"/>
    <x v="2"/>
    <x v="1"/>
    <x v="7"/>
    <x v="0"/>
  </r>
  <r>
    <x v="0"/>
    <x v="0"/>
    <x v="0"/>
    <x v="0"/>
    <x v="1"/>
    <x v="1"/>
    <x v="1"/>
    <x v="3"/>
    <x v="1"/>
    <x v="1"/>
    <x v="1"/>
    <x v="0"/>
  </r>
  <r>
    <x v="0"/>
    <x v="1"/>
    <x v="0"/>
    <x v="0"/>
    <x v="1"/>
    <x v="1"/>
    <x v="1"/>
    <x v="3"/>
    <x v="1"/>
    <x v="1"/>
    <x v="1"/>
    <x v="0"/>
  </r>
  <r>
    <x v="0"/>
    <x v="2"/>
    <x v="0"/>
    <x v="0"/>
    <x v="1"/>
    <x v="1"/>
    <x v="1"/>
    <x v="3"/>
    <x v="1"/>
    <x v="1"/>
    <x v="1"/>
    <x v="0"/>
  </r>
  <r>
    <x v="0"/>
    <x v="3"/>
    <x v="0"/>
    <x v="0"/>
    <x v="1"/>
    <x v="1"/>
    <x v="1"/>
    <x v="3"/>
    <x v="1"/>
    <x v="1"/>
    <x v="1"/>
    <x v="0"/>
  </r>
  <r>
    <x v="0"/>
    <x v="4"/>
    <x v="0"/>
    <x v="0"/>
    <x v="1"/>
    <x v="1"/>
    <x v="1"/>
    <x v="3"/>
    <x v="1"/>
    <x v="1"/>
    <x v="1"/>
    <x v="0"/>
  </r>
  <r>
    <x v="0"/>
    <x v="5"/>
    <x v="0"/>
    <x v="0"/>
    <x v="1"/>
    <x v="1"/>
    <x v="1"/>
    <x v="3"/>
    <x v="1"/>
    <x v="1"/>
    <x v="1"/>
    <x v="0"/>
  </r>
  <r>
    <x v="0"/>
    <x v="6"/>
    <x v="0"/>
    <x v="0"/>
    <x v="1"/>
    <x v="1"/>
    <x v="1"/>
    <x v="3"/>
    <x v="1"/>
    <x v="1"/>
    <x v="1"/>
    <x v="0"/>
  </r>
  <r>
    <x v="0"/>
    <x v="7"/>
    <x v="0"/>
    <x v="0"/>
    <x v="1"/>
    <x v="1"/>
    <x v="1"/>
    <x v="3"/>
    <x v="1"/>
    <x v="1"/>
    <x v="1"/>
    <x v="0"/>
  </r>
  <r>
    <x v="0"/>
    <x v="11"/>
    <x v="0"/>
    <x v="0"/>
    <x v="1"/>
    <x v="1"/>
    <x v="1"/>
    <x v="3"/>
    <x v="1"/>
    <x v="1"/>
    <x v="1"/>
    <x v="0"/>
  </r>
  <r>
    <x v="0"/>
    <x v="12"/>
    <x v="0"/>
    <x v="0"/>
    <x v="1"/>
    <x v="1"/>
    <x v="1"/>
    <x v="3"/>
    <x v="1"/>
    <x v="1"/>
    <x v="1"/>
    <x v="0"/>
  </r>
  <r>
    <x v="0"/>
    <x v="8"/>
    <x v="0"/>
    <x v="0"/>
    <x v="1"/>
    <x v="1"/>
    <x v="1"/>
    <x v="3"/>
    <x v="1"/>
    <x v="1"/>
    <x v="1"/>
    <x v="0"/>
  </r>
  <r>
    <x v="0"/>
    <x v="9"/>
    <x v="0"/>
    <x v="0"/>
    <x v="1"/>
    <x v="1"/>
    <x v="1"/>
    <x v="3"/>
    <x v="1"/>
    <x v="1"/>
    <x v="1"/>
    <x v="0"/>
  </r>
  <r>
    <x v="0"/>
    <x v="10"/>
    <x v="0"/>
    <x v="0"/>
    <x v="1"/>
    <x v="1"/>
    <x v="1"/>
    <x v="3"/>
    <x v="1"/>
    <x v="1"/>
    <x v="1"/>
    <x v="0"/>
  </r>
  <r>
    <x v="0"/>
    <x v="0"/>
    <x v="0"/>
    <x v="0"/>
    <x v="1"/>
    <x v="1"/>
    <x v="1"/>
    <x v="3"/>
    <x v="0"/>
    <x v="2"/>
    <x v="0"/>
    <x v="0"/>
  </r>
  <r>
    <x v="0"/>
    <x v="1"/>
    <x v="0"/>
    <x v="0"/>
    <x v="1"/>
    <x v="1"/>
    <x v="1"/>
    <x v="3"/>
    <x v="0"/>
    <x v="2"/>
    <x v="0"/>
    <x v="0"/>
  </r>
  <r>
    <x v="0"/>
    <x v="2"/>
    <x v="0"/>
    <x v="0"/>
    <x v="1"/>
    <x v="1"/>
    <x v="1"/>
    <x v="3"/>
    <x v="0"/>
    <x v="2"/>
    <x v="0"/>
    <x v="0"/>
  </r>
  <r>
    <x v="0"/>
    <x v="3"/>
    <x v="0"/>
    <x v="0"/>
    <x v="1"/>
    <x v="1"/>
    <x v="1"/>
    <x v="3"/>
    <x v="0"/>
    <x v="2"/>
    <x v="0"/>
    <x v="0"/>
  </r>
  <r>
    <x v="0"/>
    <x v="4"/>
    <x v="0"/>
    <x v="0"/>
    <x v="1"/>
    <x v="1"/>
    <x v="1"/>
    <x v="3"/>
    <x v="0"/>
    <x v="2"/>
    <x v="0"/>
    <x v="0"/>
  </r>
  <r>
    <x v="0"/>
    <x v="5"/>
    <x v="0"/>
    <x v="0"/>
    <x v="1"/>
    <x v="1"/>
    <x v="1"/>
    <x v="3"/>
    <x v="0"/>
    <x v="2"/>
    <x v="0"/>
    <x v="0"/>
  </r>
  <r>
    <x v="0"/>
    <x v="6"/>
    <x v="0"/>
    <x v="0"/>
    <x v="1"/>
    <x v="1"/>
    <x v="1"/>
    <x v="3"/>
    <x v="0"/>
    <x v="2"/>
    <x v="0"/>
    <x v="0"/>
  </r>
  <r>
    <x v="0"/>
    <x v="7"/>
    <x v="0"/>
    <x v="0"/>
    <x v="1"/>
    <x v="1"/>
    <x v="1"/>
    <x v="3"/>
    <x v="0"/>
    <x v="2"/>
    <x v="0"/>
    <x v="0"/>
  </r>
  <r>
    <x v="0"/>
    <x v="11"/>
    <x v="0"/>
    <x v="0"/>
    <x v="1"/>
    <x v="1"/>
    <x v="1"/>
    <x v="3"/>
    <x v="0"/>
    <x v="2"/>
    <x v="0"/>
    <x v="0"/>
  </r>
  <r>
    <x v="0"/>
    <x v="12"/>
    <x v="0"/>
    <x v="0"/>
    <x v="1"/>
    <x v="1"/>
    <x v="1"/>
    <x v="3"/>
    <x v="0"/>
    <x v="2"/>
    <x v="0"/>
    <x v="0"/>
  </r>
  <r>
    <x v="0"/>
    <x v="8"/>
    <x v="0"/>
    <x v="0"/>
    <x v="1"/>
    <x v="1"/>
    <x v="1"/>
    <x v="3"/>
    <x v="0"/>
    <x v="2"/>
    <x v="0"/>
    <x v="0"/>
  </r>
  <r>
    <x v="0"/>
    <x v="9"/>
    <x v="0"/>
    <x v="0"/>
    <x v="1"/>
    <x v="1"/>
    <x v="1"/>
    <x v="3"/>
    <x v="0"/>
    <x v="2"/>
    <x v="0"/>
    <x v="0"/>
  </r>
  <r>
    <x v="0"/>
    <x v="10"/>
    <x v="0"/>
    <x v="0"/>
    <x v="1"/>
    <x v="1"/>
    <x v="1"/>
    <x v="3"/>
    <x v="0"/>
    <x v="2"/>
    <x v="0"/>
    <x v="0"/>
  </r>
  <r>
    <x v="0"/>
    <x v="0"/>
    <x v="0"/>
    <x v="0"/>
    <x v="1"/>
    <x v="1"/>
    <x v="1"/>
    <x v="3"/>
    <x v="2"/>
    <x v="2"/>
    <x v="1"/>
    <x v="0"/>
  </r>
  <r>
    <x v="0"/>
    <x v="1"/>
    <x v="0"/>
    <x v="0"/>
    <x v="1"/>
    <x v="1"/>
    <x v="1"/>
    <x v="3"/>
    <x v="2"/>
    <x v="2"/>
    <x v="1"/>
    <x v="0"/>
  </r>
  <r>
    <x v="0"/>
    <x v="2"/>
    <x v="0"/>
    <x v="0"/>
    <x v="1"/>
    <x v="1"/>
    <x v="1"/>
    <x v="3"/>
    <x v="2"/>
    <x v="2"/>
    <x v="1"/>
    <x v="0"/>
  </r>
  <r>
    <x v="0"/>
    <x v="3"/>
    <x v="0"/>
    <x v="0"/>
    <x v="1"/>
    <x v="1"/>
    <x v="1"/>
    <x v="3"/>
    <x v="2"/>
    <x v="2"/>
    <x v="1"/>
    <x v="0"/>
  </r>
  <r>
    <x v="0"/>
    <x v="4"/>
    <x v="0"/>
    <x v="0"/>
    <x v="1"/>
    <x v="1"/>
    <x v="1"/>
    <x v="3"/>
    <x v="2"/>
    <x v="2"/>
    <x v="1"/>
    <x v="0"/>
  </r>
  <r>
    <x v="0"/>
    <x v="5"/>
    <x v="0"/>
    <x v="0"/>
    <x v="1"/>
    <x v="1"/>
    <x v="1"/>
    <x v="3"/>
    <x v="2"/>
    <x v="2"/>
    <x v="1"/>
    <x v="0"/>
  </r>
  <r>
    <x v="0"/>
    <x v="6"/>
    <x v="0"/>
    <x v="0"/>
    <x v="1"/>
    <x v="1"/>
    <x v="1"/>
    <x v="3"/>
    <x v="2"/>
    <x v="2"/>
    <x v="14"/>
    <x v="0"/>
  </r>
  <r>
    <x v="0"/>
    <x v="7"/>
    <x v="0"/>
    <x v="0"/>
    <x v="1"/>
    <x v="1"/>
    <x v="1"/>
    <x v="3"/>
    <x v="2"/>
    <x v="2"/>
    <x v="14"/>
    <x v="0"/>
  </r>
  <r>
    <x v="0"/>
    <x v="11"/>
    <x v="0"/>
    <x v="0"/>
    <x v="1"/>
    <x v="1"/>
    <x v="1"/>
    <x v="3"/>
    <x v="2"/>
    <x v="2"/>
    <x v="15"/>
    <x v="0"/>
  </r>
  <r>
    <x v="0"/>
    <x v="12"/>
    <x v="0"/>
    <x v="0"/>
    <x v="1"/>
    <x v="1"/>
    <x v="1"/>
    <x v="3"/>
    <x v="2"/>
    <x v="2"/>
    <x v="1"/>
    <x v="0"/>
  </r>
  <r>
    <x v="0"/>
    <x v="8"/>
    <x v="0"/>
    <x v="0"/>
    <x v="1"/>
    <x v="1"/>
    <x v="1"/>
    <x v="3"/>
    <x v="2"/>
    <x v="2"/>
    <x v="1"/>
    <x v="0"/>
  </r>
  <r>
    <x v="0"/>
    <x v="9"/>
    <x v="0"/>
    <x v="0"/>
    <x v="1"/>
    <x v="1"/>
    <x v="1"/>
    <x v="3"/>
    <x v="2"/>
    <x v="2"/>
    <x v="1"/>
    <x v="0"/>
  </r>
  <r>
    <x v="0"/>
    <x v="10"/>
    <x v="0"/>
    <x v="0"/>
    <x v="1"/>
    <x v="1"/>
    <x v="1"/>
    <x v="3"/>
    <x v="2"/>
    <x v="2"/>
    <x v="1"/>
    <x v="0"/>
  </r>
  <r>
    <x v="0"/>
    <x v="0"/>
    <x v="0"/>
    <x v="0"/>
    <x v="1"/>
    <x v="1"/>
    <x v="1"/>
    <x v="3"/>
    <x v="2"/>
    <x v="2"/>
    <x v="1"/>
    <x v="0"/>
  </r>
  <r>
    <x v="0"/>
    <x v="1"/>
    <x v="0"/>
    <x v="0"/>
    <x v="1"/>
    <x v="1"/>
    <x v="1"/>
    <x v="3"/>
    <x v="2"/>
    <x v="2"/>
    <x v="1"/>
    <x v="0"/>
  </r>
  <r>
    <x v="0"/>
    <x v="2"/>
    <x v="0"/>
    <x v="0"/>
    <x v="1"/>
    <x v="1"/>
    <x v="1"/>
    <x v="3"/>
    <x v="2"/>
    <x v="2"/>
    <x v="1"/>
    <x v="0"/>
  </r>
  <r>
    <x v="0"/>
    <x v="3"/>
    <x v="0"/>
    <x v="0"/>
    <x v="1"/>
    <x v="1"/>
    <x v="1"/>
    <x v="3"/>
    <x v="2"/>
    <x v="2"/>
    <x v="1"/>
    <x v="0"/>
  </r>
  <r>
    <x v="0"/>
    <x v="4"/>
    <x v="0"/>
    <x v="0"/>
    <x v="1"/>
    <x v="1"/>
    <x v="1"/>
    <x v="3"/>
    <x v="2"/>
    <x v="2"/>
    <x v="1"/>
    <x v="0"/>
  </r>
  <r>
    <x v="0"/>
    <x v="5"/>
    <x v="0"/>
    <x v="0"/>
    <x v="1"/>
    <x v="1"/>
    <x v="1"/>
    <x v="3"/>
    <x v="2"/>
    <x v="2"/>
    <x v="1"/>
    <x v="0"/>
  </r>
  <r>
    <x v="0"/>
    <x v="6"/>
    <x v="0"/>
    <x v="0"/>
    <x v="1"/>
    <x v="1"/>
    <x v="1"/>
    <x v="3"/>
    <x v="2"/>
    <x v="2"/>
    <x v="1"/>
    <x v="0"/>
  </r>
  <r>
    <x v="0"/>
    <x v="7"/>
    <x v="0"/>
    <x v="0"/>
    <x v="1"/>
    <x v="1"/>
    <x v="1"/>
    <x v="3"/>
    <x v="2"/>
    <x v="2"/>
    <x v="1"/>
    <x v="0"/>
  </r>
  <r>
    <x v="0"/>
    <x v="11"/>
    <x v="0"/>
    <x v="0"/>
    <x v="1"/>
    <x v="1"/>
    <x v="1"/>
    <x v="3"/>
    <x v="2"/>
    <x v="2"/>
    <x v="1"/>
    <x v="0"/>
  </r>
  <r>
    <x v="0"/>
    <x v="12"/>
    <x v="0"/>
    <x v="0"/>
    <x v="1"/>
    <x v="1"/>
    <x v="1"/>
    <x v="3"/>
    <x v="2"/>
    <x v="2"/>
    <x v="1"/>
    <x v="0"/>
  </r>
  <r>
    <x v="0"/>
    <x v="8"/>
    <x v="0"/>
    <x v="0"/>
    <x v="1"/>
    <x v="1"/>
    <x v="1"/>
    <x v="3"/>
    <x v="2"/>
    <x v="2"/>
    <x v="1"/>
    <x v="0"/>
  </r>
  <r>
    <x v="0"/>
    <x v="9"/>
    <x v="0"/>
    <x v="0"/>
    <x v="1"/>
    <x v="1"/>
    <x v="1"/>
    <x v="3"/>
    <x v="2"/>
    <x v="2"/>
    <x v="1"/>
    <x v="0"/>
  </r>
  <r>
    <x v="0"/>
    <x v="10"/>
    <x v="0"/>
    <x v="0"/>
    <x v="1"/>
    <x v="1"/>
    <x v="1"/>
    <x v="3"/>
    <x v="2"/>
    <x v="2"/>
    <x v="1"/>
    <x v="0"/>
  </r>
  <r>
    <x v="0"/>
    <x v="0"/>
    <x v="0"/>
    <x v="0"/>
    <x v="1"/>
    <x v="1"/>
    <x v="1"/>
    <x v="3"/>
    <x v="1"/>
    <x v="2"/>
    <x v="1"/>
    <x v="0"/>
  </r>
  <r>
    <x v="0"/>
    <x v="1"/>
    <x v="0"/>
    <x v="0"/>
    <x v="1"/>
    <x v="1"/>
    <x v="1"/>
    <x v="3"/>
    <x v="1"/>
    <x v="2"/>
    <x v="1"/>
    <x v="0"/>
  </r>
  <r>
    <x v="0"/>
    <x v="2"/>
    <x v="0"/>
    <x v="0"/>
    <x v="1"/>
    <x v="1"/>
    <x v="1"/>
    <x v="3"/>
    <x v="1"/>
    <x v="2"/>
    <x v="1"/>
    <x v="0"/>
  </r>
  <r>
    <x v="0"/>
    <x v="3"/>
    <x v="0"/>
    <x v="0"/>
    <x v="1"/>
    <x v="1"/>
    <x v="1"/>
    <x v="3"/>
    <x v="1"/>
    <x v="2"/>
    <x v="1"/>
    <x v="0"/>
  </r>
  <r>
    <x v="0"/>
    <x v="4"/>
    <x v="0"/>
    <x v="0"/>
    <x v="1"/>
    <x v="1"/>
    <x v="1"/>
    <x v="3"/>
    <x v="1"/>
    <x v="2"/>
    <x v="1"/>
    <x v="0"/>
  </r>
  <r>
    <x v="0"/>
    <x v="5"/>
    <x v="0"/>
    <x v="0"/>
    <x v="1"/>
    <x v="1"/>
    <x v="1"/>
    <x v="3"/>
    <x v="1"/>
    <x v="2"/>
    <x v="1"/>
    <x v="0"/>
  </r>
  <r>
    <x v="0"/>
    <x v="6"/>
    <x v="0"/>
    <x v="0"/>
    <x v="1"/>
    <x v="1"/>
    <x v="1"/>
    <x v="3"/>
    <x v="1"/>
    <x v="2"/>
    <x v="1"/>
    <x v="0"/>
  </r>
  <r>
    <x v="0"/>
    <x v="7"/>
    <x v="0"/>
    <x v="0"/>
    <x v="1"/>
    <x v="1"/>
    <x v="1"/>
    <x v="3"/>
    <x v="1"/>
    <x v="2"/>
    <x v="1"/>
    <x v="0"/>
  </r>
  <r>
    <x v="0"/>
    <x v="11"/>
    <x v="0"/>
    <x v="0"/>
    <x v="1"/>
    <x v="1"/>
    <x v="1"/>
    <x v="3"/>
    <x v="1"/>
    <x v="2"/>
    <x v="1"/>
    <x v="0"/>
  </r>
  <r>
    <x v="0"/>
    <x v="12"/>
    <x v="0"/>
    <x v="0"/>
    <x v="1"/>
    <x v="1"/>
    <x v="1"/>
    <x v="3"/>
    <x v="1"/>
    <x v="2"/>
    <x v="1"/>
    <x v="0"/>
  </r>
  <r>
    <x v="0"/>
    <x v="8"/>
    <x v="0"/>
    <x v="0"/>
    <x v="1"/>
    <x v="1"/>
    <x v="1"/>
    <x v="3"/>
    <x v="1"/>
    <x v="2"/>
    <x v="1"/>
    <x v="0"/>
  </r>
  <r>
    <x v="0"/>
    <x v="9"/>
    <x v="0"/>
    <x v="0"/>
    <x v="1"/>
    <x v="1"/>
    <x v="1"/>
    <x v="3"/>
    <x v="1"/>
    <x v="2"/>
    <x v="1"/>
    <x v="0"/>
  </r>
  <r>
    <x v="0"/>
    <x v="10"/>
    <x v="0"/>
    <x v="0"/>
    <x v="1"/>
    <x v="1"/>
    <x v="1"/>
    <x v="3"/>
    <x v="1"/>
    <x v="2"/>
    <x v="1"/>
    <x v="0"/>
  </r>
  <r>
    <x v="0"/>
    <x v="0"/>
    <x v="0"/>
    <x v="0"/>
    <x v="0"/>
    <x v="0"/>
    <x v="1"/>
    <x v="4"/>
    <x v="1"/>
    <x v="0"/>
    <x v="1"/>
    <x v="0"/>
  </r>
  <r>
    <x v="0"/>
    <x v="1"/>
    <x v="0"/>
    <x v="0"/>
    <x v="0"/>
    <x v="0"/>
    <x v="1"/>
    <x v="4"/>
    <x v="1"/>
    <x v="0"/>
    <x v="1"/>
    <x v="0"/>
  </r>
  <r>
    <x v="0"/>
    <x v="2"/>
    <x v="0"/>
    <x v="0"/>
    <x v="0"/>
    <x v="0"/>
    <x v="1"/>
    <x v="4"/>
    <x v="1"/>
    <x v="0"/>
    <x v="1"/>
    <x v="0"/>
  </r>
  <r>
    <x v="0"/>
    <x v="3"/>
    <x v="0"/>
    <x v="0"/>
    <x v="0"/>
    <x v="0"/>
    <x v="1"/>
    <x v="4"/>
    <x v="1"/>
    <x v="0"/>
    <x v="1"/>
    <x v="0"/>
  </r>
  <r>
    <x v="0"/>
    <x v="4"/>
    <x v="0"/>
    <x v="0"/>
    <x v="0"/>
    <x v="0"/>
    <x v="1"/>
    <x v="4"/>
    <x v="1"/>
    <x v="0"/>
    <x v="1"/>
    <x v="0"/>
  </r>
  <r>
    <x v="0"/>
    <x v="5"/>
    <x v="0"/>
    <x v="0"/>
    <x v="0"/>
    <x v="0"/>
    <x v="1"/>
    <x v="4"/>
    <x v="1"/>
    <x v="0"/>
    <x v="1"/>
    <x v="0"/>
  </r>
  <r>
    <x v="0"/>
    <x v="6"/>
    <x v="0"/>
    <x v="0"/>
    <x v="0"/>
    <x v="0"/>
    <x v="1"/>
    <x v="4"/>
    <x v="1"/>
    <x v="0"/>
    <x v="1"/>
    <x v="0"/>
  </r>
  <r>
    <x v="0"/>
    <x v="7"/>
    <x v="0"/>
    <x v="0"/>
    <x v="0"/>
    <x v="0"/>
    <x v="1"/>
    <x v="4"/>
    <x v="1"/>
    <x v="0"/>
    <x v="1"/>
    <x v="0"/>
  </r>
  <r>
    <x v="0"/>
    <x v="11"/>
    <x v="0"/>
    <x v="0"/>
    <x v="0"/>
    <x v="0"/>
    <x v="1"/>
    <x v="4"/>
    <x v="1"/>
    <x v="0"/>
    <x v="1"/>
    <x v="0"/>
  </r>
  <r>
    <x v="0"/>
    <x v="12"/>
    <x v="0"/>
    <x v="0"/>
    <x v="0"/>
    <x v="0"/>
    <x v="1"/>
    <x v="4"/>
    <x v="1"/>
    <x v="0"/>
    <x v="1"/>
    <x v="0"/>
  </r>
  <r>
    <x v="0"/>
    <x v="8"/>
    <x v="0"/>
    <x v="0"/>
    <x v="0"/>
    <x v="0"/>
    <x v="1"/>
    <x v="4"/>
    <x v="1"/>
    <x v="0"/>
    <x v="1"/>
    <x v="0"/>
  </r>
  <r>
    <x v="0"/>
    <x v="9"/>
    <x v="0"/>
    <x v="0"/>
    <x v="0"/>
    <x v="0"/>
    <x v="1"/>
    <x v="4"/>
    <x v="1"/>
    <x v="0"/>
    <x v="1"/>
    <x v="0"/>
  </r>
  <r>
    <x v="0"/>
    <x v="10"/>
    <x v="0"/>
    <x v="0"/>
    <x v="0"/>
    <x v="0"/>
    <x v="1"/>
    <x v="4"/>
    <x v="1"/>
    <x v="0"/>
    <x v="1"/>
    <x v="0"/>
  </r>
  <r>
    <x v="0"/>
    <x v="0"/>
    <x v="0"/>
    <x v="0"/>
    <x v="0"/>
    <x v="0"/>
    <x v="1"/>
    <x v="4"/>
    <x v="1"/>
    <x v="2"/>
    <x v="1"/>
    <x v="0"/>
  </r>
  <r>
    <x v="0"/>
    <x v="1"/>
    <x v="0"/>
    <x v="0"/>
    <x v="0"/>
    <x v="0"/>
    <x v="1"/>
    <x v="4"/>
    <x v="1"/>
    <x v="2"/>
    <x v="1"/>
    <x v="0"/>
  </r>
  <r>
    <x v="0"/>
    <x v="2"/>
    <x v="0"/>
    <x v="0"/>
    <x v="0"/>
    <x v="0"/>
    <x v="1"/>
    <x v="4"/>
    <x v="1"/>
    <x v="2"/>
    <x v="1"/>
    <x v="0"/>
  </r>
  <r>
    <x v="0"/>
    <x v="3"/>
    <x v="0"/>
    <x v="0"/>
    <x v="0"/>
    <x v="0"/>
    <x v="1"/>
    <x v="4"/>
    <x v="1"/>
    <x v="2"/>
    <x v="1"/>
    <x v="0"/>
  </r>
  <r>
    <x v="0"/>
    <x v="4"/>
    <x v="0"/>
    <x v="0"/>
    <x v="0"/>
    <x v="0"/>
    <x v="1"/>
    <x v="4"/>
    <x v="1"/>
    <x v="2"/>
    <x v="1"/>
    <x v="0"/>
  </r>
  <r>
    <x v="0"/>
    <x v="5"/>
    <x v="0"/>
    <x v="0"/>
    <x v="0"/>
    <x v="0"/>
    <x v="1"/>
    <x v="4"/>
    <x v="1"/>
    <x v="2"/>
    <x v="1"/>
    <x v="0"/>
  </r>
  <r>
    <x v="0"/>
    <x v="6"/>
    <x v="0"/>
    <x v="0"/>
    <x v="0"/>
    <x v="0"/>
    <x v="1"/>
    <x v="4"/>
    <x v="1"/>
    <x v="2"/>
    <x v="1"/>
    <x v="0"/>
  </r>
  <r>
    <x v="0"/>
    <x v="7"/>
    <x v="0"/>
    <x v="0"/>
    <x v="0"/>
    <x v="0"/>
    <x v="1"/>
    <x v="4"/>
    <x v="1"/>
    <x v="2"/>
    <x v="1"/>
    <x v="0"/>
  </r>
  <r>
    <x v="0"/>
    <x v="11"/>
    <x v="0"/>
    <x v="0"/>
    <x v="0"/>
    <x v="0"/>
    <x v="1"/>
    <x v="4"/>
    <x v="1"/>
    <x v="2"/>
    <x v="1"/>
    <x v="0"/>
  </r>
  <r>
    <x v="0"/>
    <x v="12"/>
    <x v="0"/>
    <x v="0"/>
    <x v="0"/>
    <x v="0"/>
    <x v="1"/>
    <x v="4"/>
    <x v="1"/>
    <x v="2"/>
    <x v="1"/>
    <x v="0"/>
  </r>
  <r>
    <x v="0"/>
    <x v="8"/>
    <x v="0"/>
    <x v="0"/>
    <x v="0"/>
    <x v="0"/>
    <x v="1"/>
    <x v="4"/>
    <x v="1"/>
    <x v="2"/>
    <x v="1"/>
    <x v="0"/>
  </r>
  <r>
    <x v="0"/>
    <x v="9"/>
    <x v="0"/>
    <x v="0"/>
    <x v="0"/>
    <x v="0"/>
    <x v="1"/>
    <x v="4"/>
    <x v="1"/>
    <x v="2"/>
    <x v="1"/>
    <x v="0"/>
  </r>
  <r>
    <x v="0"/>
    <x v="10"/>
    <x v="0"/>
    <x v="0"/>
    <x v="0"/>
    <x v="0"/>
    <x v="1"/>
    <x v="4"/>
    <x v="1"/>
    <x v="2"/>
    <x v="1"/>
    <x v="0"/>
  </r>
  <r>
    <x v="0"/>
    <x v="0"/>
    <x v="0"/>
    <x v="0"/>
    <x v="2"/>
    <x v="1"/>
    <x v="1"/>
    <x v="5"/>
    <x v="0"/>
    <x v="0"/>
    <x v="0"/>
    <x v="0"/>
  </r>
  <r>
    <x v="0"/>
    <x v="1"/>
    <x v="0"/>
    <x v="0"/>
    <x v="2"/>
    <x v="1"/>
    <x v="1"/>
    <x v="5"/>
    <x v="0"/>
    <x v="0"/>
    <x v="0"/>
    <x v="0"/>
  </r>
  <r>
    <x v="0"/>
    <x v="2"/>
    <x v="0"/>
    <x v="0"/>
    <x v="2"/>
    <x v="1"/>
    <x v="1"/>
    <x v="5"/>
    <x v="0"/>
    <x v="0"/>
    <x v="0"/>
    <x v="0"/>
  </r>
  <r>
    <x v="0"/>
    <x v="3"/>
    <x v="0"/>
    <x v="0"/>
    <x v="2"/>
    <x v="1"/>
    <x v="1"/>
    <x v="5"/>
    <x v="0"/>
    <x v="0"/>
    <x v="0"/>
    <x v="0"/>
  </r>
  <r>
    <x v="0"/>
    <x v="4"/>
    <x v="0"/>
    <x v="0"/>
    <x v="2"/>
    <x v="1"/>
    <x v="1"/>
    <x v="5"/>
    <x v="0"/>
    <x v="0"/>
    <x v="0"/>
    <x v="0"/>
  </r>
  <r>
    <x v="0"/>
    <x v="5"/>
    <x v="0"/>
    <x v="0"/>
    <x v="2"/>
    <x v="1"/>
    <x v="1"/>
    <x v="5"/>
    <x v="0"/>
    <x v="0"/>
    <x v="0"/>
    <x v="0"/>
  </r>
  <r>
    <x v="0"/>
    <x v="6"/>
    <x v="0"/>
    <x v="0"/>
    <x v="2"/>
    <x v="1"/>
    <x v="1"/>
    <x v="5"/>
    <x v="0"/>
    <x v="0"/>
    <x v="0"/>
    <x v="0"/>
  </r>
  <r>
    <x v="0"/>
    <x v="7"/>
    <x v="0"/>
    <x v="0"/>
    <x v="2"/>
    <x v="1"/>
    <x v="1"/>
    <x v="5"/>
    <x v="0"/>
    <x v="0"/>
    <x v="0"/>
    <x v="0"/>
  </r>
  <r>
    <x v="0"/>
    <x v="11"/>
    <x v="0"/>
    <x v="0"/>
    <x v="2"/>
    <x v="1"/>
    <x v="1"/>
    <x v="5"/>
    <x v="0"/>
    <x v="0"/>
    <x v="0"/>
    <x v="0"/>
  </r>
  <r>
    <x v="0"/>
    <x v="12"/>
    <x v="0"/>
    <x v="0"/>
    <x v="2"/>
    <x v="1"/>
    <x v="1"/>
    <x v="5"/>
    <x v="0"/>
    <x v="0"/>
    <x v="0"/>
    <x v="0"/>
  </r>
  <r>
    <x v="0"/>
    <x v="8"/>
    <x v="0"/>
    <x v="0"/>
    <x v="2"/>
    <x v="1"/>
    <x v="1"/>
    <x v="5"/>
    <x v="0"/>
    <x v="0"/>
    <x v="0"/>
    <x v="0"/>
  </r>
  <r>
    <x v="0"/>
    <x v="9"/>
    <x v="0"/>
    <x v="0"/>
    <x v="2"/>
    <x v="1"/>
    <x v="1"/>
    <x v="5"/>
    <x v="0"/>
    <x v="0"/>
    <x v="0"/>
    <x v="0"/>
  </r>
  <r>
    <x v="0"/>
    <x v="10"/>
    <x v="0"/>
    <x v="0"/>
    <x v="2"/>
    <x v="1"/>
    <x v="1"/>
    <x v="5"/>
    <x v="0"/>
    <x v="0"/>
    <x v="0"/>
    <x v="0"/>
  </r>
  <r>
    <x v="0"/>
    <x v="0"/>
    <x v="0"/>
    <x v="0"/>
    <x v="2"/>
    <x v="1"/>
    <x v="1"/>
    <x v="5"/>
    <x v="2"/>
    <x v="0"/>
    <x v="1"/>
    <x v="0"/>
  </r>
  <r>
    <x v="0"/>
    <x v="1"/>
    <x v="0"/>
    <x v="0"/>
    <x v="2"/>
    <x v="1"/>
    <x v="1"/>
    <x v="5"/>
    <x v="2"/>
    <x v="0"/>
    <x v="1"/>
    <x v="0"/>
  </r>
  <r>
    <x v="0"/>
    <x v="2"/>
    <x v="0"/>
    <x v="0"/>
    <x v="2"/>
    <x v="1"/>
    <x v="1"/>
    <x v="5"/>
    <x v="2"/>
    <x v="0"/>
    <x v="1"/>
    <x v="0"/>
  </r>
  <r>
    <x v="0"/>
    <x v="3"/>
    <x v="0"/>
    <x v="0"/>
    <x v="2"/>
    <x v="1"/>
    <x v="1"/>
    <x v="5"/>
    <x v="2"/>
    <x v="0"/>
    <x v="1"/>
    <x v="0"/>
  </r>
  <r>
    <x v="0"/>
    <x v="4"/>
    <x v="0"/>
    <x v="0"/>
    <x v="2"/>
    <x v="1"/>
    <x v="1"/>
    <x v="5"/>
    <x v="2"/>
    <x v="0"/>
    <x v="1"/>
    <x v="0"/>
  </r>
  <r>
    <x v="0"/>
    <x v="5"/>
    <x v="0"/>
    <x v="0"/>
    <x v="2"/>
    <x v="1"/>
    <x v="1"/>
    <x v="5"/>
    <x v="2"/>
    <x v="0"/>
    <x v="1"/>
    <x v="0"/>
  </r>
  <r>
    <x v="0"/>
    <x v="6"/>
    <x v="0"/>
    <x v="0"/>
    <x v="2"/>
    <x v="1"/>
    <x v="1"/>
    <x v="5"/>
    <x v="2"/>
    <x v="0"/>
    <x v="1"/>
    <x v="0"/>
  </r>
  <r>
    <x v="0"/>
    <x v="7"/>
    <x v="0"/>
    <x v="0"/>
    <x v="2"/>
    <x v="1"/>
    <x v="1"/>
    <x v="5"/>
    <x v="2"/>
    <x v="0"/>
    <x v="1"/>
    <x v="0"/>
  </r>
  <r>
    <x v="0"/>
    <x v="11"/>
    <x v="0"/>
    <x v="0"/>
    <x v="2"/>
    <x v="1"/>
    <x v="1"/>
    <x v="5"/>
    <x v="2"/>
    <x v="0"/>
    <x v="1"/>
    <x v="0"/>
  </r>
  <r>
    <x v="0"/>
    <x v="12"/>
    <x v="0"/>
    <x v="0"/>
    <x v="2"/>
    <x v="1"/>
    <x v="1"/>
    <x v="5"/>
    <x v="2"/>
    <x v="0"/>
    <x v="1"/>
    <x v="0"/>
  </r>
  <r>
    <x v="0"/>
    <x v="8"/>
    <x v="0"/>
    <x v="0"/>
    <x v="2"/>
    <x v="1"/>
    <x v="1"/>
    <x v="5"/>
    <x v="2"/>
    <x v="0"/>
    <x v="1"/>
    <x v="0"/>
  </r>
  <r>
    <x v="0"/>
    <x v="9"/>
    <x v="0"/>
    <x v="0"/>
    <x v="2"/>
    <x v="1"/>
    <x v="1"/>
    <x v="5"/>
    <x v="2"/>
    <x v="0"/>
    <x v="1"/>
    <x v="0"/>
  </r>
  <r>
    <x v="0"/>
    <x v="10"/>
    <x v="0"/>
    <x v="0"/>
    <x v="2"/>
    <x v="1"/>
    <x v="1"/>
    <x v="5"/>
    <x v="2"/>
    <x v="0"/>
    <x v="1"/>
    <x v="0"/>
  </r>
  <r>
    <x v="0"/>
    <x v="0"/>
    <x v="0"/>
    <x v="0"/>
    <x v="2"/>
    <x v="1"/>
    <x v="1"/>
    <x v="5"/>
    <x v="0"/>
    <x v="2"/>
    <x v="0"/>
    <x v="0"/>
  </r>
  <r>
    <x v="0"/>
    <x v="1"/>
    <x v="0"/>
    <x v="0"/>
    <x v="2"/>
    <x v="1"/>
    <x v="1"/>
    <x v="5"/>
    <x v="0"/>
    <x v="2"/>
    <x v="0"/>
    <x v="0"/>
  </r>
  <r>
    <x v="0"/>
    <x v="2"/>
    <x v="0"/>
    <x v="0"/>
    <x v="2"/>
    <x v="1"/>
    <x v="1"/>
    <x v="5"/>
    <x v="0"/>
    <x v="2"/>
    <x v="0"/>
    <x v="0"/>
  </r>
  <r>
    <x v="0"/>
    <x v="3"/>
    <x v="0"/>
    <x v="0"/>
    <x v="2"/>
    <x v="1"/>
    <x v="1"/>
    <x v="5"/>
    <x v="0"/>
    <x v="2"/>
    <x v="0"/>
    <x v="0"/>
  </r>
  <r>
    <x v="0"/>
    <x v="4"/>
    <x v="0"/>
    <x v="0"/>
    <x v="2"/>
    <x v="1"/>
    <x v="1"/>
    <x v="5"/>
    <x v="0"/>
    <x v="2"/>
    <x v="0"/>
    <x v="0"/>
  </r>
  <r>
    <x v="0"/>
    <x v="5"/>
    <x v="0"/>
    <x v="0"/>
    <x v="2"/>
    <x v="1"/>
    <x v="1"/>
    <x v="5"/>
    <x v="0"/>
    <x v="2"/>
    <x v="0"/>
    <x v="0"/>
  </r>
  <r>
    <x v="0"/>
    <x v="6"/>
    <x v="0"/>
    <x v="0"/>
    <x v="2"/>
    <x v="1"/>
    <x v="1"/>
    <x v="5"/>
    <x v="0"/>
    <x v="2"/>
    <x v="0"/>
    <x v="0"/>
  </r>
  <r>
    <x v="0"/>
    <x v="7"/>
    <x v="0"/>
    <x v="0"/>
    <x v="2"/>
    <x v="1"/>
    <x v="1"/>
    <x v="5"/>
    <x v="0"/>
    <x v="2"/>
    <x v="0"/>
    <x v="0"/>
  </r>
  <r>
    <x v="0"/>
    <x v="11"/>
    <x v="0"/>
    <x v="0"/>
    <x v="2"/>
    <x v="1"/>
    <x v="1"/>
    <x v="5"/>
    <x v="0"/>
    <x v="2"/>
    <x v="0"/>
    <x v="0"/>
  </r>
  <r>
    <x v="0"/>
    <x v="12"/>
    <x v="0"/>
    <x v="0"/>
    <x v="2"/>
    <x v="1"/>
    <x v="1"/>
    <x v="5"/>
    <x v="0"/>
    <x v="2"/>
    <x v="0"/>
    <x v="0"/>
  </r>
  <r>
    <x v="0"/>
    <x v="8"/>
    <x v="0"/>
    <x v="0"/>
    <x v="2"/>
    <x v="1"/>
    <x v="1"/>
    <x v="5"/>
    <x v="0"/>
    <x v="2"/>
    <x v="0"/>
    <x v="0"/>
  </r>
  <r>
    <x v="0"/>
    <x v="9"/>
    <x v="0"/>
    <x v="0"/>
    <x v="2"/>
    <x v="1"/>
    <x v="1"/>
    <x v="5"/>
    <x v="0"/>
    <x v="2"/>
    <x v="0"/>
    <x v="0"/>
  </r>
  <r>
    <x v="0"/>
    <x v="10"/>
    <x v="0"/>
    <x v="0"/>
    <x v="2"/>
    <x v="1"/>
    <x v="1"/>
    <x v="5"/>
    <x v="0"/>
    <x v="2"/>
    <x v="0"/>
    <x v="0"/>
  </r>
  <r>
    <x v="0"/>
    <x v="0"/>
    <x v="0"/>
    <x v="0"/>
    <x v="2"/>
    <x v="1"/>
    <x v="1"/>
    <x v="5"/>
    <x v="2"/>
    <x v="2"/>
    <x v="1"/>
    <x v="0"/>
  </r>
  <r>
    <x v="0"/>
    <x v="1"/>
    <x v="0"/>
    <x v="0"/>
    <x v="2"/>
    <x v="1"/>
    <x v="1"/>
    <x v="5"/>
    <x v="2"/>
    <x v="2"/>
    <x v="1"/>
    <x v="0"/>
  </r>
  <r>
    <x v="0"/>
    <x v="2"/>
    <x v="0"/>
    <x v="0"/>
    <x v="2"/>
    <x v="1"/>
    <x v="1"/>
    <x v="5"/>
    <x v="2"/>
    <x v="2"/>
    <x v="1"/>
    <x v="0"/>
  </r>
  <r>
    <x v="0"/>
    <x v="3"/>
    <x v="0"/>
    <x v="0"/>
    <x v="2"/>
    <x v="1"/>
    <x v="1"/>
    <x v="5"/>
    <x v="2"/>
    <x v="2"/>
    <x v="1"/>
    <x v="0"/>
  </r>
  <r>
    <x v="0"/>
    <x v="4"/>
    <x v="0"/>
    <x v="0"/>
    <x v="2"/>
    <x v="1"/>
    <x v="1"/>
    <x v="5"/>
    <x v="2"/>
    <x v="2"/>
    <x v="1"/>
    <x v="0"/>
  </r>
  <r>
    <x v="0"/>
    <x v="5"/>
    <x v="0"/>
    <x v="0"/>
    <x v="2"/>
    <x v="1"/>
    <x v="1"/>
    <x v="5"/>
    <x v="2"/>
    <x v="2"/>
    <x v="1"/>
    <x v="0"/>
  </r>
  <r>
    <x v="0"/>
    <x v="6"/>
    <x v="0"/>
    <x v="0"/>
    <x v="2"/>
    <x v="1"/>
    <x v="1"/>
    <x v="5"/>
    <x v="2"/>
    <x v="2"/>
    <x v="1"/>
    <x v="0"/>
  </r>
  <r>
    <x v="0"/>
    <x v="7"/>
    <x v="0"/>
    <x v="0"/>
    <x v="2"/>
    <x v="1"/>
    <x v="1"/>
    <x v="5"/>
    <x v="2"/>
    <x v="2"/>
    <x v="1"/>
    <x v="0"/>
  </r>
  <r>
    <x v="0"/>
    <x v="11"/>
    <x v="0"/>
    <x v="0"/>
    <x v="2"/>
    <x v="1"/>
    <x v="1"/>
    <x v="5"/>
    <x v="2"/>
    <x v="2"/>
    <x v="1"/>
    <x v="0"/>
  </r>
  <r>
    <x v="0"/>
    <x v="12"/>
    <x v="0"/>
    <x v="0"/>
    <x v="2"/>
    <x v="1"/>
    <x v="1"/>
    <x v="5"/>
    <x v="2"/>
    <x v="2"/>
    <x v="1"/>
    <x v="0"/>
  </r>
  <r>
    <x v="0"/>
    <x v="8"/>
    <x v="0"/>
    <x v="0"/>
    <x v="2"/>
    <x v="1"/>
    <x v="1"/>
    <x v="5"/>
    <x v="2"/>
    <x v="2"/>
    <x v="1"/>
    <x v="0"/>
  </r>
  <r>
    <x v="0"/>
    <x v="9"/>
    <x v="0"/>
    <x v="0"/>
    <x v="2"/>
    <x v="1"/>
    <x v="1"/>
    <x v="5"/>
    <x v="2"/>
    <x v="2"/>
    <x v="1"/>
    <x v="0"/>
  </r>
  <r>
    <x v="0"/>
    <x v="10"/>
    <x v="0"/>
    <x v="0"/>
    <x v="2"/>
    <x v="1"/>
    <x v="1"/>
    <x v="5"/>
    <x v="2"/>
    <x v="2"/>
    <x v="1"/>
    <x v="0"/>
  </r>
  <r>
    <x v="0"/>
    <x v="0"/>
    <x v="0"/>
    <x v="0"/>
    <x v="2"/>
    <x v="1"/>
    <x v="1"/>
    <x v="5"/>
    <x v="1"/>
    <x v="2"/>
    <x v="1"/>
    <x v="0"/>
  </r>
  <r>
    <x v="0"/>
    <x v="1"/>
    <x v="0"/>
    <x v="0"/>
    <x v="2"/>
    <x v="1"/>
    <x v="1"/>
    <x v="5"/>
    <x v="1"/>
    <x v="2"/>
    <x v="1"/>
    <x v="0"/>
  </r>
  <r>
    <x v="0"/>
    <x v="2"/>
    <x v="0"/>
    <x v="0"/>
    <x v="2"/>
    <x v="1"/>
    <x v="1"/>
    <x v="5"/>
    <x v="1"/>
    <x v="2"/>
    <x v="1"/>
    <x v="0"/>
  </r>
  <r>
    <x v="0"/>
    <x v="3"/>
    <x v="0"/>
    <x v="0"/>
    <x v="2"/>
    <x v="1"/>
    <x v="1"/>
    <x v="5"/>
    <x v="1"/>
    <x v="2"/>
    <x v="1"/>
    <x v="0"/>
  </r>
  <r>
    <x v="0"/>
    <x v="4"/>
    <x v="0"/>
    <x v="0"/>
    <x v="2"/>
    <x v="1"/>
    <x v="1"/>
    <x v="5"/>
    <x v="1"/>
    <x v="2"/>
    <x v="1"/>
    <x v="0"/>
  </r>
  <r>
    <x v="0"/>
    <x v="5"/>
    <x v="0"/>
    <x v="0"/>
    <x v="2"/>
    <x v="1"/>
    <x v="1"/>
    <x v="5"/>
    <x v="1"/>
    <x v="2"/>
    <x v="1"/>
    <x v="0"/>
  </r>
  <r>
    <x v="0"/>
    <x v="6"/>
    <x v="0"/>
    <x v="0"/>
    <x v="2"/>
    <x v="1"/>
    <x v="1"/>
    <x v="5"/>
    <x v="1"/>
    <x v="2"/>
    <x v="1"/>
    <x v="0"/>
  </r>
  <r>
    <x v="0"/>
    <x v="7"/>
    <x v="0"/>
    <x v="0"/>
    <x v="2"/>
    <x v="1"/>
    <x v="1"/>
    <x v="5"/>
    <x v="1"/>
    <x v="2"/>
    <x v="1"/>
    <x v="0"/>
  </r>
  <r>
    <x v="0"/>
    <x v="11"/>
    <x v="0"/>
    <x v="0"/>
    <x v="2"/>
    <x v="1"/>
    <x v="1"/>
    <x v="5"/>
    <x v="1"/>
    <x v="2"/>
    <x v="1"/>
    <x v="0"/>
  </r>
  <r>
    <x v="0"/>
    <x v="12"/>
    <x v="0"/>
    <x v="0"/>
    <x v="2"/>
    <x v="1"/>
    <x v="1"/>
    <x v="5"/>
    <x v="1"/>
    <x v="2"/>
    <x v="1"/>
    <x v="0"/>
  </r>
  <r>
    <x v="0"/>
    <x v="8"/>
    <x v="0"/>
    <x v="0"/>
    <x v="2"/>
    <x v="1"/>
    <x v="1"/>
    <x v="5"/>
    <x v="1"/>
    <x v="2"/>
    <x v="1"/>
    <x v="0"/>
  </r>
  <r>
    <x v="0"/>
    <x v="9"/>
    <x v="0"/>
    <x v="0"/>
    <x v="2"/>
    <x v="1"/>
    <x v="1"/>
    <x v="5"/>
    <x v="1"/>
    <x v="2"/>
    <x v="1"/>
    <x v="0"/>
  </r>
  <r>
    <x v="0"/>
    <x v="10"/>
    <x v="0"/>
    <x v="0"/>
    <x v="2"/>
    <x v="1"/>
    <x v="1"/>
    <x v="5"/>
    <x v="1"/>
    <x v="2"/>
    <x v="1"/>
    <x v="0"/>
  </r>
  <r>
    <x v="0"/>
    <x v="0"/>
    <x v="0"/>
    <x v="0"/>
    <x v="2"/>
    <x v="1"/>
    <x v="1"/>
    <x v="1"/>
    <x v="3"/>
    <x v="3"/>
    <x v="4"/>
    <x v="0"/>
  </r>
  <r>
    <x v="0"/>
    <x v="1"/>
    <x v="0"/>
    <x v="0"/>
    <x v="2"/>
    <x v="1"/>
    <x v="1"/>
    <x v="1"/>
    <x v="3"/>
    <x v="3"/>
    <x v="4"/>
    <x v="0"/>
  </r>
  <r>
    <x v="0"/>
    <x v="2"/>
    <x v="0"/>
    <x v="0"/>
    <x v="2"/>
    <x v="1"/>
    <x v="1"/>
    <x v="1"/>
    <x v="3"/>
    <x v="3"/>
    <x v="4"/>
    <x v="0"/>
  </r>
  <r>
    <x v="0"/>
    <x v="3"/>
    <x v="0"/>
    <x v="0"/>
    <x v="2"/>
    <x v="1"/>
    <x v="1"/>
    <x v="1"/>
    <x v="3"/>
    <x v="3"/>
    <x v="4"/>
    <x v="0"/>
  </r>
  <r>
    <x v="0"/>
    <x v="4"/>
    <x v="0"/>
    <x v="0"/>
    <x v="2"/>
    <x v="1"/>
    <x v="1"/>
    <x v="1"/>
    <x v="3"/>
    <x v="3"/>
    <x v="4"/>
    <x v="0"/>
  </r>
  <r>
    <x v="0"/>
    <x v="5"/>
    <x v="0"/>
    <x v="0"/>
    <x v="2"/>
    <x v="1"/>
    <x v="1"/>
    <x v="1"/>
    <x v="3"/>
    <x v="3"/>
    <x v="4"/>
    <x v="0"/>
  </r>
  <r>
    <x v="0"/>
    <x v="6"/>
    <x v="0"/>
    <x v="0"/>
    <x v="2"/>
    <x v="1"/>
    <x v="1"/>
    <x v="1"/>
    <x v="3"/>
    <x v="3"/>
    <x v="18"/>
    <x v="0"/>
  </r>
  <r>
    <x v="0"/>
    <x v="7"/>
    <x v="0"/>
    <x v="0"/>
    <x v="2"/>
    <x v="1"/>
    <x v="1"/>
    <x v="1"/>
    <x v="3"/>
    <x v="3"/>
    <x v="19"/>
    <x v="0"/>
  </r>
  <r>
    <x v="0"/>
    <x v="11"/>
    <x v="0"/>
    <x v="0"/>
    <x v="2"/>
    <x v="1"/>
    <x v="1"/>
    <x v="1"/>
    <x v="3"/>
    <x v="3"/>
    <x v="19"/>
    <x v="0"/>
  </r>
  <r>
    <x v="0"/>
    <x v="12"/>
    <x v="0"/>
    <x v="0"/>
    <x v="2"/>
    <x v="1"/>
    <x v="1"/>
    <x v="1"/>
    <x v="3"/>
    <x v="3"/>
    <x v="4"/>
    <x v="0"/>
  </r>
  <r>
    <x v="0"/>
    <x v="8"/>
    <x v="0"/>
    <x v="0"/>
    <x v="2"/>
    <x v="1"/>
    <x v="1"/>
    <x v="1"/>
    <x v="3"/>
    <x v="3"/>
    <x v="4"/>
    <x v="0"/>
  </r>
  <r>
    <x v="0"/>
    <x v="9"/>
    <x v="0"/>
    <x v="0"/>
    <x v="2"/>
    <x v="1"/>
    <x v="1"/>
    <x v="1"/>
    <x v="3"/>
    <x v="3"/>
    <x v="4"/>
    <x v="0"/>
  </r>
  <r>
    <x v="0"/>
    <x v="10"/>
    <x v="0"/>
    <x v="0"/>
    <x v="2"/>
    <x v="1"/>
    <x v="1"/>
    <x v="1"/>
    <x v="3"/>
    <x v="3"/>
    <x v="4"/>
    <x v="0"/>
  </r>
  <r>
    <x v="0"/>
    <x v="0"/>
    <x v="0"/>
    <x v="0"/>
    <x v="2"/>
    <x v="1"/>
    <x v="1"/>
    <x v="2"/>
    <x v="3"/>
    <x v="3"/>
    <x v="20"/>
    <x v="0"/>
  </r>
  <r>
    <x v="0"/>
    <x v="1"/>
    <x v="0"/>
    <x v="0"/>
    <x v="2"/>
    <x v="1"/>
    <x v="1"/>
    <x v="2"/>
    <x v="3"/>
    <x v="3"/>
    <x v="20"/>
    <x v="0"/>
  </r>
  <r>
    <x v="0"/>
    <x v="2"/>
    <x v="0"/>
    <x v="0"/>
    <x v="2"/>
    <x v="1"/>
    <x v="1"/>
    <x v="2"/>
    <x v="3"/>
    <x v="3"/>
    <x v="20"/>
    <x v="0"/>
  </r>
  <r>
    <x v="0"/>
    <x v="3"/>
    <x v="0"/>
    <x v="0"/>
    <x v="2"/>
    <x v="1"/>
    <x v="1"/>
    <x v="2"/>
    <x v="3"/>
    <x v="3"/>
    <x v="20"/>
    <x v="0"/>
  </r>
  <r>
    <x v="0"/>
    <x v="4"/>
    <x v="0"/>
    <x v="0"/>
    <x v="2"/>
    <x v="1"/>
    <x v="1"/>
    <x v="2"/>
    <x v="3"/>
    <x v="3"/>
    <x v="20"/>
    <x v="0"/>
  </r>
  <r>
    <x v="0"/>
    <x v="5"/>
    <x v="0"/>
    <x v="0"/>
    <x v="2"/>
    <x v="1"/>
    <x v="1"/>
    <x v="2"/>
    <x v="3"/>
    <x v="3"/>
    <x v="20"/>
    <x v="0"/>
  </r>
  <r>
    <x v="0"/>
    <x v="6"/>
    <x v="0"/>
    <x v="0"/>
    <x v="2"/>
    <x v="1"/>
    <x v="1"/>
    <x v="2"/>
    <x v="3"/>
    <x v="3"/>
    <x v="20"/>
    <x v="0"/>
  </r>
  <r>
    <x v="0"/>
    <x v="7"/>
    <x v="0"/>
    <x v="0"/>
    <x v="2"/>
    <x v="1"/>
    <x v="1"/>
    <x v="2"/>
    <x v="3"/>
    <x v="3"/>
    <x v="20"/>
    <x v="0"/>
  </r>
  <r>
    <x v="0"/>
    <x v="11"/>
    <x v="0"/>
    <x v="0"/>
    <x v="2"/>
    <x v="1"/>
    <x v="1"/>
    <x v="2"/>
    <x v="3"/>
    <x v="3"/>
    <x v="20"/>
    <x v="0"/>
  </r>
  <r>
    <x v="0"/>
    <x v="12"/>
    <x v="0"/>
    <x v="0"/>
    <x v="2"/>
    <x v="1"/>
    <x v="1"/>
    <x v="2"/>
    <x v="3"/>
    <x v="3"/>
    <x v="20"/>
    <x v="0"/>
  </r>
  <r>
    <x v="0"/>
    <x v="8"/>
    <x v="0"/>
    <x v="0"/>
    <x v="2"/>
    <x v="1"/>
    <x v="1"/>
    <x v="2"/>
    <x v="3"/>
    <x v="3"/>
    <x v="20"/>
    <x v="0"/>
  </r>
  <r>
    <x v="0"/>
    <x v="9"/>
    <x v="0"/>
    <x v="0"/>
    <x v="2"/>
    <x v="1"/>
    <x v="1"/>
    <x v="2"/>
    <x v="3"/>
    <x v="3"/>
    <x v="20"/>
    <x v="0"/>
  </r>
  <r>
    <x v="0"/>
    <x v="10"/>
    <x v="0"/>
    <x v="0"/>
    <x v="2"/>
    <x v="1"/>
    <x v="1"/>
    <x v="2"/>
    <x v="3"/>
    <x v="3"/>
    <x v="20"/>
    <x v="0"/>
  </r>
  <r>
    <x v="0"/>
    <x v="0"/>
    <x v="0"/>
    <x v="0"/>
    <x v="3"/>
    <x v="0"/>
    <x v="1"/>
    <x v="4"/>
    <x v="2"/>
    <x v="0"/>
    <x v="1"/>
    <x v="0"/>
  </r>
  <r>
    <x v="0"/>
    <x v="1"/>
    <x v="0"/>
    <x v="0"/>
    <x v="3"/>
    <x v="0"/>
    <x v="1"/>
    <x v="4"/>
    <x v="2"/>
    <x v="0"/>
    <x v="1"/>
    <x v="0"/>
  </r>
  <r>
    <x v="0"/>
    <x v="2"/>
    <x v="0"/>
    <x v="0"/>
    <x v="3"/>
    <x v="0"/>
    <x v="1"/>
    <x v="4"/>
    <x v="2"/>
    <x v="0"/>
    <x v="1"/>
    <x v="0"/>
  </r>
  <r>
    <x v="0"/>
    <x v="3"/>
    <x v="0"/>
    <x v="0"/>
    <x v="3"/>
    <x v="0"/>
    <x v="1"/>
    <x v="4"/>
    <x v="2"/>
    <x v="0"/>
    <x v="1"/>
    <x v="0"/>
  </r>
  <r>
    <x v="0"/>
    <x v="4"/>
    <x v="0"/>
    <x v="0"/>
    <x v="3"/>
    <x v="0"/>
    <x v="1"/>
    <x v="4"/>
    <x v="2"/>
    <x v="0"/>
    <x v="1"/>
    <x v="0"/>
  </r>
  <r>
    <x v="0"/>
    <x v="5"/>
    <x v="0"/>
    <x v="0"/>
    <x v="3"/>
    <x v="0"/>
    <x v="1"/>
    <x v="4"/>
    <x v="2"/>
    <x v="0"/>
    <x v="1"/>
    <x v="0"/>
  </r>
  <r>
    <x v="0"/>
    <x v="6"/>
    <x v="0"/>
    <x v="0"/>
    <x v="3"/>
    <x v="0"/>
    <x v="1"/>
    <x v="4"/>
    <x v="2"/>
    <x v="0"/>
    <x v="1"/>
    <x v="0"/>
  </r>
  <r>
    <x v="0"/>
    <x v="7"/>
    <x v="0"/>
    <x v="0"/>
    <x v="3"/>
    <x v="0"/>
    <x v="1"/>
    <x v="4"/>
    <x v="2"/>
    <x v="0"/>
    <x v="1"/>
    <x v="0"/>
  </r>
  <r>
    <x v="0"/>
    <x v="11"/>
    <x v="0"/>
    <x v="0"/>
    <x v="3"/>
    <x v="0"/>
    <x v="1"/>
    <x v="4"/>
    <x v="2"/>
    <x v="0"/>
    <x v="1"/>
    <x v="0"/>
  </r>
  <r>
    <x v="0"/>
    <x v="12"/>
    <x v="0"/>
    <x v="0"/>
    <x v="3"/>
    <x v="0"/>
    <x v="1"/>
    <x v="4"/>
    <x v="2"/>
    <x v="0"/>
    <x v="1"/>
    <x v="0"/>
  </r>
  <r>
    <x v="0"/>
    <x v="8"/>
    <x v="0"/>
    <x v="0"/>
    <x v="3"/>
    <x v="0"/>
    <x v="1"/>
    <x v="4"/>
    <x v="2"/>
    <x v="0"/>
    <x v="1"/>
    <x v="0"/>
  </r>
  <r>
    <x v="0"/>
    <x v="9"/>
    <x v="0"/>
    <x v="0"/>
    <x v="3"/>
    <x v="0"/>
    <x v="1"/>
    <x v="4"/>
    <x v="2"/>
    <x v="0"/>
    <x v="1"/>
    <x v="0"/>
  </r>
  <r>
    <x v="0"/>
    <x v="10"/>
    <x v="0"/>
    <x v="0"/>
    <x v="3"/>
    <x v="0"/>
    <x v="1"/>
    <x v="4"/>
    <x v="2"/>
    <x v="0"/>
    <x v="1"/>
    <x v="0"/>
  </r>
  <r>
    <x v="0"/>
    <x v="0"/>
    <x v="0"/>
    <x v="0"/>
    <x v="3"/>
    <x v="0"/>
    <x v="1"/>
    <x v="4"/>
    <x v="2"/>
    <x v="2"/>
    <x v="1"/>
    <x v="0"/>
  </r>
  <r>
    <x v="0"/>
    <x v="1"/>
    <x v="0"/>
    <x v="0"/>
    <x v="3"/>
    <x v="0"/>
    <x v="1"/>
    <x v="4"/>
    <x v="2"/>
    <x v="2"/>
    <x v="1"/>
    <x v="0"/>
  </r>
  <r>
    <x v="0"/>
    <x v="2"/>
    <x v="0"/>
    <x v="0"/>
    <x v="3"/>
    <x v="0"/>
    <x v="1"/>
    <x v="4"/>
    <x v="2"/>
    <x v="2"/>
    <x v="1"/>
    <x v="0"/>
  </r>
  <r>
    <x v="0"/>
    <x v="3"/>
    <x v="0"/>
    <x v="0"/>
    <x v="3"/>
    <x v="0"/>
    <x v="1"/>
    <x v="4"/>
    <x v="2"/>
    <x v="2"/>
    <x v="1"/>
    <x v="0"/>
  </r>
  <r>
    <x v="0"/>
    <x v="4"/>
    <x v="0"/>
    <x v="0"/>
    <x v="3"/>
    <x v="0"/>
    <x v="1"/>
    <x v="4"/>
    <x v="2"/>
    <x v="2"/>
    <x v="1"/>
    <x v="0"/>
  </r>
  <r>
    <x v="0"/>
    <x v="5"/>
    <x v="0"/>
    <x v="0"/>
    <x v="3"/>
    <x v="0"/>
    <x v="1"/>
    <x v="4"/>
    <x v="2"/>
    <x v="2"/>
    <x v="1"/>
    <x v="0"/>
  </r>
  <r>
    <x v="0"/>
    <x v="6"/>
    <x v="0"/>
    <x v="0"/>
    <x v="3"/>
    <x v="0"/>
    <x v="1"/>
    <x v="4"/>
    <x v="2"/>
    <x v="2"/>
    <x v="1"/>
    <x v="0"/>
  </r>
  <r>
    <x v="0"/>
    <x v="7"/>
    <x v="0"/>
    <x v="0"/>
    <x v="3"/>
    <x v="0"/>
    <x v="1"/>
    <x v="4"/>
    <x v="2"/>
    <x v="2"/>
    <x v="1"/>
    <x v="0"/>
  </r>
  <r>
    <x v="0"/>
    <x v="11"/>
    <x v="0"/>
    <x v="0"/>
    <x v="3"/>
    <x v="0"/>
    <x v="1"/>
    <x v="4"/>
    <x v="2"/>
    <x v="2"/>
    <x v="1"/>
    <x v="0"/>
  </r>
  <r>
    <x v="0"/>
    <x v="12"/>
    <x v="0"/>
    <x v="0"/>
    <x v="3"/>
    <x v="0"/>
    <x v="1"/>
    <x v="4"/>
    <x v="2"/>
    <x v="2"/>
    <x v="1"/>
    <x v="0"/>
  </r>
  <r>
    <x v="0"/>
    <x v="8"/>
    <x v="0"/>
    <x v="0"/>
    <x v="3"/>
    <x v="0"/>
    <x v="1"/>
    <x v="4"/>
    <x v="2"/>
    <x v="2"/>
    <x v="1"/>
    <x v="0"/>
  </r>
  <r>
    <x v="0"/>
    <x v="9"/>
    <x v="0"/>
    <x v="0"/>
    <x v="3"/>
    <x v="0"/>
    <x v="1"/>
    <x v="4"/>
    <x v="2"/>
    <x v="2"/>
    <x v="1"/>
    <x v="0"/>
  </r>
  <r>
    <x v="0"/>
    <x v="10"/>
    <x v="0"/>
    <x v="0"/>
    <x v="3"/>
    <x v="0"/>
    <x v="1"/>
    <x v="4"/>
    <x v="2"/>
    <x v="2"/>
    <x v="1"/>
    <x v="0"/>
  </r>
  <r>
    <x v="0"/>
    <x v="0"/>
    <x v="0"/>
    <x v="0"/>
    <x v="3"/>
    <x v="1"/>
    <x v="1"/>
    <x v="6"/>
    <x v="0"/>
    <x v="0"/>
    <x v="0"/>
    <x v="0"/>
  </r>
  <r>
    <x v="0"/>
    <x v="1"/>
    <x v="0"/>
    <x v="0"/>
    <x v="3"/>
    <x v="1"/>
    <x v="1"/>
    <x v="6"/>
    <x v="0"/>
    <x v="0"/>
    <x v="0"/>
    <x v="0"/>
  </r>
  <r>
    <x v="0"/>
    <x v="2"/>
    <x v="0"/>
    <x v="0"/>
    <x v="3"/>
    <x v="1"/>
    <x v="1"/>
    <x v="6"/>
    <x v="0"/>
    <x v="0"/>
    <x v="0"/>
    <x v="0"/>
  </r>
  <r>
    <x v="0"/>
    <x v="3"/>
    <x v="0"/>
    <x v="0"/>
    <x v="3"/>
    <x v="1"/>
    <x v="1"/>
    <x v="6"/>
    <x v="0"/>
    <x v="0"/>
    <x v="0"/>
    <x v="0"/>
  </r>
  <r>
    <x v="0"/>
    <x v="4"/>
    <x v="0"/>
    <x v="0"/>
    <x v="3"/>
    <x v="1"/>
    <x v="1"/>
    <x v="6"/>
    <x v="0"/>
    <x v="0"/>
    <x v="0"/>
    <x v="0"/>
  </r>
  <r>
    <x v="0"/>
    <x v="5"/>
    <x v="0"/>
    <x v="0"/>
    <x v="3"/>
    <x v="1"/>
    <x v="1"/>
    <x v="6"/>
    <x v="0"/>
    <x v="0"/>
    <x v="0"/>
    <x v="0"/>
  </r>
  <r>
    <x v="0"/>
    <x v="6"/>
    <x v="0"/>
    <x v="0"/>
    <x v="3"/>
    <x v="1"/>
    <x v="1"/>
    <x v="6"/>
    <x v="0"/>
    <x v="0"/>
    <x v="0"/>
    <x v="0"/>
  </r>
  <r>
    <x v="0"/>
    <x v="7"/>
    <x v="0"/>
    <x v="0"/>
    <x v="3"/>
    <x v="1"/>
    <x v="1"/>
    <x v="6"/>
    <x v="0"/>
    <x v="0"/>
    <x v="0"/>
    <x v="0"/>
  </r>
  <r>
    <x v="0"/>
    <x v="11"/>
    <x v="0"/>
    <x v="0"/>
    <x v="3"/>
    <x v="1"/>
    <x v="1"/>
    <x v="6"/>
    <x v="0"/>
    <x v="0"/>
    <x v="0"/>
    <x v="0"/>
  </r>
  <r>
    <x v="0"/>
    <x v="12"/>
    <x v="0"/>
    <x v="0"/>
    <x v="3"/>
    <x v="1"/>
    <x v="1"/>
    <x v="6"/>
    <x v="0"/>
    <x v="0"/>
    <x v="0"/>
    <x v="0"/>
  </r>
  <r>
    <x v="0"/>
    <x v="8"/>
    <x v="0"/>
    <x v="0"/>
    <x v="3"/>
    <x v="1"/>
    <x v="1"/>
    <x v="6"/>
    <x v="0"/>
    <x v="0"/>
    <x v="0"/>
    <x v="0"/>
  </r>
  <r>
    <x v="0"/>
    <x v="9"/>
    <x v="0"/>
    <x v="0"/>
    <x v="3"/>
    <x v="1"/>
    <x v="1"/>
    <x v="6"/>
    <x v="0"/>
    <x v="0"/>
    <x v="0"/>
    <x v="0"/>
  </r>
  <r>
    <x v="0"/>
    <x v="10"/>
    <x v="0"/>
    <x v="0"/>
    <x v="3"/>
    <x v="1"/>
    <x v="1"/>
    <x v="6"/>
    <x v="0"/>
    <x v="0"/>
    <x v="0"/>
    <x v="0"/>
  </r>
  <r>
    <x v="0"/>
    <x v="0"/>
    <x v="0"/>
    <x v="0"/>
    <x v="3"/>
    <x v="1"/>
    <x v="1"/>
    <x v="6"/>
    <x v="2"/>
    <x v="0"/>
    <x v="1"/>
    <x v="0"/>
  </r>
  <r>
    <x v="0"/>
    <x v="1"/>
    <x v="0"/>
    <x v="0"/>
    <x v="3"/>
    <x v="1"/>
    <x v="1"/>
    <x v="6"/>
    <x v="2"/>
    <x v="0"/>
    <x v="1"/>
    <x v="0"/>
  </r>
  <r>
    <x v="0"/>
    <x v="2"/>
    <x v="0"/>
    <x v="0"/>
    <x v="3"/>
    <x v="1"/>
    <x v="1"/>
    <x v="6"/>
    <x v="2"/>
    <x v="0"/>
    <x v="1"/>
    <x v="0"/>
  </r>
  <r>
    <x v="0"/>
    <x v="3"/>
    <x v="0"/>
    <x v="0"/>
    <x v="3"/>
    <x v="1"/>
    <x v="1"/>
    <x v="6"/>
    <x v="2"/>
    <x v="0"/>
    <x v="1"/>
    <x v="0"/>
  </r>
  <r>
    <x v="0"/>
    <x v="4"/>
    <x v="0"/>
    <x v="0"/>
    <x v="3"/>
    <x v="1"/>
    <x v="1"/>
    <x v="6"/>
    <x v="2"/>
    <x v="0"/>
    <x v="1"/>
    <x v="0"/>
  </r>
  <r>
    <x v="0"/>
    <x v="5"/>
    <x v="0"/>
    <x v="0"/>
    <x v="3"/>
    <x v="1"/>
    <x v="1"/>
    <x v="6"/>
    <x v="2"/>
    <x v="0"/>
    <x v="1"/>
    <x v="0"/>
  </r>
  <r>
    <x v="0"/>
    <x v="6"/>
    <x v="0"/>
    <x v="0"/>
    <x v="3"/>
    <x v="1"/>
    <x v="1"/>
    <x v="6"/>
    <x v="2"/>
    <x v="0"/>
    <x v="1"/>
    <x v="0"/>
  </r>
  <r>
    <x v="0"/>
    <x v="7"/>
    <x v="0"/>
    <x v="0"/>
    <x v="3"/>
    <x v="1"/>
    <x v="1"/>
    <x v="6"/>
    <x v="2"/>
    <x v="0"/>
    <x v="1"/>
    <x v="0"/>
  </r>
  <r>
    <x v="0"/>
    <x v="11"/>
    <x v="0"/>
    <x v="0"/>
    <x v="3"/>
    <x v="1"/>
    <x v="1"/>
    <x v="6"/>
    <x v="2"/>
    <x v="0"/>
    <x v="1"/>
    <x v="0"/>
  </r>
  <r>
    <x v="0"/>
    <x v="12"/>
    <x v="0"/>
    <x v="0"/>
    <x v="3"/>
    <x v="1"/>
    <x v="1"/>
    <x v="6"/>
    <x v="2"/>
    <x v="0"/>
    <x v="1"/>
    <x v="0"/>
  </r>
  <r>
    <x v="0"/>
    <x v="8"/>
    <x v="0"/>
    <x v="0"/>
    <x v="3"/>
    <x v="1"/>
    <x v="1"/>
    <x v="6"/>
    <x v="2"/>
    <x v="0"/>
    <x v="1"/>
    <x v="0"/>
  </r>
  <r>
    <x v="0"/>
    <x v="9"/>
    <x v="0"/>
    <x v="0"/>
    <x v="3"/>
    <x v="1"/>
    <x v="1"/>
    <x v="6"/>
    <x v="2"/>
    <x v="0"/>
    <x v="1"/>
    <x v="0"/>
  </r>
  <r>
    <x v="0"/>
    <x v="10"/>
    <x v="0"/>
    <x v="0"/>
    <x v="3"/>
    <x v="1"/>
    <x v="1"/>
    <x v="6"/>
    <x v="2"/>
    <x v="0"/>
    <x v="1"/>
    <x v="0"/>
  </r>
  <r>
    <x v="0"/>
    <x v="0"/>
    <x v="0"/>
    <x v="0"/>
    <x v="3"/>
    <x v="1"/>
    <x v="1"/>
    <x v="6"/>
    <x v="1"/>
    <x v="0"/>
    <x v="1"/>
    <x v="0"/>
  </r>
  <r>
    <x v="0"/>
    <x v="1"/>
    <x v="0"/>
    <x v="0"/>
    <x v="3"/>
    <x v="1"/>
    <x v="1"/>
    <x v="6"/>
    <x v="1"/>
    <x v="0"/>
    <x v="1"/>
    <x v="0"/>
  </r>
  <r>
    <x v="0"/>
    <x v="2"/>
    <x v="0"/>
    <x v="0"/>
    <x v="3"/>
    <x v="1"/>
    <x v="1"/>
    <x v="6"/>
    <x v="1"/>
    <x v="0"/>
    <x v="1"/>
    <x v="0"/>
  </r>
  <r>
    <x v="0"/>
    <x v="3"/>
    <x v="0"/>
    <x v="0"/>
    <x v="3"/>
    <x v="1"/>
    <x v="1"/>
    <x v="6"/>
    <x v="1"/>
    <x v="0"/>
    <x v="1"/>
    <x v="0"/>
  </r>
  <r>
    <x v="0"/>
    <x v="4"/>
    <x v="0"/>
    <x v="0"/>
    <x v="3"/>
    <x v="1"/>
    <x v="1"/>
    <x v="6"/>
    <x v="1"/>
    <x v="0"/>
    <x v="1"/>
    <x v="0"/>
  </r>
  <r>
    <x v="0"/>
    <x v="5"/>
    <x v="0"/>
    <x v="0"/>
    <x v="3"/>
    <x v="1"/>
    <x v="1"/>
    <x v="6"/>
    <x v="1"/>
    <x v="0"/>
    <x v="1"/>
    <x v="0"/>
  </r>
  <r>
    <x v="0"/>
    <x v="6"/>
    <x v="0"/>
    <x v="0"/>
    <x v="3"/>
    <x v="1"/>
    <x v="1"/>
    <x v="6"/>
    <x v="1"/>
    <x v="0"/>
    <x v="1"/>
    <x v="0"/>
  </r>
  <r>
    <x v="0"/>
    <x v="7"/>
    <x v="0"/>
    <x v="0"/>
    <x v="3"/>
    <x v="1"/>
    <x v="1"/>
    <x v="6"/>
    <x v="1"/>
    <x v="0"/>
    <x v="1"/>
    <x v="0"/>
  </r>
  <r>
    <x v="0"/>
    <x v="11"/>
    <x v="0"/>
    <x v="0"/>
    <x v="3"/>
    <x v="1"/>
    <x v="1"/>
    <x v="6"/>
    <x v="1"/>
    <x v="0"/>
    <x v="1"/>
    <x v="0"/>
  </r>
  <r>
    <x v="0"/>
    <x v="12"/>
    <x v="0"/>
    <x v="0"/>
    <x v="3"/>
    <x v="1"/>
    <x v="1"/>
    <x v="6"/>
    <x v="1"/>
    <x v="0"/>
    <x v="1"/>
    <x v="0"/>
  </r>
  <r>
    <x v="0"/>
    <x v="8"/>
    <x v="0"/>
    <x v="0"/>
    <x v="3"/>
    <x v="1"/>
    <x v="1"/>
    <x v="6"/>
    <x v="1"/>
    <x v="0"/>
    <x v="1"/>
    <x v="0"/>
  </r>
  <r>
    <x v="0"/>
    <x v="9"/>
    <x v="0"/>
    <x v="0"/>
    <x v="3"/>
    <x v="1"/>
    <x v="1"/>
    <x v="6"/>
    <x v="1"/>
    <x v="0"/>
    <x v="1"/>
    <x v="0"/>
  </r>
  <r>
    <x v="0"/>
    <x v="10"/>
    <x v="0"/>
    <x v="0"/>
    <x v="3"/>
    <x v="1"/>
    <x v="1"/>
    <x v="6"/>
    <x v="1"/>
    <x v="0"/>
    <x v="1"/>
    <x v="0"/>
  </r>
  <r>
    <x v="0"/>
    <x v="0"/>
    <x v="0"/>
    <x v="0"/>
    <x v="3"/>
    <x v="1"/>
    <x v="1"/>
    <x v="6"/>
    <x v="0"/>
    <x v="4"/>
    <x v="10"/>
    <x v="0"/>
  </r>
  <r>
    <x v="0"/>
    <x v="1"/>
    <x v="0"/>
    <x v="0"/>
    <x v="3"/>
    <x v="1"/>
    <x v="1"/>
    <x v="6"/>
    <x v="0"/>
    <x v="4"/>
    <x v="10"/>
    <x v="0"/>
  </r>
  <r>
    <x v="0"/>
    <x v="2"/>
    <x v="0"/>
    <x v="0"/>
    <x v="3"/>
    <x v="1"/>
    <x v="1"/>
    <x v="6"/>
    <x v="0"/>
    <x v="4"/>
    <x v="10"/>
    <x v="0"/>
  </r>
  <r>
    <x v="0"/>
    <x v="3"/>
    <x v="0"/>
    <x v="0"/>
    <x v="3"/>
    <x v="1"/>
    <x v="1"/>
    <x v="6"/>
    <x v="0"/>
    <x v="4"/>
    <x v="10"/>
    <x v="0"/>
  </r>
  <r>
    <x v="0"/>
    <x v="4"/>
    <x v="0"/>
    <x v="0"/>
    <x v="3"/>
    <x v="1"/>
    <x v="1"/>
    <x v="6"/>
    <x v="0"/>
    <x v="4"/>
    <x v="10"/>
    <x v="0"/>
  </r>
  <r>
    <x v="0"/>
    <x v="5"/>
    <x v="0"/>
    <x v="0"/>
    <x v="3"/>
    <x v="1"/>
    <x v="1"/>
    <x v="6"/>
    <x v="0"/>
    <x v="4"/>
    <x v="10"/>
    <x v="0"/>
  </r>
  <r>
    <x v="0"/>
    <x v="6"/>
    <x v="0"/>
    <x v="0"/>
    <x v="3"/>
    <x v="1"/>
    <x v="1"/>
    <x v="6"/>
    <x v="0"/>
    <x v="4"/>
    <x v="10"/>
    <x v="0"/>
  </r>
  <r>
    <x v="0"/>
    <x v="7"/>
    <x v="0"/>
    <x v="0"/>
    <x v="3"/>
    <x v="1"/>
    <x v="1"/>
    <x v="6"/>
    <x v="0"/>
    <x v="4"/>
    <x v="10"/>
    <x v="0"/>
  </r>
  <r>
    <x v="0"/>
    <x v="11"/>
    <x v="0"/>
    <x v="0"/>
    <x v="3"/>
    <x v="1"/>
    <x v="1"/>
    <x v="6"/>
    <x v="0"/>
    <x v="4"/>
    <x v="10"/>
    <x v="0"/>
  </r>
  <r>
    <x v="0"/>
    <x v="12"/>
    <x v="0"/>
    <x v="0"/>
    <x v="3"/>
    <x v="1"/>
    <x v="1"/>
    <x v="6"/>
    <x v="0"/>
    <x v="4"/>
    <x v="10"/>
    <x v="0"/>
  </r>
  <r>
    <x v="0"/>
    <x v="8"/>
    <x v="0"/>
    <x v="0"/>
    <x v="3"/>
    <x v="1"/>
    <x v="1"/>
    <x v="6"/>
    <x v="0"/>
    <x v="4"/>
    <x v="10"/>
    <x v="0"/>
  </r>
  <r>
    <x v="0"/>
    <x v="9"/>
    <x v="0"/>
    <x v="0"/>
    <x v="3"/>
    <x v="1"/>
    <x v="1"/>
    <x v="6"/>
    <x v="0"/>
    <x v="4"/>
    <x v="10"/>
    <x v="0"/>
  </r>
  <r>
    <x v="0"/>
    <x v="10"/>
    <x v="0"/>
    <x v="0"/>
    <x v="3"/>
    <x v="1"/>
    <x v="1"/>
    <x v="6"/>
    <x v="0"/>
    <x v="4"/>
    <x v="10"/>
    <x v="0"/>
  </r>
  <r>
    <x v="0"/>
    <x v="0"/>
    <x v="0"/>
    <x v="0"/>
    <x v="3"/>
    <x v="1"/>
    <x v="1"/>
    <x v="6"/>
    <x v="2"/>
    <x v="4"/>
    <x v="1"/>
    <x v="0"/>
  </r>
  <r>
    <x v="0"/>
    <x v="1"/>
    <x v="0"/>
    <x v="0"/>
    <x v="3"/>
    <x v="1"/>
    <x v="1"/>
    <x v="6"/>
    <x v="2"/>
    <x v="4"/>
    <x v="1"/>
    <x v="0"/>
  </r>
  <r>
    <x v="0"/>
    <x v="2"/>
    <x v="0"/>
    <x v="0"/>
    <x v="3"/>
    <x v="1"/>
    <x v="1"/>
    <x v="6"/>
    <x v="2"/>
    <x v="4"/>
    <x v="1"/>
    <x v="0"/>
  </r>
  <r>
    <x v="0"/>
    <x v="3"/>
    <x v="0"/>
    <x v="0"/>
    <x v="3"/>
    <x v="1"/>
    <x v="1"/>
    <x v="6"/>
    <x v="2"/>
    <x v="4"/>
    <x v="1"/>
    <x v="0"/>
  </r>
  <r>
    <x v="0"/>
    <x v="4"/>
    <x v="0"/>
    <x v="0"/>
    <x v="3"/>
    <x v="1"/>
    <x v="1"/>
    <x v="6"/>
    <x v="2"/>
    <x v="4"/>
    <x v="1"/>
    <x v="0"/>
  </r>
  <r>
    <x v="0"/>
    <x v="5"/>
    <x v="0"/>
    <x v="0"/>
    <x v="3"/>
    <x v="1"/>
    <x v="1"/>
    <x v="6"/>
    <x v="2"/>
    <x v="4"/>
    <x v="1"/>
    <x v="0"/>
  </r>
  <r>
    <x v="0"/>
    <x v="6"/>
    <x v="0"/>
    <x v="0"/>
    <x v="3"/>
    <x v="1"/>
    <x v="1"/>
    <x v="6"/>
    <x v="2"/>
    <x v="4"/>
    <x v="1"/>
    <x v="0"/>
  </r>
  <r>
    <x v="0"/>
    <x v="7"/>
    <x v="0"/>
    <x v="0"/>
    <x v="3"/>
    <x v="1"/>
    <x v="1"/>
    <x v="6"/>
    <x v="2"/>
    <x v="4"/>
    <x v="1"/>
    <x v="0"/>
  </r>
  <r>
    <x v="0"/>
    <x v="11"/>
    <x v="0"/>
    <x v="0"/>
    <x v="3"/>
    <x v="1"/>
    <x v="1"/>
    <x v="6"/>
    <x v="2"/>
    <x v="4"/>
    <x v="1"/>
    <x v="0"/>
  </r>
  <r>
    <x v="0"/>
    <x v="12"/>
    <x v="0"/>
    <x v="0"/>
    <x v="3"/>
    <x v="1"/>
    <x v="1"/>
    <x v="6"/>
    <x v="2"/>
    <x v="4"/>
    <x v="1"/>
    <x v="0"/>
  </r>
  <r>
    <x v="0"/>
    <x v="8"/>
    <x v="0"/>
    <x v="0"/>
    <x v="3"/>
    <x v="1"/>
    <x v="1"/>
    <x v="6"/>
    <x v="2"/>
    <x v="4"/>
    <x v="1"/>
    <x v="0"/>
  </r>
  <r>
    <x v="0"/>
    <x v="9"/>
    <x v="0"/>
    <x v="0"/>
    <x v="3"/>
    <x v="1"/>
    <x v="1"/>
    <x v="6"/>
    <x v="2"/>
    <x v="4"/>
    <x v="1"/>
    <x v="0"/>
  </r>
  <r>
    <x v="0"/>
    <x v="10"/>
    <x v="0"/>
    <x v="0"/>
    <x v="3"/>
    <x v="1"/>
    <x v="1"/>
    <x v="6"/>
    <x v="2"/>
    <x v="4"/>
    <x v="1"/>
    <x v="0"/>
  </r>
  <r>
    <x v="0"/>
    <x v="0"/>
    <x v="0"/>
    <x v="0"/>
    <x v="3"/>
    <x v="1"/>
    <x v="1"/>
    <x v="6"/>
    <x v="1"/>
    <x v="4"/>
    <x v="1"/>
    <x v="0"/>
  </r>
  <r>
    <x v="0"/>
    <x v="1"/>
    <x v="0"/>
    <x v="0"/>
    <x v="3"/>
    <x v="1"/>
    <x v="1"/>
    <x v="6"/>
    <x v="1"/>
    <x v="4"/>
    <x v="1"/>
    <x v="0"/>
  </r>
  <r>
    <x v="0"/>
    <x v="2"/>
    <x v="0"/>
    <x v="0"/>
    <x v="3"/>
    <x v="1"/>
    <x v="1"/>
    <x v="6"/>
    <x v="1"/>
    <x v="4"/>
    <x v="1"/>
    <x v="0"/>
  </r>
  <r>
    <x v="0"/>
    <x v="3"/>
    <x v="0"/>
    <x v="0"/>
    <x v="3"/>
    <x v="1"/>
    <x v="1"/>
    <x v="6"/>
    <x v="1"/>
    <x v="4"/>
    <x v="1"/>
    <x v="0"/>
  </r>
  <r>
    <x v="0"/>
    <x v="4"/>
    <x v="0"/>
    <x v="0"/>
    <x v="3"/>
    <x v="1"/>
    <x v="1"/>
    <x v="6"/>
    <x v="1"/>
    <x v="4"/>
    <x v="1"/>
    <x v="0"/>
  </r>
  <r>
    <x v="0"/>
    <x v="5"/>
    <x v="0"/>
    <x v="0"/>
    <x v="3"/>
    <x v="1"/>
    <x v="1"/>
    <x v="6"/>
    <x v="1"/>
    <x v="4"/>
    <x v="1"/>
    <x v="0"/>
  </r>
  <r>
    <x v="0"/>
    <x v="6"/>
    <x v="0"/>
    <x v="0"/>
    <x v="3"/>
    <x v="1"/>
    <x v="1"/>
    <x v="6"/>
    <x v="1"/>
    <x v="4"/>
    <x v="1"/>
    <x v="0"/>
  </r>
  <r>
    <x v="0"/>
    <x v="7"/>
    <x v="0"/>
    <x v="0"/>
    <x v="3"/>
    <x v="1"/>
    <x v="1"/>
    <x v="6"/>
    <x v="1"/>
    <x v="4"/>
    <x v="1"/>
    <x v="0"/>
  </r>
  <r>
    <x v="0"/>
    <x v="11"/>
    <x v="0"/>
    <x v="0"/>
    <x v="3"/>
    <x v="1"/>
    <x v="1"/>
    <x v="6"/>
    <x v="1"/>
    <x v="4"/>
    <x v="1"/>
    <x v="0"/>
  </r>
  <r>
    <x v="0"/>
    <x v="12"/>
    <x v="0"/>
    <x v="0"/>
    <x v="3"/>
    <x v="1"/>
    <x v="1"/>
    <x v="6"/>
    <x v="1"/>
    <x v="4"/>
    <x v="1"/>
    <x v="0"/>
  </r>
  <r>
    <x v="0"/>
    <x v="8"/>
    <x v="0"/>
    <x v="0"/>
    <x v="3"/>
    <x v="1"/>
    <x v="1"/>
    <x v="6"/>
    <x v="1"/>
    <x v="4"/>
    <x v="1"/>
    <x v="0"/>
  </r>
  <r>
    <x v="0"/>
    <x v="9"/>
    <x v="0"/>
    <x v="0"/>
    <x v="3"/>
    <x v="1"/>
    <x v="1"/>
    <x v="6"/>
    <x v="1"/>
    <x v="4"/>
    <x v="1"/>
    <x v="0"/>
  </r>
  <r>
    <x v="0"/>
    <x v="10"/>
    <x v="0"/>
    <x v="0"/>
    <x v="3"/>
    <x v="1"/>
    <x v="1"/>
    <x v="6"/>
    <x v="1"/>
    <x v="4"/>
    <x v="1"/>
    <x v="0"/>
  </r>
  <r>
    <x v="0"/>
    <x v="0"/>
    <x v="0"/>
    <x v="0"/>
    <x v="3"/>
    <x v="1"/>
    <x v="1"/>
    <x v="6"/>
    <x v="2"/>
    <x v="2"/>
    <x v="1"/>
    <x v="0"/>
  </r>
  <r>
    <x v="0"/>
    <x v="1"/>
    <x v="0"/>
    <x v="0"/>
    <x v="3"/>
    <x v="1"/>
    <x v="1"/>
    <x v="6"/>
    <x v="2"/>
    <x v="2"/>
    <x v="1"/>
    <x v="0"/>
  </r>
  <r>
    <x v="0"/>
    <x v="2"/>
    <x v="0"/>
    <x v="0"/>
    <x v="3"/>
    <x v="1"/>
    <x v="1"/>
    <x v="6"/>
    <x v="2"/>
    <x v="2"/>
    <x v="1"/>
    <x v="0"/>
  </r>
  <r>
    <x v="0"/>
    <x v="3"/>
    <x v="0"/>
    <x v="0"/>
    <x v="3"/>
    <x v="1"/>
    <x v="1"/>
    <x v="6"/>
    <x v="2"/>
    <x v="2"/>
    <x v="1"/>
    <x v="0"/>
  </r>
  <r>
    <x v="0"/>
    <x v="4"/>
    <x v="0"/>
    <x v="0"/>
    <x v="3"/>
    <x v="1"/>
    <x v="1"/>
    <x v="6"/>
    <x v="2"/>
    <x v="2"/>
    <x v="1"/>
    <x v="0"/>
  </r>
  <r>
    <x v="0"/>
    <x v="5"/>
    <x v="0"/>
    <x v="0"/>
    <x v="3"/>
    <x v="1"/>
    <x v="1"/>
    <x v="6"/>
    <x v="2"/>
    <x v="2"/>
    <x v="1"/>
    <x v="0"/>
  </r>
  <r>
    <x v="0"/>
    <x v="6"/>
    <x v="0"/>
    <x v="0"/>
    <x v="3"/>
    <x v="1"/>
    <x v="1"/>
    <x v="6"/>
    <x v="2"/>
    <x v="2"/>
    <x v="1"/>
    <x v="0"/>
  </r>
  <r>
    <x v="0"/>
    <x v="7"/>
    <x v="0"/>
    <x v="0"/>
    <x v="3"/>
    <x v="1"/>
    <x v="1"/>
    <x v="6"/>
    <x v="2"/>
    <x v="2"/>
    <x v="1"/>
    <x v="0"/>
  </r>
  <r>
    <x v="0"/>
    <x v="11"/>
    <x v="0"/>
    <x v="0"/>
    <x v="3"/>
    <x v="1"/>
    <x v="1"/>
    <x v="6"/>
    <x v="2"/>
    <x v="2"/>
    <x v="1"/>
    <x v="0"/>
  </r>
  <r>
    <x v="0"/>
    <x v="12"/>
    <x v="0"/>
    <x v="0"/>
    <x v="3"/>
    <x v="1"/>
    <x v="1"/>
    <x v="6"/>
    <x v="2"/>
    <x v="2"/>
    <x v="1"/>
    <x v="0"/>
  </r>
  <r>
    <x v="0"/>
    <x v="8"/>
    <x v="0"/>
    <x v="0"/>
    <x v="3"/>
    <x v="1"/>
    <x v="1"/>
    <x v="6"/>
    <x v="2"/>
    <x v="2"/>
    <x v="1"/>
    <x v="0"/>
  </r>
  <r>
    <x v="0"/>
    <x v="9"/>
    <x v="0"/>
    <x v="0"/>
    <x v="3"/>
    <x v="1"/>
    <x v="1"/>
    <x v="6"/>
    <x v="2"/>
    <x v="2"/>
    <x v="1"/>
    <x v="0"/>
  </r>
  <r>
    <x v="0"/>
    <x v="10"/>
    <x v="0"/>
    <x v="0"/>
    <x v="3"/>
    <x v="1"/>
    <x v="1"/>
    <x v="6"/>
    <x v="2"/>
    <x v="2"/>
    <x v="1"/>
    <x v="0"/>
  </r>
  <r>
    <x v="0"/>
    <x v="0"/>
    <x v="0"/>
    <x v="0"/>
    <x v="3"/>
    <x v="1"/>
    <x v="1"/>
    <x v="6"/>
    <x v="1"/>
    <x v="2"/>
    <x v="1"/>
    <x v="0"/>
  </r>
  <r>
    <x v="0"/>
    <x v="1"/>
    <x v="0"/>
    <x v="0"/>
    <x v="3"/>
    <x v="1"/>
    <x v="1"/>
    <x v="6"/>
    <x v="1"/>
    <x v="2"/>
    <x v="1"/>
    <x v="0"/>
  </r>
  <r>
    <x v="0"/>
    <x v="2"/>
    <x v="0"/>
    <x v="0"/>
    <x v="3"/>
    <x v="1"/>
    <x v="1"/>
    <x v="6"/>
    <x v="1"/>
    <x v="2"/>
    <x v="1"/>
    <x v="0"/>
  </r>
  <r>
    <x v="0"/>
    <x v="3"/>
    <x v="0"/>
    <x v="0"/>
    <x v="3"/>
    <x v="1"/>
    <x v="1"/>
    <x v="6"/>
    <x v="1"/>
    <x v="2"/>
    <x v="1"/>
    <x v="0"/>
  </r>
  <r>
    <x v="0"/>
    <x v="4"/>
    <x v="0"/>
    <x v="0"/>
    <x v="3"/>
    <x v="1"/>
    <x v="1"/>
    <x v="6"/>
    <x v="1"/>
    <x v="2"/>
    <x v="1"/>
    <x v="0"/>
  </r>
  <r>
    <x v="0"/>
    <x v="5"/>
    <x v="0"/>
    <x v="0"/>
    <x v="3"/>
    <x v="1"/>
    <x v="1"/>
    <x v="6"/>
    <x v="1"/>
    <x v="2"/>
    <x v="1"/>
    <x v="0"/>
  </r>
  <r>
    <x v="0"/>
    <x v="6"/>
    <x v="0"/>
    <x v="0"/>
    <x v="3"/>
    <x v="1"/>
    <x v="1"/>
    <x v="6"/>
    <x v="1"/>
    <x v="2"/>
    <x v="1"/>
    <x v="0"/>
  </r>
  <r>
    <x v="0"/>
    <x v="7"/>
    <x v="0"/>
    <x v="0"/>
    <x v="3"/>
    <x v="1"/>
    <x v="1"/>
    <x v="6"/>
    <x v="1"/>
    <x v="2"/>
    <x v="1"/>
    <x v="0"/>
  </r>
  <r>
    <x v="0"/>
    <x v="11"/>
    <x v="0"/>
    <x v="0"/>
    <x v="3"/>
    <x v="1"/>
    <x v="1"/>
    <x v="6"/>
    <x v="1"/>
    <x v="2"/>
    <x v="1"/>
    <x v="0"/>
  </r>
  <r>
    <x v="0"/>
    <x v="12"/>
    <x v="0"/>
    <x v="0"/>
    <x v="3"/>
    <x v="1"/>
    <x v="1"/>
    <x v="6"/>
    <x v="1"/>
    <x v="2"/>
    <x v="1"/>
    <x v="0"/>
  </r>
  <r>
    <x v="0"/>
    <x v="8"/>
    <x v="0"/>
    <x v="0"/>
    <x v="3"/>
    <x v="1"/>
    <x v="1"/>
    <x v="6"/>
    <x v="1"/>
    <x v="2"/>
    <x v="1"/>
    <x v="0"/>
  </r>
  <r>
    <x v="0"/>
    <x v="9"/>
    <x v="0"/>
    <x v="0"/>
    <x v="3"/>
    <x v="1"/>
    <x v="1"/>
    <x v="6"/>
    <x v="1"/>
    <x v="2"/>
    <x v="1"/>
    <x v="0"/>
  </r>
  <r>
    <x v="0"/>
    <x v="10"/>
    <x v="0"/>
    <x v="0"/>
    <x v="3"/>
    <x v="1"/>
    <x v="1"/>
    <x v="6"/>
    <x v="1"/>
    <x v="2"/>
    <x v="1"/>
    <x v="0"/>
  </r>
  <r>
    <x v="0"/>
    <x v="0"/>
    <x v="0"/>
    <x v="0"/>
    <x v="0"/>
    <x v="0"/>
    <x v="1"/>
    <x v="0"/>
    <x v="0"/>
    <x v="2"/>
    <x v="0"/>
    <x v="0"/>
  </r>
  <r>
    <x v="0"/>
    <x v="1"/>
    <x v="0"/>
    <x v="0"/>
    <x v="0"/>
    <x v="0"/>
    <x v="1"/>
    <x v="0"/>
    <x v="0"/>
    <x v="2"/>
    <x v="0"/>
    <x v="0"/>
  </r>
  <r>
    <x v="0"/>
    <x v="2"/>
    <x v="0"/>
    <x v="0"/>
    <x v="0"/>
    <x v="0"/>
    <x v="1"/>
    <x v="0"/>
    <x v="0"/>
    <x v="2"/>
    <x v="0"/>
    <x v="0"/>
  </r>
  <r>
    <x v="0"/>
    <x v="3"/>
    <x v="0"/>
    <x v="0"/>
    <x v="0"/>
    <x v="0"/>
    <x v="1"/>
    <x v="0"/>
    <x v="0"/>
    <x v="2"/>
    <x v="0"/>
    <x v="0"/>
  </r>
  <r>
    <x v="0"/>
    <x v="4"/>
    <x v="0"/>
    <x v="0"/>
    <x v="0"/>
    <x v="0"/>
    <x v="1"/>
    <x v="0"/>
    <x v="0"/>
    <x v="2"/>
    <x v="0"/>
    <x v="0"/>
  </r>
  <r>
    <x v="0"/>
    <x v="5"/>
    <x v="0"/>
    <x v="0"/>
    <x v="0"/>
    <x v="0"/>
    <x v="1"/>
    <x v="0"/>
    <x v="0"/>
    <x v="2"/>
    <x v="0"/>
    <x v="0"/>
  </r>
  <r>
    <x v="0"/>
    <x v="6"/>
    <x v="0"/>
    <x v="0"/>
    <x v="0"/>
    <x v="0"/>
    <x v="1"/>
    <x v="0"/>
    <x v="0"/>
    <x v="2"/>
    <x v="12"/>
    <x v="0"/>
  </r>
  <r>
    <x v="0"/>
    <x v="7"/>
    <x v="0"/>
    <x v="0"/>
    <x v="0"/>
    <x v="0"/>
    <x v="1"/>
    <x v="0"/>
    <x v="0"/>
    <x v="2"/>
    <x v="0"/>
    <x v="0"/>
  </r>
  <r>
    <x v="0"/>
    <x v="8"/>
    <x v="0"/>
    <x v="0"/>
    <x v="0"/>
    <x v="0"/>
    <x v="1"/>
    <x v="0"/>
    <x v="0"/>
    <x v="2"/>
    <x v="0"/>
    <x v="0"/>
  </r>
  <r>
    <x v="0"/>
    <x v="9"/>
    <x v="0"/>
    <x v="0"/>
    <x v="0"/>
    <x v="0"/>
    <x v="1"/>
    <x v="0"/>
    <x v="0"/>
    <x v="2"/>
    <x v="0"/>
    <x v="0"/>
  </r>
  <r>
    <x v="0"/>
    <x v="10"/>
    <x v="0"/>
    <x v="0"/>
    <x v="0"/>
    <x v="0"/>
    <x v="1"/>
    <x v="0"/>
    <x v="0"/>
    <x v="2"/>
    <x v="0"/>
    <x v="0"/>
  </r>
  <r>
    <x v="0"/>
    <x v="0"/>
    <x v="0"/>
    <x v="0"/>
    <x v="0"/>
    <x v="0"/>
    <x v="1"/>
    <x v="0"/>
    <x v="2"/>
    <x v="0"/>
    <x v="1"/>
    <x v="0"/>
  </r>
  <r>
    <x v="0"/>
    <x v="1"/>
    <x v="0"/>
    <x v="0"/>
    <x v="0"/>
    <x v="0"/>
    <x v="1"/>
    <x v="0"/>
    <x v="2"/>
    <x v="0"/>
    <x v="1"/>
    <x v="0"/>
  </r>
  <r>
    <x v="0"/>
    <x v="2"/>
    <x v="0"/>
    <x v="0"/>
    <x v="0"/>
    <x v="0"/>
    <x v="1"/>
    <x v="0"/>
    <x v="2"/>
    <x v="0"/>
    <x v="1"/>
    <x v="0"/>
  </r>
  <r>
    <x v="0"/>
    <x v="3"/>
    <x v="0"/>
    <x v="0"/>
    <x v="0"/>
    <x v="0"/>
    <x v="1"/>
    <x v="0"/>
    <x v="2"/>
    <x v="0"/>
    <x v="1"/>
    <x v="0"/>
  </r>
  <r>
    <x v="0"/>
    <x v="4"/>
    <x v="0"/>
    <x v="0"/>
    <x v="0"/>
    <x v="0"/>
    <x v="1"/>
    <x v="0"/>
    <x v="2"/>
    <x v="0"/>
    <x v="1"/>
    <x v="0"/>
  </r>
  <r>
    <x v="0"/>
    <x v="5"/>
    <x v="0"/>
    <x v="0"/>
    <x v="0"/>
    <x v="0"/>
    <x v="1"/>
    <x v="0"/>
    <x v="2"/>
    <x v="0"/>
    <x v="1"/>
    <x v="0"/>
  </r>
  <r>
    <x v="0"/>
    <x v="6"/>
    <x v="0"/>
    <x v="0"/>
    <x v="0"/>
    <x v="0"/>
    <x v="1"/>
    <x v="0"/>
    <x v="2"/>
    <x v="0"/>
    <x v="14"/>
    <x v="0"/>
  </r>
  <r>
    <x v="0"/>
    <x v="7"/>
    <x v="0"/>
    <x v="0"/>
    <x v="0"/>
    <x v="0"/>
    <x v="1"/>
    <x v="0"/>
    <x v="2"/>
    <x v="0"/>
    <x v="14"/>
    <x v="0"/>
  </r>
  <r>
    <x v="0"/>
    <x v="11"/>
    <x v="0"/>
    <x v="0"/>
    <x v="0"/>
    <x v="0"/>
    <x v="1"/>
    <x v="0"/>
    <x v="2"/>
    <x v="0"/>
    <x v="15"/>
    <x v="0"/>
  </r>
  <r>
    <x v="0"/>
    <x v="12"/>
    <x v="0"/>
    <x v="0"/>
    <x v="0"/>
    <x v="0"/>
    <x v="1"/>
    <x v="0"/>
    <x v="2"/>
    <x v="0"/>
    <x v="1"/>
    <x v="0"/>
  </r>
  <r>
    <x v="0"/>
    <x v="8"/>
    <x v="0"/>
    <x v="0"/>
    <x v="0"/>
    <x v="0"/>
    <x v="1"/>
    <x v="0"/>
    <x v="2"/>
    <x v="0"/>
    <x v="1"/>
    <x v="0"/>
  </r>
  <r>
    <x v="0"/>
    <x v="9"/>
    <x v="0"/>
    <x v="0"/>
    <x v="0"/>
    <x v="0"/>
    <x v="1"/>
    <x v="0"/>
    <x v="2"/>
    <x v="0"/>
    <x v="1"/>
    <x v="0"/>
  </r>
  <r>
    <x v="0"/>
    <x v="10"/>
    <x v="0"/>
    <x v="0"/>
    <x v="0"/>
    <x v="0"/>
    <x v="1"/>
    <x v="0"/>
    <x v="2"/>
    <x v="0"/>
    <x v="1"/>
    <x v="0"/>
  </r>
  <r>
    <x v="0"/>
    <x v="11"/>
    <x v="0"/>
    <x v="0"/>
    <x v="0"/>
    <x v="0"/>
    <x v="1"/>
    <x v="0"/>
    <x v="0"/>
    <x v="2"/>
    <x v="21"/>
    <x v="0"/>
  </r>
  <r>
    <x v="0"/>
    <x v="12"/>
    <x v="0"/>
    <x v="0"/>
    <x v="0"/>
    <x v="0"/>
    <x v="1"/>
    <x v="0"/>
    <x v="0"/>
    <x v="2"/>
    <x v="0"/>
    <x v="0"/>
  </r>
  <r>
    <x v="0"/>
    <x v="11"/>
    <x v="0"/>
    <x v="0"/>
    <x v="0"/>
    <x v="0"/>
    <x v="1"/>
    <x v="0"/>
    <x v="0"/>
    <x v="0"/>
    <x v="0"/>
    <x v="0"/>
  </r>
  <r>
    <x v="0"/>
    <x v="12"/>
    <x v="0"/>
    <x v="0"/>
    <x v="0"/>
    <x v="0"/>
    <x v="1"/>
    <x v="0"/>
    <x v="0"/>
    <x v="0"/>
    <x v="0"/>
    <x v="0"/>
  </r>
  <r>
    <x v="0"/>
    <x v="0"/>
    <x v="0"/>
    <x v="0"/>
    <x v="0"/>
    <x v="0"/>
    <x v="1"/>
    <x v="0"/>
    <x v="0"/>
    <x v="4"/>
    <x v="7"/>
    <x v="0"/>
  </r>
  <r>
    <x v="0"/>
    <x v="1"/>
    <x v="0"/>
    <x v="0"/>
    <x v="0"/>
    <x v="0"/>
    <x v="1"/>
    <x v="0"/>
    <x v="0"/>
    <x v="4"/>
    <x v="7"/>
    <x v="0"/>
  </r>
  <r>
    <x v="0"/>
    <x v="2"/>
    <x v="0"/>
    <x v="0"/>
    <x v="0"/>
    <x v="0"/>
    <x v="1"/>
    <x v="0"/>
    <x v="0"/>
    <x v="4"/>
    <x v="7"/>
    <x v="0"/>
  </r>
  <r>
    <x v="0"/>
    <x v="3"/>
    <x v="0"/>
    <x v="0"/>
    <x v="0"/>
    <x v="0"/>
    <x v="1"/>
    <x v="0"/>
    <x v="0"/>
    <x v="4"/>
    <x v="7"/>
    <x v="0"/>
  </r>
  <r>
    <x v="0"/>
    <x v="4"/>
    <x v="0"/>
    <x v="0"/>
    <x v="0"/>
    <x v="0"/>
    <x v="1"/>
    <x v="0"/>
    <x v="0"/>
    <x v="4"/>
    <x v="7"/>
    <x v="0"/>
  </r>
  <r>
    <x v="0"/>
    <x v="5"/>
    <x v="0"/>
    <x v="0"/>
    <x v="0"/>
    <x v="0"/>
    <x v="1"/>
    <x v="0"/>
    <x v="0"/>
    <x v="4"/>
    <x v="16"/>
    <x v="0"/>
  </r>
  <r>
    <x v="0"/>
    <x v="6"/>
    <x v="0"/>
    <x v="0"/>
    <x v="0"/>
    <x v="0"/>
    <x v="1"/>
    <x v="0"/>
    <x v="0"/>
    <x v="4"/>
    <x v="7"/>
    <x v="0"/>
  </r>
  <r>
    <x v="0"/>
    <x v="7"/>
    <x v="0"/>
    <x v="0"/>
    <x v="0"/>
    <x v="0"/>
    <x v="1"/>
    <x v="0"/>
    <x v="0"/>
    <x v="4"/>
    <x v="7"/>
    <x v="0"/>
  </r>
  <r>
    <x v="0"/>
    <x v="11"/>
    <x v="0"/>
    <x v="0"/>
    <x v="0"/>
    <x v="0"/>
    <x v="1"/>
    <x v="0"/>
    <x v="0"/>
    <x v="4"/>
    <x v="7"/>
    <x v="0"/>
  </r>
  <r>
    <x v="0"/>
    <x v="12"/>
    <x v="0"/>
    <x v="0"/>
    <x v="0"/>
    <x v="0"/>
    <x v="1"/>
    <x v="0"/>
    <x v="0"/>
    <x v="4"/>
    <x v="7"/>
    <x v="0"/>
  </r>
  <r>
    <x v="0"/>
    <x v="8"/>
    <x v="0"/>
    <x v="0"/>
    <x v="0"/>
    <x v="0"/>
    <x v="1"/>
    <x v="0"/>
    <x v="0"/>
    <x v="4"/>
    <x v="7"/>
    <x v="0"/>
  </r>
  <r>
    <x v="0"/>
    <x v="9"/>
    <x v="0"/>
    <x v="0"/>
    <x v="0"/>
    <x v="0"/>
    <x v="1"/>
    <x v="0"/>
    <x v="0"/>
    <x v="4"/>
    <x v="7"/>
    <x v="0"/>
  </r>
  <r>
    <x v="0"/>
    <x v="0"/>
    <x v="0"/>
    <x v="0"/>
    <x v="2"/>
    <x v="1"/>
    <x v="1"/>
    <x v="5"/>
    <x v="0"/>
    <x v="4"/>
    <x v="7"/>
    <x v="0"/>
  </r>
  <r>
    <x v="0"/>
    <x v="1"/>
    <x v="0"/>
    <x v="0"/>
    <x v="2"/>
    <x v="1"/>
    <x v="1"/>
    <x v="5"/>
    <x v="0"/>
    <x v="4"/>
    <x v="7"/>
    <x v="0"/>
  </r>
  <r>
    <x v="0"/>
    <x v="2"/>
    <x v="0"/>
    <x v="0"/>
    <x v="2"/>
    <x v="1"/>
    <x v="1"/>
    <x v="5"/>
    <x v="0"/>
    <x v="4"/>
    <x v="7"/>
    <x v="0"/>
  </r>
  <r>
    <x v="0"/>
    <x v="3"/>
    <x v="0"/>
    <x v="0"/>
    <x v="2"/>
    <x v="1"/>
    <x v="1"/>
    <x v="5"/>
    <x v="0"/>
    <x v="4"/>
    <x v="7"/>
    <x v="0"/>
  </r>
  <r>
    <x v="0"/>
    <x v="4"/>
    <x v="0"/>
    <x v="0"/>
    <x v="2"/>
    <x v="1"/>
    <x v="1"/>
    <x v="5"/>
    <x v="0"/>
    <x v="4"/>
    <x v="7"/>
    <x v="0"/>
  </r>
  <r>
    <x v="0"/>
    <x v="5"/>
    <x v="0"/>
    <x v="0"/>
    <x v="2"/>
    <x v="1"/>
    <x v="1"/>
    <x v="5"/>
    <x v="0"/>
    <x v="4"/>
    <x v="7"/>
    <x v="0"/>
  </r>
  <r>
    <x v="0"/>
    <x v="6"/>
    <x v="0"/>
    <x v="0"/>
    <x v="2"/>
    <x v="1"/>
    <x v="1"/>
    <x v="5"/>
    <x v="0"/>
    <x v="4"/>
    <x v="7"/>
    <x v="0"/>
  </r>
  <r>
    <x v="0"/>
    <x v="7"/>
    <x v="0"/>
    <x v="0"/>
    <x v="2"/>
    <x v="1"/>
    <x v="1"/>
    <x v="5"/>
    <x v="0"/>
    <x v="4"/>
    <x v="7"/>
    <x v="0"/>
  </r>
  <r>
    <x v="0"/>
    <x v="11"/>
    <x v="0"/>
    <x v="0"/>
    <x v="2"/>
    <x v="1"/>
    <x v="1"/>
    <x v="5"/>
    <x v="0"/>
    <x v="4"/>
    <x v="7"/>
    <x v="0"/>
  </r>
  <r>
    <x v="0"/>
    <x v="12"/>
    <x v="0"/>
    <x v="0"/>
    <x v="2"/>
    <x v="1"/>
    <x v="1"/>
    <x v="5"/>
    <x v="0"/>
    <x v="4"/>
    <x v="7"/>
    <x v="0"/>
  </r>
  <r>
    <x v="0"/>
    <x v="8"/>
    <x v="0"/>
    <x v="0"/>
    <x v="2"/>
    <x v="1"/>
    <x v="1"/>
    <x v="5"/>
    <x v="0"/>
    <x v="4"/>
    <x v="7"/>
    <x v="0"/>
  </r>
  <r>
    <x v="0"/>
    <x v="9"/>
    <x v="0"/>
    <x v="0"/>
    <x v="2"/>
    <x v="1"/>
    <x v="1"/>
    <x v="5"/>
    <x v="0"/>
    <x v="4"/>
    <x v="7"/>
    <x v="0"/>
  </r>
  <r>
    <x v="0"/>
    <x v="10"/>
    <x v="0"/>
    <x v="0"/>
    <x v="2"/>
    <x v="1"/>
    <x v="1"/>
    <x v="5"/>
    <x v="0"/>
    <x v="4"/>
    <x v="7"/>
    <x v="0"/>
  </r>
  <r>
    <x v="0"/>
    <x v="10"/>
    <x v="0"/>
    <x v="0"/>
    <x v="0"/>
    <x v="0"/>
    <x v="1"/>
    <x v="0"/>
    <x v="0"/>
    <x v="4"/>
    <x v="7"/>
    <x v="0"/>
  </r>
  <r>
    <x v="0"/>
    <x v="0"/>
    <x v="0"/>
    <x v="0"/>
    <x v="3"/>
    <x v="1"/>
    <x v="1"/>
    <x v="6"/>
    <x v="2"/>
    <x v="2"/>
    <x v="1"/>
    <x v="0"/>
  </r>
  <r>
    <x v="0"/>
    <x v="1"/>
    <x v="0"/>
    <x v="0"/>
    <x v="3"/>
    <x v="1"/>
    <x v="1"/>
    <x v="6"/>
    <x v="2"/>
    <x v="2"/>
    <x v="1"/>
    <x v="0"/>
  </r>
  <r>
    <x v="0"/>
    <x v="2"/>
    <x v="0"/>
    <x v="0"/>
    <x v="3"/>
    <x v="1"/>
    <x v="1"/>
    <x v="6"/>
    <x v="2"/>
    <x v="2"/>
    <x v="1"/>
    <x v="0"/>
  </r>
  <r>
    <x v="0"/>
    <x v="3"/>
    <x v="0"/>
    <x v="0"/>
    <x v="3"/>
    <x v="1"/>
    <x v="1"/>
    <x v="6"/>
    <x v="2"/>
    <x v="2"/>
    <x v="1"/>
    <x v="0"/>
  </r>
  <r>
    <x v="0"/>
    <x v="4"/>
    <x v="0"/>
    <x v="0"/>
    <x v="3"/>
    <x v="1"/>
    <x v="1"/>
    <x v="6"/>
    <x v="2"/>
    <x v="2"/>
    <x v="1"/>
    <x v="0"/>
  </r>
  <r>
    <x v="0"/>
    <x v="5"/>
    <x v="0"/>
    <x v="0"/>
    <x v="3"/>
    <x v="1"/>
    <x v="1"/>
    <x v="6"/>
    <x v="2"/>
    <x v="2"/>
    <x v="1"/>
    <x v="0"/>
  </r>
  <r>
    <x v="0"/>
    <x v="6"/>
    <x v="0"/>
    <x v="0"/>
    <x v="3"/>
    <x v="1"/>
    <x v="1"/>
    <x v="6"/>
    <x v="2"/>
    <x v="2"/>
    <x v="1"/>
    <x v="0"/>
  </r>
  <r>
    <x v="0"/>
    <x v="7"/>
    <x v="0"/>
    <x v="0"/>
    <x v="3"/>
    <x v="1"/>
    <x v="1"/>
    <x v="6"/>
    <x v="2"/>
    <x v="2"/>
    <x v="1"/>
    <x v="0"/>
  </r>
  <r>
    <x v="0"/>
    <x v="11"/>
    <x v="0"/>
    <x v="0"/>
    <x v="3"/>
    <x v="1"/>
    <x v="1"/>
    <x v="6"/>
    <x v="2"/>
    <x v="2"/>
    <x v="1"/>
    <x v="0"/>
  </r>
  <r>
    <x v="0"/>
    <x v="12"/>
    <x v="0"/>
    <x v="0"/>
    <x v="3"/>
    <x v="1"/>
    <x v="1"/>
    <x v="6"/>
    <x v="2"/>
    <x v="2"/>
    <x v="1"/>
    <x v="0"/>
  </r>
  <r>
    <x v="0"/>
    <x v="8"/>
    <x v="0"/>
    <x v="0"/>
    <x v="3"/>
    <x v="1"/>
    <x v="1"/>
    <x v="6"/>
    <x v="2"/>
    <x v="2"/>
    <x v="1"/>
    <x v="0"/>
  </r>
  <r>
    <x v="0"/>
    <x v="9"/>
    <x v="0"/>
    <x v="0"/>
    <x v="3"/>
    <x v="1"/>
    <x v="1"/>
    <x v="6"/>
    <x v="2"/>
    <x v="2"/>
    <x v="1"/>
    <x v="0"/>
  </r>
  <r>
    <x v="0"/>
    <x v="10"/>
    <x v="0"/>
    <x v="0"/>
    <x v="3"/>
    <x v="1"/>
    <x v="1"/>
    <x v="6"/>
    <x v="2"/>
    <x v="2"/>
    <x v="1"/>
    <x v="0"/>
  </r>
  <r>
    <x v="0"/>
    <x v="0"/>
    <x v="0"/>
    <x v="0"/>
    <x v="3"/>
    <x v="0"/>
    <x v="1"/>
    <x v="4"/>
    <x v="0"/>
    <x v="0"/>
    <x v="0"/>
    <x v="0"/>
  </r>
  <r>
    <x v="0"/>
    <x v="1"/>
    <x v="0"/>
    <x v="0"/>
    <x v="3"/>
    <x v="0"/>
    <x v="1"/>
    <x v="4"/>
    <x v="0"/>
    <x v="0"/>
    <x v="0"/>
    <x v="0"/>
  </r>
  <r>
    <x v="0"/>
    <x v="2"/>
    <x v="0"/>
    <x v="0"/>
    <x v="3"/>
    <x v="0"/>
    <x v="1"/>
    <x v="4"/>
    <x v="0"/>
    <x v="0"/>
    <x v="0"/>
    <x v="0"/>
  </r>
  <r>
    <x v="0"/>
    <x v="3"/>
    <x v="0"/>
    <x v="0"/>
    <x v="3"/>
    <x v="0"/>
    <x v="1"/>
    <x v="4"/>
    <x v="0"/>
    <x v="0"/>
    <x v="0"/>
    <x v="0"/>
  </r>
  <r>
    <x v="0"/>
    <x v="4"/>
    <x v="0"/>
    <x v="0"/>
    <x v="3"/>
    <x v="0"/>
    <x v="1"/>
    <x v="4"/>
    <x v="0"/>
    <x v="0"/>
    <x v="0"/>
    <x v="0"/>
  </r>
  <r>
    <x v="0"/>
    <x v="5"/>
    <x v="0"/>
    <x v="0"/>
    <x v="3"/>
    <x v="0"/>
    <x v="1"/>
    <x v="4"/>
    <x v="0"/>
    <x v="0"/>
    <x v="22"/>
    <x v="0"/>
  </r>
  <r>
    <x v="0"/>
    <x v="6"/>
    <x v="0"/>
    <x v="0"/>
    <x v="3"/>
    <x v="0"/>
    <x v="1"/>
    <x v="4"/>
    <x v="0"/>
    <x v="0"/>
    <x v="0"/>
    <x v="0"/>
  </r>
  <r>
    <x v="0"/>
    <x v="7"/>
    <x v="0"/>
    <x v="0"/>
    <x v="3"/>
    <x v="0"/>
    <x v="1"/>
    <x v="4"/>
    <x v="0"/>
    <x v="0"/>
    <x v="13"/>
    <x v="0"/>
  </r>
  <r>
    <x v="0"/>
    <x v="11"/>
    <x v="0"/>
    <x v="0"/>
    <x v="3"/>
    <x v="0"/>
    <x v="1"/>
    <x v="4"/>
    <x v="0"/>
    <x v="0"/>
    <x v="13"/>
    <x v="0"/>
  </r>
  <r>
    <x v="0"/>
    <x v="12"/>
    <x v="0"/>
    <x v="0"/>
    <x v="3"/>
    <x v="0"/>
    <x v="1"/>
    <x v="4"/>
    <x v="0"/>
    <x v="0"/>
    <x v="0"/>
    <x v="0"/>
  </r>
  <r>
    <x v="0"/>
    <x v="8"/>
    <x v="0"/>
    <x v="0"/>
    <x v="3"/>
    <x v="0"/>
    <x v="1"/>
    <x v="4"/>
    <x v="0"/>
    <x v="0"/>
    <x v="0"/>
    <x v="0"/>
  </r>
  <r>
    <x v="0"/>
    <x v="9"/>
    <x v="0"/>
    <x v="0"/>
    <x v="3"/>
    <x v="0"/>
    <x v="1"/>
    <x v="4"/>
    <x v="0"/>
    <x v="0"/>
    <x v="0"/>
    <x v="0"/>
  </r>
  <r>
    <x v="0"/>
    <x v="10"/>
    <x v="0"/>
    <x v="0"/>
    <x v="3"/>
    <x v="0"/>
    <x v="1"/>
    <x v="4"/>
    <x v="0"/>
    <x v="0"/>
    <x v="0"/>
    <x v="0"/>
  </r>
  <r>
    <x v="0"/>
    <x v="0"/>
    <x v="0"/>
    <x v="0"/>
    <x v="3"/>
    <x v="0"/>
    <x v="1"/>
    <x v="4"/>
    <x v="0"/>
    <x v="2"/>
    <x v="0"/>
    <x v="0"/>
  </r>
  <r>
    <x v="0"/>
    <x v="1"/>
    <x v="0"/>
    <x v="0"/>
    <x v="3"/>
    <x v="0"/>
    <x v="1"/>
    <x v="4"/>
    <x v="0"/>
    <x v="2"/>
    <x v="0"/>
    <x v="0"/>
  </r>
  <r>
    <x v="0"/>
    <x v="2"/>
    <x v="0"/>
    <x v="0"/>
    <x v="3"/>
    <x v="0"/>
    <x v="1"/>
    <x v="4"/>
    <x v="0"/>
    <x v="2"/>
    <x v="0"/>
    <x v="0"/>
  </r>
  <r>
    <x v="0"/>
    <x v="3"/>
    <x v="0"/>
    <x v="0"/>
    <x v="3"/>
    <x v="0"/>
    <x v="1"/>
    <x v="4"/>
    <x v="0"/>
    <x v="2"/>
    <x v="0"/>
    <x v="0"/>
  </r>
  <r>
    <x v="0"/>
    <x v="4"/>
    <x v="0"/>
    <x v="0"/>
    <x v="3"/>
    <x v="0"/>
    <x v="1"/>
    <x v="4"/>
    <x v="0"/>
    <x v="2"/>
    <x v="0"/>
    <x v="0"/>
  </r>
  <r>
    <x v="0"/>
    <x v="5"/>
    <x v="0"/>
    <x v="0"/>
    <x v="3"/>
    <x v="0"/>
    <x v="1"/>
    <x v="4"/>
    <x v="0"/>
    <x v="2"/>
    <x v="22"/>
    <x v="0"/>
  </r>
  <r>
    <x v="0"/>
    <x v="6"/>
    <x v="0"/>
    <x v="0"/>
    <x v="3"/>
    <x v="0"/>
    <x v="1"/>
    <x v="4"/>
    <x v="0"/>
    <x v="2"/>
    <x v="0"/>
    <x v="0"/>
  </r>
  <r>
    <x v="0"/>
    <x v="7"/>
    <x v="0"/>
    <x v="0"/>
    <x v="3"/>
    <x v="0"/>
    <x v="1"/>
    <x v="4"/>
    <x v="0"/>
    <x v="2"/>
    <x v="13"/>
    <x v="0"/>
  </r>
  <r>
    <x v="0"/>
    <x v="11"/>
    <x v="0"/>
    <x v="0"/>
    <x v="3"/>
    <x v="0"/>
    <x v="1"/>
    <x v="4"/>
    <x v="0"/>
    <x v="2"/>
    <x v="13"/>
    <x v="0"/>
  </r>
  <r>
    <x v="0"/>
    <x v="12"/>
    <x v="0"/>
    <x v="0"/>
    <x v="3"/>
    <x v="0"/>
    <x v="1"/>
    <x v="4"/>
    <x v="0"/>
    <x v="2"/>
    <x v="0"/>
    <x v="0"/>
  </r>
  <r>
    <x v="0"/>
    <x v="8"/>
    <x v="0"/>
    <x v="0"/>
    <x v="3"/>
    <x v="0"/>
    <x v="1"/>
    <x v="4"/>
    <x v="0"/>
    <x v="2"/>
    <x v="0"/>
    <x v="0"/>
  </r>
  <r>
    <x v="0"/>
    <x v="9"/>
    <x v="0"/>
    <x v="0"/>
    <x v="3"/>
    <x v="0"/>
    <x v="1"/>
    <x v="4"/>
    <x v="0"/>
    <x v="2"/>
    <x v="0"/>
    <x v="0"/>
  </r>
  <r>
    <x v="0"/>
    <x v="10"/>
    <x v="0"/>
    <x v="0"/>
    <x v="3"/>
    <x v="0"/>
    <x v="1"/>
    <x v="4"/>
    <x v="0"/>
    <x v="2"/>
    <x v="0"/>
    <x v="0"/>
  </r>
  <r>
    <x v="0"/>
    <x v="0"/>
    <x v="0"/>
    <x v="0"/>
    <x v="0"/>
    <x v="0"/>
    <x v="2"/>
    <x v="0"/>
    <x v="0"/>
    <x v="0"/>
    <x v="0"/>
    <x v="0"/>
  </r>
  <r>
    <x v="0"/>
    <x v="1"/>
    <x v="0"/>
    <x v="0"/>
    <x v="0"/>
    <x v="0"/>
    <x v="2"/>
    <x v="0"/>
    <x v="0"/>
    <x v="0"/>
    <x v="0"/>
    <x v="0"/>
  </r>
  <r>
    <x v="0"/>
    <x v="2"/>
    <x v="0"/>
    <x v="0"/>
    <x v="0"/>
    <x v="0"/>
    <x v="2"/>
    <x v="0"/>
    <x v="0"/>
    <x v="0"/>
    <x v="0"/>
    <x v="0"/>
  </r>
  <r>
    <x v="0"/>
    <x v="3"/>
    <x v="0"/>
    <x v="0"/>
    <x v="0"/>
    <x v="0"/>
    <x v="2"/>
    <x v="0"/>
    <x v="0"/>
    <x v="0"/>
    <x v="0"/>
    <x v="0"/>
  </r>
  <r>
    <x v="0"/>
    <x v="4"/>
    <x v="0"/>
    <x v="0"/>
    <x v="0"/>
    <x v="0"/>
    <x v="2"/>
    <x v="0"/>
    <x v="0"/>
    <x v="0"/>
    <x v="0"/>
    <x v="0"/>
  </r>
  <r>
    <x v="0"/>
    <x v="5"/>
    <x v="0"/>
    <x v="0"/>
    <x v="0"/>
    <x v="0"/>
    <x v="2"/>
    <x v="0"/>
    <x v="0"/>
    <x v="0"/>
    <x v="0"/>
    <x v="0"/>
  </r>
  <r>
    <x v="0"/>
    <x v="6"/>
    <x v="0"/>
    <x v="0"/>
    <x v="0"/>
    <x v="0"/>
    <x v="2"/>
    <x v="0"/>
    <x v="0"/>
    <x v="0"/>
    <x v="0"/>
    <x v="0"/>
  </r>
  <r>
    <x v="0"/>
    <x v="7"/>
    <x v="0"/>
    <x v="0"/>
    <x v="0"/>
    <x v="0"/>
    <x v="2"/>
    <x v="0"/>
    <x v="0"/>
    <x v="0"/>
    <x v="0"/>
    <x v="0"/>
  </r>
  <r>
    <x v="0"/>
    <x v="8"/>
    <x v="0"/>
    <x v="0"/>
    <x v="0"/>
    <x v="0"/>
    <x v="2"/>
    <x v="0"/>
    <x v="0"/>
    <x v="0"/>
    <x v="0"/>
    <x v="0"/>
  </r>
  <r>
    <x v="0"/>
    <x v="9"/>
    <x v="0"/>
    <x v="0"/>
    <x v="0"/>
    <x v="0"/>
    <x v="2"/>
    <x v="0"/>
    <x v="0"/>
    <x v="0"/>
    <x v="0"/>
    <x v="0"/>
  </r>
  <r>
    <x v="0"/>
    <x v="10"/>
    <x v="0"/>
    <x v="0"/>
    <x v="0"/>
    <x v="0"/>
    <x v="2"/>
    <x v="0"/>
    <x v="0"/>
    <x v="0"/>
    <x v="0"/>
    <x v="0"/>
  </r>
  <r>
    <x v="0"/>
    <x v="0"/>
    <x v="0"/>
    <x v="0"/>
    <x v="0"/>
    <x v="0"/>
    <x v="2"/>
    <x v="0"/>
    <x v="1"/>
    <x v="0"/>
    <x v="1"/>
    <x v="0"/>
  </r>
  <r>
    <x v="0"/>
    <x v="1"/>
    <x v="0"/>
    <x v="0"/>
    <x v="0"/>
    <x v="0"/>
    <x v="2"/>
    <x v="0"/>
    <x v="1"/>
    <x v="0"/>
    <x v="1"/>
    <x v="0"/>
  </r>
  <r>
    <x v="0"/>
    <x v="2"/>
    <x v="0"/>
    <x v="0"/>
    <x v="0"/>
    <x v="0"/>
    <x v="2"/>
    <x v="0"/>
    <x v="1"/>
    <x v="0"/>
    <x v="1"/>
    <x v="0"/>
  </r>
  <r>
    <x v="0"/>
    <x v="3"/>
    <x v="0"/>
    <x v="0"/>
    <x v="0"/>
    <x v="0"/>
    <x v="2"/>
    <x v="0"/>
    <x v="1"/>
    <x v="0"/>
    <x v="1"/>
    <x v="0"/>
  </r>
  <r>
    <x v="0"/>
    <x v="4"/>
    <x v="0"/>
    <x v="0"/>
    <x v="0"/>
    <x v="0"/>
    <x v="2"/>
    <x v="0"/>
    <x v="1"/>
    <x v="0"/>
    <x v="1"/>
    <x v="0"/>
  </r>
  <r>
    <x v="0"/>
    <x v="5"/>
    <x v="0"/>
    <x v="0"/>
    <x v="0"/>
    <x v="0"/>
    <x v="2"/>
    <x v="0"/>
    <x v="1"/>
    <x v="0"/>
    <x v="1"/>
    <x v="0"/>
  </r>
  <r>
    <x v="0"/>
    <x v="6"/>
    <x v="0"/>
    <x v="0"/>
    <x v="0"/>
    <x v="0"/>
    <x v="2"/>
    <x v="0"/>
    <x v="1"/>
    <x v="0"/>
    <x v="1"/>
    <x v="0"/>
  </r>
  <r>
    <x v="0"/>
    <x v="7"/>
    <x v="0"/>
    <x v="0"/>
    <x v="0"/>
    <x v="0"/>
    <x v="2"/>
    <x v="0"/>
    <x v="1"/>
    <x v="0"/>
    <x v="1"/>
    <x v="0"/>
  </r>
  <r>
    <x v="0"/>
    <x v="11"/>
    <x v="0"/>
    <x v="0"/>
    <x v="0"/>
    <x v="0"/>
    <x v="2"/>
    <x v="0"/>
    <x v="1"/>
    <x v="0"/>
    <x v="1"/>
    <x v="0"/>
  </r>
  <r>
    <x v="0"/>
    <x v="12"/>
    <x v="0"/>
    <x v="0"/>
    <x v="0"/>
    <x v="0"/>
    <x v="2"/>
    <x v="0"/>
    <x v="1"/>
    <x v="0"/>
    <x v="1"/>
    <x v="0"/>
  </r>
  <r>
    <x v="0"/>
    <x v="8"/>
    <x v="0"/>
    <x v="0"/>
    <x v="0"/>
    <x v="0"/>
    <x v="2"/>
    <x v="0"/>
    <x v="1"/>
    <x v="0"/>
    <x v="1"/>
    <x v="0"/>
  </r>
  <r>
    <x v="0"/>
    <x v="9"/>
    <x v="0"/>
    <x v="0"/>
    <x v="0"/>
    <x v="0"/>
    <x v="2"/>
    <x v="0"/>
    <x v="1"/>
    <x v="0"/>
    <x v="1"/>
    <x v="0"/>
  </r>
  <r>
    <x v="0"/>
    <x v="10"/>
    <x v="0"/>
    <x v="0"/>
    <x v="0"/>
    <x v="0"/>
    <x v="2"/>
    <x v="0"/>
    <x v="1"/>
    <x v="0"/>
    <x v="1"/>
    <x v="0"/>
  </r>
  <r>
    <x v="0"/>
    <x v="12"/>
    <x v="0"/>
    <x v="0"/>
    <x v="0"/>
    <x v="0"/>
    <x v="2"/>
    <x v="0"/>
    <x v="1"/>
    <x v="0"/>
    <x v="1"/>
    <x v="0"/>
  </r>
  <r>
    <x v="0"/>
    <x v="0"/>
    <x v="0"/>
    <x v="0"/>
    <x v="0"/>
    <x v="0"/>
    <x v="2"/>
    <x v="0"/>
    <x v="2"/>
    <x v="1"/>
    <x v="1"/>
    <x v="0"/>
  </r>
  <r>
    <x v="0"/>
    <x v="1"/>
    <x v="0"/>
    <x v="0"/>
    <x v="0"/>
    <x v="0"/>
    <x v="2"/>
    <x v="0"/>
    <x v="2"/>
    <x v="1"/>
    <x v="1"/>
    <x v="0"/>
  </r>
  <r>
    <x v="0"/>
    <x v="2"/>
    <x v="0"/>
    <x v="0"/>
    <x v="0"/>
    <x v="0"/>
    <x v="2"/>
    <x v="0"/>
    <x v="2"/>
    <x v="1"/>
    <x v="1"/>
    <x v="0"/>
  </r>
  <r>
    <x v="0"/>
    <x v="3"/>
    <x v="0"/>
    <x v="0"/>
    <x v="0"/>
    <x v="0"/>
    <x v="2"/>
    <x v="0"/>
    <x v="2"/>
    <x v="1"/>
    <x v="1"/>
    <x v="0"/>
  </r>
  <r>
    <x v="0"/>
    <x v="4"/>
    <x v="0"/>
    <x v="0"/>
    <x v="0"/>
    <x v="0"/>
    <x v="2"/>
    <x v="0"/>
    <x v="2"/>
    <x v="1"/>
    <x v="1"/>
    <x v="0"/>
  </r>
  <r>
    <x v="0"/>
    <x v="5"/>
    <x v="0"/>
    <x v="0"/>
    <x v="0"/>
    <x v="0"/>
    <x v="2"/>
    <x v="0"/>
    <x v="2"/>
    <x v="1"/>
    <x v="1"/>
    <x v="0"/>
  </r>
  <r>
    <x v="0"/>
    <x v="6"/>
    <x v="0"/>
    <x v="0"/>
    <x v="0"/>
    <x v="0"/>
    <x v="2"/>
    <x v="0"/>
    <x v="2"/>
    <x v="1"/>
    <x v="1"/>
    <x v="0"/>
  </r>
  <r>
    <x v="0"/>
    <x v="7"/>
    <x v="0"/>
    <x v="0"/>
    <x v="0"/>
    <x v="0"/>
    <x v="2"/>
    <x v="0"/>
    <x v="2"/>
    <x v="1"/>
    <x v="1"/>
    <x v="0"/>
  </r>
  <r>
    <x v="0"/>
    <x v="11"/>
    <x v="0"/>
    <x v="0"/>
    <x v="0"/>
    <x v="0"/>
    <x v="2"/>
    <x v="0"/>
    <x v="2"/>
    <x v="1"/>
    <x v="1"/>
    <x v="0"/>
  </r>
  <r>
    <x v="0"/>
    <x v="12"/>
    <x v="0"/>
    <x v="0"/>
    <x v="0"/>
    <x v="0"/>
    <x v="2"/>
    <x v="0"/>
    <x v="2"/>
    <x v="1"/>
    <x v="1"/>
    <x v="0"/>
  </r>
  <r>
    <x v="0"/>
    <x v="9"/>
    <x v="0"/>
    <x v="0"/>
    <x v="0"/>
    <x v="0"/>
    <x v="2"/>
    <x v="0"/>
    <x v="2"/>
    <x v="1"/>
    <x v="1"/>
    <x v="0"/>
  </r>
  <r>
    <x v="0"/>
    <x v="10"/>
    <x v="0"/>
    <x v="0"/>
    <x v="0"/>
    <x v="0"/>
    <x v="2"/>
    <x v="0"/>
    <x v="2"/>
    <x v="1"/>
    <x v="1"/>
    <x v="0"/>
  </r>
  <r>
    <x v="0"/>
    <x v="12"/>
    <x v="0"/>
    <x v="0"/>
    <x v="0"/>
    <x v="0"/>
    <x v="2"/>
    <x v="0"/>
    <x v="1"/>
    <x v="1"/>
    <x v="1"/>
    <x v="0"/>
  </r>
  <r>
    <x v="0"/>
    <x v="0"/>
    <x v="0"/>
    <x v="0"/>
    <x v="0"/>
    <x v="0"/>
    <x v="2"/>
    <x v="0"/>
    <x v="1"/>
    <x v="1"/>
    <x v="1"/>
    <x v="0"/>
  </r>
  <r>
    <x v="0"/>
    <x v="1"/>
    <x v="0"/>
    <x v="0"/>
    <x v="0"/>
    <x v="0"/>
    <x v="2"/>
    <x v="0"/>
    <x v="1"/>
    <x v="1"/>
    <x v="1"/>
    <x v="0"/>
  </r>
  <r>
    <x v="0"/>
    <x v="2"/>
    <x v="0"/>
    <x v="0"/>
    <x v="0"/>
    <x v="0"/>
    <x v="2"/>
    <x v="0"/>
    <x v="1"/>
    <x v="1"/>
    <x v="1"/>
    <x v="0"/>
  </r>
  <r>
    <x v="0"/>
    <x v="3"/>
    <x v="0"/>
    <x v="0"/>
    <x v="0"/>
    <x v="0"/>
    <x v="2"/>
    <x v="0"/>
    <x v="1"/>
    <x v="1"/>
    <x v="1"/>
    <x v="0"/>
  </r>
  <r>
    <x v="0"/>
    <x v="4"/>
    <x v="0"/>
    <x v="0"/>
    <x v="0"/>
    <x v="0"/>
    <x v="2"/>
    <x v="0"/>
    <x v="1"/>
    <x v="1"/>
    <x v="1"/>
    <x v="0"/>
  </r>
  <r>
    <x v="0"/>
    <x v="5"/>
    <x v="0"/>
    <x v="0"/>
    <x v="0"/>
    <x v="0"/>
    <x v="2"/>
    <x v="0"/>
    <x v="1"/>
    <x v="1"/>
    <x v="1"/>
    <x v="0"/>
  </r>
  <r>
    <x v="0"/>
    <x v="6"/>
    <x v="0"/>
    <x v="0"/>
    <x v="0"/>
    <x v="0"/>
    <x v="2"/>
    <x v="0"/>
    <x v="1"/>
    <x v="1"/>
    <x v="1"/>
    <x v="0"/>
  </r>
  <r>
    <x v="0"/>
    <x v="7"/>
    <x v="0"/>
    <x v="0"/>
    <x v="0"/>
    <x v="0"/>
    <x v="2"/>
    <x v="0"/>
    <x v="1"/>
    <x v="1"/>
    <x v="1"/>
    <x v="0"/>
  </r>
  <r>
    <x v="0"/>
    <x v="11"/>
    <x v="0"/>
    <x v="0"/>
    <x v="0"/>
    <x v="0"/>
    <x v="2"/>
    <x v="0"/>
    <x v="1"/>
    <x v="1"/>
    <x v="1"/>
    <x v="0"/>
  </r>
  <r>
    <x v="0"/>
    <x v="12"/>
    <x v="0"/>
    <x v="0"/>
    <x v="0"/>
    <x v="0"/>
    <x v="2"/>
    <x v="0"/>
    <x v="1"/>
    <x v="1"/>
    <x v="1"/>
    <x v="0"/>
  </r>
  <r>
    <x v="0"/>
    <x v="8"/>
    <x v="0"/>
    <x v="0"/>
    <x v="0"/>
    <x v="0"/>
    <x v="2"/>
    <x v="0"/>
    <x v="1"/>
    <x v="1"/>
    <x v="1"/>
    <x v="0"/>
  </r>
  <r>
    <x v="0"/>
    <x v="9"/>
    <x v="0"/>
    <x v="0"/>
    <x v="0"/>
    <x v="0"/>
    <x v="2"/>
    <x v="0"/>
    <x v="1"/>
    <x v="1"/>
    <x v="1"/>
    <x v="0"/>
  </r>
  <r>
    <x v="0"/>
    <x v="10"/>
    <x v="0"/>
    <x v="0"/>
    <x v="0"/>
    <x v="0"/>
    <x v="2"/>
    <x v="0"/>
    <x v="1"/>
    <x v="1"/>
    <x v="1"/>
    <x v="0"/>
  </r>
  <r>
    <x v="0"/>
    <x v="0"/>
    <x v="0"/>
    <x v="0"/>
    <x v="0"/>
    <x v="0"/>
    <x v="2"/>
    <x v="0"/>
    <x v="2"/>
    <x v="2"/>
    <x v="1"/>
    <x v="0"/>
  </r>
  <r>
    <x v="0"/>
    <x v="1"/>
    <x v="0"/>
    <x v="0"/>
    <x v="0"/>
    <x v="0"/>
    <x v="2"/>
    <x v="0"/>
    <x v="2"/>
    <x v="2"/>
    <x v="1"/>
    <x v="0"/>
  </r>
  <r>
    <x v="0"/>
    <x v="2"/>
    <x v="0"/>
    <x v="0"/>
    <x v="0"/>
    <x v="0"/>
    <x v="2"/>
    <x v="0"/>
    <x v="2"/>
    <x v="2"/>
    <x v="1"/>
    <x v="0"/>
  </r>
  <r>
    <x v="0"/>
    <x v="3"/>
    <x v="0"/>
    <x v="0"/>
    <x v="0"/>
    <x v="0"/>
    <x v="2"/>
    <x v="0"/>
    <x v="2"/>
    <x v="2"/>
    <x v="1"/>
    <x v="0"/>
  </r>
  <r>
    <x v="0"/>
    <x v="4"/>
    <x v="0"/>
    <x v="0"/>
    <x v="0"/>
    <x v="0"/>
    <x v="2"/>
    <x v="0"/>
    <x v="2"/>
    <x v="2"/>
    <x v="1"/>
    <x v="0"/>
  </r>
  <r>
    <x v="0"/>
    <x v="5"/>
    <x v="0"/>
    <x v="0"/>
    <x v="0"/>
    <x v="0"/>
    <x v="2"/>
    <x v="0"/>
    <x v="2"/>
    <x v="2"/>
    <x v="1"/>
    <x v="0"/>
  </r>
  <r>
    <x v="0"/>
    <x v="6"/>
    <x v="0"/>
    <x v="0"/>
    <x v="0"/>
    <x v="0"/>
    <x v="2"/>
    <x v="0"/>
    <x v="2"/>
    <x v="2"/>
    <x v="1"/>
    <x v="0"/>
  </r>
  <r>
    <x v="0"/>
    <x v="7"/>
    <x v="0"/>
    <x v="0"/>
    <x v="0"/>
    <x v="0"/>
    <x v="2"/>
    <x v="0"/>
    <x v="2"/>
    <x v="2"/>
    <x v="1"/>
    <x v="0"/>
  </r>
  <r>
    <x v="0"/>
    <x v="11"/>
    <x v="0"/>
    <x v="0"/>
    <x v="0"/>
    <x v="0"/>
    <x v="2"/>
    <x v="0"/>
    <x v="2"/>
    <x v="2"/>
    <x v="1"/>
    <x v="0"/>
  </r>
  <r>
    <x v="0"/>
    <x v="12"/>
    <x v="0"/>
    <x v="0"/>
    <x v="0"/>
    <x v="0"/>
    <x v="2"/>
    <x v="0"/>
    <x v="2"/>
    <x v="2"/>
    <x v="1"/>
    <x v="0"/>
  </r>
  <r>
    <x v="0"/>
    <x v="8"/>
    <x v="0"/>
    <x v="0"/>
    <x v="0"/>
    <x v="0"/>
    <x v="2"/>
    <x v="0"/>
    <x v="2"/>
    <x v="2"/>
    <x v="1"/>
    <x v="0"/>
  </r>
  <r>
    <x v="0"/>
    <x v="9"/>
    <x v="0"/>
    <x v="0"/>
    <x v="0"/>
    <x v="0"/>
    <x v="2"/>
    <x v="0"/>
    <x v="2"/>
    <x v="2"/>
    <x v="1"/>
    <x v="0"/>
  </r>
  <r>
    <x v="0"/>
    <x v="10"/>
    <x v="0"/>
    <x v="0"/>
    <x v="0"/>
    <x v="0"/>
    <x v="2"/>
    <x v="0"/>
    <x v="2"/>
    <x v="2"/>
    <x v="1"/>
    <x v="0"/>
  </r>
  <r>
    <x v="0"/>
    <x v="0"/>
    <x v="0"/>
    <x v="0"/>
    <x v="0"/>
    <x v="0"/>
    <x v="2"/>
    <x v="0"/>
    <x v="1"/>
    <x v="2"/>
    <x v="1"/>
    <x v="0"/>
  </r>
  <r>
    <x v="0"/>
    <x v="1"/>
    <x v="0"/>
    <x v="0"/>
    <x v="0"/>
    <x v="0"/>
    <x v="2"/>
    <x v="0"/>
    <x v="1"/>
    <x v="2"/>
    <x v="1"/>
    <x v="0"/>
  </r>
  <r>
    <x v="0"/>
    <x v="2"/>
    <x v="0"/>
    <x v="0"/>
    <x v="0"/>
    <x v="0"/>
    <x v="2"/>
    <x v="0"/>
    <x v="1"/>
    <x v="2"/>
    <x v="1"/>
    <x v="0"/>
  </r>
  <r>
    <x v="0"/>
    <x v="3"/>
    <x v="0"/>
    <x v="0"/>
    <x v="0"/>
    <x v="0"/>
    <x v="2"/>
    <x v="0"/>
    <x v="1"/>
    <x v="2"/>
    <x v="1"/>
    <x v="0"/>
  </r>
  <r>
    <x v="0"/>
    <x v="4"/>
    <x v="0"/>
    <x v="0"/>
    <x v="0"/>
    <x v="0"/>
    <x v="2"/>
    <x v="0"/>
    <x v="1"/>
    <x v="2"/>
    <x v="1"/>
    <x v="0"/>
  </r>
  <r>
    <x v="0"/>
    <x v="5"/>
    <x v="0"/>
    <x v="0"/>
    <x v="0"/>
    <x v="0"/>
    <x v="2"/>
    <x v="0"/>
    <x v="1"/>
    <x v="2"/>
    <x v="1"/>
    <x v="0"/>
  </r>
  <r>
    <x v="0"/>
    <x v="6"/>
    <x v="0"/>
    <x v="0"/>
    <x v="0"/>
    <x v="0"/>
    <x v="2"/>
    <x v="0"/>
    <x v="1"/>
    <x v="2"/>
    <x v="1"/>
    <x v="0"/>
  </r>
  <r>
    <x v="0"/>
    <x v="7"/>
    <x v="0"/>
    <x v="0"/>
    <x v="0"/>
    <x v="0"/>
    <x v="2"/>
    <x v="0"/>
    <x v="1"/>
    <x v="2"/>
    <x v="1"/>
    <x v="0"/>
  </r>
  <r>
    <x v="0"/>
    <x v="11"/>
    <x v="0"/>
    <x v="0"/>
    <x v="0"/>
    <x v="0"/>
    <x v="2"/>
    <x v="0"/>
    <x v="1"/>
    <x v="2"/>
    <x v="1"/>
    <x v="0"/>
  </r>
  <r>
    <x v="0"/>
    <x v="12"/>
    <x v="0"/>
    <x v="0"/>
    <x v="0"/>
    <x v="0"/>
    <x v="2"/>
    <x v="0"/>
    <x v="1"/>
    <x v="2"/>
    <x v="1"/>
    <x v="0"/>
  </r>
  <r>
    <x v="0"/>
    <x v="8"/>
    <x v="0"/>
    <x v="0"/>
    <x v="0"/>
    <x v="0"/>
    <x v="2"/>
    <x v="0"/>
    <x v="1"/>
    <x v="2"/>
    <x v="1"/>
    <x v="0"/>
  </r>
  <r>
    <x v="0"/>
    <x v="9"/>
    <x v="0"/>
    <x v="0"/>
    <x v="0"/>
    <x v="0"/>
    <x v="2"/>
    <x v="0"/>
    <x v="1"/>
    <x v="2"/>
    <x v="1"/>
    <x v="0"/>
  </r>
  <r>
    <x v="0"/>
    <x v="10"/>
    <x v="0"/>
    <x v="0"/>
    <x v="0"/>
    <x v="0"/>
    <x v="2"/>
    <x v="0"/>
    <x v="1"/>
    <x v="2"/>
    <x v="1"/>
    <x v="0"/>
  </r>
  <r>
    <x v="0"/>
    <x v="0"/>
    <x v="0"/>
    <x v="0"/>
    <x v="0"/>
    <x v="0"/>
    <x v="2"/>
    <x v="1"/>
    <x v="3"/>
    <x v="3"/>
    <x v="2"/>
    <x v="0"/>
  </r>
  <r>
    <x v="0"/>
    <x v="1"/>
    <x v="0"/>
    <x v="0"/>
    <x v="0"/>
    <x v="0"/>
    <x v="2"/>
    <x v="1"/>
    <x v="3"/>
    <x v="3"/>
    <x v="2"/>
    <x v="0"/>
  </r>
  <r>
    <x v="0"/>
    <x v="2"/>
    <x v="0"/>
    <x v="0"/>
    <x v="0"/>
    <x v="0"/>
    <x v="2"/>
    <x v="1"/>
    <x v="3"/>
    <x v="3"/>
    <x v="2"/>
    <x v="0"/>
  </r>
  <r>
    <x v="0"/>
    <x v="3"/>
    <x v="0"/>
    <x v="0"/>
    <x v="0"/>
    <x v="0"/>
    <x v="2"/>
    <x v="1"/>
    <x v="3"/>
    <x v="3"/>
    <x v="2"/>
    <x v="0"/>
  </r>
  <r>
    <x v="0"/>
    <x v="4"/>
    <x v="0"/>
    <x v="0"/>
    <x v="0"/>
    <x v="0"/>
    <x v="2"/>
    <x v="1"/>
    <x v="3"/>
    <x v="3"/>
    <x v="2"/>
    <x v="0"/>
  </r>
  <r>
    <x v="0"/>
    <x v="5"/>
    <x v="0"/>
    <x v="0"/>
    <x v="0"/>
    <x v="0"/>
    <x v="2"/>
    <x v="1"/>
    <x v="3"/>
    <x v="3"/>
    <x v="2"/>
    <x v="0"/>
  </r>
  <r>
    <x v="0"/>
    <x v="6"/>
    <x v="0"/>
    <x v="0"/>
    <x v="0"/>
    <x v="0"/>
    <x v="2"/>
    <x v="1"/>
    <x v="3"/>
    <x v="3"/>
    <x v="2"/>
    <x v="0"/>
  </r>
  <r>
    <x v="0"/>
    <x v="7"/>
    <x v="0"/>
    <x v="0"/>
    <x v="0"/>
    <x v="0"/>
    <x v="2"/>
    <x v="1"/>
    <x v="3"/>
    <x v="3"/>
    <x v="2"/>
    <x v="0"/>
  </r>
  <r>
    <x v="0"/>
    <x v="11"/>
    <x v="0"/>
    <x v="0"/>
    <x v="0"/>
    <x v="0"/>
    <x v="2"/>
    <x v="1"/>
    <x v="3"/>
    <x v="3"/>
    <x v="2"/>
    <x v="0"/>
  </r>
  <r>
    <x v="0"/>
    <x v="12"/>
    <x v="0"/>
    <x v="0"/>
    <x v="0"/>
    <x v="0"/>
    <x v="2"/>
    <x v="1"/>
    <x v="3"/>
    <x v="3"/>
    <x v="2"/>
    <x v="0"/>
  </r>
  <r>
    <x v="0"/>
    <x v="8"/>
    <x v="0"/>
    <x v="0"/>
    <x v="0"/>
    <x v="0"/>
    <x v="2"/>
    <x v="1"/>
    <x v="3"/>
    <x v="3"/>
    <x v="2"/>
    <x v="0"/>
  </r>
  <r>
    <x v="0"/>
    <x v="9"/>
    <x v="0"/>
    <x v="0"/>
    <x v="0"/>
    <x v="0"/>
    <x v="2"/>
    <x v="1"/>
    <x v="3"/>
    <x v="3"/>
    <x v="2"/>
    <x v="0"/>
  </r>
  <r>
    <x v="0"/>
    <x v="10"/>
    <x v="0"/>
    <x v="0"/>
    <x v="0"/>
    <x v="0"/>
    <x v="2"/>
    <x v="1"/>
    <x v="3"/>
    <x v="3"/>
    <x v="2"/>
    <x v="0"/>
  </r>
  <r>
    <x v="0"/>
    <x v="0"/>
    <x v="0"/>
    <x v="0"/>
    <x v="0"/>
    <x v="0"/>
    <x v="2"/>
    <x v="2"/>
    <x v="3"/>
    <x v="3"/>
    <x v="4"/>
    <x v="0"/>
  </r>
  <r>
    <x v="0"/>
    <x v="1"/>
    <x v="0"/>
    <x v="0"/>
    <x v="0"/>
    <x v="0"/>
    <x v="2"/>
    <x v="2"/>
    <x v="3"/>
    <x v="3"/>
    <x v="4"/>
    <x v="0"/>
  </r>
  <r>
    <x v="0"/>
    <x v="2"/>
    <x v="0"/>
    <x v="0"/>
    <x v="0"/>
    <x v="0"/>
    <x v="2"/>
    <x v="2"/>
    <x v="3"/>
    <x v="3"/>
    <x v="4"/>
    <x v="0"/>
  </r>
  <r>
    <x v="0"/>
    <x v="3"/>
    <x v="0"/>
    <x v="0"/>
    <x v="0"/>
    <x v="0"/>
    <x v="2"/>
    <x v="2"/>
    <x v="3"/>
    <x v="3"/>
    <x v="4"/>
    <x v="0"/>
  </r>
  <r>
    <x v="0"/>
    <x v="4"/>
    <x v="0"/>
    <x v="0"/>
    <x v="0"/>
    <x v="0"/>
    <x v="2"/>
    <x v="2"/>
    <x v="3"/>
    <x v="3"/>
    <x v="4"/>
    <x v="0"/>
  </r>
  <r>
    <x v="0"/>
    <x v="5"/>
    <x v="0"/>
    <x v="0"/>
    <x v="0"/>
    <x v="0"/>
    <x v="2"/>
    <x v="2"/>
    <x v="3"/>
    <x v="3"/>
    <x v="4"/>
    <x v="0"/>
  </r>
  <r>
    <x v="0"/>
    <x v="6"/>
    <x v="0"/>
    <x v="0"/>
    <x v="0"/>
    <x v="0"/>
    <x v="2"/>
    <x v="2"/>
    <x v="3"/>
    <x v="3"/>
    <x v="4"/>
    <x v="0"/>
  </r>
  <r>
    <x v="0"/>
    <x v="7"/>
    <x v="0"/>
    <x v="0"/>
    <x v="0"/>
    <x v="0"/>
    <x v="2"/>
    <x v="2"/>
    <x v="3"/>
    <x v="3"/>
    <x v="4"/>
    <x v="0"/>
  </r>
  <r>
    <x v="0"/>
    <x v="11"/>
    <x v="0"/>
    <x v="0"/>
    <x v="0"/>
    <x v="0"/>
    <x v="2"/>
    <x v="2"/>
    <x v="3"/>
    <x v="3"/>
    <x v="4"/>
    <x v="0"/>
  </r>
  <r>
    <x v="0"/>
    <x v="12"/>
    <x v="0"/>
    <x v="0"/>
    <x v="0"/>
    <x v="0"/>
    <x v="2"/>
    <x v="2"/>
    <x v="3"/>
    <x v="3"/>
    <x v="4"/>
    <x v="0"/>
  </r>
  <r>
    <x v="0"/>
    <x v="8"/>
    <x v="0"/>
    <x v="0"/>
    <x v="0"/>
    <x v="0"/>
    <x v="2"/>
    <x v="2"/>
    <x v="3"/>
    <x v="3"/>
    <x v="4"/>
    <x v="0"/>
  </r>
  <r>
    <x v="0"/>
    <x v="9"/>
    <x v="0"/>
    <x v="0"/>
    <x v="0"/>
    <x v="0"/>
    <x v="2"/>
    <x v="2"/>
    <x v="3"/>
    <x v="3"/>
    <x v="4"/>
    <x v="0"/>
  </r>
  <r>
    <x v="0"/>
    <x v="10"/>
    <x v="0"/>
    <x v="0"/>
    <x v="0"/>
    <x v="0"/>
    <x v="2"/>
    <x v="2"/>
    <x v="3"/>
    <x v="3"/>
    <x v="4"/>
    <x v="0"/>
  </r>
  <r>
    <x v="0"/>
    <x v="0"/>
    <x v="0"/>
    <x v="0"/>
    <x v="1"/>
    <x v="1"/>
    <x v="2"/>
    <x v="3"/>
    <x v="0"/>
    <x v="0"/>
    <x v="0"/>
    <x v="0"/>
  </r>
  <r>
    <x v="0"/>
    <x v="1"/>
    <x v="0"/>
    <x v="0"/>
    <x v="1"/>
    <x v="1"/>
    <x v="2"/>
    <x v="3"/>
    <x v="0"/>
    <x v="0"/>
    <x v="0"/>
    <x v="0"/>
  </r>
  <r>
    <x v="0"/>
    <x v="2"/>
    <x v="0"/>
    <x v="0"/>
    <x v="1"/>
    <x v="1"/>
    <x v="2"/>
    <x v="3"/>
    <x v="0"/>
    <x v="0"/>
    <x v="0"/>
    <x v="0"/>
  </r>
  <r>
    <x v="0"/>
    <x v="3"/>
    <x v="0"/>
    <x v="0"/>
    <x v="1"/>
    <x v="1"/>
    <x v="2"/>
    <x v="3"/>
    <x v="0"/>
    <x v="0"/>
    <x v="0"/>
    <x v="0"/>
  </r>
  <r>
    <x v="0"/>
    <x v="4"/>
    <x v="0"/>
    <x v="0"/>
    <x v="1"/>
    <x v="1"/>
    <x v="2"/>
    <x v="3"/>
    <x v="0"/>
    <x v="0"/>
    <x v="0"/>
    <x v="0"/>
  </r>
  <r>
    <x v="0"/>
    <x v="5"/>
    <x v="0"/>
    <x v="0"/>
    <x v="1"/>
    <x v="1"/>
    <x v="2"/>
    <x v="3"/>
    <x v="0"/>
    <x v="0"/>
    <x v="0"/>
    <x v="0"/>
  </r>
  <r>
    <x v="0"/>
    <x v="6"/>
    <x v="0"/>
    <x v="0"/>
    <x v="1"/>
    <x v="1"/>
    <x v="2"/>
    <x v="3"/>
    <x v="0"/>
    <x v="0"/>
    <x v="0"/>
    <x v="0"/>
  </r>
  <r>
    <x v="0"/>
    <x v="7"/>
    <x v="0"/>
    <x v="0"/>
    <x v="1"/>
    <x v="1"/>
    <x v="2"/>
    <x v="3"/>
    <x v="0"/>
    <x v="0"/>
    <x v="0"/>
    <x v="0"/>
  </r>
  <r>
    <x v="0"/>
    <x v="11"/>
    <x v="0"/>
    <x v="0"/>
    <x v="1"/>
    <x v="1"/>
    <x v="2"/>
    <x v="3"/>
    <x v="0"/>
    <x v="0"/>
    <x v="0"/>
    <x v="0"/>
  </r>
  <r>
    <x v="0"/>
    <x v="12"/>
    <x v="0"/>
    <x v="0"/>
    <x v="1"/>
    <x v="1"/>
    <x v="2"/>
    <x v="3"/>
    <x v="0"/>
    <x v="0"/>
    <x v="0"/>
    <x v="0"/>
  </r>
  <r>
    <x v="0"/>
    <x v="8"/>
    <x v="0"/>
    <x v="0"/>
    <x v="1"/>
    <x v="1"/>
    <x v="2"/>
    <x v="3"/>
    <x v="0"/>
    <x v="0"/>
    <x v="0"/>
    <x v="0"/>
  </r>
  <r>
    <x v="0"/>
    <x v="9"/>
    <x v="0"/>
    <x v="0"/>
    <x v="1"/>
    <x v="1"/>
    <x v="2"/>
    <x v="3"/>
    <x v="0"/>
    <x v="0"/>
    <x v="0"/>
    <x v="0"/>
  </r>
  <r>
    <x v="0"/>
    <x v="10"/>
    <x v="0"/>
    <x v="0"/>
    <x v="1"/>
    <x v="1"/>
    <x v="2"/>
    <x v="3"/>
    <x v="0"/>
    <x v="0"/>
    <x v="0"/>
    <x v="0"/>
  </r>
  <r>
    <x v="0"/>
    <x v="0"/>
    <x v="0"/>
    <x v="0"/>
    <x v="1"/>
    <x v="1"/>
    <x v="2"/>
    <x v="3"/>
    <x v="2"/>
    <x v="0"/>
    <x v="1"/>
    <x v="0"/>
  </r>
  <r>
    <x v="0"/>
    <x v="1"/>
    <x v="0"/>
    <x v="0"/>
    <x v="1"/>
    <x v="1"/>
    <x v="2"/>
    <x v="3"/>
    <x v="2"/>
    <x v="0"/>
    <x v="1"/>
    <x v="0"/>
  </r>
  <r>
    <x v="0"/>
    <x v="2"/>
    <x v="0"/>
    <x v="0"/>
    <x v="1"/>
    <x v="1"/>
    <x v="2"/>
    <x v="3"/>
    <x v="2"/>
    <x v="0"/>
    <x v="1"/>
    <x v="0"/>
  </r>
  <r>
    <x v="0"/>
    <x v="3"/>
    <x v="0"/>
    <x v="0"/>
    <x v="1"/>
    <x v="1"/>
    <x v="2"/>
    <x v="3"/>
    <x v="2"/>
    <x v="0"/>
    <x v="1"/>
    <x v="0"/>
  </r>
  <r>
    <x v="0"/>
    <x v="4"/>
    <x v="0"/>
    <x v="0"/>
    <x v="1"/>
    <x v="1"/>
    <x v="2"/>
    <x v="3"/>
    <x v="2"/>
    <x v="0"/>
    <x v="1"/>
    <x v="0"/>
  </r>
  <r>
    <x v="0"/>
    <x v="5"/>
    <x v="0"/>
    <x v="0"/>
    <x v="1"/>
    <x v="1"/>
    <x v="2"/>
    <x v="3"/>
    <x v="2"/>
    <x v="0"/>
    <x v="1"/>
    <x v="0"/>
  </r>
  <r>
    <x v="0"/>
    <x v="6"/>
    <x v="0"/>
    <x v="0"/>
    <x v="1"/>
    <x v="1"/>
    <x v="2"/>
    <x v="3"/>
    <x v="2"/>
    <x v="0"/>
    <x v="1"/>
    <x v="0"/>
  </r>
  <r>
    <x v="0"/>
    <x v="7"/>
    <x v="0"/>
    <x v="0"/>
    <x v="1"/>
    <x v="1"/>
    <x v="2"/>
    <x v="3"/>
    <x v="2"/>
    <x v="0"/>
    <x v="1"/>
    <x v="0"/>
  </r>
  <r>
    <x v="0"/>
    <x v="11"/>
    <x v="0"/>
    <x v="0"/>
    <x v="1"/>
    <x v="1"/>
    <x v="2"/>
    <x v="3"/>
    <x v="2"/>
    <x v="0"/>
    <x v="1"/>
    <x v="0"/>
  </r>
  <r>
    <x v="0"/>
    <x v="12"/>
    <x v="0"/>
    <x v="0"/>
    <x v="1"/>
    <x v="1"/>
    <x v="2"/>
    <x v="3"/>
    <x v="2"/>
    <x v="0"/>
    <x v="1"/>
    <x v="0"/>
  </r>
  <r>
    <x v="0"/>
    <x v="8"/>
    <x v="0"/>
    <x v="0"/>
    <x v="1"/>
    <x v="1"/>
    <x v="2"/>
    <x v="3"/>
    <x v="2"/>
    <x v="0"/>
    <x v="1"/>
    <x v="0"/>
  </r>
  <r>
    <x v="0"/>
    <x v="9"/>
    <x v="0"/>
    <x v="0"/>
    <x v="1"/>
    <x v="1"/>
    <x v="2"/>
    <x v="3"/>
    <x v="2"/>
    <x v="0"/>
    <x v="1"/>
    <x v="0"/>
  </r>
  <r>
    <x v="0"/>
    <x v="10"/>
    <x v="0"/>
    <x v="0"/>
    <x v="1"/>
    <x v="1"/>
    <x v="2"/>
    <x v="3"/>
    <x v="2"/>
    <x v="0"/>
    <x v="1"/>
    <x v="0"/>
  </r>
  <r>
    <x v="0"/>
    <x v="0"/>
    <x v="0"/>
    <x v="0"/>
    <x v="1"/>
    <x v="1"/>
    <x v="2"/>
    <x v="3"/>
    <x v="1"/>
    <x v="0"/>
    <x v="1"/>
    <x v="0"/>
  </r>
  <r>
    <x v="0"/>
    <x v="1"/>
    <x v="0"/>
    <x v="0"/>
    <x v="1"/>
    <x v="1"/>
    <x v="2"/>
    <x v="3"/>
    <x v="1"/>
    <x v="0"/>
    <x v="1"/>
    <x v="0"/>
  </r>
  <r>
    <x v="0"/>
    <x v="2"/>
    <x v="0"/>
    <x v="0"/>
    <x v="1"/>
    <x v="1"/>
    <x v="2"/>
    <x v="3"/>
    <x v="1"/>
    <x v="0"/>
    <x v="1"/>
    <x v="0"/>
  </r>
  <r>
    <x v="0"/>
    <x v="3"/>
    <x v="0"/>
    <x v="0"/>
    <x v="1"/>
    <x v="1"/>
    <x v="2"/>
    <x v="3"/>
    <x v="1"/>
    <x v="0"/>
    <x v="1"/>
    <x v="0"/>
  </r>
  <r>
    <x v="0"/>
    <x v="4"/>
    <x v="0"/>
    <x v="0"/>
    <x v="1"/>
    <x v="1"/>
    <x v="2"/>
    <x v="3"/>
    <x v="1"/>
    <x v="0"/>
    <x v="1"/>
    <x v="0"/>
  </r>
  <r>
    <x v="0"/>
    <x v="5"/>
    <x v="0"/>
    <x v="0"/>
    <x v="1"/>
    <x v="1"/>
    <x v="2"/>
    <x v="3"/>
    <x v="1"/>
    <x v="0"/>
    <x v="1"/>
    <x v="0"/>
  </r>
  <r>
    <x v="0"/>
    <x v="6"/>
    <x v="0"/>
    <x v="0"/>
    <x v="1"/>
    <x v="1"/>
    <x v="2"/>
    <x v="3"/>
    <x v="1"/>
    <x v="0"/>
    <x v="1"/>
    <x v="0"/>
  </r>
  <r>
    <x v="0"/>
    <x v="7"/>
    <x v="0"/>
    <x v="0"/>
    <x v="1"/>
    <x v="1"/>
    <x v="2"/>
    <x v="3"/>
    <x v="1"/>
    <x v="0"/>
    <x v="1"/>
    <x v="0"/>
  </r>
  <r>
    <x v="0"/>
    <x v="11"/>
    <x v="0"/>
    <x v="0"/>
    <x v="1"/>
    <x v="1"/>
    <x v="2"/>
    <x v="3"/>
    <x v="1"/>
    <x v="0"/>
    <x v="1"/>
    <x v="0"/>
  </r>
  <r>
    <x v="0"/>
    <x v="12"/>
    <x v="0"/>
    <x v="0"/>
    <x v="1"/>
    <x v="1"/>
    <x v="2"/>
    <x v="3"/>
    <x v="1"/>
    <x v="0"/>
    <x v="1"/>
    <x v="0"/>
  </r>
  <r>
    <x v="0"/>
    <x v="8"/>
    <x v="0"/>
    <x v="0"/>
    <x v="1"/>
    <x v="1"/>
    <x v="2"/>
    <x v="3"/>
    <x v="1"/>
    <x v="0"/>
    <x v="1"/>
    <x v="0"/>
  </r>
  <r>
    <x v="0"/>
    <x v="9"/>
    <x v="0"/>
    <x v="0"/>
    <x v="1"/>
    <x v="1"/>
    <x v="2"/>
    <x v="3"/>
    <x v="1"/>
    <x v="0"/>
    <x v="1"/>
    <x v="0"/>
  </r>
  <r>
    <x v="0"/>
    <x v="10"/>
    <x v="0"/>
    <x v="0"/>
    <x v="1"/>
    <x v="1"/>
    <x v="2"/>
    <x v="3"/>
    <x v="1"/>
    <x v="0"/>
    <x v="1"/>
    <x v="0"/>
  </r>
  <r>
    <x v="0"/>
    <x v="0"/>
    <x v="0"/>
    <x v="0"/>
    <x v="1"/>
    <x v="1"/>
    <x v="2"/>
    <x v="3"/>
    <x v="0"/>
    <x v="4"/>
    <x v="7"/>
    <x v="0"/>
  </r>
  <r>
    <x v="0"/>
    <x v="1"/>
    <x v="0"/>
    <x v="0"/>
    <x v="1"/>
    <x v="1"/>
    <x v="2"/>
    <x v="3"/>
    <x v="0"/>
    <x v="4"/>
    <x v="7"/>
    <x v="0"/>
  </r>
  <r>
    <x v="0"/>
    <x v="2"/>
    <x v="0"/>
    <x v="0"/>
    <x v="1"/>
    <x v="1"/>
    <x v="2"/>
    <x v="3"/>
    <x v="0"/>
    <x v="4"/>
    <x v="7"/>
    <x v="0"/>
  </r>
  <r>
    <x v="0"/>
    <x v="3"/>
    <x v="0"/>
    <x v="0"/>
    <x v="1"/>
    <x v="1"/>
    <x v="2"/>
    <x v="3"/>
    <x v="0"/>
    <x v="4"/>
    <x v="7"/>
    <x v="0"/>
  </r>
  <r>
    <x v="0"/>
    <x v="4"/>
    <x v="0"/>
    <x v="0"/>
    <x v="1"/>
    <x v="1"/>
    <x v="2"/>
    <x v="3"/>
    <x v="0"/>
    <x v="4"/>
    <x v="7"/>
    <x v="0"/>
  </r>
  <r>
    <x v="0"/>
    <x v="5"/>
    <x v="0"/>
    <x v="0"/>
    <x v="1"/>
    <x v="1"/>
    <x v="2"/>
    <x v="3"/>
    <x v="0"/>
    <x v="4"/>
    <x v="7"/>
    <x v="0"/>
  </r>
  <r>
    <x v="0"/>
    <x v="6"/>
    <x v="0"/>
    <x v="0"/>
    <x v="1"/>
    <x v="1"/>
    <x v="2"/>
    <x v="3"/>
    <x v="0"/>
    <x v="4"/>
    <x v="7"/>
    <x v="0"/>
  </r>
  <r>
    <x v="0"/>
    <x v="7"/>
    <x v="0"/>
    <x v="0"/>
    <x v="1"/>
    <x v="1"/>
    <x v="2"/>
    <x v="3"/>
    <x v="0"/>
    <x v="4"/>
    <x v="7"/>
    <x v="0"/>
  </r>
  <r>
    <x v="0"/>
    <x v="11"/>
    <x v="0"/>
    <x v="0"/>
    <x v="1"/>
    <x v="1"/>
    <x v="2"/>
    <x v="3"/>
    <x v="0"/>
    <x v="4"/>
    <x v="7"/>
    <x v="0"/>
  </r>
  <r>
    <x v="0"/>
    <x v="12"/>
    <x v="0"/>
    <x v="0"/>
    <x v="1"/>
    <x v="1"/>
    <x v="2"/>
    <x v="3"/>
    <x v="0"/>
    <x v="4"/>
    <x v="7"/>
    <x v="0"/>
  </r>
  <r>
    <x v="0"/>
    <x v="8"/>
    <x v="0"/>
    <x v="0"/>
    <x v="1"/>
    <x v="1"/>
    <x v="2"/>
    <x v="3"/>
    <x v="0"/>
    <x v="4"/>
    <x v="7"/>
    <x v="0"/>
  </r>
  <r>
    <x v="0"/>
    <x v="9"/>
    <x v="0"/>
    <x v="0"/>
    <x v="1"/>
    <x v="1"/>
    <x v="2"/>
    <x v="3"/>
    <x v="0"/>
    <x v="4"/>
    <x v="7"/>
    <x v="0"/>
  </r>
  <r>
    <x v="0"/>
    <x v="10"/>
    <x v="0"/>
    <x v="0"/>
    <x v="1"/>
    <x v="1"/>
    <x v="2"/>
    <x v="3"/>
    <x v="0"/>
    <x v="4"/>
    <x v="7"/>
    <x v="0"/>
  </r>
  <r>
    <x v="0"/>
    <x v="0"/>
    <x v="0"/>
    <x v="0"/>
    <x v="1"/>
    <x v="1"/>
    <x v="2"/>
    <x v="3"/>
    <x v="2"/>
    <x v="1"/>
    <x v="1"/>
    <x v="0"/>
  </r>
  <r>
    <x v="0"/>
    <x v="1"/>
    <x v="0"/>
    <x v="0"/>
    <x v="1"/>
    <x v="1"/>
    <x v="2"/>
    <x v="3"/>
    <x v="2"/>
    <x v="1"/>
    <x v="1"/>
    <x v="0"/>
  </r>
  <r>
    <x v="0"/>
    <x v="2"/>
    <x v="0"/>
    <x v="0"/>
    <x v="1"/>
    <x v="1"/>
    <x v="2"/>
    <x v="3"/>
    <x v="2"/>
    <x v="1"/>
    <x v="1"/>
    <x v="0"/>
  </r>
  <r>
    <x v="0"/>
    <x v="3"/>
    <x v="0"/>
    <x v="0"/>
    <x v="1"/>
    <x v="1"/>
    <x v="2"/>
    <x v="3"/>
    <x v="2"/>
    <x v="1"/>
    <x v="1"/>
    <x v="0"/>
  </r>
  <r>
    <x v="0"/>
    <x v="4"/>
    <x v="0"/>
    <x v="0"/>
    <x v="1"/>
    <x v="1"/>
    <x v="2"/>
    <x v="3"/>
    <x v="2"/>
    <x v="1"/>
    <x v="1"/>
    <x v="0"/>
  </r>
  <r>
    <x v="0"/>
    <x v="5"/>
    <x v="0"/>
    <x v="0"/>
    <x v="1"/>
    <x v="1"/>
    <x v="2"/>
    <x v="3"/>
    <x v="2"/>
    <x v="1"/>
    <x v="1"/>
    <x v="0"/>
  </r>
  <r>
    <x v="0"/>
    <x v="6"/>
    <x v="0"/>
    <x v="0"/>
    <x v="1"/>
    <x v="1"/>
    <x v="2"/>
    <x v="3"/>
    <x v="2"/>
    <x v="1"/>
    <x v="1"/>
    <x v="0"/>
  </r>
  <r>
    <x v="0"/>
    <x v="7"/>
    <x v="0"/>
    <x v="0"/>
    <x v="1"/>
    <x v="1"/>
    <x v="2"/>
    <x v="3"/>
    <x v="2"/>
    <x v="1"/>
    <x v="7"/>
    <x v="0"/>
  </r>
  <r>
    <x v="0"/>
    <x v="11"/>
    <x v="0"/>
    <x v="0"/>
    <x v="1"/>
    <x v="1"/>
    <x v="2"/>
    <x v="3"/>
    <x v="2"/>
    <x v="1"/>
    <x v="7"/>
    <x v="0"/>
  </r>
  <r>
    <x v="0"/>
    <x v="12"/>
    <x v="0"/>
    <x v="0"/>
    <x v="1"/>
    <x v="1"/>
    <x v="2"/>
    <x v="3"/>
    <x v="2"/>
    <x v="1"/>
    <x v="7"/>
    <x v="0"/>
  </r>
  <r>
    <x v="0"/>
    <x v="8"/>
    <x v="0"/>
    <x v="0"/>
    <x v="1"/>
    <x v="1"/>
    <x v="2"/>
    <x v="3"/>
    <x v="2"/>
    <x v="1"/>
    <x v="7"/>
    <x v="0"/>
  </r>
  <r>
    <x v="0"/>
    <x v="9"/>
    <x v="0"/>
    <x v="0"/>
    <x v="1"/>
    <x v="1"/>
    <x v="2"/>
    <x v="3"/>
    <x v="2"/>
    <x v="1"/>
    <x v="7"/>
    <x v="0"/>
  </r>
  <r>
    <x v="0"/>
    <x v="10"/>
    <x v="0"/>
    <x v="0"/>
    <x v="1"/>
    <x v="1"/>
    <x v="2"/>
    <x v="3"/>
    <x v="2"/>
    <x v="1"/>
    <x v="7"/>
    <x v="0"/>
  </r>
  <r>
    <x v="0"/>
    <x v="0"/>
    <x v="0"/>
    <x v="0"/>
    <x v="1"/>
    <x v="1"/>
    <x v="2"/>
    <x v="3"/>
    <x v="1"/>
    <x v="1"/>
    <x v="1"/>
    <x v="0"/>
  </r>
  <r>
    <x v="0"/>
    <x v="1"/>
    <x v="0"/>
    <x v="0"/>
    <x v="1"/>
    <x v="1"/>
    <x v="2"/>
    <x v="3"/>
    <x v="1"/>
    <x v="1"/>
    <x v="1"/>
    <x v="0"/>
  </r>
  <r>
    <x v="0"/>
    <x v="2"/>
    <x v="0"/>
    <x v="0"/>
    <x v="1"/>
    <x v="1"/>
    <x v="2"/>
    <x v="3"/>
    <x v="1"/>
    <x v="1"/>
    <x v="1"/>
    <x v="0"/>
  </r>
  <r>
    <x v="0"/>
    <x v="3"/>
    <x v="0"/>
    <x v="0"/>
    <x v="1"/>
    <x v="1"/>
    <x v="2"/>
    <x v="3"/>
    <x v="1"/>
    <x v="1"/>
    <x v="1"/>
    <x v="0"/>
  </r>
  <r>
    <x v="0"/>
    <x v="4"/>
    <x v="0"/>
    <x v="0"/>
    <x v="1"/>
    <x v="1"/>
    <x v="2"/>
    <x v="3"/>
    <x v="1"/>
    <x v="1"/>
    <x v="1"/>
    <x v="0"/>
  </r>
  <r>
    <x v="0"/>
    <x v="5"/>
    <x v="0"/>
    <x v="0"/>
    <x v="1"/>
    <x v="1"/>
    <x v="2"/>
    <x v="3"/>
    <x v="1"/>
    <x v="1"/>
    <x v="1"/>
    <x v="0"/>
  </r>
  <r>
    <x v="0"/>
    <x v="6"/>
    <x v="0"/>
    <x v="0"/>
    <x v="1"/>
    <x v="1"/>
    <x v="2"/>
    <x v="3"/>
    <x v="1"/>
    <x v="1"/>
    <x v="1"/>
    <x v="0"/>
  </r>
  <r>
    <x v="0"/>
    <x v="7"/>
    <x v="0"/>
    <x v="0"/>
    <x v="1"/>
    <x v="1"/>
    <x v="2"/>
    <x v="3"/>
    <x v="1"/>
    <x v="1"/>
    <x v="1"/>
    <x v="0"/>
  </r>
  <r>
    <x v="0"/>
    <x v="11"/>
    <x v="0"/>
    <x v="0"/>
    <x v="1"/>
    <x v="1"/>
    <x v="2"/>
    <x v="3"/>
    <x v="1"/>
    <x v="1"/>
    <x v="1"/>
    <x v="0"/>
  </r>
  <r>
    <x v="0"/>
    <x v="12"/>
    <x v="0"/>
    <x v="0"/>
    <x v="1"/>
    <x v="1"/>
    <x v="2"/>
    <x v="3"/>
    <x v="1"/>
    <x v="1"/>
    <x v="1"/>
    <x v="0"/>
  </r>
  <r>
    <x v="0"/>
    <x v="8"/>
    <x v="0"/>
    <x v="0"/>
    <x v="1"/>
    <x v="1"/>
    <x v="2"/>
    <x v="3"/>
    <x v="1"/>
    <x v="1"/>
    <x v="1"/>
    <x v="0"/>
  </r>
  <r>
    <x v="0"/>
    <x v="9"/>
    <x v="0"/>
    <x v="0"/>
    <x v="1"/>
    <x v="1"/>
    <x v="2"/>
    <x v="3"/>
    <x v="1"/>
    <x v="1"/>
    <x v="1"/>
    <x v="0"/>
  </r>
  <r>
    <x v="0"/>
    <x v="10"/>
    <x v="0"/>
    <x v="0"/>
    <x v="1"/>
    <x v="1"/>
    <x v="2"/>
    <x v="3"/>
    <x v="1"/>
    <x v="1"/>
    <x v="1"/>
    <x v="0"/>
  </r>
  <r>
    <x v="0"/>
    <x v="0"/>
    <x v="0"/>
    <x v="0"/>
    <x v="1"/>
    <x v="1"/>
    <x v="2"/>
    <x v="3"/>
    <x v="0"/>
    <x v="2"/>
    <x v="0"/>
    <x v="0"/>
  </r>
  <r>
    <x v="0"/>
    <x v="1"/>
    <x v="0"/>
    <x v="0"/>
    <x v="1"/>
    <x v="1"/>
    <x v="2"/>
    <x v="3"/>
    <x v="0"/>
    <x v="2"/>
    <x v="0"/>
    <x v="0"/>
  </r>
  <r>
    <x v="0"/>
    <x v="2"/>
    <x v="0"/>
    <x v="0"/>
    <x v="1"/>
    <x v="1"/>
    <x v="2"/>
    <x v="3"/>
    <x v="0"/>
    <x v="2"/>
    <x v="0"/>
    <x v="0"/>
  </r>
  <r>
    <x v="0"/>
    <x v="3"/>
    <x v="0"/>
    <x v="0"/>
    <x v="1"/>
    <x v="1"/>
    <x v="2"/>
    <x v="3"/>
    <x v="0"/>
    <x v="2"/>
    <x v="0"/>
    <x v="0"/>
  </r>
  <r>
    <x v="0"/>
    <x v="4"/>
    <x v="0"/>
    <x v="0"/>
    <x v="1"/>
    <x v="1"/>
    <x v="2"/>
    <x v="3"/>
    <x v="0"/>
    <x v="2"/>
    <x v="0"/>
    <x v="0"/>
  </r>
  <r>
    <x v="0"/>
    <x v="5"/>
    <x v="0"/>
    <x v="0"/>
    <x v="1"/>
    <x v="1"/>
    <x v="2"/>
    <x v="3"/>
    <x v="0"/>
    <x v="2"/>
    <x v="0"/>
    <x v="0"/>
  </r>
  <r>
    <x v="0"/>
    <x v="6"/>
    <x v="0"/>
    <x v="0"/>
    <x v="1"/>
    <x v="1"/>
    <x v="2"/>
    <x v="3"/>
    <x v="0"/>
    <x v="2"/>
    <x v="0"/>
    <x v="0"/>
  </r>
  <r>
    <x v="0"/>
    <x v="7"/>
    <x v="0"/>
    <x v="0"/>
    <x v="1"/>
    <x v="1"/>
    <x v="2"/>
    <x v="3"/>
    <x v="0"/>
    <x v="2"/>
    <x v="0"/>
    <x v="0"/>
  </r>
  <r>
    <x v="0"/>
    <x v="11"/>
    <x v="0"/>
    <x v="0"/>
    <x v="1"/>
    <x v="1"/>
    <x v="2"/>
    <x v="3"/>
    <x v="0"/>
    <x v="2"/>
    <x v="0"/>
    <x v="0"/>
  </r>
  <r>
    <x v="0"/>
    <x v="12"/>
    <x v="0"/>
    <x v="0"/>
    <x v="1"/>
    <x v="1"/>
    <x v="2"/>
    <x v="3"/>
    <x v="0"/>
    <x v="2"/>
    <x v="0"/>
    <x v="0"/>
  </r>
  <r>
    <x v="0"/>
    <x v="8"/>
    <x v="0"/>
    <x v="0"/>
    <x v="1"/>
    <x v="1"/>
    <x v="2"/>
    <x v="3"/>
    <x v="0"/>
    <x v="2"/>
    <x v="0"/>
    <x v="0"/>
  </r>
  <r>
    <x v="0"/>
    <x v="9"/>
    <x v="0"/>
    <x v="0"/>
    <x v="1"/>
    <x v="1"/>
    <x v="2"/>
    <x v="3"/>
    <x v="0"/>
    <x v="2"/>
    <x v="0"/>
    <x v="0"/>
  </r>
  <r>
    <x v="0"/>
    <x v="10"/>
    <x v="0"/>
    <x v="0"/>
    <x v="1"/>
    <x v="1"/>
    <x v="2"/>
    <x v="3"/>
    <x v="0"/>
    <x v="2"/>
    <x v="0"/>
    <x v="0"/>
  </r>
  <r>
    <x v="0"/>
    <x v="0"/>
    <x v="0"/>
    <x v="0"/>
    <x v="1"/>
    <x v="1"/>
    <x v="2"/>
    <x v="3"/>
    <x v="2"/>
    <x v="2"/>
    <x v="1"/>
    <x v="0"/>
  </r>
  <r>
    <x v="0"/>
    <x v="1"/>
    <x v="0"/>
    <x v="0"/>
    <x v="1"/>
    <x v="1"/>
    <x v="2"/>
    <x v="3"/>
    <x v="2"/>
    <x v="2"/>
    <x v="1"/>
    <x v="0"/>
  </r>
  <r>
    <x v="0"/>
    <x v="2"/>
    <x v="0"/>
    <x v="0"/>
    <x v="1"/>
    <x v="1"/>
    <x v="2"/>
    <x v="3"/>
    <x v="2"/>
    <x v="2"/>
    <x v="1"/>
    <x v="0"/>
  </r>
  <r>
    <x v="0"/>
    <x v="3"/>
    <x v="0"/>
    <x v="0"/>
    <x v="1"/>
    <x v="1"/>
    <x v="2"/>
    <x v="3"/>
    <x v="2"/>
    <x v="2"/>
    <x v="1"/>
    <x v="0"/>
  </r>
  <r>
    <x v="0"/>
    <x v="4"/>
    <x v="0"/>
    <x v="0"/>
    <x v="1"/>
    <x v="1"/>
    <x v="2"/>
    <x v="3"/>
    <x v="2"/>
    <x v="2"/>
    <x v="1"/>
    <x v="0"/>
  </r>
  <r>
    <x v="0"/>
    <x v="5"/>
    <x v="0"/>
    <x v="0"/>
    <x v="1"/>
    <x v="1"/>
    <x v="2"/>
    <x v="3"/>
    <x v="2"/>
    <x v="2"/>
    <x v="1"/>
    <x v="0"/>
  </r>
  <r>
    <x v="0"/>
    <x v="6"/>
    <x v="0"/>
    <x v="0"/>
    <x v="1"/>
    <x v="1"/>
    <x v="2"/>
    <x v="3"/>
    <x v="2"/>
    <x v="2"/>
    <x v="1"/>
    <x v="0"/>
  </r>
  <r>
    <x v="0"/>
    <x v="7"/>
    <x v="0"/>
    <x v="0"/>
    <x v="1"/>
    <x v="1"/>
    <x v="2"/>
    <x v="3"/>
    <x v="2"/>
    <x v="2"/>
    <x v="1"/>
    <x v="0"/>
  </r>
  <r>
    <x v="0"/>
    <x v="11"/>
    <x v="0"/>
    <x v="0"/>
    <x v="1"/>
    <x v="1"/>
    <x v="2"/>
    <x v="3"/>
    <x v="2"/>
    <x v="2"/>
    <x v="1"/>
    <x v="0"/>
  </r>
  <r>
    <x v="0"/>
    <x v="12"/>
    <x v="0"/>
    <x v="0"/>
    <x v="1"/>
    <x v="1"/>
    <x v="2"/>
    <x v="3"/>
    <x v="2"/>
    <x v="2"/>
    <x v="1"/>
    <x v="0"/>
  </r>
  <r>
    <x v="0"/>
    <x v="8"/>
    <x v="0"/>
    <x v="0"/>
    <x v="1"/>
    <x v="1"/>
    <x v="2"/>
    <x v="3"/>
    <x v="2"/>
    <x v="2"/>
    <x v="1"/>
    <x v="0"/>
  </r>
  <r>
    <x v="0"/>
    <x v="9"/>
    <x v="0"/>
    <x v="0"/>
    <x v="1"/>
    <x v="1"/>
    <x v="2"/>
    <x v="3"/>
    <x v="2"/>
    <x v="2"/>
    <x v="1"/>
    <x v="0"/>
  </r>
  <r>
    <x v="0"/>
    <x v="10"/>
    <x v="0"/>
    <x v="0"/>
    <x v="1"/>
    <x v="1"/>
    <x v="2"/>
    <x v="3"/>
    <x v="2"/>
    <x v="2"/>
    <x v="1"/>
    <x v="0"/>
  </r>
  <r>
    <x v="0"/>
    <x v="0"/>
    <x v="0"/>
    <x v="0"/>
    <x v="1"/>
    <x v="1"/>
    <x v="2"/>
    <x v="3"/>
    <x v="2"/>
    <x v="2"/>
    <x v="1"/>
    <x v="0"/>
  </r>
  <r>
    <x v="0"/>
    <x v="1"/>
    <x v="0"/>
    <x v="0"/>
    <x v="1"/>
    <x v="1"/>
    <x v="2"/>
    <x v="3"/>
    <x v="2"/>
    <x v="2"/>
    <x v="1"/>
    <x v="0"/>
  </r>
  <r>
    <x v="0"/>
    <x v="2"/>
    <x v="0"/>
    <x v="0"/>
    <x v="1"/>
    <x v="1"/>
    <x v="2"/>
    <x v="3"/>
    <x v="2"/>
    <x v="2"/>
    <x v="1"/>
    <x v="0"/>
  </r>
  <r>
    <x v="0"/>
    <x v="3"/>
    <x v="0"/>
    <x v="0"/>
    <x v="1"/>
    <x v="1"/>
    <x v="2"/>
    <x v="3"/>
    <x v="2"/>
    <x v="2"/>
    <x v="1"/>
    <x v="0"/>
  </r>
  <r>
    <x v="0"/>
    <x v="4"/>
    <x v="0"/>
    <x v="0"/>
    <x v="1"/>
    <x v="1"/>
    <x v="2"/>
    <x v="3"/>
    <x v="2"/>
    <x v="2"/>
    <x v="1"/>
    <x v="0"/>
  </r>
  <r>
    <x v="0"/>
    <x v="5"/>
    <x v="0"/>
    <x v="0"/>
    <x v="1"/>
    <x v="1"/>
    <x v="2"/>
    <x v="3"/>
    <x v="2"/>
    <x v="2"/>
    <x v="1"/>
    <x v="0"/>
  </r>
  <r>
    <x v="0"/>
    <x v="6"/>
    <x v="0"/>
    <x v="0"/>
    <x v="1"/>
    <x v="1"/>
    <x v="2"/>
    <x v="3"/>
    <x v="2"/>
    <x v="2"/>
    <x v="1"/>
    <x v="0"/>
  </r>
  <r>
    <x v="0"/>
    <x v="7"/>
    <x v="0"/>
    <x v="0"/>
    <x v="1"/>
    <x v="1"/>
    <x v="2"/>
    <x v="3"/>
    <x v="2"/>
    <x v="2"/>
    <x v="1"/>
    <x v="0"/>
  </r>
  <r>
    <x v="0"/>
    <x v="11"/>
    <x v="0"/>
    <x v="0"/>
    <x v="1"/>
    <x v="1"/>
    <x v="2"/>
    <x v="3"/>
    <x v="2"/>
    <x v="2"/>
    <x v="1"/>
    <x v="0"/>
  </r>
  <r>
    <x v="0"/>
    <x v="12"/>
    <x v="0"/>
    <x v="0"/>
    <x v="1"/>
    <x v="1"/>
    <x v="2"/>
    <x v="3"/>
    <x v="2"/>
    <x v="2"/>
    <x v="1"/>
    <x v="0"/>
  </r>
  <r>
    <x v="0"/>
    <x v="8"/>
    <x v="0"/>
    <x v="0"/>
    <x v="1"/>
    <x v="1"/>
    <x v="2"/>
    <x v="3"/>
    <x v="2"/>
    <x v="2"/>
    <x v="1"/>
    <x v="0"/>
  </r>
  <r>
    <x v="0"/>
    <x v="9"/>
    <x v="0"/>
    <x v="0"/>
    <x v="1"/>
    <x v="1"/>
    <x v="2"/>
    <x v="3"/>
    <x v="2"/>
    <x v="2"/>
    <x v="1"/>
    <x v="0"/>
  </r>
  <r>
    <x v="0"/>
    <x v="10"/>
    <x v="0"/>
    <x v="0"/>
    <x v="1"/>
    <x v="1"/>
    <x v="2"/>
    <x v="3"/>
    <x v="2"/>
    <x v="2"/>
    <x v="1"/>
    <x v="0"/>
  </r>
  <r>
    <x v="0"/>
    <x v="0"/>
    <x v="0"/>
    <x v="0"/>
    <x v="1"/>
    <x v="1"/>
    <x v="2"/>
    <x v="3"/>
    <x v="1"/>
    <x v="2"/>
    <x v="1"/>
    <x v="0"/>
  </r>
  <r>
    <x v="0"/>
    <x v="1"/>
    <x v="0"/>
    <x v="0"/>
    <x v="1"/>
    <x v="1"/>
    <x v="2"/>
    <x v="3"/>
    <x v="1"/>
    <x v="2"/>
    <x v="1"/>
    <x v="0"/>
  </r>
  <r>
    <x v="0"/>
    <x v="2"/>
    <x v="0"/>
    <x v="0"/>
    <x v="1"/>
    <x v="1"/>
    <x v="2"/>
    <x v="3"/>
    <x v="1"/>
    <x v="2"/>
    <x v="1"/>
    <x v="0"/>
  </r>
  <r>
    <x v="0"/>
    <x v="3"/>
    <x v="0"/>
    <x v="0"/>
    <x v="1"/>
    <x v="1"/>
    <x v="2"/>
    <x v="3"/>
    <x v="1"/>
    <x v="2"/>
    <x v="1"/>
    <x v="0"/>
  </r>
  <r>
    <x v="0"/>
    <x v="4"/>
    <x v="0"/>
    <x v="0"/>
    <x v="1"/>
    <x v="1"/>
    <x v="2"/>
    <x v="3"/>
    <x v="1"/>
    <x v="2"/>
    <x v="1"/>
    <x v="0"/>
  </r>
  <r>
    <x v="0"/>
    <x v="5"/>
    <x v="0"/>
    <x v="0"/>
    <x v="1"/>
    <x v="1"/>
    <x v="2"/>
    <x v="3"/>
    <x v="1"/>
    <x v="2"/>
    <x v="1"/>
    <x v="0"/>
  </r>
  <r>
    <x v="0"/>
    <x v="6"/>
    <x v="0"/>
    <x v="0"/>
    <x v="1"/>
    <x v="1"/>
    <x v="2"/>
    <x v="3"/>
    <x v="1"/>
    <x v="2"/>
    <x v="1"/>
    <x v="0"/>
  </r>
  <r>
    <x v="0"/>
    <x v="7"/>
    <x v="0"/>
    <x v="0"/>
    <x v="1"/>
    <x v="1"/>
    <x v="2"/>
    <x v="3"/>
    <x v="1"/>
    <x v="2"/>
    <x v="1"/>
    <x v="0"/>
  </r>
  <r>
    <x v="0"/>
    <x v="11"/>
    <x v="0"/>
    <x v="0"/>
    <x v="1"/>
    <x v="1"/>
    <x v="2"/>
    <x v="3"/>
    <x v="1"/>
    <x v="2"/>
    <x v="1"/>
    <x v="0"/>
  </r>
  <r>
    <x v="0"/>
    <x v="12"/>
    <x v="0"/>
    <x v="0"/>
    <x v="1"/>
    <x v="1"/>
    <x v="2"/>
    <x v="3"/>
    <x v="1"/>
    <x v="2"/>
    <x v="1"/>
    <x v="0"/>
  </r>
  <r>
    <x v="0"/>
    <x v="8"/>
    <x v="0"/>
    <x v="0"/>
    <x v="1"/>
    <x v="1"/>
    <x v="2"/>
    <x v="3"/>
    <x v="1"/>
    <x v="2"/>
    <x v="1"/>
    <x v="0"/>
  </r>
  <r>
    <x v="0"/>
    <x v="9"/>
    <x v="0"/>
    <x v="0"/>
    <x v="1"/>
    <x v="1"/>
    <x v="2"/>
    <x v="3"/>
    <x v="1"/>
    <x v="2"/>
    <x v="1"/>
    <x v="0"/>
  </r>
  <r>
    <x v="0"/>
    <x v="10"/>
    <x v="0"/>
    <x v="0"/>
    <x v="1"/>
    <x v="1"/>
    <x v="2"/>
    <x v="3"/>
    <x v="1"/>
    <x v="2"/>
    <x v="1"/>
    <x v="0"/>
  </r>
  <r>
    <x v="0"/>
    <x v="0"/>
    <x v="0"/>
    <x v="0"/>
    <x v="0"/>
    <x v="0"/>
    <x v="2"/>
    <x v="4"/>
    <x v="1"/>
    <x v="0"/>
    <x v="1"/>
    <x v="0"/>
  </r>
  <r>
    <x v="0"/>
    <x v="1"/>
    <x v="0"/>
    <x v="0"/>
    <x v="0"/>
    <x v="0"/>
    <x v="2"/>
    <x v="4"/>
    <x v="1"/>
    <x v="0"/>
    <x v="1"/>
    <x v="0"/>
  </r>
  <r>
    <x v="0"/>
    <x v="2"/>
    <x v="0"/>
    <x v="0"/>
    <x v="0"/>
    <x v="0"/>
    <x v="2"/>
    <x v="4"/>
    <x v="1"/>
    <x v="0"/>
    <x v="1"/>
    <x v="0"/>
  </r>
  <r>
    <x v="0"/>
    <x v="3"/>
    <x v="0"/>
    <x v="0"/>
    <x v="0"/>
    <x v="0"/>
    <x v="2"/>
    <x v="4"/>
    <x v="1"/>
    <x v="0"/>
    <x v="1"/>
    <x v="0"/>
  </r>
  <r>
    <x v="0"/>
    <x v="4"/>
    <x v="0"/>
    <x v="0"/>
    <x v="0"/>
    <x v="0"/>
    <x v="2"/>
    <x v="4"/>
    <x v="1"/>
    <x v="0"/>
    <x v="1"/>
    <x v="0"/>
  </r>
  <r>
    <x v="0"/>
    <x v="5"/>
    <x v="0"/>
    <x v="0"/>
    <x v="0"/>
    <x v="0"/>
    <x v="2"/>
    <x v="4"/>
    <x v="1"/>
    <x v="0"/>
    <x v="1"/>
    <x v="0"/>
  </r>
  <r>
    <x v="0"/>
    <x v="6"/>
    <x v="0"/>
    <x v="0"/>
    <x v="0"/>
    <x v="0"/>
    <x v="2"/>
    <x v="4"/>
    <x v="1"/>
    <x v="0"/>
    <x v="1"/>
    <x v="0"/>
  </r>
  <r>
    <x v="0"/>
    <x v="7"/>
    <x v="0"/>
    <x v="0"/>
    <x v="0"/>
    <x v="0"/>
    <x v="2"/>
    <x v="4"/>
    <x v="1"/>
    <x v="0"/>
    <x v="1"/>
    <x v="0"/>
  </r>
  <r>
    <x v="0"/>
    <x v="11"/>
    <x v="0"/>
    <x v="0"/>
    <x v="0"/>
    <x v="0"/>
    <x v="2"/>
    <x v="4"/>
    <x v="1"/>
    <x v="0"/>
    <x v="1"/>
    <x v="0"/>
  </r>
  <r>
    <x v="0"/>
    <x v="12"/>
    <x v="0"/>
    <x v="0"/>
    <x v="0"/>
    <x v="0"/>
    <x v="2"/>
    <x v="4"/>
    <x v="1"/>
    <x v="0"/>
    <x v="1"/>
    <x v="0"/>
  </r>
  <r>
    <x v="0"/>
    <x v="8"/>
    <x v="0"/>
    <x v="0"/>
    <x v="0"/>
    <x v="0"/>
    <x v="2"/>
    <x v="4"/>
    <x v="1"/>
    <x v="0"/>
    <x v="1"/>
    <x v="0"/>
  </r>
  <r>
    <x v="0"/>
    <x v="9"/>
    <x v="0"/>
    <x v="0"/>
    <x v="0"/>
    <x v="0"/>
    <x v="2"/>
    <x v="4"/>
    <x v="1"/>
    <x v="0"/>
    <x v="1"/>
    <x v="0"/>
  </r>
  <r>
    <x v="0"/>
    <x v="10"/>
    <x v="0"/>
    <x v="0"/>
    <x v="0"/>
    <x v="0"/>
    <x v="2"/>
    <x v="4"/>
    <x v="1"/>
    <x v="0"/>
    <x v="1"/>
    <x v="0"/>
  </r>
  <r>
    <x v="0"/>
    <x v="0"/>
    <x v="0"/>
    <x v="0"/>
    <x v="0"/>
    <x v="0"/>
    <x v="2"/>
    <x v="4"/>
    <x v="1"/>
    <x v="2"/>
    <x v="1"/>
    <x v="0"/>
  </r>
  <r>
    <x v="0"/>
    <x v="1"/>
    <x v="0"/>
    <x v="0"/>
    <x v="0"/>
    <x v="0"/>
    <x v="2"/>
    <x v="4"/>
    <x v="1"/>
    <x v="2"/>
    <x v="1"/>
    <x v="0"/>
  </r>
  <r>
    <x v="0"/>
    <x v="2"/>
    <x v="0"/>
    <x v="0"/>
    <x v="0"/>
    <x v="0"/>
    <x v="2"/>
    <x v="4"/>
    <x v="1"/>
    <x v="2"/>
    <x v="1"/>
    <x v="0"/>
  </r>
  <r>
    <x v="0"/>
    <x v="3"/>
    <x v="0"/>
    <x v="0"/>
    <x v="0"/>
    <x v="0"/>
    <x v="2"/>
    <x v="4"/>
    <x v="1"/>
    <x v="2"/>
    <x v="1"/>
    <x v="0"/>
  </r>
  <r>
    <x v="0"/>
    <x v="4"/>
    <x v="0"/>
    <x v="0"/>
    <x v="0"/>
    <x v="0"/>
    <x v="2"/>
    <x v="4"/>
    <x v="1"/>
    <x v="2"/>
    <x v="1"/>
    <x v="0"/>
  </r>
  <r>
    <x v="0"/>
    <x v="5"/>
    <x v="0"/>
    <x v="0"/>
    <x v="0"/>
    <x v="0"/>
    <x v="2"/>
    <x v="4"/>
    <x v="1"/>
    <x v="2"/>
    <x v="1"/>
    <x v="0"/>
  </r>
  <r>
    <x v="0"/>
    <x v="6"/>
    <x v="0"/>
    <x v="0"/>
    <x v="0"/>
    <x v="0"/>
    <x v="2"/>
    <x v="4"/>
    <x v="1"/>
    <x v="2"/>
    <x v="1"/>
    <x v="0"/>
  </r>
  <r>
    <x v="0"/>
    <x v="7"/>
    <x v="0"/>
    <x v="0"/>
    <x v="0"/>
    <x v="0"/>
    <x v="2"/>
    <x v="4"/>
    <x v="1"/>
    <x v="2"/>
    <x v="1"/>
    <x v="0"/>
  </r>
  <r>
    <x v="0"/>
    <x v="11"/>
    <x v="0"/>
    <x v="0"/>
    <x v="0"/>
    <x v="0"/>
    <x v="2"/>
    <x v="4"/>
    <x v="1"/>
    <x v="2"/>
    <x v="1"/>
    <x v="0"/>
  </r>
  <r>
    <x v="0"/>
    <x v="12"/>
    <x v="0"/>
    <x v="0"/>
    <x v="0"/>
    <x v="0"/>
    <x v="2"/>
    <x v="4"/>
    <x v="1"/>
    <x v="2"/>
    <x v="1"/>
    <x v="0"/>
  </r>
  <r>
    <x v="0"/>
    <x v="8"/>
    <x v="0"/>
    <x v="0"/>
    <x v="0"/>
    <x v="0"/>
    <x v="2"/>
    <x v="4"/>
    <x v="1"/>
    <x v="2"/>
    <x v="1"/>
    <x v="0"/>
  </r>
  <r>
    <x v="0"/>
    <x v="9"/>
    <x v="0"/>
    <x v="0"/>
    <x v="0"/>
    <x v="0"/>
    <x v="2"/>
    <x v="4"/>
    <x v="1"/>
    <x v="2"/>
    <x v="1"/>
    <x v="0"/>
  </r>
  <r>
    <x v="0"/>
    <x v="10"/>
    <x v="0"/>
    <x v="0"/>
    <x v="0"/>
    <x v="0"/>
    <x v="2"/>
    <x v="4"/>
    <x v="1"/>
    <x v="2"/>
    <x v="1"/>
    <x v="0"/>
  </r>
  <r>
    <x v="0"/>
    <x v="0"/>
    <x v="0"/>
    <x v="0"/>
    <x v="2"/>
    <x v="1"/>
    <x v="2"/>
    <x v="5"/>
    <x v="0"/>
    <x v="0"/>
    <x v="0"/>
    <x v="0"/>
  </r>
  <r>
    <x v="0"/>
    <x v="1"/>
    <x v="0"/>
    <x v="0"/>
    <x v="2"/>
    <x v="1"/>
    <x v="2"/>
    <x v="5"/>
    <x v="0"/>
    <x v="0"/>
    <x v="0"/>
    <x v="0"/>
  </r>
  <r>
    <x v="0"/>
    <x v="2"/>
    <x v="0"/>
    <x v="0"/>
    <x v="2"/>
    <x v="1"/>
    <x v="2"/>
    <x v="5"/>
    <x v="0"/>
    <x v="0"/>
    <x v="0"/>
    <x v="0"/>
  </r>
  <r>
    <x v="0"/>
    <x v="3"/>
    <x v="0"/>
    <x v="0"/>
    <x v="2"/>
    <x v="1"/>
    <x v="2"/>
    <x v="5"/>
    <x v="0"/>
    <x v="0"/>
    <x v="0"/>
    <x v="0"/>
  </r>
  <r>
    <x v="0"/>
    <x v="4"/>
    <x v="0"/>
    <x v="0"/>
    <x v="2"/>
    <x v="1"/>
    <x v="2"/>
    <x v="5"/>
    <x v="0"/>
    <x v="0"/>
    <x v="0"/>
    <x v="0"/>
  </r>
  <r>
    <x v="0"/>
    <x v="5"/>
    <x v="0"/>
    <x v="0"/>
    <x v="2"/>
    <x v="1"/>
    <x v="2"/>
    <x v="5"/>
    <x v="0"/>
    <x v="0"/>
    <x v="0"/>
    <x v="0"/>
  </r>
  <r>
    <x v="0"/>
    <x v="6"/>
    <x v="0"/>
    <x v="0"/>
    <x v="2"/>
    <x v="1"/>
    <x v="2"/>
    <x v="5"/>
    <x v="0"/>
    <x v="0"/>
    <x v="0"/>
    <x v="0"/>
  </r>
  <r>
    <x v="0"/>
    <x v="7"/>
    <x v="0"/>
    <x v="0"/>
    <x v="2"/>
    <x v="1"/>
    <x v="2"/>
    <x v="5"/>
    <x v="0"/>
    <x v="0"/>
    <x v="0"/>
    <x v="0"/>
  </r>
  <r>
    <x v="0"/>
    <x v="11"/>
    <x v="0"/>
    <x v="0"/>
    <x v="2"/>
    <x v="1"/>
    <x v="2"/>
    <x v="5"/>
    <x v="0"/>
    <x v="0"/>
    <x v="0"/>
    <x v="0"/>
  </r>
  <r>
    <x v="0"/>
    <x v="12"/>
    <x v="0"/>
    <x v="0"/>
    <x v="2"/>
    <x v="1"/>
    <x v="2"/>
    <x v="5"/>
    <x v="0"/>
    <x v="0"/>
    <x v="0"/>
    <x v="0"/>
  </r>
  <r>
    <x v="0"/>
    <x v="8"/>
    <x v="0"/>
    <x v="0"/>
    <x v="2"/>
    <x v="1"/>
    <x v="2"/>
    <x v="5"/>
    <x v="0"/>
    <x v="0"/>
    <x v="0"/>
    <x v="0"/>
  </r>
  <r>
    <x v="0"/>
    <x v="9"/>
    <x v="0"/>
    <x v="0"/>
    <x v="2"/>
    <x v="1"/>
    <x v="2"/>
    <x v="5"/>
    <x v="0"/>
    <x v="0"/>
    <x v="0"/>
    <x v="0"/>
  </r>
  <r>
    <x v="0"/>
    <x v="10"/>
    <x v="0"/>
    <x v="0"/>
    <x v="2"/>
    <x v="1"/>
    <x v="2"/>
    <x v="5"/>
    <x v="0"/>
    <x v="0"/>
    <x v="0"/>
    <x v="0"/>
  </r>
  <r>
    <x v="0"/>
    <x v="0"/>
    <x v="0"/>
    <x v="0"/>
    <x v="2"/>
    <x v="1"/>
    <x v="2"/>
    <x v="5"/>
    <x v="2"/>
    <x v="0"/>
    <x v="1"/>
    <x v="0"/>
  </r>
  <r>
    <x v="0"/>
    <x v="1"/>
    <x v="0"/>
    <x v="0"/>
    <x v="2"/>
    <x v="1"/>
    <x v="2"/>
    <x v="5"/>
    <x v="2"/>
    <x v="0"/>
    <x v="1"/>
    <x v="0"/>
  </r>
  <r>
    <x v="0"/>
    <x v="2"/>
    <x v="0"/>
    <x v="0"/>
    <x v="2"/>
    <x v="1"/>
    <x v="2"/>
    <x v="5"/>
    <x v="2"/>
    <x v="0"/>
    <x v="1"/>
    <x v="0"/>
  </r>
  <r>
    <x v="0"/>
    <x v="3"/>
    <x v="0"/>
    <x v="0"/>
    <x v="2"/>
    <x v="1"/>
    <x v="2"/>
    <x v="5"/>
    <x v="2"/>
    <x v="0"/>
    <x v="1"/>
    <x v="0"/>
  </r>
  <r>
    <x v="0"/>
    <x v="4"/>
    <x v="0"/>
    <x v="0"/>
    <x v="2"/>
    <x v="1"/>
    <x v="2"/>
    <x v="5"/>
    <x v="2"/>
    <x v="0"/>
    <x v="1"/>
    <x v="0"/>
  </r>
  <r>
    <x v="0"/>
    <x v="5"/>
    <x v="0"/>
    <x v="0"/>
    <x v="2"/>
    <x v="1"/>
    <x v="2"/>
    <x v="5"/>
    <x v="2"/>
    <x v="0"/>
    <x v="1"/>
    <x v="0"/>
  </r>
  <r>
    <x v="0"/>
    <x v="6"/>
    <x v="0"/>
    <x v="0"/>
    <x v="2"/>
    <x v="1"/>
    <x v="2"/>
    <x v="5"/>
    <x v="2"/>
    <x v="0"/>
    <x v="1"/>
    <x v="0"/>
  </r>
  <r>
    <x v="0"/>
    <x v="7"/>
    <x v="0"/>
    <x v="0"/>
    <x v="2"/>
    <x v="1"/>
    <x v="2"/>
    <x v="5"/>
    <x v="2"/>
    <x v="0"/>
    <x v="1"/>
    <x v="0"/>
  </r>
  <r>
    <x v="0"/>
    <x v="11"/>
    <x v="0"/>
    <x v="0"/>
    <x v="2"/>
    <x v="1"/>
    <x v="2"/>
    <x v="5"/>
    <x v="2"/>
    <x v="0"/>
    <x v="1"/>
    <x v="0"/>
  </r>
  <r>
    <x v="0"/>
    <x v="12"/>
    <x v="0"/>
    <x v="0"/>
    <x v="2"/>
    <x v="1"/>
    <x v="2"/>
    <x v="5"/>
    <x v="2"/>
    <x v="0"/>
    <x v="1"/>
    <x v="0"/>
  </r>
  <r>
    <x v="0"/>
    <x v="8"/>
    <x v="0"/>
    <x v="0"/>
    <x v="2"/>
    <x v="1"/>
    <x v="2"/>
    <x v="5"/>
    <x v="2"/>
    <x v="0"/>
    <x v="1"/>
    <x v="0"/>
  </r>
  <r>
    <x v="0"/>
    <x v="9"/>
    <x v="0"/>
    <x v="0"/>
    <x v="2"/>
    <x v="1"/>
    <x v="2"/>
    <x v="5"/>
    <x v="2"/>
    <x v="0"/>
    <x v="1"/>
    <x v="0"/>
  </r>
  <r>
    <x v="0"/>
    <x v="10"/>
    <x v="0"/>
    <x v="0"/>
    <x v="2"/>
    <x v="1"/>
    <x v="2"/>
    <x v="5"/>
    <x v="2"/>
    <x v="0"/>
    <x v="1"/>
    <x v="0"/>
  </r>
  <r>
    <x v="0"/>
    <x v="0"/>
    <x v="0"/>
    <x v="0"/>
    <x v="2"/>
    <x v="1"/>
    <x v="2"/>
    <x v="5"/>
    <x v="0"/>
    <x v="2"/>
    <x v="0"/>
    <x v="0"/>
  </r>
  <r>
    <x v="0"/>
    <x v="1"/>
    <x v="0"/>
    <x v="0"/>
    <x v="2"/>
    <x v="1"/>
    <x v="2"/>
    <x v="5"/>
    <x v="0"/>
    <x v="2"/>
    <x v="0"/>
    <x v="0"/>
  </r>
  <r>
    <x v="0"/>
    <x v="2"/>
    <x v="0"/>
    <x v="0"/>
    <x v="2"/>
    <x v="1"/>
    <x v="2"/>
    <x v="5"/>
    <x v="0"/>
    <x v="2"/>
    <x v="0"/>
    <x v="0"/>
  </r>
  <r>
    <x v="0"/>
    <x v="3"/>
    <x v="0"/>
    <x v="0"/>
    <x v="2"/>
    <x v="1"/>
    <x v="2"/>
    <x v="5"/>
    <x v="0"/>
    <x v="2"/>
    <x v="0"/>
    <x v="0"/>
  </r>
  <r>
    <x v="0"/>
    <x v="4"/>
    <x v="0"/>
    <x v="0"/>
    <x v="2"/>
    <x v="1"/>
    <x v="2"/>
    <x v="5"/>
    <x v="0"/>
    <x v="2"/>
    <x v="0"/>
    <x v="0"/>
  </r>
  <r>
    <x v="0"/>
    <x v="5"/>
    <x v="0"/>
    <x v="0"/>
    <x v="2"/>
    <x v="1"/>
    <x v="2"/>
    <x v="5"/>
    <x v="0"/>
    <x v="2"/>
    <x v="0"/>
    <x v="0"/>
  </r>
  <r>
    <x v="0"/>
    <x v="6"/>
    <x v="0"/>
    <x v="0"/>
    <x v="2"/>
    <x v="1"/>
    <x v="2"/>
    <x v="5"/>
    <x v="0"/>
    <x v="2"/>
    <x v="0"/>
    <x v="0"/>
  </r>
  <r>
    <x v="0"/>
    <x v="7"/>
    <x v="0"/>
    <x v="0"/>
    <x v="2"/>
    <x v="1"/>
    <x v="2"/>
    <x v="5"/>
    <x v="0"/>
    <x v="2"/>
    <x v="0"/>
    <x v="0"/>
  </r>
  <r>
    <x v="0"/>
    <x v="11"/>
    <x v="0"/>
    <x v="0"/>
    <x v="2"/>
    <x v="1"/>
    <x v="2"/>
    <x v="5"/>
    <x v="0"/>
    <x v="2"/>
    <x v="0"/>
    <x v="0"/>
  </r>
  <r>
    <x v="0"/>
    <x v="12"/>
    <x v="0"/>
    <x v="0"/>
    <x v="2"/>
    <x v="1"/>
    <x v="2"/>
    <x v="5"/>
    <x v="0"/>
    <x v="2"/>
    <x v="0"/>
    <x v="0"/>
  </r>
  <r>
    <x v="0"/>
    <x v="8"/>
    <x v="0"/>
    <x v="0"/>
    <x v="2"/>
    <x v="1"/>
    <x v="2"/>
    <x v="5"/>
    <x v="0"/>
    <x v="2"/>
    <x v="0"/>
    <x v="0"/>
  </r>
  <r>
    <x v="0"/>
    <x v="9"/>
    <x v="0"/>
    <x v="0"/>
    <x v="2"/>
    <x v="1"/>
    <x v="2"/>
    <x v="5"/>
    <x v="0"/>
    <x v="2"/>
    <x v="0"/>
    <x v="0"/>
  </r>
  <r>
    <x v="0"/>
    <x v="10"/>
    <x v="0"/>
    <x v="0"/>
    <x v="2"/>
    <x v="1"/>
    <x v="2"/>
    <x v="5"/>
    <x v="0"/>
    <x v="2"/>
    <x v="0"/>
    <x v="0"/>
  </r>
  <r>
    <x v="0"/>
    <x v="0"/>
    <x v="0"/>
    <x v="0"/>
    <x v="2"/>
    <x v="1"/>
    <x v="2"/>
    <x v="5"/>
    <x v="2"/>
    <x v="2"/>
    <x v="1"/>
    <x v="0"/>
  </r>
  <r>
    <x v="0"/>
    <x v="1"/>
    <x v="0"/>
    <x v="0"/>
    <x v="2"/>
    <x v="1"/>
    <x v="2"/>
    <x v="5"/>
    <x v="2"/>
    <x v="2"/>
    <x v="1"/>
    <x v="0"/>
  </r>
  <r>
    <x v="0"/>
    <x v="2"/>
    <x v="0"/>
    <x v="0"/>
    <x v="2"/>
    <x v="1"/>
    <x v="2"/>
    <x v="5"/>
    <x v="2"/>
    <x v="2"/>
    <x v="1"/>
    <x v="0"/>
  </r>
  <r>
    <x v="0"/>
    <x v="3"/>
    <x v="0"/>
    <x v="0"/>
    <x v="2"/>
    <x v="1"/>
    <x v="2"/>
    <x v="5"/>
    <x v="2"/>
    <x v="2"/>
    <x v="1"/>
    <x v="0"/>
  </r>
  <r>
    <x v="0"/>
    <x v="4"/>
    <x v="0"/>
    <x v="0"/>
    <x v="2"/>
    <x v="1"/>
    <x v="2"/>
    <x v="5"/>
    <x v="2"/>
    <x v="2"/>
    <x v="1"/>
    <x v="0"/>
  </r>
  <r>
    <x v="0"/>
    <x v="5"/>
    <x v="0"/>
    <x v="0"/>
    <x v="2"/>
    <x v="1"/>
    <x v="2"/>
    <x v="5"/>
    <x v="2"/>
    <x v="2"/>
    <x v="1"/>
    <x v="0"/>
  </r>
  <r>
    <x v="0"/>
    <x v="6"/>
    <x v="0"/>
    <x v="0"/>
    <x v="2"/>
    <x v="1"/>
    <x v="2"/>
    <x v="5"/>
    <x v="2"/>
    <x v="2"/>
    <x v="1"/>
    <x v="0"/>
  </r>
  <r>
    <x v="0"/>
    <x v="7"/>
    <x v="0"/>
    <x v="0"/>
    <x v="2"/>
    <x v="1"/>
    <x v="2"/>
    <x v="5"/>
    <x v="2"/>
    <x v="2"/>
    <x v="1"/>
    <x v="0"/>
  </r>
  <r>
    <x v="0"/>
    <x v="11"/>
    <x v="0"/>
    <x v="0"/>
    <x v="2"/>
    <x v="1"/>
    <x v="2"/>
    <x v="5"/>
    <x v="2"/>
    <x v="2"/>
    <x v="1"/>
    <x v="0"/>
  </r>
  <r>
    <x v="0"/>
    <x v="12"/>
    <x v="0"/>
    <x v="0"/>
    <x v="2"/>
    <x v="1"/>
    <x v="2"/>
    <x v="5"/>
    <x v="2"/>
    <x v="2"/>
    <x v="1"/>
    <x v="0"/>
  </r>
  <r>
    <x v="0"/>
    <x v="8"/>
    <x v="0"/>
    <x v="0"/>
    <x v="2"/>
    <x v="1"/>
    <x v="2"/>
    <x v="5"/>
    <x v="2"/>
    <x v="2"/>
    <x v="1"/>
    <x v="0"/>
  </r>
  <r>
    <x v="0"/>
    <x v="9"/>
    <x v="0"/>
    <x v="0"/>
    <x v="2"/>
    <x v="1"/>
    <x v="2"/>
    <x v="5"/>
    <x v="2"/>
    <x v="2"/>
    <x v="1"/>
    <x v="0"/>
  </r>
  <r>
    <x v="0"/>
    <x v="10"/>
    <x v="0"/>
    <x v="0"/>
    <x v="2"/>
    <x v="1"/>
    <x v="2"/>
    <x v="5"/>
    <x v="2"/>
    <x v="2"/>
    <x v="1"/>
    <x v="0"/>
  </r>
  <r>
    <x v="0"/>
    <x v="0"/>
    <x v="0"/>
    <x v="0"/>
    <x v="2"/>
    <x v="1"/>
    <x v="2"/>
    <x v="5"/>
    <x v="1"/>
    <x v="2"/>
    <x v="1"/>
    <x v="0"/>
  </r>
  <r>
    <x v="0"/>
    <x v="1"/>
    <x v="0"/>
    <x v="0"/>
    <x v="2"/>
    <x v="1"/>
    <x v="2"/>
    <x v="5"/>
    <x v="1"/>
    <x v="2"/>
    <x v="1"/>
    <x v="0"/>
  </r>
  <r>
    <x v="0"/>
    <x v="2"/>
    <x v="0"/>
    <x v="0"/>
    <x v="2"/>
    <x v="1"/>
    <x v="2"/>
    <x v="5"/>
    <x v="1"/>
    <x v="2"/>
    <x v="1"/>
    <x v="0"/>
  </r>
  <r>
    <x v="0"/>
    <x v="3"/>
    <x v="0"/>
    <x v="0"/>
    <x v="2"/>
    <x v="1"/>
    <x v="2"/>
    <x v="5"/>
    <x v="1"/>
    <x v="2"/>
    <x v="1"/>
    <x v="0"/>
  </r>
  <r>
    <x v="0"/>
    <x v="4"/>
    <x v="0"/>
    <x v="0"/>
    <x v="2"/>
    <x v="1"/>
    <x v="2"/>
    <x v="5"/>
    <x v="1"/>
    <x v="2"/>
    <x v="1"/>
    <x v="0"/>
  </r>
  <r>
    <x v="0"/>
    <x v="5"/>
    <x v="0"/>
    <x v="0"/>
    <x v="2"/>
    <x v="1"/>
    <x v="2"/>
    <x v="5"/>
    <x v="1"/>
    <x v="2"/>
    <x v="1"/>
    <x v="0"/>
  </r>
  <r>
    <x v="0"/>
    <x v="6"/>
    <x v="0"/>
    <x v="0"/>
    <x v="2"/>
    <x v="1"/>
    <x v="2"/>
    <x v="5"/>
    <x v="1"/>
    <x v="2"/>
    <x v="1"/>
    <x v="0"/>
  </r>
  <r>
    <x v="0"/>
    <x v="7"/>
    <x v="0"/>
    <x v="0"/>
    <x v="2"/>
    <x v="1"/>
    <x v="2"/>
    <x v="5"/>
    <x v="1"/>
    <x v="2"/>
    <x v="1"/>
    <x v="0"/>
  </r>
  <r>
    <x v="0"/>
    <x v="11"/>
    <x v="0"/>
    <x v="0"/>
    <x v="2"/>
    <x v="1"/>
    <x v="2"/>
    <x v="5"/>
    <x v="1"/>
    <x v="2"/>
    <x v="1"/>
    <x v="0"/>
  </r>
  <r>
    <x v="0"/>
    <x v="12"/>
    <x v="0"/>
    <x v="0"/>
    <x v="2"/>
    <x v="1"/>
    <x v="2"/>
    <x v="5"/>
    <x v="1"/>
    <x v="2"/>
    <x v="1"/>
    <x v="0"/>
  </r>
  <r>
    <x v="0"/>
    <x v="8"/>
    <x v="0"/>
    <x v="0"/>
    <x v="2"/>
    <x v="1"/>
    <x v="2"/>
    <x v="5"/>
    <x v="1"/>
    <x v="2"/>
    <x v="1"/>
    <x v="0"/>
  </r>
  <r>
    <x v="0"/>
    <x v="9"/>
    <x v="0"/>
    <x v="0"/>
    <x v="2"/>
    <x v="1"/>
    <x v="2"/>
    <x v="5"/>
    <x v="1"/>
    <x v="2"/>
    <x v="1"/>
    <x v="0"/>
  </r>
  <r>
    <x v="0"/>
    <x v="10"/>
    <x v="0"/>
    <x v="0"/>
    <x v="2"/>
    <x v="1"/>
    <x v="2"/>
    <x v="5"/>
    <x v="1"/>
    <x v="2"/>
    <x v="1"/>
    <x v="0"/>
  </r>
  <r>
    <x v="0"/>
    <x v="0"/>
    <x v="0"/>
    <x v="0"/>
    <x v="2"/>
    <x v="1"/>
    <x v="2"/>
    <x v="1"/>
    <x v="3"/>
    <x v="3"/>
    <x v="4"/>
    <x v="0"/>
  </r>
  <r>
    <x v="0"/>
    <x v="1"/>
    <x v="0"/>
    <x v="0"/>
    <x v="2"/>
    <x v="1"/>
    <x v="2"/>
    <x v="1"/>
    <x v="3"/>
    <x v="3"/>
    <x v="4"/>
    <x v="0"/>
  </r>
  <r>
    <x v="0"/>
    <x v="2"/>
    <x v="0"/>
    <x v="0"/>
    <x v="2"/>
    <x v="1"/>
    <x v="2"/>
    <x v="1"/>
    <x v="3"/>
    <x v="3"/>
    <x v="4"/>
    <x v="0"/>
  </r>
  <r>
    <x v="0"/>
    <x v="3"/>
    <x v="0"/>
    <x v="0"/>
    <x v="2"/>
    <x v="1"/>
    <x v="2"/>
    <x v="1"/>
    <x v="3"/>
    <x v="3"/>
    <x v="4"/>
    <x v="0"/>
  </r>
  <r>
    <x v="0"/>
    <x v="4"/>
    <x v="0"/>
    <x v="0"/>
    <x v="2"/>
    <x v="1"/>
    <x v="2"/>
    <x v="1"/>
    <x v="3"/>
    <x v="3"/>
    <x v="4"/>
    <x v="0"/>
  </r>
  <r>
    <x v="0"/>
    <x v="5"/>
    <x v="0"/>
    <x v="0"/>
    <x v="2"/>
    <x v="1"/>
    <x v="2"/>
    <x v="1"/>
    <x v="3"/>
    <x v="3"/>
    <x v="4"/>
    <x v="0"/>
  </r>
  <r>
    <x v="0"/>
    <x v="6"/>
    <x v="0"/>
    <x v="0"/>
    <x v="2"/>
    <x v="1"/>
    <x v="2"/>
    <x v="1"/>
    <x v="3"/>
    <x v="3"/>
    <x v="18"/>
    <x v="0"/>
  </r>
  <r>
    <x v="0"/>
    <x v="7"/>
    <x v="0"/>
    <x v="0"/>
    <x v="2"/>
    <x v="1"/>
    <x v="2"/>
    <x v="1"/>
    <x v="3"/>
    <x v="3"/>
    <x v="19"/>
    <x v="0"/>
  </r>
  <r>
    <x v="0"/>
    <x v="11"/>
    <x v="0"/>
    <x v="0"/>
    <x v="2"/>
    <x v="1"/>
    <x v="2"/>
    <x v="1"/>
    <x v="3"/>
    <x v="3"/>
    <x v="19"/>
    <x v="0"/>
  </r>
  <r>
    <x v="0"/>
    <x v="12"/>
    <x v="0"/>
    <x v="0"/>
    <x v="2"/>
    <x v="1"/>
    <x v="2"/>
    <x v="1"/>
    <x v="3"/>
    <x v="3"/>
    <x v="4"/>
    <x v="0"/>
  </r>
  <r>
    <x v="0"/>
    <x v="8"/>
    <x v="0"/>
    <x v="0"/>
    <x v="2"/>
    <x v="1"/>
    <x v="2"/>
    <x v="1"/>
    <x v="3"/>
    <x v="3"/>
    <x v="4"/>
    <x v="0"/>
  </r>
  <r>
    <x v="0"/>
    <x v="9"/>
    <x v="0"/>
    <x v="0"/>
    <x v="2"/>
    <x v="1"/>
    <x v="2"/>
    <x v="1"/>
    <x v="3"/>
    <x v="3"/>
    <x v="4"/>
    <x v="0"/>
  </r>
  <r>
    <x v="0"/>
    <x v="10"/>
    <x v="0"/>
    <x v="0"/>
    <x v="2"/>
    <x v="1"/>
    <x v="2"/>
    <x v="1"/>
    <x v="3"/>
    <x v="3"/>
    <x v="4"/>
    <x v="0"/>
  </r>
  <r>
    <x v="0"/>
    <x v="0"/>
    <x v="0"/>
    <x v="0"/>
    <x v="2"/>
    <x v="1"/>
    <x v="2"/>
    <x v="2"/>
    <x v="3"/>
    <x v="3"/>
    <x v="20"/>
    <x v="0"/>
  </r>
  <r>
    <x v="0"/>
    <x v="1"/>
    <x v="0"/>
    <x v="0"/>
    <x v="2"/>
    <x v="1"/>
    <x v="2"/>
    <x v="2"/>
    <x v="3"/>
    <x v="3"/>
    <x v="20"/>
    <x v="0"/>
  </r>
  <r>
    <x v="0"/>
    <x v="2"/>
    <x v="0"/>
    <x v="0"/>
    <x v="2"/>
    <x v="1"/>
    <x v="2"/>
    <x v="2"/>
    <x v="3"/>
    <x v="3"/>
    <x v="20"/>
    <x v="0"/>
  </r>
  <r>
    <x v="0"/>
    <x v="3"/>
    <x v="0"/>
    <x v="0"/>
    <x v="2"/>
    <x v="1"/>
    <x v="2"/>
    <x v="2"/>
    <x v="3"/>
    <x v="3"/>
    <x v="20"/>
    <x v="0"/>
  </r>
  <r>
    <x v="0"/>
    <x v="4"/>
    <x v="0"/>
    <x v="0"/>
    <x v="2"/>
    <x v="1"/>
    <x v="2"/>
    <x v="2"/>
    <x v="3"/>
    <x v="3"/>
    <x v="20"/>
    <x v="0"/>
  </r>
  <r>
    <x v="0"/>
    <x v="5"/>
    <x v="0"/>
    <x v="0"/>
    <x v="2"/>
    <x v="1"/>
    <x v="2"/>
    <x v="2"/>
    <x v="3"/>
    <x v="3"/>
    <x v="20"/>
    <x v="0"/>
  </r>
  <r>
    <x v="0"/>
    <x v="6"/>
    <x v="0"/>
    <x v="0"/>
    <x v="2"/>
    <x v="1"/>
    <x v="2"/>
    <x v="2"/>
    <x v="3"/>
    <x v="3"/>
    <x v="20"/>
    <x v="0"/>
  </r>
  <r>
    <x v="0"/>
    <x v="7"/>
    <x v="0"/>
    <x v="0"/>
    <x v="2"/>
    <x v="1"/>
    <x v="2"/>
    <x v="2"/>
    <x v="3"/>
    <x v="3"/>
    <x v="20"/>
    <x v="0"/>
  </r>
  <r>
    <x v="0"/>
    <x v="11"/>
    <x v="0"/>
    <x v="0"/>
    <x v="2"/>
    <x v="1"/>
    <x v="2"/>
    <x v="2"/>
    <x v="3"/>
    <x v="3"/>
    <x v="20"/>
    <x v="0"/>
  </r>
  <r>
    <x v="0"/>
    <x v="12"/>
    <x v="0"/>
    <x v="0"/>
    <x v="2"/>
    <x v="1"/>
    <x v="2"/>
    <x v="2"/>
    <x v="3"/>
    <x v="3"/>
    <x v="20"/>
    <x v="0"/>
  </r>
  <r>
    <x v="0"/>
    <x v="8"/>
    <x v="0"/>
    <x v="0"/>
    <x v="2"/>
    <x v="1"/>
    <x v="2"/>
    <x v="2"/>
    <x v="3"/>
    <x v="3"/>
    <x v="20"/>
    <x v="0"/>
  </r>
  <r>
    <x v="0"/>
    <x v="9"/>
    <x v="0"/>
    <x v="0"/>
    <x v="2"/>
    <x v="1"/>
    <x v="2"/>
    <x v="2"/>
    <x v="3"/>
    <x v="3"/>
    <x v="20"/>
    <x v="0"/>
  </r>
  <r>
    <x v="0"/>
    <x v="10"/>
    <x v="0"/>
    <x v="0"/>
    <x v="2"/>
    <x v="1"/>
    <x v="2"/>
    <x v="2"/>
    <x v="3"/>
    <x v="3"/>
    <x v="20"/>
    <x v="0"/>
  </r>
  <r>
    <x v="0"/>
    <x v="0"/>
    <x v="0"/>
    <x v="0"/>
    <x v="3"/>
    <x v="0"/>
    <x v="2"/>
    <x v="4"/>
    <x v="2"/>
    <x v="0"/>
    <x v="1"/>
    <x v="0"/>
  </r>
  <r>
    <x v="0"/>
    <x v="1"/>
    <x v="0"/>
    <x v="0"/>
    <x v="3"/>
    <x v="0"/>
    <x v="2"/>
    <x v="4"/>
    <x v="2"/>
    <x v="0"/>
    <x v="1"/>
    <x v="0"/>
  </r>
  <r>
    <x v="0"/>
    <x v="2"/>
    <x v="0"/>
    <x v="0"/>
    <x v="3"/>
    <x v="0"/>
    <x v="2"/>
    <x v="4"/>
    <x v="2"/>
    <x v="0"/>
    <x v="1"/>
    <x v="0"/>
  </r>
  <r>
    <x v="0"/>
    <x v="3"/>
    <x v="0"/>
    <x v="0"/>
    <x v="3"/>
    <x v="0"/>
    <x v="2"/>
    <x v="4"/>
    <x v="2"/>
    <x v="0"/>
    <x v="1"/>
    <x v="0"/>
  </r>
  <r>
    <x v="0"/>
    <x v="4"/>
    <x v="0"/>
    <x v="0"/>
    <x v="3"/>
    <x v="0"/>
    <x v="2"/>
    <x v="4"/>
    <x v="2"/>
    <x v="0"/>
    <x v="1"/>
    <x v="0"/>
  </r>
  <r>
    <x v="0"/>
    <x v="5"/>
    <x v="0"/>
    <x v="0"/>
    <x v="3"/>
    <x v="0"/>
    <x v="2"/>
    <x v="4"/>
    <x v="2"/>
    <x v="0"/>
    <x v="1"/>
    <x v="0"/>
  </r>
  <r>
    <x v="0"/>
    <x v="6"/>
    <x v="0"/>
    <x v="0"/>
    <x v="3"/>
    <x v="0"/>
    <x v="2"/>
    <x v="4"/>
    <x v="2"/>
    <x v="0"/>
    <x v="1"/>
    <x v="0"/>
  </r>
  <r>
    <x v="0"/>
    <x v="7"/>
    <x v="0"/>
    <x v="0"/>
    <x v="3"/>
    <x v="0"/>
    <x v="2"/>
    <x v="4"/>
    <x v="2"/>
    <x v="0"/>
    <x v="1"/>
    <x v="0"/>
  </r>
  <r>
    <x v="0"/>
    <x v="11"/>
    <x v="0"/>
    <x v="0"/>
    <x v="3"/>
    <x v="0"/>
    <x v="2"/>
    <x v="4"/>
    <x v="2"/>
    <x v="0"/>
    <x v="1"/>
    <x v="0"/>
  </r>
  <r>
    <x v="0"/>
    <x v="12"/>
    <x v="0"/>
    <x v="0"/>
    <x v="3"/>
    <x v="0"/>
    <x v="2"/>
    <x v="4"/>
    <x v="2"/>
    <x v="0"/>
    <x v="1"/>
    <x v="0"/>
  </r>
  <r>
    <x v="0"/>
    <x v="8"/>
    <x v="0"/>
    <x v="0"/>
    <x v="3"/>
    <x v="0"/>
    <x v="2"/>
    <x v="4"/>
    <x v="2"/>
    <x v="0"/>
    <x v="1"/>
    <x v="0"/>
  </r>
  <r>
    <x v="0"/>
    <x v="9"/>
    <x v="0"/>
    <x v="0"/>
    <x v="3"/>
    <x v="0"/>
    <x v="2"/>
    <x v="4"/>
    <x v="2"/>
    <x v="0"/>
    <x v="1"/>
    <x v="0"/>
  </r>
  <r>
    <x v="0"/>
    <x v="10"/>
    <x v="0"/>
    <x v="0"/>
    <x v="3"/>
    <x v="0"/>
    <x v="2"/>
    <x v="4"/>
    <x v="2"/>
    <x v="0"/>
    <x v="1"/>
    <x v="0"/>
  </r>
  <r>
    <x v="0"/>
    <x v="0"/>
    <x v="0"/>
    <x v="0"/>
    <x v="3"/>
    <x v="0"/>
    <x v="2"/>
    <x v="4"/>
    <x v="2"/>
    <x v="2"/>
    <x v="1"/>
    <x v="0"/>
  </r>
  <r>
    <x v="0"/>
    <x v="1"/>
    <x v="0"/>
    <x v="0"/>
    <x v="3"/>
    <x v="0"/>
    <x v="2"/>
    <x v="4"/>
    <x v="2"/>
    <x v="2"/>
    <x v="1"/>
    <x v="0"/>
  </r>
  <r>
    <x v="0"/>
    <x v="2"/>
    <x v="0"/>
    <x v="0"/>
    <x v="3"/>
    <x v="0"/>
    <x v="2"/>
    <x v="4"/>
    <x v="2"/>
    <x v="2"/>
    <x v="1"/>
    <x v="0"/>
  </r>
  <r>
    <x v="0"/>
    <x v="3"/>
    <x v="0"/>
    <x v="0"/>
    <x v="3"/>
    <x v="0"/>
    <x v="2"/>
    <x v="4"/>
    <x v="2"/>
    <x v="2"/>
    <x v="1"/>
    <x v="0"/>
  </r>
  <r>
    <x v="0"/>
    <x v="4"/>
    <x v="0"/>
    <x v="0"/>
    <x v="3"/>
    <x v="0"/>
    <x v="2"/>
    <x v="4"/>
    <x v="2"/>
    <x v="2"/>
    <x v="1"/>
    <x v="0"/>
  </r>
  <r>
    <x v="0"/>
    <x v="5"/>
    <x v="0"/>
    <x v="0"/>
    <x v="3"/>
    <x v="0"/>
    <x v="2"/>
    <x v="4"/>
    <x v="2"/>
    <x v="2"/>
    <x v="1"/>
    <x v="0"/>
  </r>
  <r>
    <x v="0"/>
    <x v="6"/>
    <x v="0"/>
    <x v="0"/>
    <x v="3"/>
    <x v="0"/>
    <x v="2"/>
    <x v="4"/>
    <x v="2"/>
    <x v="2"/>
    <x v="1"/>
    <x v="0"/>
  </r>
  <r>
    <x v="0"/>
    <x v="7"/>
    <x v="0"/>
    <x v="0"/>
    <x v="3"/>
    <x v="0"/>
    <x v="2"/>
    <x v="4"/>
    <x v="2"/>
    <x v="2"/>
    <x v="1"/>
    <x v="0"/>
  </r>
  <r>
    <x v="0"/>
    <x v="11"/>
    <x v="0"/>
    <x v="0"/>
    <x v="3"/>
    <x v="0"/>
    <x v="2"/>
    <x v="4"/>
    <x v="2"/>
    <x v="2"/>
    <x v="1"/>
    <x v="0"/>
  </r>
  <r>
    <x v="0"/>
    <x v="12"/>
    <x v="0"/>
    <x v="0"/>
    <x v="3"/>
    <x v="0"/>
    <x v="2"/>
    <x v="4"/>
    <x v="2"/>
    <x v="2"/>
    <x v="1"/>
    <x v="0"/>
  </r>
  <r>
    <x v="0"/>
    <x v="8"/>
    <x v="0"/>
    <x v="0"/>
    <x v="3"/>
    <x v="0"/>
    <x v="2"/>
    <x v="4"/>
    <x v="2"/>
    <x v="2"/>
    <x v="1"/>
    <x v="0"/>
  </r>
  <r>
    <x v="0"/>
    <x v="9"/>
    <x v="0"/>
    <x v="0"/>
    <x v="3"/>
    <x v="0"/>
    <x v="2"/>
    <x v="4"/>
    <x v="2"/>
    <x v="2"/>
    <x v="1"/>
    <x v="0"/>
  </r>
  <r>
    <x v="0"/>
    <x v="10"/>
    <x v="0"/>
    <x v="0"/>
    <x v="3"/>
    <x v="0"/>
    <x v="2"/>
    <x v="4"/>
    <x v="2"/>
    <x v="2"/>
    <x v="1"/>
    <x v="0"/>
  </r>
  <r>
    <x v="0"/>
    <x v="0"/>
    <x v="0"/>
    <x v="0"/>
    <x v="3"/>
    <x v="1"/>
    <x v="2"/>
    <x v="6"/>
    <x v="0"/>
    <x v="0"/>
    <x v="0"/>
    <x v="0"/>
  </r>
  <r>
    <x v="0"/>
    <x v="1"/>
    <x v="0"/>
    <x v="0"/>
    <x v="3"/>
    <x v="1"/>
    <x v="2"/>
    <x v="6"/>
    <x v="0"/>
    <x v="0"/>
    <x v="0"/>
    <x v="0"/>
  </r>
  <r>
    <x v="0"/>
    <x v="2"/>
    <x v="0"/>
    <x v="0"/>
    <x v="3"/>
    <x v="1"/>
    <x v="2"/>
    <x v="6"/>
    <x v="0"/>
    <x v="0"/>
    <x v="0"/>
    <x v="0"/>
  </r>
  <r>
    <x v="0"/>
    <x v="3"/>
    <x v="0"/>
    <x v="0"/>
    <x v="3"/>
    <x v="1"/>
    <x v="2"/>
    <x v="6"/>
    <x v="0"/>
    <x v="0"/>
    <x v="0"/>
    <x v="0"/>
  </r>
  <r>
    <x v="0"/>
    <x v="4"/>
    <x v="0"/>
    <x v="0"/>
    <x v="3"/>
    <x v="1"/>
    <x v="2"/>
    <x v="6"/>
    <x v="0"/>
    <x v="0"/>
    <x v="0"/>
    <x v="0"/>
  </r>
  <r>
    <x v="0"/>
    <x v="5"/>
    <x v="0"/>
    <x v="0"/>
    <x v="3"/>
    <x v="1"/>
    <x v="2"/>
    <x v="6"/>
    <x v="0"/>
    <x v="0"/>
    <x v="0"/>
    <x v="0"/>
  </r>
  <r>
    <x v="0"/>
    <x v="6"/>
    <x v="0"/>
    <x v="0"/>
    <x v="3"/>
    <x v="1"/>
    <x v="2"/>
    <x v="6"/>
    <x v="0"/>
    <x v="0"/>
    <x v="0"/>
    <x v="0"/>
  </r>
  <r>
    <x v="0"/>
    <x v="7"/>
    <x v="0"/>
    <x v="0"/>
    <x v="3"/>
    <x v="1"/>
    <x v="2"/>
    <x v="6"/>
    <x v="0"/>
    <x v="0"/>
    <x v="0"/>
    <x v="0"/>
  </r>
  <r>
    <x v="0"/>
    <x v="11"/>
    <x v="0"/>
    <x v="0"/>
    <x v="3"/>
    <x v="1"/>
    <x v="2"/>
    <x v="6"/>
    <x v="0"/>
    <x v="0"/>
    <x v="0"/>
    <x v="0"/>
  </r>
  <r>
    <x v="0"/>
    <x v="12"/>
    <x v="0"/>
    <x v="0"/>
    <x v="3"/>
    <x v="1"/>
    <x v="2"/>
    <x v="6"/>
    <x v="0"/>
    <x v="0"/>
    <x v="0"/>
    <x v="0"/>
  </r>
  <r>
    <x v="0"/>
    <x v="8"/>
    <x v="0"/>
    <x v="0"/>
    <x v="3"/>
    <x v="1"/>
    <x v="2"/>
    <x v="6"/>
    <x v="0"/>
    <x v="0"/>
    <x v="0"/>
    <x v="0"/>
  </r>
  <r>
    <x v="0"/>
    <x v="9"/>
    <x v="0"/>
    <x v="0"/>
    <x v="3"/>
    <x v="1"/>
    <x v="2"/>
    <x v="6"/>
    <x v="0"/>
    <x v="0"/>
    <x v="0"/>
    <x v="0"/>
  </r>
  <r>
    <x v="0"/>
    <x v="10"/>
    <x v="0"/>
    <x v="0"/>
    <x v="3"/>
    <x v="1"/>
    <x v="2"/>
    <x v="6"/>
    <x v="0"/>
    <x v="0"/>
    <x v="0"/>
    <x v="0"/>
  </r>
  <r>
    <x v="0"/>
    <x v="0"/>
    <x v="0"/>
    <x v="0"/>
    <x v="3"/>
    <x v="1"/>
    <x v="2"/>
    <x v="6"/>
    <x v="2"/>
    <x v="0"/>
    <x v="1"/>
    <x v="0"/>
  </r>
  <r>
    <x v="0"/>
    <x v="1"/>
    <x v="0"/>
    <x v="0"/>
    <x v="3"/>
    <x v="1"/>
    <x v="2"/>
    <x v="6"/>
    <x v="2"/>
    <x v="0"/>
    <x v="1"/>
    <x v="0"/>
  </r>
  <r>
    <x v="0"/>
    <x v="2"/>
    <x v="0"/>
    <x v="0"/>
    <x v="3"/>
    <x v="1"/>
    <x v="2"/>
    <x v="6"/>
    <x v="2"/>
    <x v="0"/>
    <x v="1"/>
    <x v="0"/>
  </r>
  <r>
    <x v="0"/>
    <x v="3"/>
    <x v="0"/>
    <x v="0"/>
    <x v="3"/>
    <x v="1"/>
    <x v="2"/>
    <x v="6"/>
    <x v="2"/>
    <x v="0"/>
    <x v="1"/>
    <x v="0"/>
  </r>
  <r>
    <x v="0"/>
    <x v="4"/>
    <x v="0"/>
    <x v="0"/>
    <x v="3"/>
    <x v="1"/>
    <x v="2"/>
    <x v="6"/>
    <x v="2"/>
    <x v="0"/>
    <x v="1"/>
    <x v="0"/>
  </r>
  <r>
    <x v="0"/>
    <x v="5"/>
    <x v="0"/>
    <x v="0"/>
    <x v="3"/>
    <x v="1"/>
    <x v="2"/>
    <x v="6"/>
    <x v="2"/>
    <x v="0"/>
    <x v="1"/>
    <x v="0"/>
  </r>
  <r>
    <x v="0"/>
    <x v="6"/>
    <x v="0"/>
    <x v="0"/>
    <x v="3"/>
    <x v="1"/>
    <x v="2"/>
    <x v="6"/>
    <x v="2"/>
    <x v="0"/>
    <x v="1"/>
    <x v="0"/>
  </r>
  <r>
    <x v="0"/>
    <x v="7"/>
    <x v="0"/>
    <x v="0"/>
    <x v="3"/>
    <x v="1"/>
    <x v="2"/>
    <x v="6"/>
    <x v="2"/>
    <x v="0"/>
    <x v="1"/>
    <x v="0"/>
  </r>
  <r>
    <x v="0"/>
    <x v="11"/>
    <x v="0"/>
    <x v="0"/>
    <x v="3"/>
    <x v="1"/>
    <x v="2"/>
    <x v="6"/>
    <x v="2"/>
    <x v="0"/>
    <x v="1"/>
    <x v="0"/>
  </r>
  <r>
    <x v="0"/>
    <x v="12"/>
    <x v="0"/>
    <x v="0"/>
    <x v="3"/>
    <x v="1"/>
    <x v="2"/>
    <x v="6"/>
    <x v="2"/>
    <x v="0"/>
    <x v="1"/>
    <x v="0"/>
  </r>
  <r>
    <x v="0"/>
    <x v="8"/>
    <x v="0"/>
    <x v="0"/>
    <x v="3"/>
    <x v="1"/>
    <x v="2"/>
    <x v="6"/>
    <x v="2"/>
    <x v="0"/>
    <x v="1"/>
    <x v="0"/>
  </r>
  <r>
    <x v="0"/>
    <x v="9"/>
    <x v="0"/>
    <x v="0"/>
    <x v="3"/>
    <x v="1"/>
    <x v="2"/>
    <x v="6"/>
    <x v="2"/>
    <x v="0"/>
    <x v="1"/>
    <x v="0"/>
  </r>
  <r>
    <x v="0"/>
    <x v="10"/>
    <x v="0"/>
    <x v="0"/>
    <x v="3"/>
    <x v="1"/>
    <x v="2"/>
    <x v="6"/>
    <x v="2"/>
    <x v="0"/>
    <x v="1"/>
    <x v="0"/>
  </r>
  <r>
    <x v="0"/>
    <x v="0"/>
    <x v="0"/>
    <x v="0"/>
    <x v="3"/>
    <x v="1"/>
    <x v="2"/>
    <x v="6"/>
    <x v="1"/>
    <x v="0"/>
    <x v="1"/>
    <x v="0"/>
  </r>
  <r>
    <x v="0"/>
    <x v="1"/>
    <x v="0"/>
    <x v="0"/>
    <x v="3"/>
    <x v="1"/>
    <x v="2"/>
    <x v="6"/>
    <x v="1"/>
    <x v="0"/>
    <x v="1"/>
    <x v="0"/>
  </r>
  <r>
    <x v="0"/>
    <x v="2"/>
    <x v="0"/>
    <x v="0"/>
    <x v="3"/>
    <x v="1"/>
    <x v="2"/>
    <x v="6"/>
    <x v="1"/>
    <x v="0"/>
    <x v="1"/>
    <x v="0"/>
  </r>
  <r>
    <x v="0"/>
    <x v="3"/>
    <x v="0"/>
    <x v="0"/>
    <x v="3"/>
    <x v="1"/>
    <x v="2"/>
    <x v="6"/>
    <x v="1"/>
    <x v="0"/>
    <x v="1"/>
    <x v="0"/>
  </r>
  <r>
    <x v="0"/>
    <x v="4"/>
    <x v="0"/>
    <x v="0"/>
    <x v="3"/>
    <x v="1"/>
    <x v="2"/>
    <x v="6"/>
    <x v="1"/>
    <x v="0"/>
    <x v="1"/>
    <x v="0"/>
  </r>
  <r>
    <x v="0"/>
    <x v="5"/>
    <x v="0"/>
    <x v="0"/>
    <x v="3"/>
    <x v="1"/>
    <x v="2"/>
    <x v="6"/>
    <x v="1"/>
    <x v="0"/>
    <x v="1"/>
    <x v="0"/>
  </r>
  <r>
    <x v="0"/>
    <x v="6"/>
    <x v="0"/>
    <x v="0"/>
    <x v="3"/>
    <x v="1"/>
    <x v="2"/>
    <x v="6"/>
    <x v="1"/>
    <x v="0"/>
    <x v="1"/>
    <x v="0"/>
  </r>
  <r>
    <x v="0"/>
    <x v="7"/>
    <x v="0"/>
    <x v="0"/>
    <x v="3"/>
    <x v="1"/>
    <x v="2"/>
    <x v="6"/>
    <x v="1"/>
    <x v="0"/>
    <x v="1"/>
    <x v="0"/>
  </r>
  <r>
    <x v="0"/>
    <x v="11"/>
    <x v="0"/>
    <x v="0"/>
    <x v="3"/>
    <x v="1"/>
    <x v="2"/>
    <x v="6"/>
    <x v="1"/>
    <x v="0"/>
    <x v="1"/>
    <x v="0"/>
  </r>
  <r>
    <x v="0"/>
    <x v="12"/>
    <x v="0"/>
    <x v="0"/>
    <x v="3"/>
    <x v="1"/>
    <x v="2"/>
    <x v="6"/>
    <x v="1"/>
    <x v="0"/>
    <x v="1"/>
    <x v="0"/>
  </r>
  <r>
    <x v="0"/>
    <x v="8"/>
    <x v="0"/>
    <x v="0"/>
    <x v="3"/>
    <x v="1"/>
    <x v="2"/>
    <x v="6"/>
    <x v="1"/>
    <x v="0"/>
    <x v="1"/>
    <x v="0"/>
  </r>
  <r>
    <x v="0"/>
    <x v="9"/>
    <x v="0"/>
    <x v="0"/>
    <x v="3"/>
    <x v="1"/>
    <x v="2"/>
    <x v="6"/>
    <x v="1"/>
    <x v="0"/>
    <x v="1"/>
    <x v="0"/>
  </r>
  <r>
    <x v="0"/>
    <x v="10"/>
    <x v="0"/>
    <x v="0"/>
    <x v="3"/>
    <x v="1"/>
    <x v="2"/>
    <x v="6"/>
    <x v="1"/>
    <x v="0"/>
    <x v="1"/>
    <x v="0"/>
  </r>
  <r>
    <x v="0"/>
    <x v="0"/>
    <x v="0"/>
    <x v="0"/>
    <x v="3"/>
    <x v="1"/>
    <x v="2"/>
    <x v="6"/>
    <x v="0"/>
    <x v="4"/>
    <x v="7"/>
    <x v="0"/>
  </r>
  <r>
    <x v="0"/>
    <x v="1"/>
    <x v="0"/>
    <x v="0"/>
    <x v="3"/>
    <x v="1"/>
    <x v="2"/>
    <x v="6"/>
    <x v="0"/>
    <x v="4"/>
    <x v="7"/>
    <x v="0"/>
  </r>
  <r>
    <x v="0"/>
    <x v="2"/>
    <x v="0"/>
    <x v="0"/>
    <x v="3"/>
    <x v="1"/>
    <x v="2"/>
    <x v="6"/>
    <x v="0"/>
    <x v="4"/>
    <x v="7"/>
    <x v="0"/>
  </r>
  <r>
    <x v="0"/>
    <x v="3"/>
    <x v="0"/>
    <x v="0"/>
    <x v="3"/>
    <x v="1"/>
    <x v="2"/>
    <x v="6"/>
    <x v="0"/>
    <x v="4"/>
    <x v="7"/>
    <x v="0"/>
  </r>
  <r>
    <x v="0"/>
    <x v="4"/>
    <x v="0"/>
    <x v="0"/>
    <x v="3"/>
    <x v="1"/>
    <x v="2"/>
    <x v="6"/>
    <x v="0"/>
    <x v="4"/>
    <x v="7"/>
    <x v="0"/>
  </r>
  <r>
    <x v="0"/>
    <x v="5"/>
    <x v="0"/>
    <x v="0"/>
    <x v="3"/>
    <x v="1"/>
    <x v="2"/>
    <x v="6"/>
    <x v="0"/>
    <x v="4"/>
    <x v="7"/>
    <x v="0"/>
  </r>
  <r>
    <x v="0"/>
    <x v="6"/>
    <x v="0"/>
    <x v="0"/>
    <x v="3"/>
    <x v="1"/>
    <x v="2"/>
    <x v="6"/>
    <x v="0"/>
    <x v="4"/>
    <x v="7"/>
    <x v="0"/>
  </r>
  <r>
    <x v="0"/>
    <x v="7"/>
    <x v="0"/>
    <x v="0"/>
    <x v="3"/>
    <x v="1"/>
    <x v="2"/>
    <x v="6"/>
    <x v="0"/>
    <x v="4"/>
    <x v="7"/>
    <x v="0"/>
  </r>
  <r>
    <x v="0"/>
    <x v="11"/>
    <x v="0"/>
    <x v="0"/>
    <x v="3"/>
    <x v="1"/>
    <x v="2"/>
    <x v="6"/>
    <x v="0"/>
    <x v="4"/>
    <x v="7"/>
    <x v="0"/>
  </r>
  <r>
    <x v="0"/>
    <x v="12"/>
    <x v="0"/>
    <x v="0"/>
    <x v="3"/>
    <x v="1"/>
    <x v="2"/>
    <x v="6"/>
    <x v="0"/>
    <x v="4"/>
    <x v="7"/>
    <x v="0"/>
  </r>
  <r>
    <x v="0"/>
    <x v="8"/>
    <x v="0"/>
    <x v="0"/>
    <x v="3"/>
    <x v="1"/>
    <x v="2"/>
    <x v="6"/>
    <x v="0"/>
    <x v="4"/>
    <x v="7"/>
    <x v="0"/>
  </r>
  <r>
    <x v="0"/>
    <x v="9"/>
    <x v="0"/>
    <x v="0"/>
    <x v="3"/>
    <x v="1"/>
    <x v="2"/>
    <x v="6"/>
    <x v="0"/>
    <x v="4"/>
    <x v="7"/>
    <x v="0"/>
  </r>
  <r>
    <x v="0"/>
    <x v="10"/>
    <x v="0"/>
    <x v="0"/>
    <x v="3"/>
    <x v="1"/>
    <x v="2"/>
    <x v="6"/>
    <x v="0"/>
    <x v="4"/>
    <x v="7"/>
    <x v="0"/>
  </r>
  <r>
    <x v="0"/>
    <x v="0"/>
    <x v="0"/>
    <x v="0"/>
    <x v="3"/>
    <x v="1"/>
    <x v="2"/>
    <x v="6"/>
    <x v="2"/>
    <x v="4"/>
    <x v="1"/>
    <x v="0"/>
  </r>
  <r>
    <x v="0"/>
    <x v="1"/>
    <x v="0"/>
    <x v="0"/>
    <x v="3"/>
    <x v="1"/>
    <x v="2"/>
    <x v="6"/>
    <x v="2"/>
    <x v="4"/>
    <x v="1"/>
    <x v="0"/>
  </r>
  <r>
    <x v="0"/>
    <x v="2"/>
    <x v="0"/>
    <x v="0"/>
    <x v="3"/>
    <x v="1"/>
    <x v="2"/>
    <x v="6"/>
    <x v="2"/>
    <x v="4"/>
    <x v="1"/>
    <x v="0"/>
  </r>
  <r>
    <x v="0"/>
    <x v="3"/>
    <x v="0"/>
    <x v="0"/>
    <x v="3"/>
    <x v="1"/>
    <x v="2"/>
    <x v="6"/>
    <x v="2"/>
    <x v="4"/>
    <x v="1"/>
    <x v="0"/>
  </r>
  <r>
    <x v="0"/>
    <x v="4"/>
    <x v="0"/>
    <x v="0"/>
    <x v="3"/>
    <x v="1"/>
    <x v="2"/>
    <x v="6"/>
    <x v="2"/>
    <x v="4"/>
    <x v="1"/>
    <x v="0"/>
  </r>
  <r>
    <x v="0"/>
    <x v="5"/>
    <x v="0"/>
    <x v="0"/>
    <x v="3"/>
    <x v="1"/>
    <x v="2"/>
    <x v="6"/>
    <x v="2"/>
    <x v="4"/>
    <x v="1"/>
    <x v="0"/>
  </r>
  <r>
    <x v="0"/>
    <x v="6"/>
    <x v="0"/>
    <x v="0"/>
    <x v="3"/>
    <x v="1"/>
    <x v="2"/>
    <x v="6"/>
    <x v="2"/>
    <x v="4"/>
    <x v="1"/>
    <x v="0"/>
  </r>
  <r>
    <x v="0"/>
    <x v="7"/>
    <x v="0"/>
    <x v="0"/>
    <x v="3"/>
    <x v="1"/>
    <x v="2"/>
    <x v="6"/>
    <x v="2"/>
    <x v="4"/>
    <x v="1"/>
    <x v="0"/>
  </r>
  <r>
    <x v="0"/>
    <x v="11"/>
    <x v="0"/>
    <x v="0"/>
    <x v="3"/>
    <x v="1"/>
    <x v="2"/>
    <x v="6"/>
    <x v="2"/>
    <x v="4"/>
    <x v="1"/>
    <x v="0"/>
  </r>
  <r>
    <x v="0"/>
    <x v="12"/>
    <x v="0"/>
    <x v="0"/>
    <x v="3"/>
    <x v="1"/>
    <x v="2"/>
    <x v="6"/>
    <x v="2"/>
    <x v="4"/>
    <x v="1"/>
    <x v="0"/>
  </r>
  <r>
    <x v="0"/>
    <x v="8"/>
    <x v="0"/>
    <x v="0"/>
    <x v="3"/>
    <x v="1"/>
    <x v="2"/>
    <x v="6"/>
    <x v="2"/>
    <x v="4"/>
    <x v="1"/>
    <x v="0"/>
  </r>
  <r>
    <x v="0"/>
    <x v="9"/>
    <x v="0"/>
    <x v="0"/>
    <x v="3"/>
    <x v="1"/>
    <x v="2"/>
    <x v="6"/>
    <x v="2"/>
    <x v="4"/>
    <x v="1"/>
    <x v="0"/>
  </r>
  <r>
    <x v="0"/>
    <x v="10"/>
    <x v="0"/>
    <x v="0"/>
    <x v="3"/>
    <x v="1"/>
    <x v="2"/>
    <x v="6"/>
    <x v="2"/>
    <x v="4"/>
    <x v="1"/>
    <x v="0"/>
  </r>
  <r>
    <x v="0"/>
    <x v="0"/>
    <x v="0"/>
    <x v="0"/>
    <x v="3"/>
    <x v="1"/>
    <x v="2"/>
    <x v="6"/>
    <x v="1"/>
    <x v="4"/>
    <x v="1"/>
    <x v="0"/>
  </r>
  <r>
    <x v="0"/>
    <x v="1"/>
    <x v="0"/>
    <x v="0"/>
    <x v="3"/>
    <x v="1"/>
    <x v="2"/>
    <x v="6"/>
    <x v="1"/>
    <x v="4"/>
    <x v="1"/>
    <x v="0"/>
  </r>
  <r>
    <x v="0"/>
    <x v="2"/>
    <x v="0"/>
    <x v="0"/>
    <x v="3"/>
    <x v="1"/>
    <x v="2"/>
    <x v="6"/>
    <x v="1"/>
    <x v="4"/>
    <x v="1"/>
    <x v="0"/>
  </r>
  <r>
    <x v="0"/>
    <x v="3"/>
    <x v="0"/>
    <x v="0"/>
    <x v="3"/>
    <x v="1"/>
    <x v="2"/>
    <x v="6"/>
    <x v="1"/>
    <x v="4"/>
    <x v="1"/>
    <x v="0"/>
  </r>
  <r>
    <x v="0"/>
    <x v="4"/>
    <x v="0"/>
    <x v="0"/>
    <x v="3"/>
    <x v="1"/>
    <x v="2"/>
    <x v="6"/>
    <x v="1"/>
    <x v="4"/>
    <x v="1"/>
    <x v="0"/>
  </r>
  <r>
    <x v="0"/>
    <x v="5"/>
    <x v="0"/>
    <x v="0"/>
    <x v="3"/>
    <x v="1"/>
    <x v="2"/>
    <x v="6"/>
    <x v="1"/>
    <x v="4"/>
    <x v="1"/>
    <x v="0"/>
  </r>
  <r>
    <x v="0"/>
    <x v="6"/>
    <x v="0"/>
    <x v="0"/>
    <x v="3"/>
    <x v="1"/>
    <x v="2"/>
    <x v="6"/>
    <x v="1"/>
    <x v="4"/>
    <x v="1"/>
    <x v="0"/>
  </r>
  <r>
    <x v="0"/>
    <x v="7"/>
    <x v="0"/>
    <x v="0"/>
    <x v="3"/>
    <x v="1"/>
    <x v="2"/>
    <x v="6"/>
    <x v="1"/>
    <x v="4"/>
    <x v="1"/>
    <x v="0"/>
  </r>
  <r>
    <x v="0"/>
    <x v="11"/>
    <x v="0"/>
    <x v="0"/>
    <x v="3"/>
    <x v="1"/>
    <x v="2"/>
    <x v="6"/>
    <x v="1"/>
    <x v="4"/>
    <x v="1"/>
    <x v="0"/>
  </r>
  <r>
    <x v="0"/>
    <x v="12"/>
    <x v="0"/>
    <x v="0"/>
    <x v="3"/>
    <x v="1"/>
    <x v="2"/>
    <x v="6"/>
    <x v="1"/>
    <x v="4"/>
    <x v="1"/>
    <x v="0"/>
  </r>
  <r>
    <x v="0"/>
    <x v="8"/>
    <x v="0"/>
    <x v="0"/>
    <x v="3"/>
    <x v="1"/>
    <x v="2"/>
    <x v="6"/>
    <x v="1"/>
    <x v="4"/>
    <x v="1"/>
    <x v="0"/>
  </r>
  <r>
    <x v="0"/>
    <x v="9"/>
    <x v="0"/>
    <x v="0"/>
    <x v="3"/>
    <x v="1"/>
    <x v="2"/>
    <x v="6"/>
    <x v="1"/>
    <x v="4"/>
    <x v="1"/>
    <x v="0"/>
  </r>
  <r>
    <x v="0"/>
    <x v="10"/>
    <x v="0"/>
    <x v="0"/>
    <x v="3"/>
    <x v="1"/>
    <x v="2"/>
    <x v="6"/>
    <x v="1"/>
    <x v="4"/>
    <x v="1"/>
    <x v="0"/>
  </r>
  <r>
    <x v="0"/>
    <x v="0"/>
    <x v="0"/>
    <x v="0"/>
    <x v="3"/>
    <x v="1"/>
    <x v="2"/>
    <x v="6"/>
    <x v="2"/>
    <x v="2"/>
    <x v="1"/>
    <x v="0"/>
  </r>
  <r>
    <x v="0"/>
    <x v="1"/>
    <x v="0"/>
    <x v="0"/>
    <x v="3"/>
    <x v="1"/>
    <x v="2"/>
    <x v="6"/>
    <x v="2"/>
    <x v="2"/>
    <x v="1"/>
    <x v="0"/>
  </r>
  <r>
    <x v="0"/>
    <x v="2"/>
    <x v="0"/>
    <x v="0"/>
    <x v="3"/>
    <x v="1"/>
    <x v="2"/>
    <x v="6"/>
    <x v="2"/>
    <x v="2"/>
    <x v="1"/>
    <x v="0"/>
  </r>
  <r>
    <x v="0"/>
    <x v="3"/>
    <x v="0"/>
    <x v="0"/>
    <x v="3"/>
    <x v="1"/>
    <x v="2"/>
    <x v="6"/>
    <x v="2"/>
    <x v="2"/>
    <x v="1"/>
    <x v="0"/>
  </r>
  <r>
    <x v="0"/>
    <x v="4"/>
    <x v="0"/>
    <x v="0"/>
    <x v="3"/>
    <x v="1"/>
    <x v="2"/>
    <x v="6"/>
    <x v="2"/>
    <x v="2"/>
    <x v="1"/>
    <x v="0"/>
  </r>
  <r>
    <x v="0"/>
    <x v="5"/>
    <x v="0"/>
    <x v="0"/>
    <x v="3"/>
    <x v="1"/>
    <x v="2"/>
    <x v="6"/>
    <x v="2"/>
    <x v="2"/>
    <x v="1"/>
    <x v="0"/>
  </r>
  <r>
    <x v="0"/>
    <x v="6"/>
    <x v="0"/>
    <x v="0"/>
    <x v="3"/>
    <x v="1"/>
    <x v="2"/>
    <x v="6"/>
    <x v="2"/>
    <x v="2"/>
    <x v="1"/>
    <x v="0"/>
  </r>
  <r>
    <x v="0"/>
    <x v="7"/>
    <x v="0"/>
    <x v="0"/>
    <x v="3"/>
    <x v="1"/>
    <x v="2"/>
    <x v="6"/>
    <x v="2"/>
    <x v="2"/>
    <x v="1"/>
    <x v="0"/>
  </r>
  <r>
    <x v="0"/>
    <x v="11"/>
    <x v="0"/>
    <x v="0"/>
    <x v="3"/>
    <x v="1"/>
    <x v="2"/>
    <x v="6"/>
    <x v="2"/>
    <x v="2"/>
    <x v="1"/>
    <x v="0"/>
  </r>
  <r>
    <x v="0"/>
    <x v="12"/>
    <x v="0"/>
    <x v="0"/>
    <x v="3"/>
    <x v="1"/>
    <x v="2"/>
    <x v="6"/>
    <x v="2"/>
    <x v="2"/>
    <x v="1"/>
    <x v="0"/>
  </r>
  <r>
    <x v="0"/>
    <x v="8"/>
    <x v="0"/>
    <x v="0"/>
    <x v="3"/>
    <x v="1"/>
    <x v="2"/>
    <x v="6"/>
    <x v="2"/>
    <x v="2"/>
    <x v="1"/>
    <x v="0"/>
  </r>
  <r>
    <x v="0"/>
    <x v="9"/>
    <x v="0"/>
    <x v="0"/>
    <x v="3"/>
    <x v="1"/>
    <x v="2"/>
    <x v="6"/>
    <x v="2"/>
    <x v="2"/>
    <x v="1"/>
    <x v="0"/>
  </r>
  <r>
    <x v="0"/>
    <x v="10"/>
    <x v="0"/>
    <x v="0"/>
    <x v="3"/>
    <x v="1"/>
    <x v="2"/>
    <x v="6"/>
    <x v="2"/>
    <x v="2"/>
    <x v="1"/>
    <x v="0"/>
  </r>
  <r>
    <x v="0"/>
    <x v="0"/>
    <x v="0"/>
    <x v="0"/>
    <x v="3"/>
    <x v="1"/>
    <x v="2"/>
    <x v="6"/>
    <x v="1"/>
    <x v="2"/>
    <x v="1"/>
    <x v="0"/>
  </r>
  <r>
    <x v="0"/>
    <x v="1"/>
    <x v="0"/>
    <x v="0"/>
    <x v="3"/>
    <x v="1"/>
    <x v="2"/>
    <x v="6"/>
    <x v="1"/>
    <x v="2"/>
    <x v="1"/>
    <x v="0"/>
  </r>
  <r>
    <x v="0"/>
    <x v="2"/>
    <x v="0"/>
    <x v="0"/>
    <x v="3"/>
    <x v="1"/>
    <x v="2"/>
    <x v="6"/>
    <x v="1"/>
    <x v="2"/>
    <x v="1"/>
    <x v="0"/>
  </r>
  <r>
    <x v="0"/>
    <x v="3"/>
    <x v="0"/>
    <x v="0"/>
    <x v="3"/>
    <x v="1"/>
    <x v="2"/>
    <x v="6"/>
    <x v="1"/>
    <x v="2"/>
    <x v="1"/>
    <x v="0"/>
  </r>
  <r>
    <x v="0"/>
    <x v="4"/>
    <x v="0"/>
    <x v="0"/>
    <x v="3"/>
    <x v="1"/>
    <x v="2"/>
    <x v="6"/>
    <x v="1"/>
    <x v="2"/>
    <x v="1"/>
    <x v="0"/>
  </r>
  <r>
    <x v="0"/>
    <x v="5"/>
    <x v="0"/>
    <x v="0"/>
    <x v="3"/>
    <x v="1"/>
    <x v="2"/>
    <x v="6"/>
    <x v="1"/>
    <x v="2"/>
    <x v="1"/>
    <x v="0"/>
  </r>
  <r>
    <x v="0"/>
    <x v="6"/>
    <x v="0"/>
    <x v="0"/>
    <x v="3"/>
    <x v="1"/>
    <x v="2"/>
    <x v="6"/>
    <x v="1"/>
    <x v="2"/>
    <x v="1"/>
    <x v="0"/>
  </r>
  <r>
    <x v="0"/>
    <x v="7"/>
    <x v="0"/>
    <x v="0"/>
    <x v="3"/>
    <x v="1"/>
    <x v="2"/>
    <x v="6"/>
    <x v="1"/>
    <x v="2"/>
    <x v="1"/>
    <x v="0"/>
  </r>
  <r>
    <x v="0"/>
    <x v="11"/>
    <x v="0"/>
    <x v="0"/>
    <x v="3"/>
    <x v="1"/>
    <x v="2"/>
    <x v="6"/>
    <x v="1"/>
    <x v="2"/>
    <x v="1"/>
    <x v="0"/>
  </r>
  <r>
    <x v="0"/>
    <x v="12"/>
    <x v="0"/>
    <x v="0"/>
    <x v="3"/>
    <x v="1"/>
    <x v="2"/>
    <x v="6"/>
    <x v="1"/>
    <x v="2"/>
    <x v="1"/>
    <x v="0"/>
  </r>
  <r>
    <x v="0"/>
    <x v="8"/>
    <x v="0"/>
    <x v="0"/>
    <x v="3"/>
    <x v="1"/>
    <x v="2"/>
    <x v="6"/>
    <x v="1"/>
    <x v="2"/>
    <x v="1"/>
    <x v="0"/>
  </r>
  <r>
    <x v="0"/>
    <x v="9"/>
    <x v="0"/>
    <x v="0"/>
    <x v="3"/>
    <x v="1"/>
    <x v="2"/>
    <x v="6"/>
    <x v="1"/>
    <x v="2"/>
    <x v="1"/>
    <x v="0"/>
  </r>
  <r>
    <x v="0"/>
    <x v="10"/>
    <x v="0"/>
    <x v="0"/>
    <x v="3"/>
    <x v="1"/>
    <x v="2"/>
    <x v="6"/>
    <x v="1"/>
    <x v="2"/>
    <x v="1"/>
    <x v="0"/>
  </r>
  <r>
    <x v="0"/>
    <x v="0"/>
    <x v="0"/>
    <x v="0"/>
    <x v="0"/>
    <x v="0"/>
    <x v="2"/>
    <x v="0"/>
    <x v="0"/>
    <x v="2"/>
    <x v="0"/>
    <x v="0"/>
  </r>
  <r>
    <x v="0"/>
    <x v="1"/>
    <x v="0"/>
    <x v="0"/>
    <x v="0"/>
    <x v="0"/>
    <x v="2"/>
    <x v="0"/>
    <x v="0"/>
    <x v="2"/>
    <x v="0"/>
    <x v="0"/>
  </r>
  <r>
    <x v="0"/>
    <x v="2"/>
    <x v="0"/>
    <x v="0"/>
    <x v="0"/>
    <x v="0"/>
    <x v="2"/>
    <x v="0"/>
    <x v="0"/>
    <x v="2"/>
    <x v="0"/>
    <x v="0"/>
  </r>
  <r>
    <x v="0"/>
    <x v="3"/>
    <x v="0"/>
    <x v="0"/>
    <x v="0"/>
    <x v="0"/>
    <x v="2"/>
    <x v="0"/>
    <x v="0"/>
    <x v="2"/>
    <x v="0"/>
    <x v="0"/>
  </r>
  <r>
    <x v="0"/>
    <x v="4"/>
    <x v="0"/>
    <x v="0"/>
    <x v="0"/>
    <x v="0"/>
    <x v="2"/>
    <x v="0"/>
    <x v="0"/>
    <x v="2"/>
    <x v="0"/>
    <x v="0"/>
  </r>
  <r>
    <x v="0"/>
    <x v="5"/>
    <x v="0"/>
    <x v="0"/>
    <x v="0"/>
    <x v="0"/>
    <x v="2"/>
    <x v="0"/>
    <x v="0"/>
    <x v="2"/>
    <x v="0"/>
    <x v="0"/>
  </r>
  <r>
    <x v="0"/>
    <x v="6"/>
    <x v="0"/>
    <x v="0"/>
    <x v="0"/>
    <x v="0"/>
    <x v="2"/>
    <x v="0"/>
    <x v="0"/>
    <x v="2"/>
    <x v="0"/>
    <x v="0"/>
  </r>
  <r>
    <x v="0"/>
    <x v="7"/>
    <x v="0"/>
    <x v="0"/>
    <x v="0"/>
    <x v="0"/>
    <x v="2"/>
    <x v="0"/>
    <x v="0"/>
    <x v="2"/>
    <x v="0"/>
    <x v="0"/>
  </r>
  <r>
    <x v="0"/>
    <x v="8"/>
    <x v="0"/>
    <x v="0"/>
    <x v="0"/>
    <x v="0"/>
    <x v="2"/>
    <x v="0"/>
    <x v="0"/>
    <x v="2"/>
    <x v="0"/>
    <x v="0"/>
  </r>
  <r>
    <x v="0"/>
    <x v="9"/>
    <x v="0"/>
    <x v="0"/>
    <x v="0"/>
    <x v="0"/>
    <x v="2"/>
    <x v="0"/>
    <x v="0"/>
    <x v="2"/>
    <x v="0"/>
    <x v="0"/>
  </r>
  <r>
    <x v="0"/>
    <x v="10"/>
    <x v="0"/>
    <x v="0"/>
    <x v="0"/>
    <x v="0"/>
    <x v="2"/>
    <x v="0"/>
    <x v="0"/>
    <x v="2"/>
    <x v="0"/>
    <x v="0"/>
  </r>
  <r>
    <x v="0"/>
    <x v="0"/>
    <x v="0"/>
    <x v="0"/>
    <x v="0"/>
    <x v="0"/>
    <x v="2"/>
    <x v="0"/>
    <x v="2"/>
    <x v="0"/>
    <x v="1"/>
    <x v="0"/>
  </r>
  <r>
    <x v="0"/>
    <x v="1"/>
    <x v="0"/>
    <x v="0"/>
    <x v="0"/>
    <x v="0"/>
    <x v="2"/>
    <x v="0"/>
    <x v="2"/>
    <x v="0"/>
    <x v="1"/>
    <x v="0"/>
  </r>
  <r>
    <x v="0"/>
    <x v="2"/>
    <x v="0"/>
    <x v="0"/>
    <x v="0"/>
    <x v="0"/>
    <x v="2"/>
    <x v="0"/>
    <x v="2"/>
    <x v="0"/>
    <x v="1"/>
    <x v="0"/>
  </r>
  <r>
    <x v="0"/>
    <x v="3"/>
    <x v="0"/>
    <x v="0"/>
    <x v="0"/>
    <x v="0"/>
    <x v="2"/>
    <x v="0"/>
    <x v="2"/>
    <x v="0"/>
    <x v="1"/>
    <x v="0"/>
  </r>
  <r>
    <x v="0"/>
    <x v="4"/>
    <x v="0"/>
    <x v="0"/>
    <x v="0"/>
    <x v="0"/>
    <x v="2"/>
    <x v="0"/>
    <x v="2"/>
    <x v="0"/>
    <x v="1"/>
    <x v="0"/>
  </r>
  <r>
    <x v="0"/>
    <x v="5"/>
    <x v="0"/>
    <x v="0"/>
    <x v="0"/>
    <x v="0"/>
    <x v="2"/>
    <x v="0"/>
    <x v="2"/>
    <x v="0"/>
    <x v="1"/>
    <x v="0"/>
  </r>
  <r>
    <x v="0"/>
    <x v="6"/>
    <x v="0"/>
    <x v="0"/>
    <x v="0"/>
    <x v="0"/>
    <x v="2"/>
    <x v="0"/>
    <x v="2"/>
    <x v="0"/>
    <x v="1"/>
    <x v="0"/>
  </r>
  <r>
    <x v="0"/>
    <x v="7"/>
    <x v="0"/>
    <x v="0"/>
    <x v="0"/>
    <x v="0"/>
    <x v="2"/>
    <x v="0"/>
    <x v="2"/>
    <x v="0"/>
    <x v="1"/>
    <x v="0"/>
  </r>
  <r>
    <x v="0"/>
    <x v="11"/>
    <x v="0"/>
    <x v="0"/>
    <x v="0"/>
    <x v="0"/>
    <x v="2"/>
    <x v="0"/>
    <x v="2"/>
    <x v="0"/>
    <x v="1"/>
    <x v="0"/>
  </r>
  <r>
    <x v="0"/>
    <x v="12"/>
    <x v="0"/>
    <x v="0"/>
    <x v="0"/>
    <x v="0"/>
    <x v="2"/>
    <x v="0"/>
    <x v="2"/>
    <x v="0"/>
    <x v="1"/>
    <x v="0"/>
  </r>
  <r>
    <x v="0"/>
    <x v="8"/>
    <x v="0"/>
    <x v="0"/>
    <x v="0"/>
    <x v="0"/>
    <x v="2"/>
    <x v="0"/>
    <x v="2"/>
    <x v="0"/>
    <x v="1"/>
    <x v="0"/>
  </r>
  <r>
    <x v="0"/>
    <x v="9"/>
    <x v="0"/>
    <x v="0"/>
    <x v="0"/>
    <x v="0"/>
    <x v="2"/>
    <x v="0"/>
    <x v="2"/>
    <x v="0"/>
    <x v="1"/>
    <x v="0"/>
  </r>
  <r>
    <x v="0"/>
    <x v="10"/>
    <x v="0"/>
    <x v="0"/>
    <x v="0"/>
    <x v="0"/>
    <x v="2"/>
    <x v="0"/>
    <x v="2"/>
    <x v="0"/>
    <x v="1"/>
    <x v="0"/>
  </r>
  <r>
    <x v="0"/>
    <x v="11"/>
    <x v="0"/>
    <x v="0"/>
    <x v="0"/>
    <x v="0"/>
    <x v="2"/>
    <x v="0"/>
    <x v="0"/>
    <x v="2"/>
    <x v="0"/>
    <x v="0"/>
  </r>
  <r>
    <x v="0"/>
    <x v="12"/>
    <x v="0"/>
    <x v="0"/>
    <x v="0"/>
    <x v="0"/>
    <x v="2"/>
    <x v="0"/>
    <x v="0"/>
    <x v="2"/>
    <x v="0"/>
    <x v="0"/>
  </r>
  <r>
    <x v="0"/>
    <x v="11"/>
    <x v="0"/>
    <x v="0"/>
    <x v="0"/>
    <x v="0"/>
    <x v="2"/>
    <x v="0"/>
    <x v="0"/>
    <x v="0"/>
    <x v="0"/>
    <x v="0"/>
  </r>
  <r>
    <x v="0"/>
    <x v="12"/>
    <x v="0"/>
    <x v="0"/>
    <x v="0"/>
    <x v="0"/>
    <x v="2"/>
    <x v="0"/>
    <x v="0"/>
    <x v="0"/>
    <x v="0"/>
    <x v="0"/>
  </r>
  <r>
    <x v="0"/>
    <x v="0"/>
    <x v="0"/>
    <x v="0"/>
    <x v="0"/>
    <x v="0"/>
    <x v="2"/>
    <x v="0"/>
    <x v="0"/>
    <x v="4"/>
    <x v="7"/>
    <x v="0"/>
  </r>
  <r>
    <x v="0"/>
    <x v="1"/>
    <x v="0"/>
    <x v="0"/>
    <x v="0"/>
    <x v="0"/>
    <x v="2"/>
    <x v="0"/>
    <x v="0"/>
    <x v="4"/>
    <x v="7"/>
    <x v="0"/>
  </r>
  <r>
    <x v="0"/>
    <x v="2"/>
    <x v="0"/>
    <x v="0"/>
    <x v="0"/>
    <x v="0"/>
    <x v="2"/>
    <x v="0"/>
    <x v="0"/>
    <x v="4"/>
    <x v="7"/>
    <x v="0"/>
  </r>
  <r>
    <x v="0"/>
    <x v="3"/>
    <x v="0"/>
    <x v="0"/>
    <x v="0"/>
    <x v="0"/>
    <x v="2"/>
    <x v="0"/>
    <x v="0"/>
    <x v="4"/>
    <x v="7"/>
    <x v="0"/>
  </r>
  <r>
    <x v="0"/>
    <x v="4"/>
    <x v="0"/>
    <x v="0"/>
    <x v="0"/>
    <x v="0"/>
    <x v="2"/>
    <x v="0"/>
    <x v="0"/>
    <x v="4"/>
    <x v="7"/>
    <x v="0"/>
  </r>
  <r>
    <x v="0"/>
    <x v="5"/>
    <x v="0"/>
    <x v="0"/>
    <x v="0"/>
    <x v="0"/>
    <x v="2"/>
    <x v="0"/>
    <x v="0"/>
    <x v="4"/>
    <x v="7"/>
    <x v="0"/>
  </r>
  <r>
    <x v="0"/>
    <x v="6"/>
    <x v="0"/>
    <x v="0"/>
    <x v="0"/>
    <x v="0"/>
    <x v="2"/>
    <x v="0"/>
    <x v="0"/>
    <x v="4"/>
    <x v="7"/>
    <x v="0"/>
  </r>
  <r>
    <x v="0"/>
    <x v="7"/>
    <x v="0"/>
    <x v="0"/>
    <x v="0"/>
    <x v="0"/>
    <x v="2"/>
    <x v="0"/>
    <x v="0"/>
    <x v="4"/>
    <x v="7"/>
    <x v="0"/>
  </r>
  <r>
    <x v="0"/>
    <x v="11"/>
    <x v="0"/>
    <x v="0"/>
    <x v="0"/>
    <x v="0"/>
    <x v="2"/>
    <x v="0"/>
    <x v="0"/>
    <x v="4"/>
    <x v="7"/>
    <x v="0"/>
  </r>
  <r>
    <x v="0"/>
    <x v="12"/>
    <x v="0"/>
    <x v="0"/>
    <x v="0"/>
    <x v="0"/>
    <x v="2"/>
    <x v="0"/>
    <x v="0"/>
    <x v="4"/>
    <x v="7"/>
    <x v="0"/>
  </r>
  <r>
    <x v="0"/>
    <x v="8"/>
    <x v="0"/>
    <x v="0"/>
    <x v="0"/>
    <x v="0"/>
    <x v="2"/>
    <x v="0"/>
    <x v="0"/>
    <x v="4"/>
    <x v="7"/>
    <x v="0"/>
  </r>
  <r>
    <x v="0"/>
    <x v="9"/>
    <x v="0"/>
    <x v="0"/>
    <x v="0"/>
    <x v="0"/>
    <x v="2"/>
    <x v="0"/>
    <x v="0"/>
    <x v="4"/>
    <x v="7"/>
    <x v="0"/>
  </r>
  <r>
    <x v="0"/>
    <x v="0"/>
    <x v="0"/>
    <x v="0"/>
    <x v="2"/>
    <x v="1"/>
    <x v="2"/>
    <x v="5"/>
    <x v="0"/>
    <x v="4"/>
    <x v="7"/>
    <x v="0"/>
  </r>
  <r>
    <x v="0"/>
    <x v="1"/>
    <x v="0"/>
    <x v="0"/>
    <x v="2"/>
    <x v="1"/>
    <x v="2"/>
    <x v="5"/>
    <x v="0"/>
    <x v="4"/>
    <x v="7"/>
    <x v="0"/>
  </r>
  <r>
    <x v="0"/>
    <x v="2"/>
    <x v="0"/>
    <x v="0"/>
    <x v="2"/>
    <x v="1"/>
    <x v="2"/>
    <x v="5"/>
    <x v="0"/>
    <x v="4"/>
    <x v="7"/>
    <x v="0"/>
  </r>
  <r>
    <x v="0"/>
    <x v="3"/>
    <x v="0"/>
    <x v="0"/>
    <x v="2"/>
    <x v="1"/>
    <x v="2"/>
    <x v="5"/>
    <x v="0"/>
    <x v="4"/>
    <x v="7"/>
    <x v="0"/>
  </r>
  <r>
    <x v="0"/>
    <x v="4"/>
    <x v="0"/>
    <x v="0"/>
    <x v="2"/>
    <x v="1"/>
    <x v="2"/>
    <x v="5"/>
    <x v="0"/>
    <x v="4"/>
    <x v="7"/>
    <x v="0"/>
  </r>
  <r>
    <x v="0"/>
    <x v="5"/>
    <x v="0"/>
    <x v="0"/>
    <x v="2"/>
    <x v="1"/>
    <x v="2"/>
    <x v="5"/>
    <x v="0"/>
    <x v="4"/>
    <x v="7"/>
    <x v="0"/>
  </r>
  <r>
    <x v="0"/>
    <x v="6"/>
    <x v="0"/>
    <x v="0"/>
    <x v="2"/>
    <x v="1"/>
    <x v="2"/>
    <x v="5"/>
    <x v="0"/>
    <x v="4"/>
    <x v="7"/>
    <x v="0"/>
  </r>
  <r>
    <x v="0"/>
    <x v="7"/>
    <x v="0"/>
    <x v="0"/>
    <x v="2"/>
    <x v="1"/>
    <x v="2"/>
    <x v="5"/>
    <x v="0"/>
    <x v="4"/>
    <x v="7"/>
    <x v="0"/>
  </r>
  <r>
    <x v="0"/>
    <x v="11"/>
    <x v="0"/>
    <x v="0"/>
    <x v="2"/>
    <x v="1"/>
    <x v="2"/>
    <x v="5"/>
    <x v="0"/>
    <x v="4"/>
    <x v="7"/>
    <x v="0"/>
  </r>
  <r>
    <x v="0"/>
    <x v="12"/>
    <x v="0"/>
    <x v="0"/>
    <x v="2"/>
    <x v="1"/>
    <x v="2"/>
    <x v="5"/>
    <x v="0"/>
    <x v="4"/>
    <x v="7"/>
    <x v="0"/>
  </r>
  <r>
    <x v="0"/>
    <x v="8"/>
    <x v="0"/>
    <x v="0"/>
    <x v="2"/>
    <x v="1"/>
    <x v="2"/>
    <x v="5"/>
    <x v="0"/>
    <x v="4"/>
    <x v="7"/>
    <x v="0"/>
  </r>
  <r>
    <x v="0"/>
    <x v="9"/>
    <x v="0"/>
    <x v="0"/>
    <x v="2"/>
    <x v="1"/>
    <x v="2"/>
    <x v="5"/>
    <x v="0"/>
    <x v="4"/>
    <x v="7"/>
    <x v="0"/>
  </r>
  <r>
    <x v="0"/>
    <x v="10"/>
    <x v="0"/>
    <x v="0"/>
    <x v="2"/>
    <x v="1"/>
    <x v="2"/>
    <x v="5"/>
    <x v="0"/>
    <x v="4"/>
    <x v="7"/>
    <x v="0"/>
  </r>
  <r>
    <x v="0"/>
    <x v="10"/>
    <x v="0"/>
    <x v="0"/>
    <x v="0"/>
    <x v="0"/>
    <x v="2"/>
    <x v="0"/>
    <x v="0"/>
    <x v="4"/>
    <x v="7"/>
    <x v="0"/>
  </r>
  <r>
    <x v="0"/>
    <x v="0"/>
    <x v="0"/>
    <x v="0"/>
    <x v="3"/>
    <x v="1"/>
    <x v="2"/>
    <x v="6"/>
    <x v="2"/>
    <x v="2"/>
    <x v="1"/>
    <x v="0"/>
  </r>
  <r>
    <x v="0"/>
    <x v="1"/>
    <x v="0"/>
    <x v="0"/>
    <x v="3"/>
    <x v="1"/>
    <x v="2"/>
    <x v="6"/>
    <x v="2"/>
    <x v="2"/>
    <x v="1"/>
    <x v="0"/>
  </r>
  <r>
    <x v="0"/>
    <x v="2"/>
    <x v="0"/>
    <x v="0"/>
    <x v="3"/>
    <x v="1"/>
    <x v="2"/>
    <x v="6"/>
    <x v="2"/>
    <x v="2"/>
    <x v="1"/>
    <x v="0"/>
  </r>
  <r>
    <x v="0"/>
    <x v="3"/>
    <x v="0"/>
    <x v="0"/>
    <x v="3"/>
    <x v="1"/>
    <x v="2"/>
    <x v="6"/>
    <x v="2"/>
    <x v="2"/>
    <x v="1"/>
    <x v="0"/>
  </r>
  <r>
    <x v="0"/>
    <x v="4"/>
    <x v="0"/>
    <x v="0"/>
    <x v="3"/>
    <x v="1"/>
    <x v="2"/>
    <x v="6"/>
    <x v="2"/>
    <x v="2"/>
    <x v="1"/>
    <x v="0"/>
  </r>
  <r>
    <x v="0"/>
    <x v="5"/>
    <x v="0"/>
    <x v="0"/>
    <x v="3"/>
    <x v="1"/>
    <x v="2"/>
    <x v="6"/>
    <x v="2"/>
    <x v="2"/>
    <x v="1"/>
    <x v="0"/>
  </r>
  <r>
    <x v="0"/>
    <x v="6"/>
    <x v="0"/>
    <x v="0"/>
    <x v="3"/>
    <x v="1"/>
    <x v="2"/>
    <x v="6"/>
    <x v="2"/>
    <x v="2"/>
    <x v="1"/>
    <x v="0"/>
  </r>
  <r>
    <x v="0"/>
    <x v="7"/>
    <x v="0"/>
    <x v="0"/>
    <x v="3"/>
    <x v="1"/>
    <x v="2"/>
    <x v="6"/>
    <x v="2"/>
    <x v="2"/>
    <x v="1"/>
    <x v="0"/>
  </r>
  <r>
    <x v="0"/>
    <x v="11"/>
    <x v="0"/>
    <x v="0"/>
    <x v="3"/>
    <x v="1"/>
    <x v="2"/>
    <x v="6"/>
    <x v="2"/>
    <x v="2"/>
    <x v="1"/>
    <x v="0"/>
  </r>
  <r>
    <x v="0"/>
    <x v="12"/>
    <x v="0"/>
    <x v="0"/>
    <x v="3"/>
    <x v="1"/>
    <x v="2"/>
    <x v="6"/>
    <x v="2"/>
    <x v="2"/>
    <x v="1"/>
    <x v="0"/>
  </r>
  <r>
    <x v="0"/>
    <x v="8"/>
    <x v="0"/>
    <x v="0"/>
    <x v="3"/>
    <x v="1"/>
    <x v="2"/>
    <x v="6"/>
    <x v="2"/>
    <x v="2"/>
    <x v="1"/>
    <x v="0"/>
  </r>
  <r>
    <x v="0"/>
    <x v="9"/>
    <x v="0"/>
    <x v="0"/>
    <x v="3"/>
    <x v="1"/>
    <x v="2"/>
    <x v="6"/>
    <x v="2"/>
    <x v="2"/>
    <x v="1"/>
    <x v="0"/>
  </r>
  <r>
    <x v="0"/>
    <x v="10"/>
    <x v="0"/>
    <x v="0"/>
    <x v="3"/>
    <x v="1"/>
    <x v="2"/>
    <x v="6"/>
    <x v="2"/>
    <x v="2"/>
    <x v="1"/>
    <x v="0"/>
  </r>
  <r>
    <x v="0"/>
    <x v="0"/>
    <x v="0"/>
    <x v="0"/>
    <x v="3"/>
    <x v="0"/>
    <x v="2"/>
    <x v="4"/>
    <x v="0"/>
    <x v="0"/>
    <x v="0"/>
    <x v="0"/>
  </r>
  <r>
    <x v="0"/>
    <x v="1"/>
    <x v="0"/>
    <x v="0"/>
    <x v="3"/>
    <x v="0"/>
    <x v="2"/>
    <x v="4"/>
    <x v="0"/>
    <x v="0"/>
    <x v="0"/>
    <x v="0"/>
  </r>
  <r>
    <x v="0"/>
    <x v="2"/>
    <x v="0"/>
    <x v="0"/>
    <x v="3"/>
    <x v="0"/>
    <x v="2"/>
    <x v="4"/>
    <x v="0"/>
    <x v="0"/>
    <x v="0"/>
    <x v="0"/>
  </r>
  <r>
    <x v="0"/>
    <x v="3"/>
    <x v="0"/>
    <x v="0"/>
    <x v="3"/>
    <x v="0"/>
    <x v="2"/>
    <x v="4"/>
    <x v="0"/>
    <x v="0"/>
    <x v="0"/>
    <x v="0"/>
  </r>
  <r>
    <x v="0"/>
    <x v="4"/>
    <x v="0"/>
    <x v="0"/>
    <x v="3"/>
    <x v="0"/>
    <x v="2"/>
    <x v="4"/>
    <x v="0"/>
    <x v="0"/>
    <x v="0"/>
    <x v="0"/>
  </r>
  <r>
    <x v="0"/>
    <x v="5"/>
    <x v="0"/>
    <x v="0"/>
    <x v="3"/>
    <x v="0"/>
    <x v="2"/>
    <x v="4"/>
    <x v="0"/>
    <x v="0"/>
    <x v="0"/>
    <x v="0"/>
  </r>
  <r>
    <x v="0"/>
    <x v="6"/>
    <x v="0"/>
    <x v="0"/>
    <x v="3"/>
    <x v="0"/>
    <x v="2"/>
    <x v="4"/>
    <x v="0"/>
    <x v="0"/>
    <x v="0"/>
    <x v="0"/>
  </r>
  <r>
    <x v="0"/>
    <x v="7"/>
    <x v="0"/>
    <x v="0"/>
    <x v="3"/>
    <x v="0"/>
    <x v="2"/>
    <x v="4"/>
    <x v="0"/>
    <x v="0"/>
    <x v="0"/>
    <x v="0"/>
  </r>
  <r>
    <x v="0"/>
    <x v="11"/>
    <x v="0"/>
    <x v="0"/>
    <x v="3"/>
    <x v="0"/>
    <x v="2"/>
    <x v="4"/>
    <x v="0"/>
    <x v="0"/>
    <x v="0"/>
    <x v="0"/>
  </r>
  <r>
    <x v="0"/>
    <x v="12"/>
    <x v="0"/>
    <x v="0"/>
    <x v="3"/>
    <x v="0"/>
    <x v="2"/>
    <x v="4"/>
    <x v="0"/>
    <x v="0"/>
    <x v="0"/>
    <x v="0"/>
  </r>
  <r>
    <x v="0"/>
    <x v="8"/>
    <x v="0"/>
    <x v="0"/>
    <x v="3"/>
    <x v="0"/>
    <x v="2"/>
    <x v="4"/>
    <x v="0"/>
    <x v="0"/>
    <x v="0"/>
    <x v="0"/>
  </r>
  <r>
    <x v="0"/>
    <x v="9"/>
    <x v="0"/>
    <x v="0"/>
    <x v="3"/>
    <x v="0"/>
    <x v="2"/>
    <x v="4"/>
    <x v="0"/>
    <x v="0"/>
    <x v="0"/>
    <x v="0"/>
  </r>
  <r>
    <x v="0"/>
    <x v="10"/>
    <x v="0"/>
    <x v="0"/>
    <x v="3"/>
    <x v="0"/>
    <x v="2"/>
    <x v="4"/>
    <x v="0"/>
    <x v="0"/>
    <x v="0"/>
    <x v="0"/>
  </r>
  <r>
    <x v="0"/>
    <x v="0"/>
    <x v="0"/>
    <x v="0"/>
    <x v="3"/>
    <x v="0"/>
    <x v="2"/>
    <x v="4"/>
    <x v="0"/>
    <x v="2"/>
    <x v="0"/>
    <x v="0"/>
  </r>
  <r>
    <x v="0"/>
    <x v="1"/>
    <x v="0"/>
    <x v="0"/>
    <x v="3"/>
    <x v="0"/>
    <x v="2"/>
    <x v="4"/>
    <x v="0"/>
    <x v="2"/>
    <x v="0"/>
    <x v="0"/>
  </r>
  <r>
    <x v="0"/>
    <x v="2"/>
    <x v="0"/>
    <x v="0"/>
    <x v="3"/>
    <x v="0"/>
    <x v="2"/>
    <x v="4"/>
    <x v="0"/>
    <x v="2"/>
    <x v="0"/>
    <x v="0"/>
  </r>
  <r>
    <x v="0"/>
    <x v="3"/>
    <x v="0"/>
    <x v="0"/>
    <x v="3"/>
    <x v="0"/>
    <x v="2"/>
    <x v="4"/>
    <x v="0"/>
    <x v="2"/>
    <x v="0"/>
    <x v="0"/>
  </r>
  <r>
    <x v="0"/>
    <x v="4"/>
    <x v="0"/>
    <x v="0"/>
    <x v="3"/>
    <x v="0"/>
    <x v="2"/>
    <x v="4"/>
    <x v="0"/>
    <x v="2"/>
    <x v="0"/>
    <x v="0"/>
  </r>
  <r>
    <x v="0"/>
    <x v="5"/>
    <x v="0"/>
    <x v="0"/>
    <x v="3"/>
    <x v="0"/>
    <x v="2"/>
    <x v="4"/>
    <x v="0"/>
    <x v="2"/>
    <x v="0"/>
    <x v="0"/>
  </r>
  <r>
    <x v="0"/>
    <x v="6"/>
    <x v="0"/>
    <x v="0"/>
    <x v="3"/>
    <x v="0"/>
    <x v="2"/>
    <x v="4"/>
    <x v="0"/>
    <x v="2"/>
    <x v="0"/>
    <x v="0"/>
  </r>
  <r>
    <x v="0"/>
    <x v="7"/>
    <x v="0"/>
    <x v="0"/>
    <x v="3"/>
    <x v="0"/>
    <x v="2"/>
    <x v="4"/>
    <x v="0"/>
    <x v="2"/>
    <x v="0"/>
    <x v="0"/>
  </r>
  <r>
    <x v="0"/>
    <x v="11"/>
    <x v="0"/>
    <x v="0"/>
    <x v="3"/>
    <x v="0"/>
    <x v="2"/>
    <x v="4"/>
    <x v="0"/>
    <x v="2"/>
    <x v="0"/>
    <x v="0"/>
  </r>
  <r>
    <x v="0"/>
    <x v="12"/>
    <x v="0"/>
    <x v="0"/>
    <x v="3"/>
    <x v="0"/>
    <x v="2"/>
    <x v="4"/>
    <x v="0"/>
    <x v="2"/>
    <x v="0"/>
    <x v="0"/>
  </r>
  <r>
    <x v="0"/>
    <x v="8"/>
    <x v="0"/>
    <x v="0"/>
    <x v="3"/>
    <x v="0"/>
    <x v="2"/>
    <x v="4"/>
    <x v="0"/>
    <x v="2"/>
    <x v="0"/>
    <x v="0"/>
  </r>
  <r>
    <x v="0"/>
    <x v="9"/>
    <x v="0"/>
    <x v="0"/>
    <x v="3"/>
    <x v="0"/>
    <x v="2"/>
    <x v="4"/>
    <x v="0"/>
    <x v="2"/>
    <x v="0"/>
    <x v="0"/>
  </r>
  <r>
    <x v="0"/>
    <x v="10"/>
    <x v="0"/>
    <x v="0"/>
    <x v="3"/>
    <x v="0"/>
    <x v="2"/>
    <x v="4"/>
    <x v="0"/>
    <x v="2"/>
    <x v="0"/>
    <x v="0"/>
  </r>
  <r>
    <x v="1"/>
    <x v="13"/>
    <x v="1"/>
    <x v="1"/>
    <x v="4"/>
    <x v="2"/>
    <x v="3"/>
    <x v="7"/>
    <x v="4"/>
    <x v="5"/>
    <x v="23"/>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6">
  <r>
    <x v="0"/>
    <x v="0"/>
    <x v="0"/>
    <x v="0"/>
    <x v="0"/>
    <x v="0"/>
    <x v="0"/>
    <n v="0.91"/>
    <x v="0"/>
    <x v="0"/>
    <n v="0"/>
    <x v="0"/>
    <x v="0"/>
  </r>
  <r>
    <x v="0"/>
    <x v="1"/>
    <x v="0"/>
    <x v="0"/>
    <x v="0"/>
    <x v="0"/>
    <x v="0"/>
    <n v="0.8"/>
    <x v="0"/>
    <x v="1"/>
    <n v="0"/>
    <x v="1"/>
    <x v="0"/>
  </r>
  <r>
    <x v="0"/>
    <x v="0"/>
    <x v="0"/>
    <x v="0"/>
    <x v="0"/>
    <x v="0"/>
    <x v="0"/>
    <n v="0.9"/>
    <x v="0"/>
    <x v="0"/>
    <n v="0"/>
    <x v="2"/>
    <x v="0"/>
  </r>
  <r>
    <x v="0"/>
    <x v="2"/>
    <x v="0"/>
    <x v="0"/>
    <x v="1"/>
    <x v="0"/>
    <x v="0"/>
    <n v="1"/>
    <x v="1"/>
    <x v="0"/>
    <n v="20"/>
    <x v="1"/>
    <x v="0"/>
  </r>
  <r>
    <x v="0"/>
    <x v="3"/>
    <x v="0"/>
    <x v="0"/>
    <x v="1"/>
    <x v="0"/>
    <x v="0"/>
    <n v="1"/>
    <x v="1"/>
    <x v="0"/>
    <n v="20"/>
    <x v="1"/>
    <x v="0"/>
  </r>
  <r>
    <x v="0"/>
    <x v="4"/>
    <x v="0"/>
    <x v="0"/>
    <x v="1"/>
    <x v="0"/>
    <x v="0"/>
    <n v="1"/>
    <x v="1"/>
    <x v="0"/>
    <n v="20"/>
    <x v="1"/>
    <x v="0"/>
  </r>
  <r>
    <x v="0"/>
    <x v="5"/>
    <x v="0"/>
    <x v="0"/>
    <x v="1"/>
    <x v="0"/>
    <x v="0"/>
    <n v="1"/>
    <x v="1"/>
    <x v="0"/>
    <n v="20"/>
    <x v="1"/>
    <x v="0"/>
  </r>
  <r>
    <x v="0"/>
    <x v="6"/>
    <x v="0"/>
    <x v="0"/>
    <x v="1"/>
    <x v="0"/>
    <x v="0"/>
    <n v="1"/>
    <x v="1"/>
    <x v="0"/>
    <n v="20"/>
    <x v="1"/>
    <x v="0"/>
  </r>
  <r>
    <x v="0"/>
    <x v="7"/>
    <x v="0"/>
    <x v="0"/>
    <x v="1"/>
    <x v="0"/>
    <x v="0"/>
    <n v="1"/>
    <x v="1"/>
    <x v="0"/>
    <n v="20"/>
    <x v="1"/>
    <x v="0"/>
  </r>
  <r>
    <x v="0"/>
    <x v="8"/>
    <x v="0"/>
    <x v="0"/>
    <x v="1"/>
    <x v="0"/>
    <x v="0"/>
    <n v="1"/>
    <x v="1"/>
    <x v="2"/>
    <n v="20"/>
    <x v="1"/>
    <x v="0"/>
  </r>
  <r>
    <x v="0"/>
    <x v="9"/>
    <x v="0"/>
    <x v="0"/>
    <x v="1"/>
    <x v="0"/>
    <x v="0"/>
    <n v="1"/>
    <x v="1"/>
    <x v="3"/>
    <n v="100"/>
    <x v="1"/>
    <x v="0"/>
  </r>
  <r>
    <x v="0"/>
    <x v="10"/>
    <x v="0"/>
    <x v="0"/>
    <x v="1"/>
    <x v="0"/>
    <x v="0"/>
    <n v="1"/>
    <x v="1"/>
    <x v="0"/>
    <n v="55"/>
    <x v="1"/>
    <x v="0"/>
  </r>
  <r>
    <x v="0"/>
    <x v="11"/>
    <x v="0"/>
    <x v="0"/>
    <x v="1"/>
    <x v="0"/>
    <x v="0"/>
    <n v="1"/>
    <x v="1"/>
    <x v="0"/>
    <n v="20"/>
    <x v="1"/>
    <x v="0"/>
  </r>
  <r>
    <x v="0"/>
    <x v="12"/>
    <x v="0"/>
    <x v="0"/>
    <x v="1"/>
    <x v="0"/>
    <x v="0"/>
    <n v="1"/>
    <x v="1"/>
    <x v="0"/>
    <n v="20"/>
    <x v="1"/>
    <x v="0"/>
  </r>
  <r>
    <x v="0"/>
    <x v="13"/>
    <x v="0"/>
    <x v="0"/>
    <x v="1"/>
    <x v="0"/>
    <x v="0"/>
    <n v="1"/>
    <x v="1"/>
    <x v="0"/>
    <n v="20"/>
    <x v="1"/>
    <x v="0"/>
  </r>
  <r>
    <x v="0"/>
    <x v="14"/>
    <x v="1"/>
    <x v="0"/>
    <x v="1"/>
    <x v="0"/>
    <x v="0"/>
    <n v="1"/>
    <x v="1"/>
    <x v="0"/>
    <n v="20"/>
    <x v="1"/>
    <x v="1"/>
  </r>
  <r>
    <x v="0"/>
    <x v="15"/>
    <x v="1"/>
    <x v="0"/>
    <x v="1"/>
    <x v="0"/>
    <x v="0"/>
    <n v="1"/>
    <x v="1"/>
    <x v="0"/>
    <n v="20"/>
    <x v="1"/>
    <x v="1"/>
  </r>
  <r>
    <x v="0"/>
    <x v="16"/>
    <x v="1"/>
    <x v="0"/>
    <x v="1"/>
    <x v="0"/>
    <x v="0"/>
    <n v="1"/>
    <x v="1"/>
    <x v="0"/>
    <n v="20"/>
    <x v="1"/>
    <x v="1"/>
  </r>
  <r>
    <x v="0"/>
    <x v="17"/>
    <x v="1"/>
    <x v="0"/>
    <x v="1"/>
    <x v="0"/>
    <x v="0"/>
    <n v="1"/>
    <x v="1"/>
    <x v="0"/>
    <n v="20"/>
    <x v="1"/>
    <x v="1"/>
  </r>
  <r>
    <x v="0"/>
    <x v="18"/>
    <x v="1"/>
    <x v="0"/>
    <x v="1"/>
    <x v="0"/>
    <x v="0"/>
    <n v="1"/>
    <x v="1"/>
    <x v="0"/>
    <n v="20"/>
    <x v="1"/>
    <x v="1"/>
  </r>
  <r>
    <x v="0"/>
    <x v="2"/>
    <x v="0"/>
    <x v="0"/>
    <x v="2"/>
    <x v="0"/>
    <x v="0"/>
    <n v="1"/>
    <x v="1"/>
    <x v="0"/>
    <n v="20"/>
    <x v="1"/>
    <x v="0"/>
  </r>
  <r>
    <x v="0"/>
    <x v="3"/>
    <x v="0"/>
    <x v="0"/>
    <x v="3"/>
    <x v="0"/>
    <x v="0"/>
    <n v="1"/>
    <x v="1"/>
    <x v="0"/>
    <n v="20"/>
    <x v="1"/>
    <x v="0"/>
  </r>
  <r>
    <x v="0"/>
    <x v="3"/>
    <x v="0"/>
    <x v="0"/>
    <x v="4"/>
    <x v="0"/>
    <x v="0"/>
    <n v="1"/>
    <x v="1"/>
    <x v="0"/>
    <n v="20"/>
    <x v="1"/>
    <x v="0"/>
  </r>
  <r>
    <x v="0"/>
    <x v="3"/>
    <x v="0"/>
    <x v="0"/>
    <x v="5"/>
    <x v="0"/>
    <x v="0"/>
    <n v="1"/>
    <x v="1"/>
    <x v="0"/>
    <n v="20"/>
    <x v="1"/>
    <x v="0"/>
  </r>
  <r>
    <x v="0"/>
    <x v="7"/>
    <x v="0"/>
    <x v="0"/>
    <x v="2"/>
    <x v="0"/>
    <x v="0"/>
    <n v="1"/>
    <x v="1"/>
    <x v="0"/>
    <n v="20"/>
    <x v="1"/>
    <x v="0"/>
  </r>
  <r>
    <x v="0"/>
    <x v="8"/>
    <x v="0"/>
    <x v="0"/>
    <x v="3"/>
    <x v="0"/>
    <x v="0"/>
    <n v="1"/>
    <x v="1"/>
    <x v="0"/>
    <n v="20"/>
    <x v="1"/>
    <x v="0"/>
  </r>
  <r>
    <x v="0"/>
    <x v="8"/>
    <x v="0"/>
    <x v="0"/>
    <x v="4"/>
    <x v="0"/>
    <x v="0"/>
    <n v="1"/>
    <x v="1"/>
    <x v="0"/>
    <n v="20"/>
    <x v="1"/>
    <x v="0"/>
  </r>
  <r>
    <x v="0"/>
    <x v="8"/>
    <x v="0"/>
    <x v="0"/>
    <x v="5"/>
    <x v="0"/>
    <x v="0"/>
    <n v="1"/>
    <x v="1"/>
    <x v="0"/>
    <n v="20"/>
    <x v="1"/>
    <x v="0"/>
  </r>
  <r>
    <x v="0"/>
    <x v="2"/>
    <x v="0"/>
    <x v="0"/>
    <x v="6"/>
    <x v="0"/>
    <x v="0"/>
    <n v="1"/>
    <x v="1"/>
    <x v="0"/>
    <n v="20"/>
    <x v="1"/>
    <x v="0"/>
  </r>
  <r>
    <x v="0"/>
    <x v="3"/>
    <x v="0"/>
    <x v="0"/>
    <x v="6"/>
    <x v="0"/>
    <x v="0"/>
    <n v="1"/>
    <x v="1"/>
    <x v="0"/>
    <n v="20"/>
    <x v="1"/>
    <x v="0"/>
  </r>
  <r>
    <x v="0"/>
    <x v="4"/>
    <x v="0"/>
    <x v="0"/>
    <x v="6"/>
    <x v="0"/>
    <x v="0"/>
    <n v="1"/>
    <x v="1"/>
    <x v="0"/>
    <n v="20"/>
    <x v="1"/>
    <x v="0"/>
  </r>
  <r>
    <x v="0"/>
    <x v="5"/>
    <x v="0"/>
    <x v="0"/>
    <x v="6"/>
    <x v="0"/>
    <x v="0"/>
    <n v="1"/>
    <x v="1"/>
    <x v="0"/>
    <n v="20"/>
    <x v="1"/>
    <x v="0"/>
  </r>
  <r>
    <x v="0"/>
    <x v="6"/>
    <x v="0"/>
    <x v="0"/>
    <x v="6"/>
    <x v="0"/>
    <x v="0"/>
    <n v="1"/>
    <x v="1"/>
    <x v="0"/>
    <n v="20"/>
    <x v="1"/>
    <x v="0"/>
  </r>
  <r>
    <x v="0"/>
    <x v="7"/>
    <x v="0"/>
    <x v="0"/>
    <x v="6"/>
    <x v="0"/>
    <x v="0"/>
    <n v="1"/>
    <x v="1"/>
    <x v="0"/>
    <n v="20"/>
    <x v="1"/>
    <x v="0"/>
  </r>
  <r>
    <x v="0"/>
    <x v="8"/>
    <x v="0"/>
    <x v="0"/>
    <x v="6"/>
    <x v="0"/>
    <x v="0"/>
    <n v="1"/>
    <x v="1"/>
    <x v="3"/>
    <n v="20"/>
    <x v="1"/>
    <x v="0"/>
  </r>
  <r>
    <x v="0"/>
    <x v="9"/>
    <x v="0"/>
    <x v="0"/>
    <x v="6"/>
    <x v="0"/>
    <x v="0"/>
    <n v="0.6"/>
    <x v="1"/>
    <x v="0"/>
    <n v="20"/>
    <x v="1"/>
    <x v="0"/>
  </r>
  <r>
    <x v="0"/>
    <x v="10"/>
    <x v="0"/>
    <x v="0"/>
    <x v="6"/>
    <x v="0"/>
    <x v="0"/>
    <n v="0.6"/>
    <x v="1"/>
    <x v="0"/>
    <n v="20"/>
    <x v="1"/>
    <x v="0"/>
  </r>
  <r>
    <x v="0"/>
    <x v="11"/>
    <x v="0"/>
    <x v="0"/>
    <x v="6"/>
    <x v="0"/>
    <x v="0"/>
    <n v="0.6"/>
    <x v="1"/>
    <x v="0"/>
    <n v="20"/>
    <x v="1"/>
    <x v="0"/>
  </r>
  <r>
    <x v="0"/>
    <x v="12"/>
    <x v="0"/>
    <x v="0"/>
    <x v="6"/>
    <x v="0"/>
    <x v="0"/>
    <n v="0.6"/>
    <x v="1"/>
    <x v="0"/>
    <n v="20"/>
    <x v="1"/>
    <x v="0"/>
  </r>
  <r>
    <x v="0"/>
    <x v="13"/>
    <x v="0"/>
    <x v="0"/>
    <x v="6"/>
    <x v="0"/>
    <x v="0"/>
    <n v="0.6"/>
    <x v="1"/>
    <x v="0"/>
    <n v="20"/>
    <x v="1"/>
    <x v="0"/>
  </r>
  <r>
    <x v="0"/>
    <x v="14"/>
    <x v="1"/>
    <x v="0"/>
    <x v="6"/>
    <x v="0"/>
    <x v="0"/>
    <n v="0.6"/>
    <x v="1"/>
    <x v="0"/>
    <n v="20"/>
    <x v="1"/>
    <x v="1"/>
  </r>
  <r>
    <x v="0"/>
    <x v="15"/>
    <x v="1"/>
    <x v="0"/>
    <x v="6"/>
    <x v="0"/>
    <x v="0"/>
    <n v="1"/>
    <x v="1"/>
    <x v="0"/>
    <n v="20"/>
    <x v="1"/>
    <x v="1"/>
  </r>
  <r>
    <x v="0"/>
    <x v="16"/>
    <x v="1"/>
    <x v="0"/>
    <x v="6"/>
    <x v="0"/>
    <x v="0"/>
    <n v="1"/>
    <x v="1"/>
    <x v="0"/>
    <n v="20"/>
    <x v="1"/>
    <x v="1"/>
  </r>
  <r>
    <x v="0"/>
    <x v="17"/>
    <x v="1"/>
    <x v="0"/>
    <x v="6"/>
    <x v="0"/>
    <x v="0"/>
    <n v="1"/>
    <x v="1"/>
    <x v="0"/>
    <n v="20"/>
    <x v="1"/>
    <x v="1"/>
  </r>
  <r>
    <x v="0"/>
    <x v="18"/>
    <x v="1"/>
    <x v="0"/>
    <x v="6"/>
    <x v="0"/>
    <x v="0"/>
    <n v="1"/>
    <x v="1"/>
    <x v="0"/>
    <n v="20"/>
    <x v="1"/>
    <x v="1"/>
  </r>
  <r>
    <x v="0"/>
    <x v="2"/>
    <x v="0"/>
    <x v="0"/>
    <x v="7"/>
    <x v="0"/>
    <x v="0"/>
    <n v="1"/>
    <x v="1"/>
    <x v="0"/>
    <n v="20"/>
    <x v="1"/>
    <x v="0"/>
  </r>
  <r>
    <x v="0"/>
    <x v="3"/>
    <x v="0"/>
    <x v="0"/>
    <x v="7"/>
    <x v="0"/>
    <x v="0"/>
    <n v="1"/>
    <x v="1"/>
    <x v="0"/>
    <n v="20"/>
    <x v="1"/>
    <x v="0"/>
  </r>
  <r>
    <x v="0"/>
    <x v="4"/>
    <x v="0"/>
    <x v="0"/>
    <x v="7"/>
    <x v="0"/>
    <x v="0"/>
    <n v="1"/>
    <x v="1"/>
    <x v="0"/>
    <n v="20"/>
    <x v="1"/>
    <x v="0"/>
  </r>
  <r>
    <x v="0"/>
    <x v="5"/>
    <x v="0"/>
    <x v="0"/>
    <x v="7"/>
    <x v="0"/>
    <x v="0"/>
    <n v="1"/>
    <x v="1"/>
    <x v="0"/>
    <n v="20"/>
    <x v="1"/>
    <x v="0"/>
  </r>
  <r>
    <x v="0"/>
    <x v="6"/>
    <x v="0"/>
    <x v="0"/>
    <x v="7"/>
    <x v="0"/>
    <x v="0"/>
    <n v="1"/>
    <x v="1"/>
    <x v="0"/>
    <n v="20"/>
    <x v="1"/>
    <x v="0"/>
  </r>
  <r>
    <x v="0"/>
    <x v="7"/>
    <x v="0"/>
    <x v="0"/>
    <x v="7"/>
    <x v="0"/>
    <x v="0"/>
    <n v="1"/>
    <x v="1"/>
    <x v="0"/>
    <n v="20"/>
    <x v="1"/>
    <x v="0"/>
  </r>
  <r>
    <x v="0"/>
    <x v="8"/>
    <x v="0"/>
    <x v="0"/>
    <x v="7"/>
    <x v="0"/>
    <x v="0"/>
    <n v="1"/>
    <x v="1"/>
    <x v="3"/>
    <n v="20"/>
    <x v="1"/>
    <x v="0"/>
  </r>
  <r>
    <x v="0"/>
    <x v="9"/>
    <x v="0"/>
    <x v="0"/>
    <x v="7"/>
    <x v="0"/>
    <x v="0"/>
    <n v="1"/>
    <x v="1"/>
    <x v="0"/>
    <n v="20"/>
    <x v="1"/>
    <x v="0"/>
  </r>
  <r>
    <x v="0"/>
    <x v="10"/>
    <x v="0"/>
    <x v="0"/>
    <x v="7"/>
    <x v="0"/>
    <x v="0"/>
    <n v="1"/>
    <x v="1"/>
    <x v="0"/>
    <n v="20"/>
    <x v="1"/>
    <x v="0"/>
  </r>
  <r>
    <x v="0"/>
    <x v="11"/>
    <x v="0"/>
    <x v="0"/>
    <x v="7"/>
    <x v="0"/>
    <x v="0"/>
    <n v="1"/>
    <x v="1"/>
    <x v="0"/>
    <n v="20"/>
    <x v="1"/>
    <x v="0"/>
  </r>
  <r>
    <x v="0"/>
    <x v="12"/>
    <x v="0"/>
    <x v="0"/>
    <x v="7"/>
    <x v="0"/>
    <x v="0"/>
    <n v="1"/>
    <x v="1"/>
    <x v="0"/>
    <n v="20"/>
    <x v="1"/>
    <x v="0"/>
  </r>
  <r>
    <x v="0"/>
    <x v="13"/>
    <x v="0"/>
    <x v="0"/>
    <x v="7"/>
    <x v="0"/>
    <x v="0"/>
    <n v="1"/>
    <x v="1"/>
    <x v="0"/>
    <n v="20"/>
    <x v="1"/>
    <x v="0"/>
  </r>
  <r>
    <x v="0"/>
    <x v="14"/>
    <x v="1"/>
    <x v="0"/>
    <x v="7"/>
    <x v="0"/>
    <x v="0"/>
    <n v="1"/>
    <x v="1"/>
    <x v="0"/>
    <n v="20"/>
    <x v="1"/>
    <x v="1"/>
  </r>
  <r>
    <x v="0"/>
    <x v="15"/>
    <x v="1"/>
    <x v="0"/>
    <x v="7"/>
    <x v="0"/>
    <x v="0"/>
    <n v="1"/>
    <x v="1"/>
    <x v="0"/>
    <n v="20"/>
    <x v="1"/>
    <x v="1"/>
  </r>
  <r>
    <x v="0"/>
    <x v="16"/>
    <x v="1"/>
    <x v="0"/>
    <x v="7"/>
    <x v="0"/>
    <x v="0"/>
    <n v="1"/>
    <x v="1"/>
    <x v="0"/>
    <n v="20"/>
    <x v="1"/>
    <x v="1"/>
  </r>
  <r>
    <x v="0"/>
    <x v="17"/>
    <x v="1"/>
    <x v="0"/>
    <x v="7"/>
    <x v="0"/>
    <x v="0"/>
    <n v="1"/>
    <x v="1"/>
    <x v="0"/>
    <n v="20"/>
    <x v="1"/>
    <x v="1"/>
  </r>
  <r>
    <x v="0"/>
    <x v="18"/>
    <x v="1"/>
    <x v="0"/>
    <x v="7"/>
    <x v="0"/>
    <x v="0"/>
    <n v="1"/>
    <x v="1"/>
    <x v="0"/>
    <n v="20"/>
    <x v="1"/>
    <x v="1"/>
  </r>
  <r>
    <x v="0"/>
    <x v="2"/>
    <x v="0"/>
    <x v="0"/>
    <x v="1"/>
    <x v="0"/>
    <x v="0"/>
    <n v="1"/>
    <x v="1"/>
    <x v="0"/>
    <n v="20"/>
    <x v="0"/>
    <x v="0"/>
  </r>
  <r>
    <x v="0"/>
    <x v="3"/>
    <x v="0"/>
    <x v="0"/>
    <x v="1"/>
    <x v="0"/>
    <x v="0"/>
    <n v="1"/>
    <x v="1"/>
    <x v="0"/>
    <n v="20"/>
    <x v="0"/>
    <x v="0"/>
  </r>
  <r>
    <x v="0"/>
    <x v="4"/>
    <x v="0"/>
    <x v="0"/>
    <x v="1"/>
    <x v="0"/>
    <x v="0"/>
    <n v="1"/>
    <x v="1"/>
    <x v="0"/>
    <n v="20"/>
    <x v="0"/>
    <x v="0"/>
  </r>
  <r>
    <x v="0"/>
    <x v="5"/>
    <x v="0"/>
    <x v="0"/>
    <x v="1"/>
    <x v="0"/>
    <x v="0"/>
    <n v="1"/>
    <x v="1"/>
    <x v="0"/>
    <n v="20"/>
    <x v="0"/>
    <x v="0"/>
  </r>
  <r>
    <x v="0"/>
    <x v="6"/>
    <x v="0"/>
    <x v="0"/>
    <x v="1"/>
    <x v="0"/>
    <x v="0"/>
    <n v="1"/>
    <x v="1"/>
    <x v="0"/>
    <n v="20"/>
    <x v="0"/>
    <x v="0"/>
  </r>
  <r>
    <x v="0"/>
    <x v="7"/>
    <x v="0"/>
    <x v="0"/>
    <x v="1"/>
    <x v="0"/>
    <x v="0"/>
    <n v="1"/>
    <x v="1"/>
    <x v="0"/>
    <n v="20"/>
    <x v="0"/>
    <x v="0"/>
  </r>
  <r>
    <x v="0"/>
    <x v="8"/>
    <x v="0"/>
    <x v="0"/>
    <x v="1"/>
    <x v="0"/>
    <x v="0"/>
    <n v="1"/>
    <x v="1"/>
    <x v="0"/>
    <n v="20"/>
    <x v="0"/>
    <x v="0"/>
  </r>
  <r>
    <x v="0"/>
    <x v="9"/>
    <x v="0"/>
    <x v="0"/>
    <x v="1"/>
    <x v="0"/>
    <x v="0"/>
    <n v="1"/>
    <x v="1"/>
    <x v="0"/>
    <n v="20"/>
    <x v="0"/>
    <x v="0"/>
  </r>
  <r>
    <x v="0"/>
    <x v="10"/>
    <x v="0"/>
    <x v="0"/>
    <x v="1"/>
    <x v="0"/>
    <x v="0"/>
    <n v="1"/>
    <x v="1"/>
    <x v="0"/>
    <n v="20"/>
    <x v="0"/>
    <x v="0"/>
  </r>
  <r>
    <x v="0"/>
    <x v="11"/>
    <x v="0"/>
    <x v="0"/>
    <x v="1"/>
    <x v="0"/>
    <x v="0"/>
    <n v="1"/>
    <x v="1"/>
    <x v="0"/>
    <n v="20"/>
    <x v="0"/>
    <x v="0"/>
  </r>
  <r>
    <x v="0"/>
    <x v="12"/>
    <x v="0"/>
    <x v="0"/>
    <x v="1"/>
    <x v="0"/>
    <x v="0"/>
    <n v="1"/>
    <x v="1"/>
    <x v="0"/>
    <n v="20"/>
    <x v="0"/>
    <x v="0"/>
  </r>
  <r>
    <x v="0"/>
    <x v="13"/>
    <x v="0"/>
    <x v="0"/>
    <x v="1"/>
    <x v="0"/>
    <x v="0"/>
    <n v="1"/>
    <x v="1"/>
    <x v="0"/>
    <n v="20"/>
    <x v="0"/>
    <x v="0"/>
  </r>
  <r>
    <x v="0"/>
    <x v="14"/>
    <x v="1"/>
    <x v="0"/>
    <x v="1"/>
    <x v="0"/>
    <x v="0"/>
    <n v="1"/>
    <x v="1"/>
    <x v="0"/>
    <n v="20"/>
    <x v="0"/>
    <x v="1"/>
  </r>
  <r>
    <x v="0"/>
    <x v="15"/>
    <x v="1"/>
    <x v="0"/>
    <x v="1"/>
    <x v="0"/>
    <x v="0"/>
    <n v="1"/>
    <x v="1"/>
    <x v="0"/>
    <n v="20"/>
    <x v="0"/>
    <x v="1"/>
  </r>
  <r>
    <x v="0"/>
    <x v="16"/>
    <x v="1"/>
    <x v="0"/>
    <x v="1"/>
    <x v="0"/>
    <x v="0"/>
    <n v="1"/>
    <x v="1"/>
    <x v="0"/>
    <n v="20"/>
    <x v="0"/>
    <x v="1"/>
  </r>
  <r>
    <x v="0"/>
    <x v="17"/>
    <x v="1"/>
    <x v="0"/>
    <x v="1"/>
    <x v="0"/>
    <x v="0"/>
    <n v="1"/>
    <x v="1"/>
    <x v="0"/>
    <n v="20"/>
    <x v="0"/>
    <x v="1"/>
  </r>
  <r>
    <x v="0"/>
    <x v="18"/>
    <x v="1"/>
    <x v="0"/>
    <x v="1"/>
    <x v="0"/>
    <x v="0"/>
    <n v="1"/>
    <x v="1"/>
    <x v="0"/>
    <n v="20"/>
    <x v="0"/>
    <x v="1"/>
  </r>
  <r>
    <x v="0"/>
    <x v="2"/>
    <x v="0"/>
    <x v="0"/>
    <x v="2"/>
    <x v="0"/>
    <x v="0"/>
    <n v="1"/>
    <x v="1"/>
    <x v="0"/>
    <n v="20"/>
    <x v="0"/>
    <x v="0"/>
  </r>
  <r>
    <x v="0"/>
    <x v="3"/>
    <x v="0"/>
    <x v="0"/>
    <x v="3"/>
    <x v="0"/>
    <x v="0"/>
    <n v="1"/>
    <x v="1"/>
    <x v="0"/>
    <n v="20"/>
    <x v="0"/>
    <x v="0"/>
  </r>
  <r>
    <x v="0"/>
    <x v="3"/>
    <x v="0"/>
    <x v="0"/>
    <x v="4"/>
    <x v="0"/>
    <x v="0"/>
    <n v="1"/>
    <x v="1"/>
    <x v="0"/>
    <n v="20"/>
    <x v="0"/>
    <x v="0"/>
  </r>
  <r>
    <x v="0"/>
    <x v="3"/>
    <x v="0"/>
    <x v="0"/>
    <x v="5"/>
    <x v="0"/>
    <x v="0"/>
    <n v="1"/>
    <x v="1"/>
    <x v="0"/>
    <n v="20"/>
    <x v="0"/>
    <x v="0"/>
  </r>
  <r>
    <x v="0"/>
    <x v="7"/>
    <x v="0"/>
    <x v="0"/>
    <x v="2"/>
    <x v="0"/>
    <x v="0"/>
    <n v="1"/>
    <x v="1"/>
    <x v="0"/>
    <n v="20"/>
    <x v="0"/>
    <x v="0"/>
  </r>
  <r>
    <x v="0"/>
    <x v="8"/>
    <x v="0"/>
    <x v="0"/>
    <x v="3"/>
    <x v="0"/>
    <x v="0"/>
    <n v="1"/>
    <x v="1"/>
    <x v="0"/>
    <n v="20"/>
    <x v="0"/>
    <x v="0"/>
  </r>
  <r>
    <x v="0"/>
    <x v="8"/>
    <x v="0"/>
    <x v="0"/>
    <x v="4"/>
    <x v="0"/>
    <x v="0"/>
    <n v="1"/>
    <x v="1"/>
    <x v="0"/>
    <n v="20"/>
    <x v="0"/>
    <x v="0"/>
  </r>
  <r>
    <x v="0"/>
    <x v="8"/>
    <x v="0"/>
    <x v="0"/>
    <x v="5"/>
    <x v="0"/>
    <x v="0"/>
    <n v="1"/>
    <x v="1"/>
    <x v="0"/>
    <n v="20"/>
    <x v="0"/>
    <x v="0"/>
  </r>
  <r>
    <x v="0"/>
    <x v="2"/>
    <x v="0"/>
    <x v="0"/>
    <x v="6"/>
    <x v="0"/>
    <x v="0"/>
    <n v="1"/>
    <x v="1"/>
    <x v="0"/>
    <n v="20"/>
    <x v="0"/>
    <x v="0"/>
  </r>
  <r>
    <x v="0"/>
    <x v="3"/>
    <x v="0"/>
    <x v="0"/>
    <x v="6"/>
    <x v="0"/>
    <x v="0"/>
    <n v="1"/>
    <x v="1"/>
    <x v="0"/>
    <n v="20"/>
    <x v="0"/>
    <x v="0"/>
  </r>
  <r>
    <x v="0"/>
    <x v="4"/>
    <x v="0"/>
    <x v="0"/>
    <x v="6"/>
    <x v="0"/>
    <x v="0"/>
    <n v="1"/>
    <x v="1"/>
    <x v="0"/>
    <n v="20"/>
    <x v="0"/>
    <x v="0"/>
  </r>
  <r>
    <x v="0"/>
    <x v="5"/>
    <x v="0"/>
    <x v="0"/>
    <x v="6"/>
    <x v="0"/>
    <x v="0"/>
    <n v="1"/>
    <x v="1"/>
    <x v="0"/>
    <n v="20"/>
    <x v="0"/>
    <x v="0"/>
  </r>
  <r>
    <x v="0"/>
    <x v="6"/>
    <x v="0"/>
    <x v="0"/>
    <x v="6"/>
    <x v="0"/>
    <x v="0"/>
    <n v="1"/>
    <x v="1"/>
    <x v="0"/>
    <n v="20"/>
    <x v="0"/>
    <x v="0"/>
  </r>
  <r>
    <x v="0"/>
    <x v="7"/>
    <x v="0"/>
    <x v="0"/>
    <x v="6"/>
    <x v="0"/>
    <x v="0"/>
    <n v="1"/>
    <x v="1"/>
    <x v="0"/>
    <n v="20"/>
    <x v="0"/>
    <x v="0"/>
  </r>
  <r>
    <x v="0"/>
    <x v="8"/>
    <x v="0"/>
    <x v="0"/>
    <x v="6"/>
    <x v="0"/>
    <x v="0"/>
    <n v="1"/>
    <x v="1"/>
    <x v="4"/>
    <n v="20"/>
    <x v="0"/>
    <x v="0"/>
  </r>
  <r>
    <x v="0"/>
    <x v="9"/>
    <x v="0"/>
    <x v="0"/>
    <x v="6"/>
    <x v="0"/>
    <x v="0"/>
    <n v="0.64"/>
    <x v="1"/>
    <x v="5"/>
    <n v="20"/>
    <x v="0"/>
    <x v="0"/>
  </r>
  <r>
    <x v="0"/>
    <x v="10"/>
    <x v="0"/>
    <x v="0"/>
    <x v="6"/>
    <x v="0"/>
    <x v="0"/>
    <n v="0.82"/>
    <x v="1"/>
    <x v="5"/>
    <n v="20"/>
    <x v="0"/>
    <x v="0"/>
  </r>
  <r>
    <x v="0"/>
    <x v="11"/>
    <x v="0"/>
    <x v="0"/>
    <x v="6"/>
    <x v="0"/>
    <x v="0"/>
    <n v="1"/>
    <x v="1"/>
    <x v="0"/>
    <n v="20"/>
    <x v="0"/>
    <x v="0"/>
  </r>
  <r>
    <x v="0"/>
    <x v="12"/>
    <x v="0"/>
    <x v="0"/>
    <x v="6"/>
    <x v="0"/>
    <x v="0"/>
    <n v="1"/>
    <x v="1"/>
    <x v="0"/>
    <n v="20"/>
    <x v="0"/>
    <x v="0"/>
  </r>
  <r>
    <x v="0"/>
    <x v="13"/>
    <x v="0"/>
    <x v="0"/>
    <x v="6"/>
    <x v="0"/>
    <x v="0"/>
    <n v="1"/>
    <x v="1"/>
    <x v="0"/>
    <n v="20"/>
    <x v="0"/>
    <x v="0"/>
  </r>
  <r>
    <x v="0"/>
    <x v="14"/>
    <x v="1"/>
    <x v="0"/>
    <x v="6"/>
    <x v="0"/>
    <x v="0"/>
    <n v="0.6"/>
    <x v="1"/>
    <x v="0"/>
    <n v="20"/>
    <x v="0"/>
    <x v="1"/>
  </r>
  <r>
    <x v="0"/>
    <x v="15"/>
    <x v="1"/>
    <x v="0"/>
    <x v="6"/>
    <x v="0"/>
    <x v="0"/>
    <n v="1"/>
    <x v="1"/>
    <x v="0"/>
    <n v="20"/>
    <x v="0"/>
    <x v="1"/>
  </r>
  <r>
    <x v="0"/>
    <x v="16"/>
    <x v="1"/>
    <x v="0"/>
    <x v="6"/>
    <x v="0"/>
    <x v="0"/>
    <n v="1"/>
    <x v="1"/>
    <x v="0"/>
    <n v="20"/>
    <x v="0"/>
    <x v="1"/>
  </r>
  <r>
    <x v="0"/>
    <x v="17"/>
    <x v="1"/>
    <x v="0"/>
    <x v="6"/>
    <x v="0"/>
    <x v="0"/>
    <n v="1"/>
    <x v="1"/>
    <x v="0"/>
    <n v="20"/>
    <x v="0"/>
    <x v="1"/>
  </r>
  <r>
    <x v="0"/>
    <x v="18"/>
    <x v="1"/>
    <x v="0"/>
    <x v="6"/>
    <x v="0"/>
    <x v="0"/>
    <n v="1"/>
    <x v="1"/>
    <x v="0"/>
    <n v="20"/>
    <x v="0"/>
    <x v="1"/>
  </r>
  <r>
    <x v="0"/>
    <x v="2"/>
    <x v="0"/>
    <x v="0"/>
    <x v="7"/>
    <x v="0"/>
    <x v="0"/>
    <n v="1"/>
    <x v="1"/>
    <x v="0"/>
    <n v="20"/>
    <x v="0"/>
    <x v="0"/>
  </r>
  <r>
    <x v="0"/>
    <x v="3"/>
    <x v="0"/>
    <x v="0"/>
    <x v="7"/>
    <x v="0"/>
    <x v="0"/>
    <n v="1"/>
    <x v="1"/>
    <x v="0"/>
    <n v="20"/>
    <x v="0"/>
    <x v="0"/>
  </r>
  <r>
    <x v="0"/>
    <x v="4"/>
    <x v="0"/>
    <x v="0"/>
    <x v="7"/>
    <x v="0"/>
    <x v="0"/>
    <n v="1"/>
    <x v="1"/>
    <x v="0"/>
    <n v="20"/>
    <x v="0"/>
    <x v="0"/>
  </r>
  <r>
    <x v="0"/>
    <x v="5"/>
    <x v="0"/>
    <x v="0"/>
    <x v="7"/>
    <x v="0"/>
    <x v="0"/>
    <n v="1"/>
    <x v="1"/>
    <x v="0"/>
    <n v="20"/>
    <x v="0"/>
    <x v="0"/>
  </r>
  <r>
    <x v="0"/>
    <x v="6"/>
    <x v="0"/>
    <x v="0"/>
    <x v="7"/>
    <x v="0"/>
    <x v="0"/>
    <n v="1"/>
    <x v="1"/>
    <x v="0"/>
    <n v="20"/>
    <x v="0"/>
    <x v="0"/>
  </r>
  <r>
    <x v="0"/>
    <x v="7"/>
    <x v="0"/>
    <x v="0"/>
    <x v="7"/>
    <x v="0"/>
    <x v="0"/>
    <n v="1"/>
    <x v="1"/>
    <x v="4"/>
    <n v="20"/>
    <x v="0"/>
    <x v="0"/>
  </r>
  <r>
    <x v="0"/>
    <x v="8"/>
    <x v="0"/>
    <x v="0"/>
    <x v="7"/>
    <x v="0"/>
    <x v="0"/>
    <n v="0.56000000000000005"/>
    <x v="1"/>
    <x v="0"/>
    <n v="20"/>
    <x v="0"/>
    <x v="0"/>
  </r>
  <r>
    <x v="0"/>
    <x v="9"/>
    <x v="0"/>
    <x v="0"/>
    <x v="7"/>
    <x v="0"/>
    <x v="0"/>
    <n v="0.64"/>
    <x v="1"/>
    <x v="5"/>
    <n v="20"/>
    <x v="0"/>
    <x v="0"/>
  </r>
  <r>
    <x v="0"/>
    <x v="10"/>
    <x v="0"/>
    <x v="0"/>
    <x v="7"/>
    <x v="0"/>
    <x v="0"/>
    <n v="0.82"/>
    <x v="1"/>
    <x v="5"/>
    <n v="20"/>
    <x v="0"/>
    <x v="0"/>
  </r>
  <r>
    <x v="0"/>
    <x v="11"/>
    <x v="0"/>
    <x v="0"/>
    <x v="7"/>
    <x v="0"/>
    <x v="0"/>
    <n v="1"/>
    <x v="1"/>
    <x v="0"/>
    <n v="20"/>
    <x v="0"/>
    <x v="0"/>
  </r>
  <r>
    <x v="0"/>
    <x v="12"/>
    <x v="0"/>
    <x v="0"/>
    <x v="7"/>
    <x v="0"/>
    <x v="0"/>
    <n v="1"/>
    <x v="1"/>
    <x v="0"/>
    <n v="20"/>
    <x v="0"/>
    <x v="0"/>
  </r>
  <r>
    <x v="0"/>
    <x v="13"/>
    <x v="0"/>
    <x v="0"/>
    <x v="7"/>
    <x v="0"/>
    <x v="0"/>
    <n v="1"/>
    <x v="1"/>
    <x v="0"/>
    <n v="20"/>
    <x v="0"/>
    <x v="0"/>
  </r>
  <r>
    <x v="0"/>
    <x v="14"/>
    <x v="1"/>
    <x v="0"/>
    <x v="7"/>
    <x v="0"/>
    <x v="0"/>
    <n v="1"/>
    <x v="1"/>
    <x v="0"/>
    <n v="20"/>
    <x v="0"/>
    <x v="1"/>
  </r>
  <r>
    <x v="0"/>
    <x v="15"/>
    <x v="1"/>
    <x v="0"/>
    <x v="7"/>
    <x v="0"/>
    <x v="0"/>
    <n v="1"/>
    <x v="1"/>
    <x v="0"/>
    <n v="20"/>
    <x v="0"/>
    <x v="1"/>
  </r>
  <r>
    <x v="0"/>
    <x v="16"/>
    <x v="1"/>
    <x v="0"/>
    <x v="7"/>
    <x v="0"/>
    <x v="0"/>
    <n v="1"/>
    <x v="1"/>
    <x v="0"/>
    <n v="20"/>
    <x v="0"/>
    <x v="1"/>
  </r>
  <r>
    <x v="0"/>
    <x v="17"/>
    <x v="1"/>
    <x v="0"/>
    <x v="7"/>
    <x v="0"/>
    <x v="0"/>
    <n v="1"/>
    <x v="1"/>
    <x v="0"/>
    <n v="20"/>
    <x v="0"/>
    <x v="1"/>
  </r>
  <r>
    <x v="0"/>
    <x v="18"/>
    <x v="1"/>
    <x v="0"/>
    <x v="7"/>
    <x v="0"/>
    <x v="0"/>
    <n v="1"/>
    <x v="1"/>
    <x v="0"/>
    <n v="20"/>
    <x v="0"/>
    <x v="1"/>
  </r>
  <r>
    <x v="0"/>
    <x v="2"/>
    <x v="0"/>
    <x v="0"/>
    <x v="1"/>
    <x v="0"/>
    <x v="0"/>
    <n v="0.9"/>
    <x v="1"/>
    <x v="0"/>
    <n v="20"/>
    <x v="2"/>
    <x v="0"/>
  </r>
  <r>
    <x v="0"/>
    <x v="3"/>
    <x v="0"/>
    <x v="0"/>
    <x v="1"/>
    <x v="0"/>
    <x v="0"/>
    <n v="0.9"/>
    <x v="1"/>
    <x v="0"/>
    <n v="20"/>
    <x v="2"/>
    <x v="0"/>
  </r>
  <r>
    <x v="0"/>
    <x v="4"/>
    <x v="0"/>
    <x v="0"/>
    <x v="1"/>
    <x v="0"/>
    <x v="0"/>
    <n v="0.9"/>
    <x v="1"/>
    <x v="0"/>
    <n v="20"/>
    <x v="2"/>
    <x v="0"/>
  </r>
  <r>
    <x v="0"/>
    <x v="5"/>
    <x v="0"/>
    <x v="0"/>
    <x v="1"/>
    <x v="0"/>
    <x v="0"/>
    <n v="0.9"/>
    <x v="1"/>
    <x v="0"/>
    <n v="20"/>
    <x v="2"/>
    <x v="0"/>
  </r>
  <r>
    <x v="0"/>
    <x v="6"/>
    <x v="0"/>
    <x v="0"/>
    <x v="1"/>
    <x v="0"/>
    <x v="0"/>
    <n v="0.9"/>
    <x v="1"/>
    <x v="0"/>
    <n v="20"/>
    <x v="2"/>
    <x v="0"/>
  </r>
  <r>
    <x v="0"/>
    <x v="7"/>
    <x v="0"/>
    <x v="0"/>
    <x v="1"/>
    <x v="0"/>
    <x v="0"/>
    <n v="0.9"/>
    <x v="1"/>
    <x v="0"/>
    <n v="20"/>
    <x v="2"/>
    <x v="0"/>
  </r>
  <r>
    <x v="0"/>
    <x v="8"/>
    <x v="0"/>
    <x v="0"/>
    <x v="1"/>
    <x v="0"/>
    <x v="0"/>
    <n v="0.9"/>
    <x v="1"/>
    <x v="0"/>
    <n v="20"/>
    <x v="2"/>
    <x v="0"/>
  </r>
  <r>
    <x v="0"/>
    <x v="9"/>
    <x v="0"/>
    <x v="0"/>
    <x v="1"/>
    <x v="0"/>
    <x v="0"/>
    <n v="0.9"/>
    <x v="1"/>
    <x v="0"/>
    <n v="20"/>
    <x v="2"/>
    <x v="0"/>
  </r>
  <r>
    <x v="0"/>
    <x v="10"/>
    <x v="0"/>
    <x v="0"/>
    <x v="1"/>
    <x v="0"/>
    <x v="0"/>
    <n v="0.9"/>
    <x v="1"/>
    <x v="0"/>
    <n v="20"/>
    <x v="2"/>
    <x v="0"/>
  </r>
  <r>
    <x v="0"/>
    <x v="11"/>
    <x v="0"/>
    <x v="0"/>
    <x v="1"/>
    <x v="0"/>
    <x v="0"/>
    <n v="0.9"/>
    <x v="1"/>
    <x v="0"/>
    <n v="20"/>
    <x v="2"/>
    <x v="0"/>
  </r>
  <r>
    <x v="0"/>
    <x v="12"/>
    <x v="0"/>
    <x v="0"/>
    <x v="1"/>
    <x v="0"/>
    <x v="0"/>
    <n v="0.9"/>
    <x v="1"/>
    <x v="0"/>
    <n v="20"/>
    <x v="2"/>
    <x v="0"/>
  </r>
  <r>
    <x v="0"/>
    <x v="13"/>
    <x v="0"/>
    <x v="0"/>
    <x v="1"/>
    <x v="0"/>
    <x v="0"/>
    <n v="0.9"/>
    <x v="1"/>
    <x v="0"/>
    <n v="20"/>
    <x v="2"/>
    <x v="0"/>
  </r>
  <r>
    <x v="0"/>
    <x v="14"/>
    <x v="1"/>
    <x v="0"/>
    <x v="1"/>
    <x v="0"/>
    <x v="0"/>
    <n v="0.9"/>
    <x v="1"/>
    <x v="0"/>
    <n v="20"/>
    <x v="2"/>
    <x v="1"/>
  </r>
  <r>
    <x v="0"/>
    <x v="15"/>
    <x v="1"/>
    <x v="0"/>
    <x v="1"/>
    <x v="0"/>
    <x v="0"/>
    <n v="0.9"/>
    <x v="1"/>
    <x v="0"/>
    <n v="20"/>
    <x v="2"/>
    <x v="1"/>
  </r>
  <r>
    <x v="0"/>
    <x v="16"/>
    <x v="1"/>
    <x v="0"/>
    <x v="1"/>
    <x v="0"/>
    <x v="0"/>
    <n v="0.9"/>
    <x v="1"/>
    <x v="0"/>
    <n v="20"/>
    <x v="2"/>
    <x v="1"/>
  </r>
  <r>
    <x v="0"/>
    <x v="17"/>
    <x v="1"/>
    <x v="0"/>
    <x v="1"/>
    <x v="0"/>
    <x v="0"/>
    <n v="0.9"/>
    <x v="1"/>
    <x v="0"/>
    <n v="20"/>
    <x v="2"/>
    <x v="1"/>
  </r>
  <r>
    <x v="0"/>
    <x v="18"/>
    <x v="1"/>
    <x v="0"/>
    <x v="1"/>
    <x v="0"/>
    <x v="0"/>
    <n v="0.9"/>
    <x v="1"/>
    <x v="0"/>
    <n v="20"/>
    <x v="2"/>
    <x v="1"/>
  </r>
  <r>
    <x v="0"/>
    <x v="2"/>
    <x v="0"/>
    <x v="0"/>
    <x v="2"/>
    <x v="0"/>
    <x v="0"/>
    <n v="0.9"/>
    <x v="1"/>
    <x v="0"/>
    <n v="20"/>
    <x v="2"/>
    <x v="0"/>
  </r>
  <r>
    <x v="0"/>
    <x v="3"/>
    <x v="0"/>
    <x v="0"/>
    <x v="3"/>
    <x v="0"/>
    <x v="0"/>
    <n v="0.9"/>
    <x v="1"/>
    <x v="0"/>
    <n v="20"/>
    <x v="2"/>
    <x v="0"/>
  </r>
  <r>
    <x v="0"/>
    <x v="3"/>
    <x v="0"/>
    <x v="0"/>
    <x v="4"/>
    <x v="0"/>
    <x v="0"/>
    <n v="0.9"/>
    <x v="1"/>
    <x v="0"/>
    <n v="20"/>
    <x v="2"/>
    <x v="0"/>
  </r>
  <r>
    <x v="0"/>
    <x v="3"/>
    <x v="0"/>
    <x v="0"/>
    <x v="5"/>
    <x v="0"/>
    <x v="0"/>
    <n v="0.9"/>
    <x v="1"/>
    <x v="0"/>
    <n v="20"/>
    <x v="2"/>
    <x v="0"/>
  </r>
  <r>
    <x v="0"/>
    <x v="7"/>
    <x v="0"/>
    <x v="0"/>
    <x v="2"/>
    <x v="0"/>
    <x v="0"/>
    <n v="0.9"/>
    <x v="1"/>
    <x v="0"/>
    <n v="20"/>
    <x v="2"/>
    <x v="0"/>
  </r>
  <r>
    <x v="0"/>
    <x v="8"/>
    <x v="0"/>
    <x v="0"/>
    <x v="3"/>
    <x v="0"/>
    <x v="0"/>
    <n v="0.9"/>
    <x v="1"/>
    <x v="0"/>
    <n v="20"/>
    <x v="2"/>
    <x v="0"/>
  </r>
  <r>
    <x v="0"/>
    <x v="8"/>
    <x v="0"/>
    <x v="0"/>
    <x v="4"/>
    <x v="0"/>
    <x v="0"/>
    <n v="0.9"/>
    <x v="1"/>
    <x v="0"/>
    <n v="20"/>
    <x v="2"/>
    <x v="0"/>
  </r>
  <r>
    <x v="0"/>
    <x v="8"/>
    <x v="0"/>
    <x v="0"/>
    <x v="5"/>
    <x v="0"/>
    <x v="0"/>
    <n v="0.9"/>
    <x v="1"/>
    <x v="0"/>
    <n v="20"/>
    <x v="2"/>
    <x v="0"/>
  </r>
  <r>
    <x v="0"/>
    <x v="2"/>
    <x v="0"/>
    <x v="0"/>
    <x v="6"/>
    <x v="0"/>
    <x v="0"/>
    <n v="0.9"/>
    <x v="1"/>
    <x v="0"/>
    <n v="20"/>
    <x v="2"/>
    <x v="0"/>
  </r>
  <r>
    <x v="0"/>
    <x v="3"/>
    <x v="0"/>
    <x v="0"/>
    <x v="6"/>
    <x v="0"/>
    <x v="0"/>
    <n v="0.9"/>
    <x v="1"/>
    <x v="0"/>
    <n v="20"/>
    <x v="2"/>
    <x v="0"/>
  </r>
  <r>
    <x v="0"/>
    <x v="4"/>
    <x v="0"/>
    <x v="0"/>
    <x v="6"/>
    <x v="0"/>
    <x v="0"/>
    <n v="0.9"/>
    <x v="1"/>
    <x v="0"/>
    <n v="20"/>
    <x v="2"/>
    <x v="0"/>
  </r>
  <r>
    <x v="0"/>
    <x v="5"/>
    <x v="0"/>
    <x v="0"/>
    <x v="6"/>
    <x v="0"/>
    <x v="0"/>
    <n v="0.9"/>
    <x v="1"/>
    <x v="0"/>
    <n v="20"/>
    <x v="2"/>
    <x v="0"/>
  </r>
  <r>
    <x v="0"/>
    <x v="6"/>
    <x v="0"/>
    <x v="0"/>
    <x v="6"/>
    <x v="0"/>
    <x v="0"/>
    <n v="0.9"/>
    <x v="1"/>
    <x v="0"/>
    <n v="20"/>
    <x v="2"/>
    <x v="0"/>
  </r>
  <r>
    <x v="0"/>
    <x v="7"/>
    <x v="0"/>
    <x v="0"/>
    <x v="6"/>
    <x v="0"/>
    <x v="0"/>
    <n v="0.9"/>
    <x v="1"/>
    <x v="0"/>
    <n v="20"/>
    <x v="2"/>
    <x v="0"/>
  </r>
  <r>
    <x v="0"/>
    <x v="8"/>
    <x v="0"/>
    <x v="0"/>
    <x v="6"/>
    <x v="0"/>
    <x v="0"/>
    <n v="0.9"/>
    <x v="1"/>
    <x v="0"/>
    <n v="20"/>
    <x v="2"/>
    <x v="0"/>
  </r>
  <r>
    <x v="0"/>
    <x v="9"/>
    <x v="0"/>
    <x v="0"/>
    <x v="6"/>
    <x v="0"/>
    <x v="0"/>
    <n v="0.9"/>
    <x v="1"/>
    <x v="0"/>
    <n v="20"/>
    <x v="2"/>
    <x v="0"/>
  </r>
  <r>
    <x v="0"/>
    <x v="10"/>
    <x v="0"/>
    <x v="0"/>
    <x v="6"/>
    <x v="0"/>
    <x v="0"/>
    <n v="0.9"/>
    <x v="1"/>
    <x v="0"/>
    <n v="20"/>
    <x v="2"/>
    <x v="0"/>
  </r>
  <r>
    <x v="0"/>
    <x v="11"/>
    <x v="0"/>
    <x v="0"/>
    <x v="6"/>
    <x v="0"/>
    <x v="0"/>
    <n v="0.9"/>
    <x v="1"/>
    <x v="0"/>
    <n v="20"/>
    <x v="2"/>
    <x v="0"/>
  </r>
  <r>
    <x v="0"/>
    <x v="12"/>
    <x v="0"/>
    <x v="0"/>
    <x v="6"/>
    <x v="0"/>
    <x v="0"/>
    <n v="0.9"/>
    <x v="1"/>
    <x v="0"/>
    <n v="20"/>
    <x v="2"/>
    <x v="0"/>
  </r>
  <r>
    <x v="0"/>
    <x v="13"/>
    <x v="0"/>
    <x v="0"/>
    <x v="6"/>
    <x v="0"/>
    <x v="0"/>
    <n v="0.9"/>
    <x v="1"/>
    <x v="0"/>
    <n v="20"/>
    <x v="2"/>
    <x v="0"/>
  </r>
  <r>
    <x v="0"/>
    <x v="14"/>
    <x v="1"/>
    <x v="0"/>
    <x v="6"/>
    <x v="0"/>
    <x v="0"/>
    <n v="0.9"/>
    <x v="1"/>
    <x v="0"/>
    <n v="20"/>
    <x v="2"/>
    <x v="1"/>
  </r>
  <r>
    <x v="0"/>
    <x v="15"/>
    <x v="1"/>
    <x v="0"/>
    <x v="6"/>
    <x v="0"/>
    <x v="0"/>
    <n v="0.9"/>
    <x v="1"/>
    <x v="0"/>
    <n v="20"/>
    <x v="2"/>
    <x v="1"/>
  </r>
  <r>
    <x v="0"/>
    <x v="16"/>
    <x v="1"/>
    <x v="0"/>
    <x v="6"/>
    <x v="0"/>
    <x v="0"/>
    <n v="0.9"/>
    <x v="1"/>
    <x v="0"/>
    <n v="20"/>
    <x v="2"/>
    <x v="1"/>
  </r>
  <r>
    <x v="0"/>
    <x v="17"/>
    <x v="1"/>
    <x v="0"/>
    <x v="6"/>
    <x v="0"/>
    <x v="0"/>
    <n v="0.9"/>
    <x v="1"/>
    <x v="0"/>
    <n v="20"/>
    <x v="2"/>
    <x v="1"/>
  </r>
  <r>
    <x v="0"/>
    <x v="18"/>
    <x v="1"/>
    <x v="0"/>
    <x v="6"/>
    <x v="0"/>
    <x v="0"/>
    <n v="0.9"/>
    <x v="1"/>
    <x v="0"/>
    <n v="20"/>
    <x v="2"/>
    <x v="1"/>
  </r>
  <r>
    <x v="0"/>
    <x v="2"/>
    <x v="0"/>
    <x v="0"/>
    <x v="7"/>
    <x v="0"/>
    <x v="0"/>
    <n v="0.9"/>
    <x v="1"/>
    <x v="0"/>
    <n v="20"/>
    <x v="2"/>
    <x v="0"/>
  </r>
  <r>
    <x v="0"/>
    <x v="3"/>
    <x v="0"/>
    <x v="0"/>
    <x v="7"/>
    <x v="0"/>
    <x v="0"/>
    <n v="0.9"/>
    <x v="1"/>
    <x v="0"/>
    <n v="20"/>
    <x v="2"/>
    <x v="0"/>
  </r>
  <r>
    <x v="0"/>
    <x v="4"/>
    <x v="0"/>
    <x v="0"/>
    <x v="7"/>
    <x v="0"/>
    <x v="0"/>
    <n v="0.9"/>
    <x v="1"/>
    <x v="0"/>
    <n v="20"/>
    <x v="2"/>
    <x v="0"/>
  </r>
  <r>
    <x v="0"/>
    <x v="5"/>
    <x v="0"/>
    <x v="0"/>
    <x v="7"/>
    <x v="0"/>
    <x v="0"/>
    <n v="0.9"/>
    <x v="1"/>
    <x v="0"/>
    <n v="20"/>
    <x v="2"/>
    <x v="0"/>
  </r>
  <r>
    <x v="0"/>
    <x v="6"/>
    <x v="0"/>
    <x v="0"/>
    <x v="7"/>
    <x v="0"/>
    <x v="0"/>
    <n v="0.9"/>
    <x v="1"/>
    <x v="0"/>
    <n v="20"/>
    <x v="2"/>
    <x v="0"/>
  </r>
  <r>
    <x v="0"/>
    <x v="7"/>
    <x v="0"/>
    <x v="0"/>
    <x v="7"/>
    <x v="0"/>
    <x v="0"/>
    <n v="0.9"/>
    <x v="1"/>
    <x v="0"/>
    <n v="20"/>
    <x v="2"/>
    <x v="0"/>
  </r>
  <r>
    <x v="0"/>
    <x v="8"/>
    <x v="0"/>
    <x v="0"/>
    <x v="7"/>
    <x v="0"/>
    <x v="0"/>
    <n v="0.9"/>
    <x v="1"/>
    <x v="0"/>
    <n v="20"/>
    <x v="2"/>
    <x v="0"/>
  </r>
  <r>
    <x v="0"/>
    <x v="9"/>
    <x v="0"/>
    <x v="0"/>
    <x v="7"/>
    <x v="0"/>
    <x v="0"/>
    <n v="0.9"/>
    <x v="1"/>
    <x v="0"/>
    <n v="20"/>
    <x v="2"/>
    <x v="0"/>
  </r>
  <r>
    <x v="0"/>
    <x v="10"/>
    <x v="0"/>
    <x v="0"/>
    <x v="7"/>
    <x v="0"/>
    <x v="0"/>
    <n v="0.9"/>
    <x v="1"/>
    <x v="0"/>
    <n v="20"/>
    <x v="2"/>
    <x v="0"/>
  </r>
  <r>
    <x v="0"/>
    <x v="11"/>
    <x v="0"/>
    <x v="0"/>
    <x v="7"/>
    <x v="0"/>
    <x v="0"/>
    <n v="0.9"/>
    <x v="1"/>
    <x v="0"/>
    <n v="20"/>
    <x v="2"/>
    <x v="0"/>
  </r>
  <r>
    <x v="0"/>
    <x v="12"/>
    <x v="0"/>
    <x v="0"/>
    <x v="7"/>
    <x v="0"/>
    <x v="0"/>
    <n v="0.9"/>
    <x v="1"/>
    <x v="0"/>
    <n v="20"/>
    <x v="2"/>
    <x v="0"/>
  </r>
  <r>
    <x v="0"/>
    <x v="13"/>
    <x v="0"/>
    <x v="0"/>
    <x v="7"/>
    <x v="0"/>
    <x v="0"/>
    <n v="0.9"/>
    <x v="1"/>
    <x v="0"/>
    <n v="20"/>
    <x v="2"/>
    <x v="0"/>
  </r>
  <r>
    <x v="0"/>
    <x v="14"/>
    <x v="1"/>
    <x v="0"/>
    <x v="7"/>
    <x v="0"/>
    <x v="0"/>
    <n v="0.9"/>
    <x v="1"/>
    <x v="0"/>
    <n v="20"/>
    <x v="2"/>
    <x v="1"/>
  </r>
  <r>
    <x v="0"/>
    <x v="15"/>
    <x v="1"/>
    <x v="0"/>
    <x v="7"/>
    <x v="0"/>
    <x v="0"/>
    <n v="0.9"/>
    <x v="1"/>
    <x v="0"/>
    <n v="20"/>
    <x v="2"/>
    <x v="1"/>
  </r>
  <r>
    <x v="0"/>
    <x v="16"/>
    <x v="1"/>
    <x v="0"/>
    <x v="7"/>
    <x v="0"/>
    <x v="0"/>
    <n v="0.9"/>
    <x v="1"/>
    <x v="0"/>
    <n v="20"/>
    <x v="2"/>
    <x v="1"/>
  </r>
  <r>
    <x v="0"/>
    <x v="17"/>
    <x v="1"/>
    <x v="0"/>
    <x v="7"/>
    <x v="0"/>
    <x v="0"/>
    <n v="0.9"/>
    <x v="1"/>
    <x v="0"/>
    <n v="20"/>
    <x v="2"/>
    <x v="1"/>
  </r>
  <r>
    <x v="0"/>
    <x v="18"/>
    <x v="1"/>
    <x v="0"/>
    <x v="7"/>
    <x v="0"/>
    <x v="0"/>
    <n v="0.9"/>
    <x v="1"/>
    <x v="0"/>
    <n v="20"/>
    <x v="2"/>
    <x v="1"/>
  </r>
  <r>
    <x v="1"/>
    <x v="0"/>
    <x v="0"/>
    <x v="0"/>
    <x v="0"/>
    <x v="0"/>
    <x v="0"/>
    <n v="0.81"/>
    <x v="1"/>
    <x v="6"/>
    <n v="0"/>
    <x v="0"/>
    <x v="2"/>
  </r>
  <r>
    <x v="1"/>
    <x v="0"/>
    <x v="0"/>
    <x v="0"/>
    <x v="0"/>
    <x v="0"/>
    <x v="0"/>
    <n v="0.84"/>
    <x v="1"/>
    <x v="7"/>
    <n v="0"/>
    <x v="1"/>
    <x v="2"/>
  </r>
  <r>
    <x v="1"/>
    <x v="0"/>
    <x v="0"/>
    <x v="0"/>
    <x v="0"/>
    <x v="0"/>
    <x v="0"/>
    <n v="0.89"/>
    <x v="1"/>
    <x v="0"/>
    <n v="0"/>
    <x v="2"/>
    <x v="2"/>
  </r>
  <r>
    <x v="1"/>
    <x v="19"/>
    <x v="0"/>
    <x v="0"/>
    <x v="0"/>
    <x v="0"/>
    <x v="0"/>
    <n v="0.92"/>
    <x v="1"/>
    <x v="6"/>
    <n v="0"/>
    <x v="0"/>
    <x v="3"/>
  </r>
  <r>
    <x v="1"/>
    <x v="19"/>
    <x v="0"/>
    <x v="0"/>
    <x v="0"/>
    <x v="0"/>
    <x v="0"/>
    <n v="0.93"/>
    <x v="1"/>
    <x v="7"/>
    <n v="0"/>
    <x v="1"/>
    <x v="3"/>
  </r>
  <r>
    <x v="1"/>
    <x v="19"/>
    <x v="0"/>
    <x v="0"/>
    <x v="0"/>
    <x v="0"/>
    <x v="0"/>
    <n v="0.91"/>
    <x v="1"/>
    <x v="0"/>
    <n v="0"/>
    <x v="2"/>
    <x v="3"/>
  </r>
  <r>
    <x v="0"/>
    <x v="0"/>
    <x v="0"/>
    <x v="0"/>
    <x v="0"/>
    <x v="0"/>
    <x v="0"/>
    <n v="0.81"/>
    <x v="1"/>
    <x v="6"/>
    <n v="0"/>
    <x v="0"/>
    <x v="1"/>
  </r>
  <r>
    <x v="0"/>
    <x v="0"/>
    <x v="0"/>
    <x v="0"/>
    <x v="0"/>
    <x v="0"/>
    <x v="0"/>
    <n v="0.84"/>
    <x v="1"/>
    <x v="7"/>
    <n v="0"/>
    <x v="1"/>
    <x v="1"/>
  </r>
  <r>
    <x v="0"/>
    <x v="0"/>
    <x v="0"/>
    <x v="0"/>
    <x v="0"/>
    <x v="0"/>
    <x v="0"/>
    <n v="0.89"/>
    <x v="1"/>
    <x v="0"/>
    <n v="0"/>
    <x v="2"/>
    <x v="1"/>
  </r>
  <r>
    <x v="2"/>
    <x v="20"/>
    <x v="2"/>
    <x v="1"/>
    <x v="0"/>
    <x v="1"/>
    <x v="1"/>
    <n v="1"/>
    <x v="2"/>
    <x v="3"/>
    <n v="1"/>
    <x v="0"/>
    <x v="4"/>
  </r>
  <r>
    <x v="2"/>
    <x v="21"/>
    <x v="2"/>
    <x v="1"/>
    <x v="0"/>
    <x v="1"/>
    <x v="1"/>
    <n v="1"/>
    <x v="2"/>
    <x v="3"/>
    <n v="9"/>
    <x v="0"/>
    <x v="4"/>
  </r>
  <r>
    <x v="2"/>
    <x v="22"/>
    <x v="2"/>
    <x v="1"/>
    <x v="0"/>
    <x v="1"/>
    <x v="1"/>
    <n v="1"/>
    <x v="2"/>
    <x v="3"/>
    <n v="0"/>
    <x v="0"/>
    <x v="4"/>
  </r>
  <r>
    <x v="2"/>
    <x v="23"/>
    <x v="2"/>
    <x v="1"/>
    <x v="0"/>
    <x v="1"/>
    <x v="1"/>
    <n v="1"/>
    <x v="2"/>
    <x v="3"/>
    <n v="17"/>
    <x v="0"/>
    <x v="4"/>
  </r>
  <r>
    <x v="2"/>
    <x v="24"/>
    <x v="2"/>
    <x v="1"/>
    <x v="0"/>
    <x v="1"/>
    <x v="1"/>
    <n v="0.8"/>
    <x v="2"/>
    <x v="3"/>
    <n v="20"/>
    <x v="0"/>
    <x v="4"/>
  </r>
  <r>
    <x v="2"/>
    <x v="25"/>
    <x v="2"/>
    <x v="1"/>
    <x v="0"/>
    <x v="1"/>
    <x v="1"/>
    <n v="1"/>
    <x v="2"/>
    <x v="3"/>
    <n v="1"/>
    <x v="0"/>
    <x v="4"/>
  </r>
  <r>
    <x v="2"/>
    <x v="26"/>
    <x v="2"/>
    <x v="1"/>
    <x v="0"/>
    <x v="1"/>
    <x v="1"/>
    <n v="1"/>
    <x v="2"/>
    <x v="3"/>
    <n v="29"/>
    <x v="0"/>
    <x v="4"/>
  </r>
  <r>
    <x v="2"/>
    <x v="2"/>
    <x v="3"/>
    <x v="1"/>
    <x v="0"/>
    <x v="1"/>
    <x v="1"/>
    <n v="0"/>
    <x v="2"/>
    <x v="3"/>
    <n v="2"/>
    <x v="0"/>
    <x v="5"/>
  </r>
  <r>
    <x v="2"/>
    <x v="3"/>
    <x v="3"/>
    <x v="1"/>
    <x v="0"/>
    <x v="1"/>
    <x v="1"/>
    <n v="0.66666666666666663"/>
    <x v="2"/>
    <x v="3"/>
    <n v="3"/>
    <x v="0"/>
    <x v="5"/>
  </r>
  <r>
    <x v="2"/>
    <x v="4"/>
    <x v="3"/>
    <x v="1"/>
    <x v="0"/>
    <x v="1"/>
    <x v="1"/>
    <n v="1"/>
    <x v="2"/>
    <x v="3"/>
    <n v="36"/>
    <x v="0"/>
    <x v="5"/>
  </r>
  <r>
    <x v="2"/>
    <x v="5"/>
    <x v="3"/>
    <x v="1"/>
    <x v="0"/>
    <x v="1"/>
    <x v="1"/>
    <n v="0.33333333333333331"/>
    <x v="2"/>
    <x v="3"/>
    <n v="3"/>
    <x v="0"/>
    <x v="5"/>
  </r>
  <r>
    <x v="2"/>
    <x v="6"/>
    <x v="3"/>
    <x v="1"/>
    <x v="0"/>
    <x v="1"/>
    <x v="1"/>
    <n v="1"/>
    <x v="2"/>
    <x v="3"/>
    <n v="16"/>
    <x v="0"/>
    <x v="5"/>
  </r>
  <r>
    <x v="2"/>
    <x v="7"/>
    <x v="3"/>
    <x v="1"/>
    <x v="0"/>
    <x v="1"/>
    <x v="1"/>
    <n v="1"/>
    <x v="2"/>
    <x v="3"/>
    <n v="4"/>
    <x v="0"/>
    <x v="5"/>
  </r>
  <r>
    <x v="2"/>
    <x v="8"/>
    <x v="3"/>
    <x v="1"/>
    <x v="0"/>
    <x v="1"/>
    <x v="1"/>
    <n v="0.8666666666666667"/>
    <x v="2"/>
    <x v="3"/>
    <n v="15"/>
    <x v="0"/>
    <x v="5"/>
  </r>
  <r>
    <x v="2"/>
    <x v="9"/>
    <x v="3"/>
    <x v="1"/>
    <x v="0"/>
    <x v="1"/>
    <x v="1"/>
    <n v="1"/>
    <x v="2"/>
    <x v="3"/>
    <n v="19"/>
    <x v="0"/>
    <x v="5"/>
  </r>
  <r>
    <x v="2"/>
    <x v="10"/>
    <x v="3"/>
    <x v="1"/>
    <x v="0"/>
    <x v="1"/>
    <x v="1"/>
    <n v="1"/>
    <x v="2"/>
    <x v="3"/>
    <n v="8"/>
    <x v="0"/>
    <x v="5"/>
  </r>
  <r>
    <x v="2"/>
    <x v="11"/>
    <x v="3"/>
    <x v="1"/>
    <x v="0"/>
    <x v="1"/>
    <x v="1"/>
    <n v="1"/>
    <x v="2"/>
    <x v="3"/>
    <n v="10"/>
    <x v="0"/>
    <x v="5"/>
  </r>
  <r>
    <x v="2"/>
    <x v="12"/>
    <x v="3"/>
    <x v="1"/>
    <x v="0"/>
    <x v="1"/>
    <x v="1"/>
    <n v="0.94117647058823528"/>
    <x v="2"/>
    <x v="3"/>
    <n v="17"/>
    <x v="0"/>
    <x v="5"/>
  </r>
  <r>
    <x v="2"/>
    <x v="13"/>
    <x v="3"/>
    <x v="1"/>
    <x v="0"/>
    <x v="1"/>
    <x v="1"/>
    <n v="1"/>
    <x v="2"/>
    <x v="3"/>
    <n v="20"/>
    <x v="0"/>
    <x v="5"/>
  </r>
  <r>
    <x v="2"/>
    <x v="14"/>
    <x v="2"/>
    <x v="1"/>
    <x v="0"/>
    <x v="1"/>
    <x v="1"/>
    <n v="1"/>
    <x v="2"/>
    <x v="3"/>
    <n v="8"/>
    <x v="0"/>
    <x v="4"/>
  </r>
  <r>
    <x v="2"/>
    <x v="15"/>
    <x v="2"/>
    <x v="1"/>
    <x v="0"/>
    <x v="1"/>
    <x v="1"/>
    <n v="1"/>
    <x v="2"/>
    <x v="3"/>
    <n v="2"/>
    <x v="0"/>
    <x v="4"/>
  </r>
  <r>
    <x v="2"/>
    <x v="16"/>
    <x v="2"/>
    <x v="1"/>
    <x v="0"/>
    <x v="1"/>
    <x v="1"/>
    <n v="1"/>
    <x v="2"/>
    <x v="3"/>
    <n v="28"/>
    <x v="0"/>
    <x v="4"/>
  </r>
  <r>
    <x v="2"/>
    <x v="17"/>
    <x v="2"/>
    <x v="1"/>
    <x v="0"/>
    <x v="1"/>
    <x v="1"/>
    <n v="1"/>
    <x v="2"/>
    <x v="3"/>
    <n v="0"/>
    <x v="0"/>
    <x v="4"/>
  </r>
  <r>
    <x v="2"/>
    <x v="18"/>
    <x v="2"/>
    <x v="1"/>
    <x v="0"/>
    <x v="1"/>
    <x v="1"/>
    <n v="1"/>
    <x v="2"/>
    <x v="3"/>
    <n v="6"/>
    <x v="0"/>
    <x v="4"/>
  </r>
  <r>
    <x v="2"/>
    <x v="20"/>
    <x v="2"/>
    <x v="1"/>
    <x v="0"/>
    <x v="1"/>
    <x v="1"/>
    <n v="1"/>
    <x v="2"/>
    <x v="3"/>
    <n v="24"/>
    <x v="1"/>
    <x v="4"/>
  </r>
  <r>
    <x v="2"/>
    <x v="21"/>
    <x v="2"/>
    <x v="1"/>
    <x v="0"/>
    <x v="1"/>
    <x v="1"/>
    <n v="0.90909090909090906"/>
    <x v="2"/>
    <x v="3"/>
    <n v="11"/>
    <x v="1"/>
    <x v="4"/>
  </r>
  <r>
    <x v="2"/>
    <x v="22"/>
    <x v="2"/>
    <x v="1"/>
    <x v="0"/>
    <x v="1"/>
    <x v="1"/>
    <n v="0.97142857142857142"/>
    <x v="2"/>
    <x v="3"/>
    <n v="35"/>
    <x v="1"/>
    <x v="4"/>
  </r>
  <r>
    <x v="2"/>
    <x v="23"/>
    <x v="2"/>
    <x v="1"/>
    <x v="0"/>
    <x v="1"/>
    <x v="1"/>
    <n v="1"/>
    <x v="2"/>
    <x v="3"/>
    <n v="19"/>
    <x v="1"/>
    <x v="4"/>
  </r>
  <r>
    <x v="2"/>
    <x v="24"/>
    <x v="2"/>
    <x v="1"/>
    <x v="0"/>
    <x v="1"/>
    <x v="1"/>
    <n v="1"/>
    <x v="2"/>
    <x v="3"/>
    <n v="8"/>
    <x v="1"/>
    <x v="4"/>
  </r>
  <r>
    <x v="2"/>
    <x v="25"/>
    <x v="2"/>
    <x v="1"/>
    <x v="0"/>
    <x v="1"/>
    <x v="1"/>
    <n v="1"/>
    <x v="2"/>
    <x v="3"/>
    <n v="30"/>
    <x v="1"/>
    <x v="4"/>
  </r>
  <r>
    <x v="2"/>
    <x v="26"/>
    <x v="2"/>
    <x v="1"/>
    <x v="0"/>
    <x v="1"/>
    <x v="1"/>
    <n v="1"/>
    <x v="2"/>
    <x v="3"/>
    <n v="5"/>
    <x v="1"/>
    <x v="4"/>
  </r>
  <r>
    <x v="2"/>
    <x v="2"/>
    <x v="3"/>
    <x v="1"/>
    <x v="0"/>
    <x v="1"/>
    <x v="1"/>
    <n v="1"/>
    <x v="2"/>
    <x v="3"/>
    <n v="34"/>
    <x v="1"/>
    <x v="5"/>
  </r>
  <r>
    <x v="2"/>
    <x v="3"/>
    <x v="3"/>
    <x v="1"/>
    <x v="0"/>
    <x v="1"/>
    <x v="1"/>
    <n v="1"/>
    <x v="2"/>
    <x v="3"/>
    <n v="24"/>
    <x v="1"/>
    <x v="5"/>
  </r>
  <r>
    <x v="2"/>
    <x v="4"/>
    <x v="3"/>
    <x v="1"/>
    <x v="0"/>
    <x v="1"/>
    <x v="1"/>
    <n v="1"/>
    <x v="2"/>
    <x v="3"/>
    <n v="18"/>
    <x v="1"/>
    <x v="5"/>
  </r>
  <r>
    <x v="2"/>
    <x v="5"/>
    <x v="3"/>
    <x v="1"/>
    <x v="0"/>
    <x v="1"/>
    <x v="1"/>
    <n v="1"/>
    <x v="2"/>
    <x v="3"/>
    <n v="16"/>
    <x v="1"/>
    <x v="5"/>
  </r>
  <r>
    <x v="2"/>
    <x v="6"/>
    <x v="3"/>
    <x v="1"/>
    <x v="0"/>
    <x v="1"/>
    <x v="1"/>
    <n v="1"/>
    <x v="2"/>
    <x v="3"/>
    <n v="45"/>
    <x v="1"/>
    <x v="5"/>
  </r>
  <r>
    <x v="2"/>
    <x v="7"/>
    <x v="3"/>
    <x v="1"/>
    <x v="0"/>
    <x v="1"/>
    <x v="1"/>
    <n v="1"/>
    <x v="2"/>
    <x v="3"/>
    <n v="16"/>
    <x v="1"/>
    <x v="5"/>
  </r>
  <r>
    <x v="2"/>
    <x v="8"/>
    <x v="3"/>
    <x v="1"/>
    <x v="0"/>
    <x v="1"/>
    <x v="1"/>
    <n v="1"/>
    <x v="2"/>
    <x v="3"/>
    <n v="35"/>
    <x v="1"/>
    <x v="5"/>
  </r>
  <r>
    <x v="2"/>
    <x v="9"/>
    <x v="3"/>
    <x v="1"/>
    <x v="0"/>
    <x v="1"/>
    <x v="1"/>
    <n v="1"/>
    <x v="2"/>
    <x v="3"/>
    <n v="18"/>
    <x v="1"/>
    <x v="5"/>
  </r>
  <r>
    <x v="2"/>
    <x v="10"/>
    <x v="3"/>
    <x v="1"/>
    <x v="0"/>
    <x v="1"/>
    <x v="1"/>
    <n v="1"/>
    <x v="2"/>
    <x v="3"/>
    <n v="23"/>
    <x v="1"/>
    <x v="5"/>
  </r>
  <r>
    <x v="2"/>
    <x v="11"/>
    <x v="3"/>
    <x v="1"/>
    <x v="0"/>
    <x v="1"/>
    <x v="1"/>
    <n v="1"/>
    <x v="2"/>
    <x v="3"/>
    <n v="56"/>
    <x v="1"/>
    <x v="5"/>
  </r>
  <r>
    <x v="2"/>
    <x v="12"/>
    <x v="3"/>
    <x v="1"/>
    <x v="0"/>
    <x v="1"/>
    <x v="1"/>
    <n v="1"/>
    <x v="2"/>
    <x v="3"/>
    <n v="23"/>
    <x v="1"/>
    <x v="5"/>
  </r>
  <r>
    <x v="2"/>
    <x v="13"/>
    <x v="3"/>
    <x v="1"/>
    <x v="0"/>
    <x v="1"/>
    <x v="1"/>
    <n v="1"/>
    <x v="2"/>
    <x v="3"/>
    <n v="26"/>
    <x v="1"/>
    <x v="5"/>
  </r>
  <r>
    <x v="2"/>
    <x v="14"/>
    <x v="2"/>
    <x v="1"/>
    <x v="0"/>
    <x v="1"/>
    <x v="1"/>
    <n v="1"/>
    <x v="2"/>
    <x v="3"/>
    <n v="22"/>
    <x v="1"/>
    <x v="4"/>
  </r>
  <r>
    <x v="2"/>
    <x v="15"/>
    <x v="2"/>
    <x v="1"/>
    <x v="0"/>
    <x v="1"/>
    <x v="1"/>
    <n v="1"/>
    <x v="2"/>
    <x v="3"/>
    <n v="6"/>
    <x v="1"/>
    <x v="4"/>
  </r>
  <r>
    <x v="2"/>
    <x v="16"/>
    <x v="2"/>
    <x v="1"/>
    <x v="0"/>
    <x v="1"/>
    <x v="1"/>
    <n v="1"/>
    <x v="2"/>
    <x v="3"/>
    <n v="25"/>
    <x v="1"/>
    <x v="4"/>
  </r>
  <r>
    <x v="2"/>
    <x v="17"/>
    <x v="2"/>
    <x v="1"/>
    <x v="0"/>
    <x v="1"/>
    <x v="1"/>
    <n v="1"/>
    <x v="2"/>
    <x v="3"/>
    <n v="0"/>
    <x v="1"/>
    <x v="4"/>
  </r>
  <r>
    <x v="2"/>
    <x v="18"/>
    <x v="2"/>
    <x v="1"/>
    <x v="0"/>
    <x v="1"/>
    <x v="1"/>
    <n v="1"/>
    <x v="2"/>
    <x v="3"/>
    <n v="18"/>
    <x v="1"/>
    <x v="4"/>
  </r>
  <r>
    <x v="2"/>
    <x v="20"/>
    <x v="2"/>
    <x v="1"/>
    <x v="0"/>
    <x v="1"/>
    <x v="1"/>
    <n v="1"/>
    <x v="2"/>
    <x v="3"/>
    <n v="21"/>
    <x v="2"/>
    <x v="4"/>
  </r>
  <r>
    <x v="2"/>
    <x v="21"/>
    <x v="2"/>
    <x v="1"/>
    <x v="0"/>
    <x v="1"/>
    <x v="1"/>
    <n v="0.81818181818181823"/>
    <x v="2"/>
    <x v="3"/>
    <n v="11"/>
    <x v="2"/>
    <x v="4"/>
  </r>
  <r>
    <x v="2"/>
    <x v="22"/>
    <x v="2"/>
    <x v="1"/>
    <x v="0"/>
    <x v="1"/>
    <x v="1"/>
    <n v="0.88888888888888884"/>
    <x v="2"/>
    <x v="3"/>
    <n v="45"/>
    <x v="2"/>
    <x v="4"/>
  </r>
  <r>
    <x v="2"/>
    <x v="23"/>
    <x v="2"/>
    <x v="1"/>
    <x v="0"/>
    <x v="1"/>
    <x v="1"/>
    <n v="0.44444444444444442"/>
    <x v="2"/>
    <x v="3"/>
    <n v="9"/>
    <x v="2"/>
    <x v="4"/>
  </r>
  <r>
    <x v="2"/>
    <x v="24"/>
    <x v="2"/>
    <x v="1"/>
    <x v="0"/>
    <x v="1"/>
    <x v="1"/>
    <n v="1"/>
    <x v="2"/>
    <x v="3"/>
    <n v="14"/>
    <x v="2"/>
    <x v="4"/>
  </r>
  <r>
    <x v="2"/>
    <x v="25"/>
    <x v="2"/>
    <x v="1"/>
    <x v="0"/>
    <x v="1"/>
    <x v="1"/>
    <n v="1"/>
    <x v="2"/>
    <x v="3"/>
    <n v="9"/>
    <x v="2"/>
    <x v="4"/>
  </r>
  <r>
    <x v="2"/>
    <x v="26"/>
    <x v="2"/>
    <x v="1"/>
    <x v="0"/>
    <x v="1"/>
    <x v="1"/>
    <n v="1"/>
    <x v="2"/>
    <x v="3"/>
    <n v="10"/>
    <x v="2"/>
    <x v="4"/>
  </r>
  <r>
    <x v="2"/>
    <x v="2"/>
    <x v="3"/>
    <x v="1"/>
    <x v="0"/>
    <x v="1"/>
    <x v="1"/>
    <n v="1"/>
    <x v="2"/>
    <x v="3"/>
    <n v="11"/>
    <x v="2"/>
    <x v="5"/>
  </r>
  <r>
    <x v="2"/>
    <x v="3"/>
    <x v="3"/>
    <x v="1"/>
    <x v="0"/>
    <x v="1"/>
    <x v="1"/>
    <n v="1"/>
    <x v="2"/>
    <x v="3"/>
    <n v="23"/>
    <x v="2"/>
    <x v="5"/>
  </r>
  <r>
    <x v="2"/>
    <x v="4"/>
    <x v="3"/>
    <x v="1"/>
    <x v="0"/>
    <x v="1"/>
    <x v="1"/>
    <n v="0.86842105263157898"/>
    <x v="2"/>
    <x v="3"/>
    <n v="38"/>
    <x v="2"/>
    <x v="5"/>
  </r>
  <r>
    <x v="2"/>
    <x v="5"/>
    <x v="3"/>
    <x v="1"/>
    <x v="0"/>
    <x v="1"/>
    <x v="1"/>
    <n v="1"/>
    <x v="2"/>
    <x v="3"/>
    <n v="11"/>
    <x v="2"/>
    <x v="5"/>
  </r>
  <r>
    <x v="2"/>
    <x v="6"/>
    <x v="3"/>
    <x v="1"/>
    <x v="0"/>
    <x v="1"/>
    <x v="1"/>
    <n v="1"/>
    <x v="2"/>
    <x v="3"/>
    <n v="43"/>
    <x v="2"/>
    <x v="5"/>
  </r>
  <r>
    <x v="2"/>
    <x v="7"/>
    <x v="3"/>
    <x v="1"/>
    <x v="0"/>
    <x v="1"/>
    <x v="1"/>
    <n v="1"/>
    <x v="2"/>
    <x v="3"/>
    <n v="8"/>
    <x v="2"/>
    <x v="5"/>
  </r>
  <r>
    <x v="2"/>
    <x v="8"/>
    <x v="3"/>
    <x v="1"/>
    <x v="0"/>
    <x v="1"/>
    <x v="1"/>
    <n v="0.72549019607843135"/>
    <x v="2"/>
    <x v="3"/>
    <n v="51"/>
    <x v="2"/>
    <x v="5"/>
  </r>
  <r>
    <x v="2"/>
    <x v="9"/>
    <x v="3"/>
    <x v="1"/>
    <x v="0"/>
    <x v="1"/>
    <x v="1"/>
    <n v="0.75"/>
    <x v="2"/>
    <x v="3"/>
    <n v="20"/>
    <x v="2"/>
    <x v="5"/>
  </r>
  <r>
    <x v="2"/>
    <x v="10"/>
    <x v="3"/>
    <x v="1"/>
    <x v="0"/>
    <x v="1"/>
    <x v="1"/>
    <n v="0.94444444444444442"/>
    <x v="2"/>
    <x v="3"/>
    <n v="18"/>
    <x v="2"/>
    <x v="5"/>
  </r>
  <r>
    <x v="2"/>
    <x v="11"/>
    <x v="3"/>
    <x v="1"/>
    <x v="0"/>
    <x v="1"/>
    <x v="1"/>
    <n v="1"/>
    <x v="2"/>
    <x v="3"/>
    <n v="24"/>
    <x v="2"/>
    <x v="5"/>
  </r>
  <r>
    <x v="2"/>
    <x v="12"/>
    <x v="3"/>
    <x v="1"/>
    <x v="0"/>
    <x v="1"/>
    <x v="1"/>
    <n v="0.77777777777777779"/>
    <x v="2"/>
    <x v="3"/>
    <n v="18"/>
    <x v="2"/>
    <x v="5"/>
  </r>
  <r>
    <x v="2"/>
    <x v="13"/>
    <x v="3"/>
    <x v="1"/>
    <x v="0"/>
    <x v="1"/>
    <x v="1"/>
    <n v="0"/>
    <x v="2"/>
    <x v="3"/>
    <n v="13"/>
    <x v="2"/>
    <x v="5"/>
  </r>
  <r>
    <x v="2"/>
    <x v="14"/>
    <x v="2"/>
    <x v="1"/>
    <x v="0"/>
    <x v="1"/>
    <x v="1"/>
    <n v="0.42307692307692307"/>
    <x v="2"/>
    <x v="3"/>
    <n v="26"/>
    <x v="2"/>
    <x v="4"/>
  </r>
  <r>
    <x v="2"/>
    <x v="15"/>
    <x v="2"/>
    <x v="1"/>
    <x v="0"/>
    <x v="1"/>
    <x v="1"/>
    <n v="0.92"/>
    <x v="2"/>
    <x v="3"/>
    <n v="25"/>
    <x v="2"/>
    <x v="4"/>
  </r>
  <r>
    <x v="2"/>
    <x v="16"/>
    <x v="2"/>
    <x v="1"/>
    <x v="0"/>
    <x v="1"/>
    <x v="1"/>
    <n v="1"/>
    <x v="2"/>
    <x v="3"/>
    <n v="26"/>
    <x v="2"/>
    <x v="4"/>
  </r>
  <r>
    <x v="2"/>
    <x v="17"/>
    <x v="2"/>
    <x v="1"/>
    <x v="0"/>
    <x v="1"/>
    <x v="1"/>
    <n v="1"/>
    <x v="2"/>
    <x v="3"/>
    <n v="42"/>
    <x v="2"/>
    <x v="4"/>
  </r>
  <r>
    <x v="2"/>
    <x v="18"/>
    <x v="2"/>
    <x v="1"/>
    <x v="0"/>
    <x v="1"/>
    <x v="1"/>
    <n v="1"/>
    <x v="2"/>
    <x v="3"/>
    <n v="40"/>
    <x v="2"/>
    <x v="4"/>
  </r>
  <r>
    <x v="2"/>
    <x v="20"/>
    <x v="2"/>
    <x v="1"/>
    <x v="8"/>
    <x v="1"/>
    <x v="1"/>
    <n v="1"/>
    <x v="2"/>
    <x v="3"/>
    <n v="1"/>
    <x v="0"/>
    <x v="4"/>
  </r>
  <r>
    <x v="2"/>
    <x v="21"/>
    <x v="2"/>
    <x v="1"/>
    <x v="8"/>
    <x v="1"/>
    <x v="1"/>
    <n v="0.55555555555555558"/>
    <x v="2"/>
    <x v="3"/>
    <n v="9"/>
    <x v="0"/>
    <x v="4"/>
  </r>
  <r>
    <x v="2"/>
    <x v="22"/>
    <x v="2"/>
    <x v="1"/>
    <x v="8"/>
    <x v="1"/>
    <x v="1"/>
    <n v="1"/>
    <x v="2"/>
    <x v="3"/>
    <n v="0"/>
    <x v="0"/>
    <x v="4"/>
  </r>
  <r>
    <x v="2"/>
    <x v="23"/>
    <x v="2"/>
    <x v="1"/>
    <x v="8"/>
    <x v="1"/>
    <x v="1"/>
    <n v="0.76470588235294112"/>
    <x v="2"/>
    <x v="3"/>
    <n v="17"/>
    <x v="0"/>
    <x v="4"/>
  </r>
  <r>
    <x v="2"/>
    <x v="24"/>
    <x v="2"/>
    <x v="1"/>
    <x v="8"/>
    <x v="1"/>
    <x v="1"/>
    <n v="0.55000000000000004"/>
    <x v="2"/>
    <x v="3"/>
    <n v="20"/>
    <x v="0"/>
    <x v="4"/>
  </r>
  <r>
    <x v="2"/>
    <x v="25"/>
    <x v="2"/>
    <x v="1"/>
    <x v="8"/>
    <x v="1"/>
    <x v="1"/>
    <n v="1"/>
    <x v="2"/>
    <x v="3"/>
    <n v="1"/>
    <x v="0"/>
    <x v="4"/>
  </r>
  <r>
    <x v="2"/>
    <x v="26"/>
    <x v="2"/>
    <x v="1"/>
    <x v="8"/>
    <x v="1"/>
    <x v="1"/>
    <n v="1"/>
    <x v="2"/>
    <x v="3"/>
    <n v="29"/>
    <x v="0"/>
    <x v="4"/>
  </r>
  <r>
    <x v="2"/>
    <x v="2"/>
    <x v="3"/>
    <x v="1"/>
    <x v="8"/>
    <x v="1"/>
    <x v="1"/>
    <n v="1"/>
    <x v="2"/>
    <x v="3"/>
    <n v="2"/>
    <x v="0"/>
    <x v="5"/>
  </r>
  <r>
    <x v="2"/>
    <x v="3"/>
    <x v="3"/>
    <x v="1"/>
    <x v="8"/>
    <x v="1"/>
    <x v="1"/>
    <n v="1"/>
    <x v="2"/>
    <x v="3"/>
    <n v="3"/>
    <x v="0"/>
    <x v="5"/>
  </r>
  <r>
    <x v="2"/>
    <x v="4"/>
    <x v="3"/>
    <x v="1"/>
    <x v="8"/>
    <x v="1"/>
    <x v="1"/>
    <n v="0.80555555555555558"/>
    <x v="2"/>
    <x v="3"/>
    <n v="36"/>
    <x v="0"/>
    <x v="5"/>
  </r>
  <r>
    <x v="2"/>
    <x v="5"/>
    <x v="3"/>
    <x v="1"/>
    <x v="8"/>
    <x v="1"/>
    <x v="1"/>
    <n v="0.66666666666666663"/>
    <x v="2"/>
    <x v="3"/>
    <n v="3"/>
    <x v="0"/>
    <x v="5"/>
  </r>
  <r>
    <x v="2"/>
    <x v="6"/>
    <x v="3"/>
    <x v="1"/>
    <x v="8"/>
    <x v="1"/>
    <x v="1"/>
    <n v="0.9375"/>
    <x v="2"/>
    <x v="3"/>
    <n v="16"/>
    <x v="0"/>
    <x v="5"/>
  </r>
  <r>
    <x v="2"/>
    <x v="7"/>
    <x v="3"/>
    <x v="1"/>
    <x v="8"/>
    <x v="1"/>
    <x v="1"/>
    <n v="1"/>
    <x v="2"/>
    <x v="3"/>
    <n v="4"/>
    <x v="0"/>
    <x v="5"/>
  </r>
  <r>
    <x v="2"/>
    <x v="8"/>
    <x v="3"/>
    <x v="1"/>
    <x v="8"/>
    <x v="1"/>
    <x v="1"/>
    <n v="1"/>
    <x v="2"/>
    <x v="3"/>
    <n v="15"/>
    <x v="0"/>
    <x v="5"/>
  </r>
  <r>
    <x v="2"/>
    <x v="9"/>
    <x v="3"/>
    <x v="1"/>
    <x v="8"/>
    <x v="1"/>
    <x v="1"/>
    <n v="1"/>
    <x v="2"/>
    <x v="3"/>
    <n v="19"/>
    <x v="0"/>
    <x v="5"/>
  </r>
  <r>
    <x v="2"/>
    <x v="10"/>
    <x v="3"/>
    <x v="1"/>
    <x v="8"/>
    <x v="1"/>
    <x v="1"/>
    <n v="1"/>
    <x v="2"/>
    <x v="3"/>
    <n v="8"/>
    <x v="0"/>
    <x v="5"/>
  </r>
  <r>
    <x v="2"/>
    <x v="11"/>
    <x v="3"/>
    <x v="1"/>
    <x v="8"/>
    <x v="1"/>
    <x v="1"/>
    <n v="1"/>
    <x v="2"/>
    <x v="3"/>
    <n v="10"/>
    <x v="0"/>
    <x v="5"/>
  </r>
  <r>
    <x v="2"/>
    <x v="12"/>
    <x v="3"/>
    <x v="1"/>
    <x v="8"/>
    <x v="1"/>
    <x v="1"/>
    <n v="0.94117647058823528"/>
    <x v="2"/>
    <x v="3"/>
    <n v="17"/>
    <x v="0"/>
    <x v="5"/>
  </r>
  <r>
    <x v="2"/>
    <x v="13"/>
    <x v="3"/>
    <x v="1"/>
    <x v="8"/>
    <x v="1"/>
    <x v="1"/>
    <n v="1"/>
    <x v="2"/>
    <x v="3"/>
    <n v="20"/>
    <x v="0"/>
    <x v="5"/>
  </r>
  <r>
    <x v="2"/>
    <x v="14"/>
    <x v="2"/>
    <x v="1"/>
    <x v="8"/>
    <x v="1"/>
    <x v="1"/>
    <n v="1"/>
    <x v="2"/>
    <x v="3"/>
    <n v="8"/>
    <x v="0"/>
    <x v="4"/>
  </r>
  <r>
    <x v="2"/>
    <x v="15"/>
    <x v="2"/>
    <x v="1"/>
    <x v="8"/>
    <x v="1"/>
    <x v="1"/>
    <n v="1"/>
    <x v="2"/>
    <x v="3"/>
    <n v="2"/>
    <x v="0"/>
    <x v="4"/>
  </r>
  <r>
    <x v="2"/>
    <x v="16"/>
    <x v="2"/>
    <x v="1"/>
    <x v="8"/>
    <x v="1"/>
    <x v="1"/>
    <n v="1"/>
    <x v="2"/>
    <x v="3"/>
    <n v="28"/>
    <x v="0"/>
    <x v="4"/>
  </r>
  <r>
    <x v="2"/>
    <x v="17"/>
    <x v="2"/>
    <x v="1"/>
    <x v="8"/>
    <x v="1"/>
    <x v="1"/>
    <n v="1"/>
    <x v="2"/>
    <x v="3"/>
    <n v="0"/>
    <x v="0"/>
    <x v="4"/>
  </r>
  <r>
    <x v="2"/>
    <x v="18"/>
    <x v="2"/>
    <x v="1"/>
    <x v="8"/>
    <x v="1"/>
    <x v="1"/>
    <n v="1"/>
    <x v="2"/>
    <x v="3"/>
    <n v="6"/>
    <x v="0"/>
    <x v="4"/>
  </r>
  <r>
    <x v="2"/>
    <x v="20"/>
    <x v="2"/>
    <x v="1"/>
    <x v="8"/>
    <x v="1"/>
    <x v="1"/>
    <n v="1"/>
    <x v="2"/>
    <x v="3"/>
    <n v="8"/>
    <x v="1"/>
    <x v="4"/>
  </r>
  <r>
    <x v="2"/>
    <x v="21"/>
    <x v="2"/>
    <x v="1"/>
    <x v="8"/>
    <x v="1"/>
    <x v="1"/>
    <n v="1"/>
    <x v="2"/>
    <x v="3"/>
    <n v="11"/>
    <x v="1"/>
    <x v="4"/>
  </r>
  <r>
    <x v="2"/>
    <x v="22"/>
    <x v="2"/>
    <x v="1"/>
    <x v="8"/>
    <x v="1"/>
    <x v="1"/>
    <n v="1"/>
    <x v="2"/>
    <x v="3"/>
    <n v="35"/>
    <x v="1"/>
    <x v="4"/>
  </r>
  <r>
    <x v="2"/>
    <x v="23"/>
    <x v="2"/>
    <x v="1"/>
    <x v="8"/>
    <x v="1"/>
    <x v="1"/>
    <n v="0.84210526315789469"/>
    <x v="2"/>
    <x v="3"/>
    <n v="19"/>
    <x v="1"/>
    <x v="4"/>
  </r>
  <r>
    <x v="2"/>
    <x v="24"/>
    <x v="2"/>
    <x v="1"/>
    <x v="8"/>
    <x v="1"/>
    <x v="1"/>
    <n v="1"/>
    <x v="2"/>
    <x v="3"/>
    <n v="8"/>
    <x v="1"/>
    <x v="4"/>
  </r>
  <r>
    <x v="2"/>
    <x v="25"/>
    <x v="2"/>
    <x v="1"/>
    <x v="8"/>
    <x v="1"/>
    <x v="1"/>
    <n v="0.96666666666666667"/>
    <x v="2"/>
    <x v="3"/>
    <n v="30"/>
    <x v="1"/>
    <x v="4"/>
  </r>
  <r>
    <x v="2"/>
    <x v="26"/>
    <x v="2"/>
    <x v="1"/>
    <x v="8"/>
    <x v="1"/>
    <x v="1"/>
    <n v="1"/>
    <x v="2"/>
    <x v="3"/>
    <n v="5"/>
    <x v="1"/>
    <x v="4"/>
  </r>
  <r>
    <x v="2"/>
    <x v="2"/>
    <x v="3"/>
    <x v="1"/>
    <x v="8"/>
    <x v="1"/>
    <x v="1"/>
    <n v="1"/>
    <x v="2"/>
    <x v="3"/>
    <n v="34"/>
    <x v="1"/>
    <x v="5"/>
  </r>
  <r>
    <x v="2"/>
    <x v="3"/>
    <x v="3"/>
    <x v="1"/>
    <x v="8"/>
    <x v="1"/>
    <x v="1"/>
    <n v="1"/>
    <x v="2"/>
    <x v="3"/>
    <n v="24"/>
    <x v="1"/>
    <x v="5"/>
  </r>
  <r>
    <x v="2"/>
    <x v="4"/>
    <x v="3"/>
    <x v="1"/>
    <x v="8"/>
    <x v="1"/>
    <x v="1"/>
    <n v="1"/>
    <x v="2"/>
    <x v="3"/>
    <n v="18"/>
    <x v="1"/>
    <x v="5"/>
  </r>
  <r>
    <x v="2"/>
    <x v="5"/>
    <x v="3"/>
    <x v="1"/>
    <x v="8"/>
    <x v="1"/>
    <x v="1"/>
    <n v="1"/>
    <x v="2"/>
    <x v="3"/>
    <n v="16"/>
    <x v="1"/>
    <x v="5"/>
  </r>
  <r>
    <x v="2"/>
    <x v="6"/>
    <x v="3"/>
    <x v="1"/>
    <x v="8"/>
    <x v="1"/>
    <x v="1"/>
    <n v="0.91111111111111109"/>
    <x v="2"/>
    <x v="3"/>
    <n v="45"/>
    <x v="1"/>
    <x v="5"/>
  </r>
  <r>
    <x v="2"/>
    <x v="7"/>
    <x v="3"/>
    <x v="1"/>
    <x v="8"/>
    <x v="1"/>
    <x v="1"/>
    <n v="0.9375"/>
    <x v="2"/>
    <x v="3"/>
    <n v="16"/>
    <x v="1"/>
    <x v="5"/>
  </r>
  <r>
    <x v="2"/>
    <x v="8"/>
    <x v="3"/>
    <x v="1"/>
    <x v="8"/>
    <x v="1"/>
    <x v="1"/>
    <n v="0.91428571428571426"/>
    <x v="2"/>
    <x v="3"/>
    <n v="35"/>
    <x v="1"/>
    <x v="5"/>
  </r>
  <r>
    <x v="2"/>
    <x v="9"/>
    <x v="3"/>
    <x v="1"/>
    <x v="8"/>
    <x v="1"/>
    <x v="1"/>
    <n v="1"/>
    <x v="2"/>
    <x v="3"/>
    <n v="18"/>
    <x v="1"/>
    <x v="5"/>
  </r>
  <r>
    <x v="2"/>
    <x v="10"/>
    <x v="3"/>
    <x v="1"/>
    <x v="8"/>
    <x v="1"/>
    <x v="1"/>
    <n v="1"/>
    <x v="2"/>
    <x v="3"/>
    <n v="23"/>
    <x v="1"/>
    <x v="5"/>
  </r>
  <r>
    <x v="2"/>
    <x v="11"/>
    <x v="3"/>
    <x v="1"/>
    <x v="8"/>
    <x v="1"/>
    <x v="1"/>
    <n v="1"/>
    <x v="2"/>
    <x v="3"/>
    <n v="56"/>
    <x v="1"/>
    <x v="5"/>
  </r>
  <r>
    <x v="2"/>
    <x v="12"/>
    <x v="3"/>
    <x v="1"/>
    <x v="8"/>
    <x v="1"/>
    <x v="1"/>
    <n v="1"/>
    <x v="2"/>
    <x v="3"/>
    <n v="23"/>
    <x v="1"/>
    <x v="5"/>
  </r>
  <r>
    <x v="2"/>
    <x v="13"/>
    <x v="3"/>
    <x v="1"/>
    <x v="8"/>
    <x v="1"/>
    <x v="1"/>
    <n v="1"/>
    <x v="2"/>
    <x v="3"/>
    <n v="26"/>
    <x v="1"/>
    <x v="5"/>
  </r>
  <r>
    <x v="2"/>
    <x v="14"/>
    <x v="2"/>
    <x v="1"/>
    <x v="8"/>
    <x v="1"/>
    <x v="1"/>
    <n v="0.90909090909090906"/>
    <x v="2"/>
    <x v="3"/>
    <n v="22"/>
    <x v="1"/>
    <x v="4"/>
  </r>
  <r>
    <x v="2"/>
    <x v="15"/>
    <x v="2"/>
    <x v="1"/>
    <x v="8"/>
    <x v="1"/>
    <x v="1"/>
    <n v="1"/>
    <x v="2"/>
    <x v="3"/>
    <n v="6"/>
    <x v="1"/>
    <x v="4"/>
  </r>
  <r>
    <x v="2"/>
    <x v="16"/>
    <x v="2"/>
    <x v="1"/>
    <x v="8"/>
    <x v="1"/>
    <x v="1"/>
    <n v="0.8"/>
    <x v="2"/>
    <x v="3"/>
    <n v="25"/>
    <x v="1"/>
    <x v="4"/>
  </r>
  <r>
    <x v="2"/>
    <x v="17"/>
    <x v="2"/>
    <x v="1"/>
    <x v="8"/>
    <x v="1"/>
    <x v="1"/>
    <n v="1"/>
    <x v="2"/>
    <x v="3"/>
    <n v="0"/>
    <x v="1"/>
    <x v="4"/>
  </r>
  <r>
    <x v="2"/>
    <x v="18"/>
    <x v="2"/>
    <x v="1"/>
    <x v="8"/>
    <x v="1"/>
    <x v="1"/>
    <n v="1"/>
    <x v="2"/>
    <x v="3"/>
    <n v="17"/>
    <x v="1"/>
    <x v="4"/>
  </r>
  <r>
    <x v="2"/>
    <x v="20"/>
    <x v="2"/>
    <x v="1"/>
    <x v="8"/>
    <x v="1"/>
    <x v="1"/>
    <n v="1"/>
    <x v="2"/>
    <x v="3"/>
    <n v="20"/>
    <x v="2"/>
    <x v="4"/>
  </r>
  <r>
    <x v="2"/>
    <x v="21"/>
    <x v="2"/>
    <x v="1"/>
    <x v="8"/>
    <x v="1"/>
    <x v="1"/>
    <n v="1"/>
    <x v="2"/>
    <x v="3"/>
    <n v="11"/>
    <x v="2"/>
    <x v="4"/>
  </r>
  <r>
    <x v="2"/>
    <x v="22"/>
    <x v="2"/>
    <x v="1"/>
    <x v="8"/>
    <x v="1"/>
    <x v="1"/>
    <n v="0.97777777777777775"/>
    <x v="2"/>
    <x v="3"/>
    <n v="45"/>
    <x v="2"/>
    <x v="4"/>
  </r>
  <r>
    <x v="2"/>
    <x v="23"/>
    <x v="2"/>
    <x v="1"/>
    <x v="8"/>
    <x v="1"/>
    <x v="1"/>
    <n v="0.66666666666666663"/>
    <x v="2"/>
    <x v="3"/>
    <n v="9"/>
    <x v="2"/>
    <x v="4"/>
  </r>
  <r>
    <x v="2"/>
    <x v="24"/>
    <x v="2"/>
    <x v="1"/>
    <x v="8"/>
    <x v="1"/>
    <x v="1"/>
    <n v="1"/>
    <x v="2"/>
    <x v="3"/>
    <n v="14"/>
    <x v="2"/>
    <x v="4"/>
  </r>
  <r>
    <x v="2"/>
    <x v="25"/>
    <x v="2"/>
    <x v="1"/>
    <x v="8"/>
    <x v="1"/>
    <x v="1"/>
    <n v="1"/>
    <x v="2"/>
    <x v="3"/>
    <n v="9"/>
    <x v="2"/>
    <x v="4"/>
  </r>
  <r>
    <x v="2"/>
    <x v="26"/>
    <x v="2"/>
    <x v="1"/>
    <x v="8"/>
    <x v="1"/>
    <x v="1"/>
    <n v="1"/>
    <x v="2"/>
    <x v="3"/>
    <n v="10"/>
    <x v="2"/>
    <x v="4"/>
  </r>
  <r>
    <x v="2"/>
    <x v="2"/>
    <x v="3"/>
    <x v="1"/>
    <x v="8"/>
    <x v="1"/>
    <x v="1"/>
    <n v="1"/>
    <x v="2"/>
    <x v="3"/>
    <n v="11"/>
    <x v="2"/>
    <x v="5"/>
  </r>
  <r>
    <x v="2"/>
    <x v="3"/>
    <x v="3"/>
    <x v="1"/>
    <x v="8"/>
    <x v="1"/>
    <x v="1"/>
    <n v="1"/>
    <x v="2"/>
    <x v="3"/>
    <n v="23"/>
    <x v="2"/>
    <x v="5"/>
  </r>
  <r>
    <x v="2"/>
    <x v="4"/>
    <x v="3"/>
    <x v="1"/>
    <x v="8"/>
    <x v="1"/>
    <x v="1"/>
    <n v="0.89473684210526316"/>
    <x v="2"/>
    <x v="3"/>
    <n v="38"/>
    <x v="2"/>
    <x v="5"/>
  </r>
  <r>
    <x v="2"/>
    <x v="5"/>
    <x v="3"/>
    <x v="1"/>
    <x v="8"/>
    <x v="1"/>
    <x v="1"/>
    <n v="1"/>
    <x v="2"/>
    <x v="3"/>
    <n v="11"/>
    <x v="2"/>
    <x v="5"/>
  </r>
  <r>
    <x v="2"/>
    <x v="6"/>
    <x v="3"/>
    <x v="1"/>
    <x v="8"/>
    <x v="1"/>
    <x v="1"/>
    <n v="1"/>
    <x v="2"/>
    <x v="3"/>
    <n v="43"/>
    <x v="2"/>
    <x v="5"/>
  </r>
  <r>
    <x v="2"/>
    <x v="7"/>
    <x v="3"/>
    <x v="1"/>
    <x v="8"/>
    <x v="1"/>
    <x v="1"/>
    <n v="1"/>
    <x v="2"/>
    <x v="3"/>
    <n v="8"/>
    <x v="2"/>
    <x v="5"/>
  </r>
  <r>
    <x v="2"/>
    <x v="8"/>
    <x v="3"/>
    <x v="1"/>
    <x v="8"/>
    <x v="1"/>
    <x v="1"/>
    <n v="0.90196078431372551"/>
    <x v="2"/>
    <x v="3"/>
    <n v="51"/>
    <x v="2"/>
    <x v="5"/>
  </r>
  <r>
    <x v="2"/>
    <x v="9"/>
    <x v="3"/>
    <x v="1"/>
    <x v="8"/>
    <x v="1"/>
    <x v="1"/>
    <n v="0.75"/>
    <x v="2"/>
    <x v="3"/>
    <n v="20"/>
    <x v="2"/>
    <x v="5"/>
  </r>
  <r>
    <x v="2"/>
    <x v="10"/>
    <x v="3"/>
    <x v="1"/>
    <x v="8"/>
    <x v="1"/>
    <x v="1"/>
    <n v="1"/>
    <x v="2"/>
    <x v="3"/>
    <n v="18"/>
    <x v="2"/>
    <x v="5"/>
  </r>
  <r>
    <x v="2"/>
    <x v="11"/>
    <x v="3"/>
    <x v="1"/>
    <x v="8"/>
    <x v="1"/>
    <x v="1"/>
    <n v="1"/>
    <x v="2"/>
    <x v="3"/>
    <n v="24"/>
    <x v="2"/>
    <x v="5"/>
  </r>
  <r>
    <x v="2"/>
    <x v="12"/>
    <x v="3"/>
    <x v="1"/>
    <x v="8"/>
    <x v="1"/>
    <x v="1"/>
    <n v="0.77777777777777779"/>
    <x v="2"/>
    <x v="3"/>
    <n v="18"/>
    <x v="2"/>
    <x v="5"/>
  </r>
  <r>
    <x v="2"/>
    <x v="13"/>
    <x v="3"/>
    <x v="1"/>
    <x v="8"/>
    <x v="1"/>
    <x v="1"/>
    <n v="0"/>
    <x v="2"/>
    <x v="3"/>
    <n v="13"/>
    <x v="2"/>
    <x v="5"/>
  </r>
  <r>
    <x v="2"/>
    <x v="14"/>
    <x v="2"/>
    <x v="1"/>
    <x v="8"/>
    <x v="1"/>
    <x v="1"/>
    <n v="0.42307692307692307"/>
    <x v="2"/>
    <x v="3"/>
    <n v="26"/>
    <x v="2"/>
    <x v="4"/>
  </r>
  <r>
    <x v="2"/>
    <x v="15"/>
    <x v="2"/>
    <x v="1"/>
    <x v="8"/>
    <x v="1"/>
    <x v="1"/>
    <n v="0.92"/>
    <x v="2"/>
    <x v="3"/>
    <n v="25"/>
    <x v="2"/>
    <x v="4"/>
  </r>
  <r>
    <x v="2"/>
    <x v="16"/>
    <x v="2"/>
    <x v="1"/>
    <x v="8"/>
    <x v="1"/>
    <x v="1"/>
    <n v="1"/>
    <x v="2"/>
    <x v="3"/>
    <n v="26"/>
    <x v="2"/>
    <x v="4"/>
  </r>
  <r>
    <x v="2"/>
    <x v="17"/>
    <x v="2"/>
    <x v="1"/>
    <x v="8"/>
    <x v="1"/>
    <x v="1"/>
    <n v="1"/>
    <x v="2"/>
    <x v="3"/>
    <n v="42"/>
    <x v="2"/>
    <x v="4"/>
  </r>
  <r>
    <x v="2"/>
    <x v="18"/>
    <x v="2"/>
    <x v="1"/>
    <x v="8"/>
    <x v="1"/>
    <x v="1"/>
    <n v="1"/>
    <x v="2"/>
    <x v="3"/>
    <n v="40"/>
    <x v="2"/>
    <x v="4"/>
  </r>
  <r>
    <x v="2"/>
    <x v="20"/>
    <x v="2"/>
    <x v="1"/>
    <x v="9"/>
    <x v="1"/>
    <x v="1"/>
    <n v="0"/>
    <x v="2"/>
    <x v="3"/>
    <n v="2"/>
    <x v="0"/>
    <x v="4"/>
  </r>
  <r>
    <x v="2"/>
    <x v="21"/>
    <x v="2"/>
    <x v="1"/>
    <x v="9"/>
    <x v="1"/>
    <x v="1"/>
    <n v="0"/>
    <x v="2"/>
    <x v="3"/>
    <n v="8"/>
    <x v="0"/>
    <x v="4"/>
  </r>
  <r>
    <x v="2"/>
    <x v="22"/>
    <x v="2"/>
    <x v="1"/>
    <x v="9"/>
    <x v="1"/>
    <x v="1"/>
    <n v="1"/>
    <x v="2"/>
    <x v="3"/>
    <n v="9"/>
    <x v="0"/>
    <x v="4"/>
  </r>
  <r>
    <x v="2"/>
    <x v="23"/>
    <x v="2"/>
    <x v="1"/>
    <x v="9"/>
    <x v="1"/>
    <x v="1"/>
    <n v="0.04"/>
    <x v="2"/>
    <x v="3"/>
    <n v="25"/>
    <x v="0"/>
    <x v="4"/>
  </r>
  <r>
    <x v="2"/>
    <x v="24"/>
    <x v="2"/>
    <x v="1"/>
    <x v="9"/>
    <x v="1"/>
    <x v="1"/>
    <n v="0"/>
    <x v="2"/>
    <x v="3"/>
    <n v="3"/>
    <x v="0"/>
    <x v="4"/>
  </r>
  <r>
    <x v="2"/>
    <x v="25"/>
    <x v="2"/>
    <x v="1"/>
    <x v="9"/>
    <x v="1"/>
    <x v="1"/>
    <n v="1"/>
    <x v="2"/>
    <x v="3"/>
    <n v="10"/>
    <x v="0"/>
    <x v="4"/>
  </r>
  <r>
    <x v="2"/>
    <x v="26"/>
    <x v="2"/>
    <x v="1"/>
    <x v="9"/>
    <x v="1"/>
    <x v="1"/>
    <n v="0.52173913043478259"/>
    <x v="2"/>
    <x v="3"/>
    <n v="23"/>
    <x v="0"/>
    <x v="4"/>
  </r>
  <r>
    <x v="2"/>
    <x v="2"/>
    <x v="3"/>
    <x v="1"/>
    <x v="9"/>
    <x v="1"/>
    <x v="1"/>
    <n v="1"/>
    <x v="2"/>
    <x v="3"/>
    <n v="0"/>
    <x v="0"/>
    <x v="5"/>
  </r>
  <r>
    <x v="2"/>
    <x v="3"/>
    <x v="3"/>
    <x v="1"/>
    <x v="9"/>
    <x v="1"/>
    <x v="1"/>
    <n v="0.76923076923076927"/>
    <x v="2"/>
    <x v="3"/>
    <n v="13"/>
    <x v="0"/>
    <x v="5"/>
  </r>
  <r>
    <x v="2"/>
    <x v="4"/>
    <x v="3"/>
    <x v="1"/>
    <x v="9"/>
    <x v="1"/>
    <x v="1"/>
    <n v="0.18518518518518517"/>
    <x v="2"/>
    <x v="3"/>
    <n v="27"/>
    <x v="0"/>
    <x v="5"/>
  </r>
  <r>
    <x v="2"/>
    <x v="5"/>
    <x v="3"/>
    <x v="1"/>
    <x v="9"/>
    <x v="1"/>
    <x v="1"/>
    <n v="0.33333333333333331"/>
    <x v="2"/>
    <x v="3"/>
    <n v="3"/>
    <x v="0"/>
    <x v="5"/>
  </r>
  <r>
    <x v="2"/>
    <x v="6"/>
    <x v="3"/>
    <x v="1"/>
    <x v="9"/>
    <x v="1"/>
    <x v="1"/>
    <n v="0.90909090909090906"/>
    <x v="2"/>
    <x v="3"/>
    <n v="22"/>
    <x v="0"/>
    <x v="5"/>
  </r>
  <r>
    <x v="2"/>
    <x v="7"/>
    <x v="3"/>
    <x v="1"/>
    <x v="9"/>
    <x v="1"/>
    <x v="1"/>
    <n v="0.75"/>
    <x v="2"/>
    <x v="3"/>
    <n v="4"/>
    <x v="0"/>
    <x v="5"/>
  </r>
  <r>
    <x v="2"/>
    <x v="8"/>
    <x v="3"/>
    <x v="1"/>
    <x v="9"/>
    <x v="1"/>
    <x v="1"/>
    <n v="0.83333333333333337"/>
    <x v="2"/>
    <x v="3"/>
    <n v="24"/>
    <x v="0"/>
    <x v="5"/>
  </r>
  <r>
    <x v="2"/>
    <x v="9"/>
    <x v="3"/>
    <x v="1"/>
    <x v="9"/>
    <x v="1"/>
    <x v="1"/>
    <n v="1"/>
    <x v="2"/>
    <x v="3"/>
    <n v="4"/>
    <x v="0"/>
    <x v="5"/>
  </r>
  <r>
    <x v="2"/>
    <x v="10"/>
    <x v="3"/>
    <x v="1"/>
    <x v="9"/>
    <x v="1"/>
    <x v="1"/>
    <n v="1"/>
    <x v="2"/>
    <x v="3"/>
    <n v="6"/>
    <x v="0"/>
    <x v="5"/>
  </r>
  <r>
    <x v="2"/>
    <x v="11"/>
    <x v="3"/>
    <x v="1"/>
    <x v="9"/>
    <x v="1"/>
    <x v="1"/>
    <n v="0.9285714285714286"/>
    <x v="2"/>
    <x v="3"/>
    <n v="14"/>
    <x v="0"/>
    <x v="5"/>
  </r>
  <r>
    <x v="2"/>
    <x v="12"/>
    <x v="3"/>
    <x v="1"/>
    <x v="9"/>
    <x v="1"/>
    <x v="1"/>
    <n v="1"/>
    <x v="2"/>
    <x v="3"/>
    <n v="21"/>
    <x v="0"/>
    <x v="5"/>
  </r>
  <r>
    <x v="2"/>
    <x v="13"/>
    <x v="3"/>
    <x v="1"/>
    <x v="9"/>
    <x v="1"/>
    <x v="1"/>
    <n v="1"/>
    <x v="2"/>
    <x v="3"/>
    <n v="12"/>
    <x v="0"/>
    <x v="5"/>
  </r>
  <r>
    <x v="2"/>
    <x v="14"/>
    <x v="2"/>
    <x v="1"/>
    <x v="9"/>
    <x v="1"/>
    <x v="1"/>
    <n v="0.9"/>
    <x v="2"/>
    <x v="3"/>
    <n v="10"/>
    <x v="0"/>
    <x v="4"/>
  </r>
  <r>
    <x v="2"/>
    <x v="15"/>
    <x v="2"/>
    <x v="1"/>
    <x v="9"/>
    <x v="1"/>
    <x v="1"/>
    <n v="1"/>
    <x v="2"/>
    <x v="3"/>
    <n v="4"/>
    <x v="0"/>
    <x v="4"/>
  </r>
  <r>
    <x v="2"/>
    <x v="16"/>
    <x v="2"/>
    <x v="1"/>
    <x v="9"/>
    <x v="1"/>
    <x v="1"/>
    <n v="0.95833333333333337"/>
    <x v="2"/>
    <x v="3"/>
    <n v="24"/>
    <x v="0"/>
    <x v="4"/>
  </r>
  <r>
    <x v="2"/>
    <x v="17"/>
    <x v="2"/>
    <x v="1"/>
    <x v="9"/>
    <x v="1"/>
    <x v="1"/>
    <n v="1"/>
    <x v="2"/>
    <x v="3"/>
    <n v="0"/>
    <x v="0"/>
    <x v="4"/>
  </r>
  <r>
    <x v="2"/>
    <x v="18"/>
    <x v="2"/>
    <x v="1"/>
    <x v="9"/>
    <x v="1"/>
    <x v="1"/>
    <n v="0.69230769230769229"/>
    <x v="2"/>
    <x v="3"/>
    <n v="13"/>
    <x v="0"/>
    <x v="4"/>
  </r>
  <r>
    <x v="2"/>
    <x v="20"/>
    <x v="2"/>
    <x v="1"/>
    <x v="9"/>
    <x v="1"/>
    <x v="1"/>
    <n v="0.9"/>
    <x v="2"/>
    <x v="3"/>
    <n v="10"/>
    <x v="1"/>
    <x v="4"/>
  </r>
  <r>
    <x v="2"/>
    <x v="21"/>
    <x v="2"/>
    <x v="1"/>
    <x v="9"/>
    <x v="1"/>
    <x v="1"/>
    <n v="1"/>
    <x v="2"/>
    <x v="3"/>
    <n v="13"/>
    <x v="1"/>
    <x v="4"/>
  </r>
  <r>
    <x v="2"/>
    <x v="22"/>
    <x v="2"/>
    <x v="1"/>
    <x v="9"/>
    <x v="1"/>
    <x v="1"/>
    <n v="0.97872340425531912"/>
    <x v="2"/>
    <x v="3"/>
    <n v="47"/>
    <x v="1"/>
    <x v="4"/>
  </r>
  <r>
    <x v="2"/>
    <x v="23"/>
    <x v="2"/>
    <x v="1"/>
    <x v="9"/>
    <x v="1"/>
    <x v="1"/>
    <n v="1"/>
    <x v="2"/>
    <x v="3"/>
    <n v="2"/>
    <x v="1"/>
    <x v="4"/>
  </r>
  <r>
    <x v="2"/>
    <x v="24"/>
    <x v="2"/>
    <x v="1"/>
    <x v="9"/>
    <x v="1"/>
    <x v="1"/>
    <n v="1"/>
    <x v="2"/>
    <x v="3"/>
    <n v="15"/>
    <x v="1"/>
    <x v="4"/>
  </r>
  <r>
    <x v="2"/>
    <x v="25"/>
    <x v="2"/>
    <x v="1"/>
    <x v="9"/>
    <x v="1"/>
    <x v="1"/>
    <n v="1"/>
    <x v="2"/>
    <x v="3"/>
    <n v="23"/>
    <x v="1"/>
    <x v="4"/>
  </r>
  <r>
    <x v="2"/>
    <x v="26"/>
    <x v="2"/>
    <x v="1"/>
    <x v="9"/>
    <x v="1"/>
    <x v="1"/>
    <n v="1"/>
    <x v="2"/>
    <x v="3"/>
    <n v="1"/>
    <x v="1"/>
    <x v="4"/>
  </r>
  <r>
    <x v="2"/>
    <x v="2"/>
    <x v="3"/>
    <x v="1"/>
    <x v="9"/>
    <x v="1"/>
    <x v="1"/>
    <n v="0.98"/>
    <x v="2"/>
    <x v="3"/>
    <n v="50"/>
    <x v="1"/>
    <x v="5"/>
  </r>
  <r>
    <x v="2"/>
    <x v="3"/>
    <x v="3"/>
    <x v="1"/>
    <x v="9"/>
    <x v="1"/>
    <x v="1"/>
    <n v="1"/>
    <x v="2"/>
    <x v="3"/>
    <n v="16"/>
    <x v="1"/>
    <x v="5"/>
  </r>
  <r>
    <x v="2"/>
    <x v="4"/>
    <x v="3"/>
    <x v="1"/>
    <x v="9"/>
    <x v="1"/>
    <x v="1"/>
    <n v="1"/>
    <x v="2"/>
    <x v="3"/>
    <n v="17"/>
    <x v="1"/>
    <x v="5"/>
  </r>
  <r>
    <x v="2"/>
    <x v="5"/>
    <x v="3"/>
    <x v="1"/>
    <x v="9"/>
    <x v="1"/>
    <x v="1"/>
    <n v="1"/>
    <x v="2"/>
    <x v="3"/>
    <n v="39"/>
    <x v="1"/>
    <x v="5"/>
  </r>
  <r>
    <x v="2"/>
    <x v="6"/>
    <x v="3"/>
    <x v="1"/>
    <x v="9"/>
    <x v="1"/>
    <x v="1"/>
    <n v="1"/>
    <x v="2"/>
    <x v="3"/>
    <n v="19"/>
    <x v="1"/>
    <x v="5"/>
  </r>
  <r>
    <x v="2"/>
    <x v="7"/>
    <x v="3"/>
    <x v="1"/>
    <x v="9"/>
    <x v="1"/>
    <x v="1"/>
    <n v="0.83333333333333337"/>
    <x v="2"/>
    <x v="3"/>
    <n v="36"/>
    <x v="1"/>
    <x v="5"/>
  </r>
  <r>
    <x v="2"/>
    <x v="8"/>
    <x v="3"/>
    <x v="1"/>
    <x v="9"/>
    <x v="1"/>
    <x v="1"/>
    <n v="1"/>
    <x v="2"/>
    <x v="3"/>
    <n v="21"/>
    <x v="1"/>
    <x v="5"/>
  </r>
  <r>
    <x v="2"/>
    <x v="9"/>
    <x v="3"/>
    <x v="1"/>
    <x v="9"/>
    <x v="1"/>
    <x v="1"/>
    <n v="1"/>
    <x v="2"/>
    <x v="3"/>
    <n v="8"/>
    <x v="1"/>
    <x v="5"/>
  </r>
  <r>
    <x v="2"/>
    <x v="10"/>
    <x v="3"/>
    <x v="1"/>
    <x v="9"/>
    <x v="1"/>
    <x v="1"/>
    <n v="1"/>
    <x v="2"/>
    <x v="3"/>
    <n v="43"/>
    <x v="1"/>
    <x v="5"/>
  </r>
  <r>
    <x v="2"/>
    <x v="11"/>
    <x v="3"/>
    <x v="1"/>
    <x v="9"/>
    <x v="1"/>
    <x v="1"/>
    <n v="0.81132075471698117"/>
    <x v="2"/>
    <x v="3"/>
    <n v="53"/>
    <x v="1"/>
    <x v="5"/>
  </r>
  <r>
    <x v="2"/>
    <x v="12"/>
    <x v="3"/>
    <x v="1"/>
    <x v="9"/>
    <x v="1"/>
    <x v="1"/>
    <n v="1"/>
    <x v="2"/>
    <x v="3"/>
    <n v="8"/>
    <x v="1"/>
    <x v="5"/>
  </r>
  <r>
    <x v="2"/>
    <x v="13"/>
    <x v="3"/>
    <x v="1"/>
    <x v="9"/>
    <x v="1"/>
    <x v="1"/>
    <n v="0.97777777777777775"/>
    <x v="2"/>
    <x v="3"/>
    <n v="45"/>
    <x v="1"/>
    <x v="5"/>
  </r>
  <r>
    <x v="2"/>
    <x v="14"/>
    <x v="2"/>
    <x v="1"/>
    <x v="9"/>
    <x v="1"/>
    <x v="1"/>
    <n v="1"/>
    <x v="2"/>
    <x v="3"/>
    <n v="1"/>
    <x v="1"/>
    <x v="4"/>
  </r>
  <r>
    <x v="2"/>
    <x v="15"/>
    <x v="2"/>
    <x v="1"/>
    <x v="9"/>
    <x v="1"/>
    <x v="1"/>
    <n v="0.69230769230769229"/>
    <x v="2"/>
    <x v="3"/>
    <n v="13"/>
    <x v="1"/>
    <x v="4"/>
  </r>
  <r>
    <x v="2"/>
    <x v="16"/>
    <x v="2"/>
    <x v="1"/>
    <x v="9"/>
    <x v="1"/>
    <x v="1"/>
    <n v="0.33333333333333331"/>
    <x v="2"/>
    <x v="3"/>
    <n v="18"/>
    <x v="1"/>
    <x v="4"/>
  </r>
  <r>
    <x v="2"/>
    <x v="17"/>
    <x v="2"/>
    <x v="1"/>
    <x v="9"/>
    <x v="1"/>
    <x v="1"/>
    <n v="1"/>
    <x v="2"/>
    <x v="3"/>
    <n v="0"/>
    <x v="1"/>
    <x v="4"/>
  </r>
  <r>
    <x v="2"/>
    <x v="18"/>
    <x v="2"/>
    <x v="1"/>
    <x v="9"/>
    <x v="1"/>
    <x v="1"/>
    <n v="0.5714285714285714"/>
    <x v="2"/>
    <x v="3"/>
    <n v="21"/>
    <x v="1"/>
    <x v="4"/>
  </r>
  <r>
    <x v="2"/>
    <x v="20"/>
    <x v="2"/>
    <x v="1"/>
    <x v="9"/>
    <x v="1"/>
    <x v="1"/>
    <n v="0.94736842105263153"/>
    <x v="2"/>
    <x v="3"/>
    <n v="19"/>
    <x v="2"/>
    <x v="4"/>
  </r>
  <r>
    <x v="2"/>
    <x v="21"/>
    <x v="2"/>
    <x v="1"/>
    <x v="9"/>
    <x v="1"/>
    <x v="1"/>
    <n v="1"/>
    <x v="2"/>
    <x v="3"/>
    <n v="26"/>
    <x v="2"/>
    <x v="4"/>
  </r>
  <r>
    <x v="2"/>
    <x v="22"/>
    <x v="2"/>
    <x v="1"/>
    <x v="9"/>
    <x v="1"/>
    <x v="1"/>
    <n v="1"/>
    <x v="2"/>
    <x v="3"/>
    <n v="30"/>
    <x v="2"/>
    <x v="4"/>
  </r>
  <r>
    <x v="2"/>
    <x v="23"/>
    <x v="2"/>
    <x v="1"/>
    <x v="9"/>
    <x v="1"/>
    <x v="1"/>
    <n v="1"/>
    <x v="2"/>
    <x v="3"/>
    <n v="8"/>
    <x v="2"/>
    <x v="4"/>
  </r>
  <r>
    <x v="2"/>
    <x v="24"/>
    <x v="2"/>
    <x v="1"/>
    <x v="9"/>
    <x v="1"/>
    <x v="1"/>
    <n v="1"/>
    <x v="2"/>
    <x v="3"/>
    <n v="8"/>
    <x v="2"/>
    <x v="4"/>
  </r>
  <r>
    <x v="2"/>
    <x v="25"/>
    <x v="2"/>
    <x v="1"/>
    <x v="9"/>
    <x v="1"/>
    <x v="1"/>
    <n v="1"/>
    <x v="2"/>
    <x v="3"/>
    <n v="11"/>
    <x v="2"/>
    <x v="4"/>
  </r>
  <r>
    <x v="2"/>
    <x v="26"/>
    <x v="2"/>
    <x v="1"/>
    <x v="9"/>
    <x v="1"/>
    <x v="1"/>
    <n v="1"/>
    <x v="2"/>
    <x v="3"/>
    <n v="8"/>
    <x v="2"/>
    <x v="4"/>
  </r>
  <r>
    <x v="2"/>
    <x v="2"/>
    <x v="3"/>
    <x v="1"/>
    <x v="9"/>
    <x v="1"/>
    <x v="1"/>
    <n v="0.96666666666666667"/>
    <x v="2"/>
    <x v="3"/>
    <n v="30"/>
    <x v="2"/>
    <x v="5"/>
  </r>
  <r>
    <x v="2"/>
    <x v="3"/>
    <x v="3"/>
    <x v="1"/>
    <x v="9"/>
    <x v="1"/>
    <x v="1"/>
    <n v="0.89473684210526316"/>
    <x v="2"/>
    <x v="3"/>
    <n v="38"/>
    <x v="2"/>
    <x v="5"/>
  </r>
  <r>
    <x v="2"/>
    <x v="4"/>
    <x v="3"/>
    <x v="1"/>
    <x v="9"/>
    <x v="1"/>
    <x v="1"/>
    <n v="1"/>
    <x v="2"/>
    <x v="3"/>
    <n v="8"/>
    <x v="2"/>
    <x v="5"/>
  </r>
  <r>
    <x v="2"/>
    <x v="5"/>
    <x v="3"/>
    <x v="1"/>
    <x v="9"/>
    <x v="1"/>
    <x v="1"/>
    <n v="1"/>
    <x v="2"/>
    <x v="3"/>
    <n v="26"/>
    <x v="2"/>
    <x v="5"/>
  </r>
  <r>
    <x v="2"/>
    <x v="6"/>
    <x v="3"/>
    <x v="1"/>
    <x v="9"/>
    <x v="1"/>
    <x v="1"/>
    <n v="0.64"/>
    <x v="2"/>
    <x v="3"/>
    <n v="50"/>
    <x v="2"/>
    <x v="5"/>
  </r>
  <r>
    <x v="2"/>
    <x v="7"/>
    <x v="3"/>
    <x v="1"/>
    <x v="9"/>
    <x v="1"/>
    <x v="1"/>
    <n v="0.92592592592592593"/>
    <x v="2"/>
    <x v="3"/>
    <n v="27"/>
    <x v="2"/>
    <x v="5"/>
  </r>
  <r>
    <x v="2"/>
    <x v="8"/>
    <x v="3"/>
    <x v="1"/>
    <x v="9"/>
    <x v="1"/>
    <x v="1"/>
    <n v="1"/>
    <x v="2"/>
    <x v="3"/>
    <n v="24"/>
    <x v="2"/>
    <x v="5"/>
  </r>
  <r>
    <x v="2"/>
    <x v="9"/>
    <x v="3"/>
    <x v="1"/>
    <x v="9"/>
    <x v="1"/>
    <x v="1"/>
    <n v="1"/>
    <x v="2"/>
    <x v="3"/>
    <n v="19"/>
    <x v="2"/>
    <x v="5"/>
  </r>
  <r>
    <x v="2"/>
    <x v="10"/>
    <x v="3"/>
    <x v="1"/>
    <x v="9"/>
    <x v="1"/>
    <x v="1"/>
    <n v="0.92592592592592593"/>
    <x v="2"/>
    <x v="3"/>
    <n v="27"/>
    <x v="2"/>
    <x v="5"/>
  </r>
  <r>
    <x v="2"/>
    <x v="11"/>
    <x v="3"/>
    <x v="1"/>
    <x v="9"/>
    <x v="1"/>
    <x v="1"/>
    <n v="0.57999999999999996"/>
    <x v="2"/>
    <x v="3"/>
    <n v="50"/>
    <x v="2"/>
    <x v="5"/>
  </r>
  <r>
    <x v="2"/>
    <x v="12"/>
    <x v="3"/>
    <x v="1"/>
    <x v="9"/>
    <x v="1"/>
    <x v="1"/>
    <n v="1"/>
    <x v="2"/>
    <x v="3"/>
    <n v="0"/>
    <x v="2"/>
    <x v="5"/>
  </r>
  <r>
    <x v="2"/>
    <x v="13"/>
    <x v="3"/>
    <x v="1"/>
    <x v="9"/>
    <x v="1"/>
    <x v="1"/>
    <n v="1"/>
    <x v="2"/>
    <x v="3"/>
    <n v="0"/>
    <x v="2"/>
    <x v="5"/>
  </r>
  <r>
    <x v="2"/>
    <x v="14"/>
    <x v="2"/>
    <x v="1"/>
    <x v="9"/>
    <x v="1"/>
    <x v="1"/>
    <n v="1"/>
    <x v="2"/>
    <x v="3"/>
    <n v="13"/>
    <x v="2"/>
    <x v="4"/>
  </r>
  <r>
    <x v="2"/>
    <x v="15"/>
    <x v="2"/>
    <x v="1"/>
    <x v="9"/>
    <x v="1"/>
    <x v="1"/>
    <n v="0.95833333333333337"/>
    <x v="2"/>
    <x v="3"/>
    <n v="24"/>
    <x v="2"/>
    <x v="4"/>
  </r>
  <r>
    <x v="2"/>
    <x v="16"/>
    <x v="2"/>
    <x v="1"/>
    <x v="9"/>
    <x v="1"/>
    <x v="1"/>
    <n v="1"/>
    <x v="2"/>
    <x v="3"/>
    <n v="30"/>
    <x v="2"/>
    <x v="4"/>
  </r>
  <r>
    <x v="2"/>
    <x v="17"/>
    <x v="2"/>
    <x v="1"/>
    <x v="9"/>
    <x v="1"/>
    <x v="1"/>
    <n v="1"/>
    <x v="2"/>
    <x v="3"/>
    <n v="45"/>
    <x v="2"/>
    <x v="4"/>
  </r>
  <r>
    <x v="2"/>
    <x v="18"/>
    <x v="2"/>
    <x v="1"/>
    <x v="9"/>
    <x v="1"/>
    <x v="1"/>
    <n v="0.89473684210526316"/>
    <x v="2"/>
    <x v="3"/>
    <n v="38"/>
    <x v="2"/>
    <x v="4"/>
  </r>
  <r>
    <x v="3"/>
    <x v="27"/>
    <x v="4"/>
    <x v="2"/>
    <x v="10"/>
    <x v="2"/>
    <x v="2"/>
    <m/>
    <x v="3"/>
    <x v="8"/>
    <m/>
    <x v="3"/>
    <x v="6"/>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x v="0"/>
    <x v="0"/>
    <n v="0.9"/>
    <n v="0.88"/>
    <n v="0.9"/>
  </r>
  <r>
    <x v="0"/>
    <x v="1"/>
    <n v="0.9"/>
    <n v="0.88"/>
    <n v="0.9"/>
  </r>
  <r>
    <x v="0"/>
    <x v="2"/>
    <n v="0.91"/>
    <n v="0.88"/>
    <n v="0.92"/>
  </r>
  <r>
    <x v="0"/>
    <x v="3"/>
    <n v="0.88"/>
    <n v="0.88"/>
    <n v="0.89"/>
  </r>
  <r>
    <x v="0"/>
    <x v="4"/>
    <n v="0.5"/>
    <n v="0.88"/>
    <n v="0.25"/>
  </r>
  <r>
    <x v="0"/>
    <x v="5"/>
    <n v="0.7"/>
    <n v="0.88"/>
    <n v="0.81"/>
  </r>
  <r>
    <x v="0"/>
    <x v="6"/>
    <n v="0.9"/>
    <n v="0.88"/>
    <n v="1"/>
  </r>
  <r>
    <x v="0"/>
    <x v="7"/>
    <n v="0.92"/>
    <n v="0.88"/>
    <n v="1.1100000000000001"/>
  </r>
  <r>
    <x v="0"/>
    <x v="8"/>
    <n v="0.89"/>
    <n v="0.88"/>
    <n v="0.9"/>
  </r>
  <r>
    <x v="0"/>
    <x v="9"/>
    <n v="0.9"/>
    <n v="0.88"/>
    <n v="0.93"/>
  </r>
  <r>
    <x v="0"/>
    <x v="10"/>
    <n v="0.91"/>
    <n v="0.88"/>
    <n v="0.92"/>
  </r>
  <r>
    <x v="0"/>
    <x v="11"/>
    <n v="0.91"/>
    <n v="0.88"/>
    <n v="0.92"/>
  </r>
  <r>
    <x v="0"/>
    <x v="12"/>
    <n v="0.95"/>
    <n v="0.88"/>
    <n v="0.8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3" cacheId="2"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6">
  <location ref="J18:N32" firstHeaderRow="0" firstDataRow="1" firstDataCol="2"/>
  <pivotFields count="5">
    <pivotField axis="axisRow" compact="0" numFmtId="14" outline="0" showAll="0" defaultSubtotal="0">
      <items count="1">
        <item x="0"/>
      </items>
    </pivotField>
    <pivotField axis="axisRow" compact="0" outline="0" showAll="0">
      <items count="14">
        <item x="0"/>
        <item x="1"/>
        <item x="2"/>
        <item x="3"/>
        <item x="4"/>
        <item x="5"/>
        <item x="6"/>
        <item x="7"/>
        <item x="8"/>
        <item x="9"/>
        <item x="10"/>
        <item x="11"/>
        <item x="12"/>
        <item t="default"/>
      </items>
    </pivotField>
    <pivotField dataField="1" compact="0" numFmtId="9" outline="0" showAll="0"/>
    <pivotField dataField="1" compact="0" numFmtId="9" outline="0" showAll="0"/>
    <pivotField dataField="1" compact="0" numFmtId="9" outline="0" showAll="0"/>
  </pivotFields>
  <rowFields count="2">
    <field x="0"/>
    <field x="1"/>
  </rowFields>
  <rowItems count="14">
    <i>
      <x/>
      <x/>
    </i>
    <i r="1">
      <x v="1"/>
    </i>
    <i r="1">
      <x v="2"/>
    </i>
    <i r="1">
      <x v="3"/>
    </i>
    <i r="1">
      <x v="4"/>
    </i>
    <i r="1">
      <x v="5"/>
    </i>
    <i r="1">
      <x v="6"/>
    </i>
    <i r="1">
      <x v="7"/>
    </i>
    <i r="1">
      <x v="8"/>
    </i>
    <i r="1">
      <x v="9"/>
    </i>
    <i r="1">
      <x v="10"/>
    </i>
    <i r="1">
      <x v="11"/>
    </i>
    <i r="1">
      <x v="12"/>
    </i>
    <i t="grand">
      <x/>
    </i>
  </rowItems>
  <colFields count="1">
    <field x="-2"/>
  </colFields>
  <colItems count="3">
    <i>
      <x/>
    </i>
    <i i="1">
      <x v="1"/>
    </i>
    <i i="2">
      <x v="2"/>
    </i>
  </colItems>
  <dataFields count="3">
    <dataField name="Sum of KPI Budova A" fld="2" baseField="0" baseItem="0"/>
    <dataField name="Sum of Target" fld="3" baseField="0" baseItem="0"/>
    <dataField name="Sum of Úkol/Lidi" fld="4" baseField="0" baseItem="0"/>
  </dataFields>
  <chartFormats count="4">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2"/>
          </reference>
        </references>
      </pivotArea>
    </chartFormat>
    <chartFormat chart="5" format="3">
      <pivotArea type="data" outline="0" fieldPosition="0">
        <references count="3">
          <reference field="4294967294" count="1" selected="0">
            <x v="2"/>
          </reference>
          <reference field="0" count="1" selected="0">
            <x v="0"/>
          </reference>
          <reference field="1" count="1" selected="0">
            <x v="5"/>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53F5EB5-EABC-4C45-A9C8-7E70EE64771D}" name="pt.number_of_tasks"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fieldListSortAscending="1">
  <location ref="A5:B7" firstHeaderRow="1" firstDataRow="2" firstDataCol="1" rowPageCount="3" colPageCount="1"/>
  <pivotFields count="13">
    <pivotField subtotalTop="0" showAll="0"/>
    <pivotField subtotalTop="0" showAll="0"/>
    <pivotField subtotalTop="0" showAll="0">
      <items count="6">
        <item x="4"/>
        <item x="0"/>
        <item x="3"/>
        <item x="1"/>
        <item x="2"/>
        <item t="default"/>
      </items>
    </pivotField>
    <pivotField axis="axisPage" subtotalTop="0" showAll="0">
      <items count="4">
        <item h="1" x="2"/>
        <item h="1" x="0"/>
        <item x="1"/>
        <item t="default"/>
      </items>
    </pivotField>
    <pivotField axis="axisCol" subtotalTop="0" showAll="0">
      <items count="12">
        <item x="10"/>
        <item x="7"/>
        <item x="0"/>
        <item x="4"/>
        <item x="6"/>
        <item x="2"/>
        <item x="5"/>
        <item x="3"/>
        <item x="1"/>
        <item x="8"/>
        <item x="9"/>
        <item t="default"/>
      </items>
    </pivotField>
    <pivotField axis="axisPage" subtotalTop="0" showAll="0">
      <items count="4">
        <item x="2"/>
        <item h="1" x="0"/>
        <item h="1" x="1"/>
        <item t="default"/>
      </items>
    </pivotField>
    <pivotField subtotalTop="0" showAll="0"/>
    <pivotField subtotalTop="0" showAll="0"/>
    <pivotField subtotalTop="0" showAll="0"/>
    <pivotField subtotalTop="0" showAll="0"/>
    <pivotField dataField="1" subtotalTop="0" showAll="0"/>
    <pivotField axis="axisPage" subtotalTop="0" showAll="0">
      <items count="5">
        <item x="3"/>
        <item x="0"/>
        <item x="1"/>
        <item x="2"/>
        <item t="default"/>
      </items>
    </pivotField>
    <pivotField subtotalTop="0" showAll="0">
      <items count="8">
        <item x="6"/>
        <item x="0"/>
        <item x="1"/>
        <item x="2"/>
        <item x="3"/>
        <item x="5"/>
        <item x="4"/>
        <item t="default"/>
      </items>
    </pivotField>
  </pivotFields>
  <rowItems count="1">
    <i/>
  </rowItems>
  <colFields count="1">
    <field x="4"/>
  </colFields>
  <colItems count="1">
    <i t="grand">
      <x/>
    </i>
  </colItems>
  <pageFields count="3">
    <pageField fld="3" hier="-1"/>
    <pageField fld="5" hier="-1"/>
    <pageField fld="11" item="2" hier="-1"/>
  </pageFields>
  <dataFields count="1">
    <dataField name="Sum of Počet úkolů" fld="10" baseField="4"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t.inbound_ppot_lvl1" cacheId="1" applyNumberFormats="0" applyBorderFormats="0" applyFontFormats="0" applyPatternFormats="0" applyAlignmentFormats="0" applyWidthHeightFormats="1" dataCaption="Values" updatedVersion="6" minRefreshableVersion="3" useAutoFormatting="1" colGrandTotals="0" itemPrintTitles="1" createdVersion="5" indent="0" outline="1" outlineData="1" multipleFieldFilters="0" fieldListSortAscending="1">
  <location ref="A5:E11" firstHeaderRow="1" firstDataRow="3" firstDataCol="1" rowPageCount="3" colPageCount="1"/>
  <pivotFields count="13">
    <pivotField axis="axisRow" showAll="0">
      <items count="5">
        <item x="0"/>
        <item x="1"/>
        <item x="3"/>
        <item x="2"/>
        <item t="default"/>
      </items>
    </pivotField>
    <pivotField showAll="0"/>
    <pivotField axis="axisPage" showAll="0">
      <items count="6">
        <item x="0"/>
        <item x="1"/>
        <item x="4"/>
        <item x="2"/>
        <item x="3"/>
        <item t="default"/>
      </items>
    </pivotField>
    <pivotField showAll="0"/>
    <pivotField axis="axisPage" multipleItemSelectionAllowed="1" showAll="0">
      <items count="12">
        <item h="1" x="10"/>
        <item h="1" x="7"/>
        <item x="0"/>
        <item h="1" x="4"/>
        <item h="1" x="6"/>
        <item h="1" x="2"/>
        <item h="1" x="5"/>
        <item h="1" x="3"/>
        <item h="1" x="1"/>
        <item h="1" x="8"/>
        <item h="1" x="9"/>
        <item t="default"/>
      </items>
    </pivotField>
    <pivotField axis="axisCol" showAll="0">
      <items count="4">
        <item x="0"/>
        <item x="2"/>
        <item x="1"/>
        <item t="default"/>
      </items>
    </pivotField>
    <pivotField dataField="1" showAll="0"/>
    <pivotField dataField="1" showAll="0"/>
    <pivotField showAll="0"/>
    <pivotField showAll="0"/>
    <pivotField showAll="0"/>
    <pivotField showAll="0"/>
    <pivotField axis="axisPage" showAll="0">
      <items count="8">
        <item x="0"/>
        <item x="1"/>
        <item x="2"/>
        <item x="3"/>
        <item x="6"/>
        <item x="4"/>
        <item x="5"/>
        <item t="default"/>
      </items>
    </pivotField>
  </pivotFields>
  <rowFields count="1">
    <field x="0"/>
  </rowFields>
  <rowItems count="4">
    <i>
      <x/>
    </i>
    <i>
      <x v="1"/>
    </i>
    <i>
      <x v="3"/>
    </i>
    <i t="grand">
      <x/>
    </i>
  </rowItems>
  <colFields count="2">
    <field x="5"/>
    <field x="-2"/>
  </colFields>
  <colItems count="4">
    <i>
      <x/>
      <x/>
    </i>
    <i r="1" i="1">
      <x v="1"/>
    </i>
    <i>
      <x v="2"/>
      <x/>
    </i>
    <i r="1" i="1">
      <x v="1"/>
    </i>
  </colItems>
  <pageFields count="3">
    <pageField fld="2" hier="-1"/>
    <pageField fld="12" hier="-1"/>
    <pageField fld="4" hier="-1"/>
  </pageFields>
  <dataFields count="2">
    <dataField name="Average of Skutečnost %" fld="7" subtotal="average" baseField="0" baseItem="0"/>
    <dataField name="Average of Cíl %" fld="6" subtotal="average"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pt.inbound_ppot_lvl2" cacheId="1" applyNumberFormats="0" applyBorderFormats="0" applyFontFormats="0" applyPatternFormats="0" applyAlignmentFormats="0" applyWidthHeightFormats="1" dataCaption="Values" updatedVersion="6" minRefreshableVersion="3" useAutoFormatting="1" colGrandTotals="0" itemPrintTitles="1" createdVersion="5" indent="0" compact="0" compactData="0" multipleFieldFilters="0" fieldListSortAscending="1">
  <location ref="B6:D9" firstHeaderRow="1" firstDataRow="3" firstDataCol="1" rowPageCount="4" colPageCount="1"/>
  <pivotFields count="13">
    <pivotField axis="axisRow" compact="0" outline="0" showAll="0">
      <items count="5">
        <item x="0"/>
        <item x="1"/>
        <item x="3"/>
        <item x="2"/>
        <item t="default"/>
      </items>
    </pivotField>
    <pivotField compact="0" outline="0" showAll="0"/>
    <pivotField compact="0" outline="0" showAll="0">
      <items count="6">
        <item x="4"/>
        <item x="0"/>
        <item x="3"/>
        <item x="1"/>
        <item x="2"/>
        <item t="default"/>
      </items>
    </pivotField>
    <pivotField axis="axisPage" compact="0" outline="0" multipleItemSelectionAllowed="1" showAll="0">
      <items count="4">
        <item h="1" x="0"/>
        <item h="1" x="2"/>
        <item x="1"/>
        <item t="default"/>
      </items>
    </pivotField>
    <pivotField axis="axisPage" compact="0" outline="0" multipleItemSelectionAllowed="1" showAll="0">
      <items count="12">
        <item h="1" x="7"/>
        <item x="0"/>
        <item h="1" x="4"/>
        <item h="1" x="6"/>
        <item h="1" x="2"/>
        <item h="1" x="5"/>
        <item h="1" x="3"/>
        <item h="1" x="1"/>
        <item h="1" x="10"/>
        <item h="1" x="8"/>
        <item h="1" x="9"/>
        <item t="default"/>
      </items>
    </pivotField>
    <pivotField axis="axisPage" compact="0" outline="0" multipleItemSelectionAllowed="1" showAll="0">
      <items count="4">
        <item h="1" x="0"/>
        <item x="2"/>
        <item h="1" x="1"/>
        <item t="default"/>
      </items>
    </pivotField>
    <pivotField dataField="1" compact="0" outline="0" showAll="0"/>
    <pivotField dataField="1" compact="0" outline="0" showAll="0"/>
    <pivotField compact="0" outline="0" showAll="0"/>
    <pivotField compact="0" outline="0" showAll="0"/>
    <pivotField compact="0" outline="0" showAll="0"/>
    <pivotField axis="axisCol" compact="0" outline="0" showAll="0">
      <items count="5">
        <item x="0"/>
        <item x="1"/>
        <item x="2"/>
        <item x="3"/>
        <item t="default"/>
      </items>
    </pivotField>
    <pivotField axis="axisPage" compact="0" outline="0" showAll="0">
      <items count="8">
        <item x="0"/>
        <item x="1"/>
        <item x="2"/>
        <item x="3"/>
        <item x="6"/>
        <item x="4"/>
        <item x="5"/>
        <item t="default"/>
      </items>
    </pivotField>
  </pivotFields>
  <rowFields count="1">
    <field x="0"/>
  </rowFields>
  <rowItems count="1">
    <i t="grand">
      <x/>
    </i>
  </rowItems>
  <colFields count="2">
    <field x="11"/>
    <field x="-2"/>
  </colFields>
  <pageFields count="4">
    <pageField fld="3" hier="-1"/>
    <pageField fld="5" hier="-1"/>
    <pageField fld="4" hier="-1"/>
    <pageField fld="12" hier="-1"/>
  </pageFields>
  <dataFields count="2">
    <dataField name="Average of Skutečnost %" fld="7" subtotal="average" baseField="0" baseItem="0"/>
    <dataField name="Average of Cíl %" fld="6" subtotal="average"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pt.lvl3_generic_1" cacheId="1"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8" firstHeaderRow="0" firstDataRow="1" firstDataCol="2" rowPageCount="5" colPageCount="1"/>
  <pivotFields count="13">
    <pivotField axis="axisRow" compact="0" outline="0" showAll="0" defaultSubtotal="0">
      <items count="4">
        <item x="0"/>
        <item x="1"/>
        <item x="3"/>
        <item x="2"/>
      </items>
    </pivotField>
    <pivotField axis="axisRow" compact="0" outline="0" showAll="0" sortType="ascending">
      <items count="29">
        <item x="20"/>
        <item x="0"/>
        <item x="1"/>
        <item x="19"/>
        <item x="21"/>
        <item x="22"/>
        <item x="23"/>
        <item x="24"/>
        <item x="25"/>
        <item x="26"/>
        <item x="2"/>
        <item x="3"/>
        <item x="4"/>
        <item x="5"/>
        <item x="6"/>
        <item x="7"/>
        <item x="8"/>
        <item x="9"/>
        <item x="10"/>
        <item x="11"/>
        <item x="12"/>
        <item x="13"/>
        <item x="14"/>
        <item x="15"/>
        <item x="16"/>
        <item x="17"/>
        <item x="18"/>
        <item x="27"/>
        <item t="default"/>
      </items>
    </pivotField>
    <pivotField compact="0" outline="0" showAll="0">
      <items count="6">
        <item x="4"/>
        <item x="0"/>
        <item x="3"/>
        <item x="1"/>
        <item x="2"/>
        <item t="default"/>
      </items>
    </pivotField>
    <pivotField axis="axisPage" compact="0" outline="0" multipleItemSelectionAllowed="1" showAll="0">
      <items count="4">
        <item h="1" x="0"/>
        <item h="1" x="2"/>
        <item x="1"/>
        <item t="default"/>
      </items>
    </pivotField>
    <pivotField axis="axisPage" compact="0" outline="0" multipleItemSelectionAllowed="1" showAll="0">
      <items count="12">
        <item h="1" x="7"/>
        <item h="1" x="0"/>
        <item h="1" x="4"/>
        <item h="1" x="6"/>
        <item h="1" x="2"/>
        <item h="1" x="5"/>
        <item h="1" x="3"/>
        <item h="1" x="1"/>
        <item x="10"/>
        <item h="1" x="8"/>
        <item h="1" x="9"/>
        <item t="default"/>
      </items>
    </pivotField>
    <pivotField axis="axisPage" compact="0" outline="0" multipleItemSelectionAllowed="1" showAll="0">
      <items count="4">
        <item h="1" x="0"/>
        <item x="2"/>
        <item h="1" x="1"/>
        <item t="default"/>
      </items>
    </pivotField>
    <pivotField dataField="1" compact="0" outline="0" showAll="0"/>
    <pivotField dataField="1" compact="0" outline="0" showAll="0"/>
    <pivotField compact="0" outline="0" showAll="0"/>
    <pivotField dataField="1" compact="0" outline="0" showAll="0"/>
    <pivotField compact="0" outline="0" showAll="0"/>
    <pivotField axis="axisPage" compact="0" outline="0" showAll="0">
      <items count="5">
        <item x="0"/>
        <item x="1"/>
        <item x="2"/>
        <item x="3"/>
        <item t="default"/>
      </items>
    </pivotField>
    <pivotField axis="axisPage" compact="0" outline="0" showAll="0">
      <items count="8">
        <item x="0"/>
        <item x="1"/>
        <item x="2"/>
        <item x="3"/>
        <item x="6"/>
        <item x="4"/>
        <item x="5"/>
        <item t="default"/>
      </items>
    </pivotField>
  </pivotFields>
  <rowFields count="2">
    <field x="0"/>
    <field x="1"/>
  </rowFields>
  <rowItems count="1">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0" baseItem="0"/>
  </dataFields>
  <chartFormats count="89">
    <chartFormat chart="0" format="106" series="1">
      <pivotArea type="data" outline="0" fieldPosition="0">
        <references count="1">
          <reference field="4294967294" count="1" selected="0">
            <x v="0"/>
          </reference>
        </references>
      </pivotArea>
    </chartFormat>
    <chartFormat chart="0" format="107" series="1">
      <pivotArea type="data" outline="0" fieldPosition="0">
        <references count="1">
          <reference field="4294967294" count="1" selected="0">
            <x v="1"/>
          </reference>
        </references>
      </pivotArea>
    </chartFormat>
    <chartFormat chart="0" format="108" series="1">
      <pivotArea type="data" outline="0" fieldPosition="0">
        <references count="1">
          <reference field="4294967294" count="1" selected="0">
            <x v="2"/>
          </reference>
        </references>
      </pivotArea>
    </chartFormat>
    <chartFormat chart="0" format="109">
      <pivotArea type="data" outline="0" fieldPosition="0">
        <references count="3">
          <reference field="4294967294" count="1" selected="0">
            <x v="0"/>
          </reference>
          <reference field="0" count="1" selected="0">
            <x v="0"/>
          </reference>
          <reference field="1" count="1" selected="0">
            <x v="10"/>
          </reference>
        </references>
      </pivotArea>
    </chartFormat>
    <chartFormat chart="0" format="110">
      <pivotArea type="data" outline="0" fieldPosition="0">
        <references count="3">
          <reference field="4294967294" count="1" selected="0">
            <x v="0"/>
          </reference>
          <reference field="0" count="1" selected="0">
            <x v="0"/>
          </reference>
          <reference field="1" count="1" selected="0">
            <x v="11"/>
          </reference>
        </references>
      </pivotArea>
    </chartFormat>
    <chartFormat chart="0" format="111">
      <pivotArea type="data" outline="0" fieldPosition="0">
        <references count="3">
          <reference field="4294967294" count="1" selected="0">
            <x v="0"/>
          </reference>
          <reference field="0" count="1" selected="0">
            <x v="0"/>
          </reference>
          <reference field="1" count="1" selected="0">
            <x v="12"/>
          </reference>
        </references>
      </pivotArea>
    </chartFormat>
    <chartFormat chart="0" format="112">
      <pivotArea type="data" outline="0" fieldPosition="0">
        <references count="3">
          <reference field="4294967294" count="1" selected="0">
            <x v="0"/>
          </reference>
          <reference field="0" count="1" selected="0">
            <x v="0"/>
          </reference>
          <reference field="1" count="1" selected="0">
            <x v="13"/>
          </reference>
        </references>
      </pivotArea>
    </chartFormat>
    <chartFormat chart="0" format="113">
      <pivotArea type="data" outline="0" fieldPosition="0">
        <references count="3">
          <reference field="4294967294" count="1" selected="0">
            <x v="0"/>
          </reference>
          <reference field="0" count="1" selected="0">
            <x v="0"/>
          </reference>
          <reference field="1" count="1" selected="0">
            <x v="14"/>
          </reference>
        </references>
      </pivotArea>
    </chartFormat>
    <chartFormat chart="0" format="114">
      <pivotArea type="data" outline="0" fieldPosition="0">
        <references count="3">
          <reference field="4294967294" count="1" selected="0">
            <x v="0"/>
          </reference>
          <reference field="0" count="1" selected="0">
            <x v="0"/>
          </reference>
          <reference field="1" count="1" selected="0">
            <x v="15"/>
          </reference>
        </references>
      </pivotArea>
    </chartFormat>
    <chartFormat chart="0" format="115">
      <pivotArea type="data" outline="0" fieldPosition="0">
        <references count="3">
          <reference field="4294967294" count="1" selected="0">
            <x v="0"/>
          </reference>
          <reference field="0" count="1" selected="0">
            <x v="0"/>
          </reference>
          <reference field="1" count="1" selected="0">
            <x v="16"/>
          </reference>
        </references>
      </pivotArea>
    </chartFormat>
    <chartFormat chart="0" format="116">
      <pivotArea type="data" outline="0" fieldPosition="0">
        <references count="3">
          <reference field="4294967294" count="1" selected="0">
            <x v="0"/>
          </reference>
          <reference field="0" count="1" selected="0">
            <x v="0"/>
          </reference>
          <reference field="1" count="1" selected="0">
            <x v="17"/>
          </reference>
        </references>
      </pivotArea>
    </chartFormat>
    <chartFormat chart="0" format="117">
      <pivotArea type="data" outline="0" fieldPosition="0">
        <references count="3">
          <reference field="4294967294" count="1" selected="0">
            <x v="0"/>
          </reference>
          <reference field="0" count="1" selected="0">
            <x v="0"/>
          </reference>
          <reference field="1" count="1" selected="0">
            <x v="18"/>
          </reference>
        </references>
      </pivotArea>
    </chartFormat>
    <chartFormat chart="0" format="118">
      <pivotArea type="data" outline="0" fieldPosition="0">
        <references count="3">
          <reference field="4294967294" count="1" selected="0">
            <x v="0"/>
          </reference>
          <reference field="0" count="1" selected="0">
            <x v="0"/>
          </reference>
          <reference field="1" count="1" selected="0">
            <x v="19"/>
          </reference>
        </references>
      </pivotArea>
    </chartFormat>
    <chartFormat chart="0" format="119">
      <pivotArea type="data" outline="0" fieldPosition="0">
        <references count="3">
          <reference field="4294967294" count="1" selected="0">
            <x v="0"/>
          </reference>
          <reference field="0" count="1" selected="0">
            <x v="0"/>
          </reference>
          <reference field="1" count="1" selected="0">
            <x v="20"/>
          </reference>
        </references>
      </pivotArea>
    </chartFormat>
    <chartFormat chart="0" format="120">
      <pivotArea type="data" outline="0" fieldPosition="0">
        <references count="3">
          <reference field="4294967294" count="1" selected="0">
            <x v="0"/>
          </reference>
          <reference field="0" count="1" selected="0">
            <x v="0"/>
          </reference>
          <reference field="1" count="1" selected="0">
            <x v="21"/>
          </reference>
        </references>
      </pivotArea>
    </chartFormat>
    <chartFormat chart="0" format="121">
      <pivotArea type="data" outline="0" fieldPosition="0">
        <references count="3">
          <reference field="4294967294" count="1" selected="0">
            <x v="0"/>
          </reference>
          <reference field="0" count="1" selected="0">
            <x v="0"/>
          </reference>
          <reference field="1" count="1" selected="0">
            <x v="22"/>
          </reference>
        </references>
      </pivotArea>
    </chartFormat>
    <chartFormat chart="0" format="122">
      <pivotArea type="data" outline="0" fieldPosition="0">
        <references count="3">
          <reference field="4294967294" count="1" selected="0">
            <x v="0"/>
          </reference>
          <reference field="0" count="1" selected="0">
            <x v="0"/>
          </reference>
          <reference field="1" count="1" selected="0">
            <x v="23"/>
          </reference>
        </references>
      </pivotArea>
    </chartFormat>
    <chartFormat chart="0" format="123">
      <pivotArea type="data" outline="0" fieldPosition="0">
        <references count="3">
          <reference field="4294967294" count="1" selected="0">
            <x v="0"/>
          </reference>
          <reference field="0" count="1" selected="0">
            <x v="0"/>
          </reference>
          <reference field="1" count="1" selected="0">
            <x v="24"/>
          </reference>
        </references>
      </pivotArea>
    </chartFormat>
    <chartFormat chart="0" format="124">
      <pivotArea type="data" outline="0" fieldPosition="0">
        <references count="3">
          <reference field="4294967294" count="1" selected="0">
            <x v="0"/>
          </reference>
          <reference field="0" count="1" selected="0">
            <x v="0"/>
          </reference>
          <reference field="1" count="1" selected="0">
            <x v="25"/>
          </reference>
        </references>
      </pivotArea>
    </chartFormat>
    <chartFormat chart="0" format="125">
      <pivotArea type="data" outline="0" fieldPosition="0">
        <references count="3">
          <reference field="4294967294" count="1" selected="0">
            <x v="0"/>
          </reference>
          <reference field="0" count="1" selected="0">
            <x v="0"/>
          </reference>
          <reference field="1" count="1" selected="0">
            <x v="26"/>
          </reference>
        </references>
      </pivotArea>
    </chartFormat>
    <chartFormat chart="0" format="126">
      <pivotArea type="data" outline="0" fieldPosition="0">
        <references count="3">
          <reference field="4294967294" count="1" selected="0">
            <x v="2"/>
          </reference>
          <reference field="0" count="1" selected="0">
            <x v="0"/>
          </reference>
          <reference field="1" count="1" selected="0">
            <x v="10"/>
          </reference>
        </references>
      </pivotArea>
    </chartFormat>
    <chartFormat chart="0" format="127">
      <pivotArea type="data" outline="0" fieldPosition="0">
        <references count="3">
          <reference field="4294967294" count="1" selected="0">
            <x v="2"/>
          </reference>
          <reference field="0" count="1" selected="0">
            <x v="0"/>
          </reference>
          <reference field="1" count="1" selected="0">
            <x v="11"/>
          </reference>
        </references>
      </pivotArea>
    </chartFormat>
    <chartFormat chart="0" format="128">
      <pivotArea type="data" outline="0" fieldPosition="0">
        <references count="3">
          <reference field="4294967294" count="1" selected="0">
            <x v="2"/>
          </reference>
          <reference field="0" count="1" selected="0">
            <x v="0"/>
          </reference>
          <reference field="1" count="1" selected="0">
            <x v="12"/>
          </reference>
        </references>
      </pivotArea>
    </chartFormat>
    <chartFormat chart="0" format="129">
      <pivotArea type="data" outline="0" fieldPosition="0">
        <references count="3">
          <reference field="4294967294" count="1" selected="0">
            <x v="2"/>
          </reference>
          <reference field="0" count="1" selected="0">
            <x v="0"/>
          </reference>
          <reference field="1" count="1" selected="0">
            <x v="13"/>
          </reference>
        </references>
      </pivotArea>
    </chartFormat>
    <chartFormat chart="0" format="130">
      <pivotArea type="data" outline="0" fieldPosition="0">
        <references count="3">
          <reference field="4294967294" count="1" selected="0">
            <x v="2"/>
          </reference>
          <reference field="0" count="1" selected="0">
            <x v="0"/>
          </reference>
          <reference field="1" count="1" selected="0">
            <x v="14"/>
          </reference>
        </references>
      </pivotArea>
    </chartFormat>
    <chartFormat chart="0" format="131">
      <pivotArea type="data" outline="0" fieldPosition="0">
        <references count="3">
          <reference field="4294967294" count="1" selected="0">
            <x v="2"/>
          </reference>
          <reference field="0" count="1" selected="0">
            <x v="0"/>
          </reference>
          <reference field="1" count="1" selected="0">
            <x v="15"/>
          </reference>
        </references>
      </pivotArea>
    </chartFormat>
    <chartFormat chart="0" format="132">
      <pivotArea type="data" outline="0" fieldPosition="0">
        <references count="3">
          <reference field="4294967294" count="1" selected="0">
            <x v="2"/>
          </reference>
          <reference field="0" count="1" selected="0">
            <x v="0"/>
          </reference>
          <reference field="1" count="1" selected="0">
            <x v="16"/>
          </reference>
        </references>
      </pivotArea>
    </chartFormat>
    <chartFormat chart="0" format="133">
      <pivotArea type="data" outline="0" fieldPosition="0">
        <references count="3">
          <reference field="4294967294" count="1" selected="0">
            <x v="2"/>
          </reference>
          <reference field="0" count="1" selected="0">
            <x v="0"/>
          </reference>
          <reference field="1" count="1" selected="0">
            <x v="17"/>
          </reference>
        </references>
      </pivotArea>
    </chartFormat>
    <chartFormat chart="0" format="134">
      <pivotArea type="data" outline="0" fieldPosition="0">
        <references count="3">
          <reference field="4294967294" count="1" selected="0">
            <x v="2"/>
          </reference>
          <reference field="0" count="1" selected="0">
            <x v="0"/>
          </reference>
          <reference field="1" count="1" selected="0">
            <x v="18"/>
          </reference>
        </references>
      </pivotArea>
    </chartFormat>
    <chartFormat chart="0" format="135">
      <pivotArea type="data" outline="0" fieldPosition="0">
        <references count="3">
          <reference field="4294967294" count="1" selected="0">
            <x v="2"/>
          </reference>
          <reference field="0" count="1" selected="0">
            <x v="0"/>
          </reference>
          <reference field="1" count="1" selected="0">
            <x v="19"/>
          </reference>
        </references>
      </pivotArea>
    </chartFormat>
    <chartFormat chart="0" format="136">
      <pivotArea type="data" outline="0" fieldPosition="0">
        <references count="3">
          <reference field="4294967294" count="1" selected="0">
            <x v="2"/>
          </reference>
          <reference field="0" count="1" selected="0">
            <x v="0"/>
          </reference>
          <reference field="1" count="1" selected="0">
            <x v="20"/>
          </reference>
        </references>
      </pivotArea>
    </chartFormat>
    <chartFormat chart="0" format="137">
      <pivotArea type="data" outline="0" fieldPosition="0">
        <references count="3">
          <reference field="4294967294" count="1" selected="0">
            <x v="2"/>
          </reference>
          <reference field="0" count="1" selected="0">
            <x v="0"/>
          </reference>
          <reference field="1" count="1" selected="0">
            <x v="21"/>
          </reference>
        </references>
      </pivotArea>
    </chartFormat>
    <chartFormat chart="0" format="138">
      <pivotArea type="data" outline="0" fieldPosition="0">
        <references count="3">
          <reference field="4294967294" count="1" selected="0">
            <x v="2"/>
          </reference>
          <reference field="0" count="1" selected="0">
            <x v="0"/>
          </reference>
          <reference field="1" count="1" selected="0">
            <x v="22"/>
          </reference>
        </references>
      </pivotArea>
    </chartFormat>
    <chartFormat chart="0" format="139">
      <pivotArea type="data" outline="0" fieldPosition="0">
        <references count="3">
          <reference field="4294967294" count="1" selected="0">
            <x v="2"/>
          </reference>
          <reference field="0" count="1" selected="0">
            <x v="0"/>
          </reference>
          <reference field="1" count="1" selected="0">
            <x v="23"/>
          </reference>
        </references>
      </pivotArea>
    </chartFormat>
    <chartFormat chart="0" format="140">
      <pivotArea type="data" outline="0" fieldPosition="0">
        <references count="3">
          <reference field="4294967294" count="1" selected="0">
            <x v="2"/>
          </reference>
          <reference field="0" count="1" selected="0">
            <x v="0"/>
          </reference>
          <reference field="1" count="1" selected="0">
            <x v="24"/>
          </reference>
        </references>
      </pivotArea>
    </chartFormat>
    <chartFormat chart="0" format="141">
      <pivotArea type="data" outline="0" fieldPosition="0">
        <references count="3">
          <reference field="4294967294" count="1" selected="0">
            <x v="2"/>
          </reference>
          <reference field="0" count="1" selected="0">
            <x v="0"/>
          </reference>
          <reference field="1" count="1" selected="0">
            <x v="25"/>
          </reference>
        </references>
      </pivotArea>
    </chartFormat>
    <chartFormat chart="0" format="142">
      <pivotArea type="data" outline="0" fieldPosition="0">
        <references count="3">
          <reference field="4294967294" count="1" selected="0">
            <x v="2"/>
          </reference>
          <reference field="0" count="1" selected="0">
            <x v="0"/>
          </reference>
          <reference field="1" count="1" selected="0">
            <x v="26"/>
          </reference>
        </references>
      </pivotArea>
    </chartFormat>
    <chartFormat chart="0" format="143">
      <pivotArea type="data" outline="0" fieldPosition="0">
        <references count="1">
          <reference field="4294967294" count="1" selected="0">
            <x v="0"/>
          </reference>
        </references>
      </pivotArea>
    </chartFormat>
    <chartFormat chart="0" format="144">
      <pivotArea type="data" outline="0" fieldPosition="0">
        <references count="1">
          <reference field="4294967294" count="1" selected="0">
            <x v="2"/>
          </reference>
        </references>
      </pivotArea>
    </chartFormat>
    <chartFormat chart="0" format="145">
      <pivotArea type="data" outline="0" fieldPosition="0">
        <references count="3">
          <reference field="4294967294" count="1" selected="0">
            <x v="0"/>
          </reference>
          <reference field="0" count="1" selected="0">
            <x v="2"/>
          </reference>
          <reference field="1" count="1" selected="0">
            <x v="27"/>
          </reference>
        </references>
      </pivotArea>
    </chartFormat>
    <chartFormat chart="0" format="146">
      <pivotArea type="data" outline="0" fieldPosition="0">
        <references count="3">
          <reference field="4294967294" count="1" selected="0">
            <x v="2"/>
          </reference>
          <reference field="0" count="1" selected="0">
            <x v="2"/>
          </reference>
          <reference field="1" count="1" selected="0">
            <x v="27"/>
          </reference>
        </references>
      </pivotArea>
    </chartFormat>
    <chartFormat chart="0" format="147">
      <pivotArea type="data" outline="0" fieldPosition="0">
        <references count="3">
          <reference field="4294967294" count="1" selected="0">
            <x v="0"/>
          </reference>
          <reference field="0" count="1" selected="0">
            <x v="3"/>
          </reference>
          <reference field="1" count="1" selected="0">
            <x v="10"/>
          </reference>
        </references>
      </pivotArea>
    </chartFormat>
    <chartFormat chart="0" format="148">
      <pivotArea type="data" outline="0" fieldPosition="0">
        <references count="3">
          <reference field="4294967294" count="1" selected="0">
            <x v="0"/>
          </reference>
          <reference field="0" count="1" selected="0">
            <x v="3"/>
          </reference>
          <reference field="1" count="1" selected="0">
            <x v="11"/>
          </reference>
        </references>
      </pivotArea>
    </chartFormat>
    <chartFormat chart="0" format="149">
      <pivotArea type="data" outline="0" fieldPosition="0">
        <references count="3">
          <reference field="4294967294" count="1" selected="0">
            <x v="0"/>
          </reference>
          <reference field="0" count="1" selected="0">
            <x v="3"/>
          </reference>
          <reference field="1" count="1" selected="0">
            <x v="12"/>
          </reference>
        </references>
      </pivotArea>
    </chartFormat>
    <chartFormat chart="0" format="150">
      <pivotArea type="data" outline="0" fieldPosition="0">
        <references count="3">
          <reference field="4294967294" count="1" selected="0">
            <x v="0"/>
          </reference>
          <reference field="0" count="1" selected="0">
            <x v="3"/>
          </reference>
          <reference field="1" count="1" selected="0">
            <x v="13"/>
          </reference>
        </references>
      </pivotArea>
    </chartFormat>
    <chartFormat chart="0" format="151">
      <pivotArea type="data" outline="0" fieldPosition="0">
        <references count="3">
          <reference field="4294967294" count="1" selected="0">
            <x v="0"/>
          </reference>
          <reference field="0" count="1" selected="0">
            <x v="3"/>
          </reference>
          <reference field="1" count="1" selected="0">
            <x v="14"/>
          </reference>
        </references>
      </pivotArea>
    </chartFormat>
    <chartFormat chart="0" format="152">
      <pivotArea type="data" outline="0" fieldPosition="0">
        <references count="3">
          <reference field="4294967294" count="1" selected="0">
            <x v="0"/>
          </reference>
          <reference field="0" count="1" selected="0">
            <x v="3"/>
          </reference>
          <reference field="1" count="1" selected="0">
            <x v="15"/>
          </reference>
        </references>
      </pivotArea>
    </chartFormat>
    <chartFormat chart="0" format="153">
      <pivotArea type="data" outline="0" fieldPosition="0">
        <references count="3">
          <reference field="4294967294" count="1" selected="0">
            <x v="0"/>
          </reference>
          <reference field="0" count="1" selected="0">
            <x v="3"/>
          </reference>
          <reference field="1" count="1" selected="0">
            <x v="16"/>
          </reference>
        </references>
      </pivotArea>
    </chartFormat>
    <chartFormat chart="0" format="154">
      <pivotArea type="data" outline="0" fieldPosition="0">
        <references count="3">
          <reference field="4294967294" count="1" selected="0">
            <x v="0"/>
          </reference>
          <reference field="0" count="1" selected="0">
            <x v="3"/>
          </reference>
          <reference field="1" count="1" selected="0">
            <x v="17"/>
          </reference>
        </references>
      </pivotArea>
    </chartFormat>
    <chartFormat chart="0" format="155">
      <pivotArea type="data" outline="0" fieldPosition="0">
        <references count="3">
          <reference field="4294967294" count="1" selected="0">
            <x v="0"/>
          </reference>
          <reference field="0" count="1" selected="0">
            <x v="3"/>
          </reference>
          <reference field="1" count="1" selected="0">
            <x v="18"/>
          </reference>
        </references>
      </pivotArea>
    </chartFormat>
    <chartFormat chart="0" format="156">
      <pivotArea type="data" outline="0" fieldPosition="0">
        <references count="3">
          <reference field="4294967294" count="1" selected="0">
            <x v="0"/>
          </reference>
          <reference field="0" count="1" selected="0">
            <x v="3"/>
          </reference>
          <reference field="1" count="1" selected="0">
            <x v="19"/>
          </reference>
        </references>
      </pivotArea>
    </chartFormat>
    <chartFormat chart="0" format="157">
      <pivotArea type="data" outline="0" fieldPosition="0">
        <references count="3">
          <reference field="4294967294" count="1" selected="0">
            <x v="0"/>
          </reference>
          <reference field="0" count="1" selected="0">
            <x v="3"/>
          </reference>
          <reference field="1" count="1" selected="0">
            <x v="20"/>
          </reference>
        </references>
      </pivotArea>
    </chartFormat>
    <chartFormat chart="0" format="158">
      <pivotArea type="data" outline="0" fieldPosition="0">
        <references count="3">
          <reference field="4294967294" count="1" selected="0">
            <x v="0"/>
          </reference>
          <reference field="0" count="1" selected="0">
            <x v="3"/>
          </reference>
          <reference field="1" count="1" selected="0">
            <x v="21"/>
          </reference>
        </references>
      </pivotArea>
    </chartFormat>
    <chartFormat chart="0" format="159">
      <pivotArea type="data" outline="0" fieldPosition="0">
        <references count="3">
          <reference field="4294967294" count="1" selected="0">
            <x v="0"/>
          </reference>
          <reference field="0" count="1" selected="0">
            <x v="3"/>
          </reference>
          <reference field="1" count="1" selected="0">
            <x v="22"/>
          </reference>
        </references>
      </pivotArea>
    </chartFormat>
    <chartFormat chart="0" format="160">
      <pivotArea type="data" outline="0" fieldPosition="0">
        <references count="3">
          <reference field="4294967294" count="1" selected="0">
            <x v="0"/>
          </reference>
          <reference field="0" count="1" selected="0">
            <x v="3"/>
          </reference>
          <reference field="1" count="1" selected="0">
            <x v="23"/>
          </reference>
        </references>
      </pivotArea>
    </chartFormat>
    <chartFormat chart="0" format="161">
      <pivotArea type="data" outline="0" fieldPosition="0">
        <references count="3">
          <reference field="4294967294" count="1" selected="0">
            <x v="0"/>
          </reference>
          <reference field="0" count="1" selected="0">
            <x v="3"/>
          </reference>
          <reference field="1" count="1" selected="0">
            <x v="24"/>
          </reference>
        </references>
      </pivotArea>
    </chartFormat>
    <chartFormat chart="0" format="162">
      <pivotArea type="data" outline="0" fieldPosition="0">
        <references count="3">
          <reference field="4294967294" count="1" selected="0">
            <x v="0"/>
          </reference>
          <reference field="0" count="1" selected="0">
            <x v="3"/>
          </reference>
          <reference field="1" count="1" selected="0">
            <x v="25"/>
          </reference>
        </references>
      </pivotArea>
    </chartFormat>
    <chartFormat chart="0" format="163">
      <pivotArea type="data" outline="0" fieldPosition="0">
        <references count="3">
          <reference field="4294967294" count="1" selected="0">
            <x v="0"/>
          </reference>
          <reference field="0" count="1" selected="0">
            <x v="3"/>
          </reference>
          <reference field="1" count="1" selected="0">
            <x v="26"/>
          </reference>
        </references>
      </pivotArea>
    </chartFormat>
    <chartFormat chart="0" format="164">
      <pivotArea type="data" outline="0" fieldPosition="0">
        <references count="3">
          <reference field="4294967294" count="1" selected="0">
            <x v="0"/>
          </reference>
          <reference field="0" count="1" selected="0">
            <x v="3"/>
          </reference>
          <reference field="1" count="1" selected="0">
            <x v="0"/>
          </reference>
        </references>
      </pivotArea>
    </chartFormat>
    <chartFormat chart="0" format="165">
      <pivotArea type="data" outline="0" fieldPosition="0">
        <references count="3">
          <reference field="4294967294" count="1" selected="0">
            <x v="0"/>
          </reference>
          <reference field="0" count="1" selected="0">
            <x v="3"/>
          </reference>
          <reference field="1" count="1" selected="0">
            <x v="4"/>
          </reference>
        </references>
      </pivotArea>
    </chartFormat>
    <chartFormat chart="0" format="166">
      <pivotArea type="data" outline="0" fieldPosition="0">
        <references count="3">
          <reference field="4294967294" count="1" selected="0">
            <x v="0"/>
          </reference>
          <reference field="0" count="1" selected="0">
            <x v="3"/>
          </reference>
          <reference field="1" count="1" selected="0">
            <x v="5"/>
          </reference>
        </references>
      </pivotArea>
    </chartFormat>
    <chartFormat chart="0" format="167">
      <pivotArea type="data" outline="0" fieldPosition="0">
        <references count="3">
          <reference field="4294967294" count="1" selected="0">
            <x v="0"/>
          </reference>
          <reference field="0" count="1" selected="0">
            <x v="3"/>
          </reference>
          <reference field="1" count="1" selected="0">
            <x v="6"/>
          </reference>
        </references>
      </pivotArea>
    </chartFormat>
    <chartFormat chart="0" format="168">
      <pivotArea type="data" outline="0" fieldPosition="0">
        <references count="3">
          <reference field="4294967294" count="1" selected="0">
            <x v="0"/>
          </reference>
          <reference field="0" count="1" selected="0">
            <x v="3"/>
          </reference>
          <reference field="1" count="1" selected="0">
            <x v="7"/>
          </reference>
        </references>
      </pivotArea>
    </chartFormat>
    <chartFormat chart="0" format="169">
      <pivotArea type="data" outline="0" fieldPosition="0">
        <references count="3">
          <reference field="4294967294" count="1" selected="0">
            <x v="0"/>
          </reference>
          <reference field="0" count="1" selected="0">
            <x v="3"/>
          </reference>
          <reference field="1" count="1" selected="0">
            <x v="8"/>
          </reference>
        </references>
      </pivotArea>
    </chartFormat>
    <chartFormat chart="0" format="170">
      <pivotArea type="data" outline="0" fieldPosition="0">
        <references count="3">
          <reference field="4294967294" count="1" selected="0">
            <x v="0"/>
          </reference>
          <reference field="0" count="1" selected="0">
            <x v="3"/>
          </reference>
          <reference field="1" count="1" selected="0">
            <x v="9"/>
          </reference>
        </references>
      </pivotArea>
    </chartFormat>
    <chartFormat chart="0" format="171">
      <pivotArea type="data" outline="0" fieldPosition="0">
        <references count="3">
          <reference field="4294967294" count="1" selected="0">
            <x v="2"/>
          </reference>
          <reference field="0" count="1" selected="0">
            <x v="3"/>
          </reference>
          <reference field="1" count="1" selected="0">
            <x v="10"/>
          </reference>
        </references>
      </pivotArea>
    </chartFormat>
    <chartFormat chart="0" format="172">
      <pivotArea type="data" outline="0" fieldPosition="0">
        <references count="3">
          <reference field="4294967294" count="1" selected="0">
            <x v="2"/>
          </reference>
          <reference field="0" count="1" selected="0">
            <x v="3"/>
          </reference>
          <reference field="1" count="1" selected="0">
            <x v="11"/>
          </reference>
        </references>
      </pivotArea>
    </chartFormat>
    <chartFormat chart="0" format="173">
      <pivotArea type="data" outline="0" fieldPosition="0">
        <references count="3">
          <reference field="4294967294" count="1" selected="0">
            <x v="2"/>
          </reference>
          <reference field="0" count="1" selected="0">
            <x v="3"/>
          </reference>
          <reference field="1" count="1" selected="0">
            <x v="12"/>
          </reference>
        </references>
      </pivotArea>
    </chartFormat>
    <chartFormat chart="0" format="174">
      <pivotArea type="data" outline="0" fieldPosition="0">
        <references count="3">
          <reference field="4294967294" count="1" selected="0">
            <x v="2"/>
          </reference>
          <reference field="0" count="1" selected="0">
            <x v="3"/>
          </reference>
          <reference field="1" count="1" selected="0">
            <x v="13"/>
          </reference>
        </references>
      </pivotArea>
    </chartFormat>
    <chartFormat chart="0" format="175">
      <pivotArea type="data" outline="0" fieldPosition="0">
        <references count="3">
          <reference field="4294967294" count="1" selected="0">
            <x v="2"/>
          </reference>
          <reference field="0" count="1" selected="0">
            <x v="3"/>
          </reference>
          <reference field="1" count="1" selected="0">
            <x v="14"/>
          </reference>
        </references>
      </pivotArea>
    </chartFormat>
    <chartFormat chart="0" format="176">
      <pivotArea type="data" outline="0" fieldPosition="0">
        <references count="3">
          <reference field="4294967294" count="1" selected="0">
            <x v="2"/>
          </reference>
          <reference field="0" count="1" selected="0">
            <x v="3"/>
          </reference>
          <reference field="1" count="1" selected="0">
            <x v="15"/>
          </reference>
        </references>
      </pivotArea>
    </chartFormat>
    <chartFormat chart="0" format="177">
      <pivotArea type="data" outline="0" fieldPosition="0">
        <references count="3">
          <reference field="4294967294" count="1" selected="0">
            <x v="2"/>
          </reference>
          <reference field="0" count="1" selected="0">
            <x v="3"/>
          </reference>
          <reference field="1" count="1" selected="0">
            <x v="16"/>
          </reference>
        </references>
      </pivotArea>
    </chartFormat>
    <chartFormat chart="0" format="178">
      <pivotArea type="data" outline="0" fieldPosition="0">
        <references count="3">
          <reference field="4294967294" count="1" selected="0">
            <x v="2"/>
          </reference>
          <reference field="0" count="1" selected="0">
            <x v="3"/>
          </reference>
          <reference field="1" count="1" selected="0">
            <x v="17"/>
          </reference>
        </references>
      </pivotArea>
    </chartFormat>
    <chartFormat chart="0" format="179">
      <pivotArea type="data" outline="0" fieldPosition="0">
        <references count="3">
          <reference field="4294967294" count="1" selected="0">
            <x v="2"/>
          </reference>
          <reference field="0" count="1" selected="0">
            <x v="3"/>
          </reference>
          <reference field="1" count="1" selected="0">
            <x v="18"/>
          </reference>
        </references>
      </pivotArea>
    </chartFormat>
    <chartFormat chart="0" format="180">
      <pivotArea type="data" outline="0" fieldPosition="0">
        <references count="3">
          <reference field="4294967294" count="1" selected="0">
            <x v="2"/>
          </reference>
          <reference field="0" count="1" selected="0">
            <x v="3"/>
          </reference>
          <reference field="1" count="1" selected="0">
            <x v="19"/>
          </reference>
        </references>
      </pivotArea>
    </chartFormat>
    <chartFormat chart="0" format="181">
      <pivotArea type="data" outline="0" fieldPosition="0">
        <references count="3">
          <reference field="4294967294" count="1" selected="0">
            <x v="2"/>
          </reference>
          <reference field="0" count="1" selected="0">
            <x v="3"/>
          </reference>
          <reference field="1" count="1" selected="0">
            <x v="20"/>
          </reference>
        </references>
      </pivotArea>
    </chartFormat>
    <chartFormat chart="0" format="182">
      <pivotArea type="data" outline="0" fieldPosition="0">
        <references count="3">
          <reference field="4294967294" count="1" selected="0">
            <x v="2"/>
          </reference>
          <reference field="0" count="1" selected="0">
            <x v="3"/>
          </reference>
          <reference field="1" count="1" selected="0">
            <x v="21"/>
          </reference>
        </references>
      </pivotArea>
    </chartFormat>
    <chartFormat chart="0" format="183">
      <pivotArea type="data" outline="0" fieldPosition="0">
        <references count="3">
          <reference field="4294967294" count="1" selected="0">
            <x v="2"/>
          </reference>
          <reference field="0" count="1" selected="0">
            <x v="3"/>
          </reference>
          <reference field="1" count="1" selected="0">
            <x v="22"/>
          </reference>
        </references>
      </pivotArea>
    </chartFormat>
    <chartFormat chart="0" format="184">
      <pivotArea type="data" outline="0" fieldPosition="0">
        <references count="3">
          <reference field="4294967294" count="1" selected="0">
            <x v="2"/>
          </reference>
          <reference field="0" count="1" selected="0">
            <x v="3"/>
          </reference>
          <reference field="1" count="1" selected="0">
            <x v="23"/>
          </reference>
        </references>
      </pivotArea>
    </chartFormat>
    <chartFormat chart="0" format="185">
      <pivotArea type="data" outline="0" fieldPosition="0">
        <references count="3">
          <reference field="4294967294" count="1" selected="0">
            <x v="2"/>
          </reference>
          <reference field="0" count="1" selected="0">
            <x v="3"/>
          </reference>
          <reference field="1" count="1" selected="0">
            <x v="24"/>
          </reference>
        </references>
      </pivotArea>
    </chartFormat>
    <chartFormat chart="0" format="186">
      <pivotArea type="data" outline="0" fieldPosition="0">
        <references count="3">
          <reference field="4294967294" count="1" selected="0">
            <x v="2"/>
          </reference>
          <reference field="0" count="1" selected="0">
            <x v="3"/>
          </reference>
          <reference field="1" count="1" selected="0">
            <x v="25"/>
          </reference>
        </references>
      </pivotArea>
    </chartFormat>
    <chartFormat chart="0" format="187">
      <pivotArea type="data" outline="0" fieldPosition="0">
        <references count="3">
          <reference field="4294967294" count="1" selected="0">
            <x v="2"/>
          </reference>
          <reference field="0" count="1" selected="0">
            <x v="3"/>
          </reference>
          <reference field="1" count="1" selected="0">
            <x v="26"/>
          </reference>
        </references>
      </pivotArea>
    </chartFormat>
    <chartFormat chart="0" format="188">
      <pivotArea type="data" outline="0" fieldPosition="0">
        <references count="3">
          <reference field="4294967294" count="1" selected="0">
            <x v="2"/>
          </reference>
          <reference field="0" count="1" selected="0">
            <x v="3"/>
          </reference>
          <reference field="1" count="1" selected="0">
            <x v="0"/>
          </reference>
        </references>
      </pivotArea>
    </chartFormat>
    <chartFormat chart="0" format="189">
      <pivotArea type="data" outline="0" fieldPosition="0">
        <references count="3">
          <reference field="4294967294" count="1" selected="0">
            <x v="2"/>
          </reference>
          <reference field="0" count="1" selected="0">
            <x v="3"/>
          </reference>
          <reference field="1" count="1" selected="0">
            <x v="4"/>
          </reference>
        </references>
      </pivotArea>
    </chartFormat>
    <chartFormat chart="0" format="190">
      <pivotArea type="data" outline="0" fieldPosition="0">
        <references count="3">
          <reference field="4294967294" count="1" selected="0">
            <x v="2"/>
          </reference>
          <reference field="0" count="1" selected="0">
            <x v="3"/>
          </reference>
          <reference field="1" count="1" selected="0">
            <x v="5"/>
          </reference>
        </references>
      </pivotArea>
    </chartFormat>
    <chartFormat chart="0" format="191">
      <pivotArea type="data" outline="0" fieldPosition="0">
        <references count="3">
          <reference field="4294967294" count="1" selected="0">
            <x v="2"/>
          </reference>
          <reference field="0" count="1" selected="0">
            <x v="3"/>
          </reference>
          <reference field="1" count="1" selected="0">
            <x v="6"/>
          </reference>
        </references>
      </pivotArea>
    </chartFormat>
    <chartFormat chart="0" format="192">
      <pivotArea type="data" outline="0" fieldPosition="0">
        <references count="3">
          <reference field="4294967294" count="1" selected="0">
            <x v="2"/>
          </reference>
          <reference field="0" count="1" selected="0">
            <x v="3"/>
          </reference>
          <reference field="1" count="1" selected="0">
            <x v="7"/>
          </reference>
        </references>
      </pivotArea>
    </chartFormat>
    <chartFormat chart="0" format="193">
      <pivotArea type="data" outline="0" fieldPosition="0">
        <references count="3">
          <reference field="4294967294" count="1" selected="0">
            <x v="2"/>
          </reference>
          <reference field="0" count="1" selected="0">
            <x v="3"/>
          </reference>
          <reference field="1" count="1" selected="0">
            <x v="8"/>
          </reference>
        </references>
      </pivotArea>
    </chartFormat>
    <chartFormat chart="0" format="194">
      <pivotArea type="data" outline="0" fieldPosition="0">
        <references count="3">
          <reference field="4294967294" count="1" selected="0">
            <x v="2"/>
          </reference>
          <reference field="0" count="1" selected="0">
            <x v="3"/>
          </reference>
          <reference field="1" count="1" selected="0">
            <x v="9"/>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t.lvl3_generic_2" cacheId="1"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8" firstHeaderRow="0" firstDataRow="1" firstDataCol="2" rowPageCount="5" colPageCount="1"/>
  <pivotFields count="13">
    <pivotField axis="axisRow" compact="0" outline="0" showAll="0" defaultSubtotal="0">
      <items count="4">
        <item x="0"/>
        <item x="1"/>
        <item x="3"/>
        <item x="2"/>
      </items>
    </pivotField>
    <pivotField axis="axisRow" compact="0" outline="0" showAll="0" sortType="ascending">
      <items count="29">
        <item x="20"/>
        <item x="0"/>
        <item x="1"/>
        <item x="19"/>
        <item x="21"/>
        <item x="22"/>
        <item x="23"/>
        <item x="24"/>
        <item x="25"/>
        <item x="26"/>
        <item x="2"/>
        <item x="3"/>
        <item x="4"/>
        <item x="5"/>
        <item x="6"/>
        <item x="7"/>
        <item x="8"/>
        <item x="9"/>
        <item x="10"/>
        <item x="11"/>
        <item x="12"/>
        <item x="13"/>
        <item x="14"/>
        <item x="15"/>
        <item x="16"/>
        <item x="17"/>
        <item x="18"/>
        <item x="27"/>
        <item t="default"/>
      </items>
    </pivotField>
    <pivotField compact="0" outline="0" showAll="0">
      <items count="6">
        <item x="4"/>
        <item x="0"/>
        <item x="3"/>
        <item x="1"/>
        <item x="2"/>
        <item t="default"/>
      </items>
    </pivotField>
    <pivotField axis="axisPage" compact="0" outline="0" multipleItemSelectionAllowed="1" showAll="0">
      <items count="4">
        <item h="1" x="0"/>
        <item h="1" x="2"/>
        <item x="1"/>
        <item t="default"/>
      </items>
    </pivotField>
    <pivotField axis="axisPage" compact="0" outline="0" multipleItemSelectionAllowed="1" showAll="0">
      <items count="12">
        <item h="1" x="7"/>
        <item h="1" x="0"/>
        <item h="1" x="4"/>
        <item h="1" x="6"/>
        <item h="1" x="2"/>
        <item h="1" x="5"/>
        <item h="1" x="3"/>
        <item h="1" x="1"/>
        <item x="10"/>
        <item h="1" x="8"/>
        <item h="1" x="9"/>
        <item t="default"/>
      </items>
    </pivotField>
    <pivotField axis="axisPage" compact="0" outline="0" multipleItemSelectionAllowed="1" showAll="0">
      <items count="4">
        <item h="1" x="0"/>
        <item x="2"/>
        <item h="1" x="1"/>
        <item t="default"/>
      </items>
    </pivotField>
    <pivotField dataField="1" compact="0" outline="0" showAll="0"/>
    <pivotField dataField="1" compact="0" outline="0" showAll="0"/>
    <pivotField compact="0" outline="0" showAll="0"/>
    <pivotField dataField="1" compact="0" outline="0" showAll="0"/>
    <pivotField compact="0" outline="0" showAll="0"/>
    <pivotField axis="axisPage" compact="0" outline="0" showAll="0">
      <items count="5">
        <item x="0"/>
        <item x="1"/>
        <item x="2"/>
        <item x="3"/>
        <item t="default"/>
      </items>
    </pivotField>
    <pivotField axis="axisPage" compact="0" outline="0" showAll="0">
      <items count="8">
        <item x="0"/>
        <item x="1"/>
        <item x="2"/>
        <item x="3"/>
        <item x="6"/>
        <item x="4"/>
        <item x="5"/>
        <item t="default"/>
      </items>
    </pivotField>
  </pivotFields>
  <rowFields count="2">
    <field x="0"/>
    <field x="1"/>
  </rowFields>
  <rowItems count="1">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0" baseItem="0"/>
  </dataFields>
  <chartFormats count="89">
    <chartFormat chart="0" format="108" series="1">
      <pivotArea type="data" outline="0" fieldPosition="0">
        <references count="1">
          <reference field="4294967294" count="1" selected="0">
            <x v="0"/>
          </reference>
        </references>
      </pivotArea>
    </chartFormat>
    <chartFormat chart="0" format="109" series="1">
      <pivotArea type="data" outline="0" fieldPosition="0">
        <references count="1">
          <reference field="4294967294" count="1" selected="0">
            <x v="1"/>
          </reference>
        </references>
      </pivotArea>
    </chartFormat>
    <chartFormat chart="0" format="110" series="1">
      <pivotArea type="data" outline="0" fieldPosition="0">
        <references count="1">
          <reference field="4294967294" count="1" selected="0">
            <x v="2"/>
          </reference>
        </references>
      </pivotArea>
    </chartFormat>
    <chartFormat chart="0" format="111">
      <pivotArea type="data" outline="0" fieldPosition="0">
        <references count="3">
          <reference field="4294967294" count="1" selected="0">
            <x v="0"/>
          </reference>
          <reference field="0" count="1" selected="0">
            <x v="0"/>
          </reference>
          <reference field="1" count="1" selected="0">
            <x v="10"/>
          </reference>
        </references>
      </pivotArea>
    </chartFormat>
    <chartFormat chart="0" format="112">
      <pivotArea type="data" outline="0" fieldPosition="0">
        <references count="3">
          <reference field="4294967294" count="1" selected="0">
            <x v="0"/>
          </reference>
          <reference field="0" count="1" selected="0">
            <x v="0"/>
          </reference>
          <reference field="1" count="1" selected="0">
            <x v="11"/>
          </reference>
        </references>
      </pivotArea>
    </chartFormat>
    <chartFormat chart="0" format="113">
      <pivotArea type="data" outline="0" fieldPosition="0">
        <references count="3">
          <reference field="4294967294" count="1" selected="0">
            <x v="0"/>
          </reference>
          <reference field="0" count="1" selected="0">
            <x v="0"/>
          </reference>
          <reference field="1" count="1" selected="0">
            <x v="12"/>
          </reference>
        </references>
      </pivotArea>
    </chartFormat>
    <chartFormat chart="0" format="114">
      <pivotArea type="data" outline="0" fieldPosition="0">
        <references count="3">
          <reference field="4294967294" count="1" selected="0">
            <x v="0"/>
          </reference>
          <reference field="0" count="1" selected="0">
            <x v="0"/>
          </reference>
          <reference field="1" count="1" selected="0">
            <x v="13"/>
          </reference>
        </references>
      </pivotArea>
    </chartFormat>
    <chartFormat chart="0" format="115">
      <pivotArea type="data" outline="0" fieldPosition="0">
        <references count="3">
          <reference field="4294967294" count="1" selected="0">
            <x v="0"/>
          </reference>
          <reference field="0" count="1" selected="0">
            <x v="0"/>
          </reference>
          <reference field="1" count="1" selected="0">
            <x v="14"/>
          </reference>
        </references>
      </pivotArea>
    </chartFormat>
    <chartFormat chart="0" format="116">
      <pivotArea type="data" outline="0" fieldPosition="0">
        <references count="3">
          <reference field="4294967294" count="1" selected="0">
            <x v="0"/>
          </reference>
          <reference field="0" count="1" selected="0">
            <x v="0"/>
          </reference>
          <reference field="1" count="1" selected="0">
            <x v="15"/>
          </reference>
        </references>
      </pivotArea>
    </chartFormat>
    <chartFormat chart="0" format="117">
      <pivotArea type="data" outline="0" fieldPosition="0">
        <references count="3">
          <reference field="4294967294" count="1" selected="0">
            <x v="0"/>
          </reference>
          <reference field="0" count="1" selected="0">
            <x v="0"/>
          </reference>
          <reference field="1" count="1" selected="0">
            <x v="16"/>
          </reference>
        </references>
      </pivotArea>
    </chartFormat>
    <chartFormat chart="0" format="118">
      <pivotArea type="data" outline="0" fieldPosition="0">
        <references count="3">
          <reference field="4294967294" count="1" selected="0">
            <x v="0"/>
          </reference>
          <reference field="0" count="1" selected="0">
            <x v="0"/>
          </reference>
          <reference field="1" count="1" selected="0">
            <x v="17"/>
          </reference>
        </references>
      </pivotArea>
    </chartFormat>
    <chartFormat chart="0" format="119">
      <pivotArea type="data" outline="0" fieldPosition="0">
        <references count="3">
          <reference field="4294967294" count="1" selected="0">
            <x v="0"/>
          </reference>
          <reference field="0" count="1" selected="0">
            <x v="0"/>
          </reference>
          <reference field="1" count="1" selected="0">
            <x v="18"/>
          </reference>
        </references>
      </pivotArea>
    </chartFormat>
    <chartFormat chart="0" format="120">
      <pivotArea type="data" outline="0" fieldPosition="0">
        <references count="3">
          <reference field="4294967294" count="1" selected="0">
            <x v="0"/>
          </reference>
          <reference field="0" count="1" selected="0">
            <x v="0"/>
          </reference>
          <reference field="1" count="1" selected="0">
            <x v="19"/>
          </reference>
        </references>
      </pivotArea>
    </chartFormat>
    <chartFormat chart="0" format="121">
      <pivotArea type="data" outline="0" fieldPosition="0">
        <references count="3">
          <reference field="4294967294" count="1" selected="0">
            <x v="0"/>
          </reference>
          <reference field="0" count="1" selected="0">
            <x v="0"/>
          </reference>
          <reference field="1" count="1" selected="0">
            <x v="20"/>
          </reference>
        </references>
      </pivotArea>
    </chartFormat>
    <chartFormat chart="0" format="122">
      <pivotArea type="data" outline="0" fieldPosition="0">
        <references count="3">
          <reference field="4294967294" count="1" selected="0">
            <x v="0"/>
          </reference>
          <reference field="0" count="1" selected="0">
            <x v="0"/>
          </reference>
          <reference field="1" count="1" selected="0">
            <x v="21"/>
          </reference>
        </references>
      </pivotArea>
    </chartFormat>
    <chartFormat chart="0" format="123">
      <pivotArea type="data" outline="0" fieldPosition="0">
        <references count="3">
          <reference field="4294967294" count="1" selected="0">
            <x v="0"/>
          </reference>
          <reference field="0" count="1" selected="0">
            <x v="0"/>
          </reference>
          <reference field="1" count="1" selected="0">
            <x v="22"/>
          </reference>
        </references>
      </pivotArea>
    </chartFormat>
    <chartFormat chart="0" format="124">
      <pivotArea type="data" outline="0" fieldPosition="0">
        <references count="3">
          <reference field="4294967294" count="1" selected="0">
            <x v="0"/>
          </reference>
          <reference field="0" count="1" selected="0">
            <x v="0"/>
          </reference>
          <reference field="1" count="1" selected="0">
            <x v="23"/>
          </reference>
        </references>
      </pivotArea>
    </chartFormat>
    <chartFormat chart="0" format="125">
      <pivotArea type="data" outline="0" fieldPosition="0">
        <references count="3">
          <reference field="4294967294" count="1" selected="0">
            <x v="0"/>
          </reference>
          <reference field="0" count="1" selected="0">
            <x v="0"/>
          </reference>
          <reference field="1" count="1" selected="0">
            <x v="24"/>
          </reference>
        </references>
      </pivotArea>
    </chartFormat>
    <chartFormat chart="0" format="126">
      <pivotArea type="data" outline="0" fieldPosition="0">
        <references count="3">
          <reference field="4294967294" count="1" selected="0">
            <x v="0"/>
          </reference>
          <reference field="0" count="1" selected="0">
            <x v="0"/>
          </reference>
          <reference field="1" count="1" selected="0">
            <x v="25"/>
          </reference>
        </references>
      </pivotArea>
    </chartFormat>
    <chartFormat chart="0" format="127">
      <pivotArea type="data" outline="0" fieldPosition="0">
        <references count="3">
          <reference field="4294967294" count="1" selected="0">
            <x v="0"/>
          </reference>
          <reference field="0" count="1" selected="0">
            <x v="0"/>
          </reference>
          <reference field="1" count="1" selected="0">
            <x v="26"/>
          </reference>
        </references>
      </pivotArea>
    </chartFormat>
    <chartFormat chart="0" format="128">
      <pivotArea type="data" outline="0" fieldPosition="0">
        <references count="3">
          <reference field="4294967294" count="1" selected="0">
            <x v="2"/>
          </reference>
          <reference field="0" count="1" selected="0">
            <x v="0"/>
          </reference>
          <reference field="1" count="1" selected="0">
            <x v="10"/>
          </reference>
        </references>
      </pivotArea>
    </chartFormat>
    <chartFormat chart="0" format="129">
      <pivotArea type="data" outline="0" fieldPosition="0">
        <references count="3">
          <reference field="4294967294" count="1" selected="0">
            <x v="2"/>
          </reference>
          <reference field="0" count="1" selected="0">
            <x v="0"/>
          </reference>
          <reference field="1" count="1" selected="0">
            <x v="11"/>
          </reference>
        </references>
      </pivotArea>
    </chartFormat>
    <chartFormat chart="0" format="130">
      <pivotArea type="data" outline="0" fieldPosition="0">
        <references count="3">
          <reference field="4294967294" count="1" selected="0">
            <x v="2"/>
          </reference>
          <reference field="0" count="1" selected="0">
            <x v="0"/>
          </reference>
          <reference field="1" count="1" selected="0">
            <x v="12"/>
          </reference>
        </references>
      </pivotArea>
    </chartFormat>
    <chartFormat chart="0" format="131">
      <pivotArea type="data" outline="0" fieldPosition="0">
        <references count="3">
          <reference field="4294967294" count="1" selected="0">
            <x v="2"/>
          </reference>
          <reference field="0" count="1" selected="0">
            <x v="0"/>
          </reference>
          <reference field="1" count="1" selected="0">
            <x v="13"/>
          </reference>
        </references>
      </pivotArea>
    </chartFormat>
    <chartFormat chart="0" format="132">
      <pivotArea type="data" outline="0" fieldPosition="0">
        <references count="3">
          <reference field="4294967294" count="1" selected="0">
            <x v="2"/>
          </reference>
          <reference field="0" count="1" selected="0">
            <x v="0"/>
          </reference>
          <reference field="1" count="1" selected="0">
            <x v="14"/>
          </reference>
        </references>
      </pivotArea>
    </chartFormat>
    <chartFormat chart="0" format="133">
      <pivotArea type="data" outline="0" fieldPosition="0">
        <references count="3">
          <reference field="4294967294" count="1" selected="0">
            <x v="2"/>
          </reference>
          <reference field="0" count="1" selected="0">
            <x v="0"/>
          </reference>
          <reference field="1" count="1" selected="0">
            <x v="15"/>
          </reference>
        </references>
      </pivotArea>
    </chartFormat>
    <chartFormat chart="0" format="134">
      <pivotArea type="data" outline="0" fieldPosition="0">
        <references count="3">
          <reference field="4294967294" count="1" selected="0">
            <x v="2"/>
          </reference>
          <reference field="0" count="1" selected="0">
            <x v="0"/>
          </reference>
          <reference field="1" count="1" selected="0">
            <x v="16"/>
          </reference>
        </references>
      </pivotArea>
    </chartFormat>
    <chartFormat chart="0" format="135">
      <pivotArea type="data" outline="0" fieldPosition="0">
        <references count="3">
          <reference field="4294967294" count="1" selected="0">
            <x v="2"/>
          </reference>
          <reference field="0" count="1" selected="0">
            <x v="0"/>
          </reference>
          <reference field="1" count="1" selected="0">
            <x v="17"/>
          </reference>
        </references>
      </pivotArea>
    </chartFormat>
    <chartFormat chart="0" format="136">
      <pivotArea type="data" outline="0" fieldPosition="0">
        <references count="3">
          <reference field="4294967294" count="1" selected="0">
            <x v="2"/>
          </reference>
          <reference field="0" count="1" selected="0">
            <x v="0"/>
          </reference>
          <reference field="1" count="1" selected="0">
            <x v="18"/>
          </reference>
        </references>
      </pivotArea>
    </chartFormat>
    <chartFormat chart="0" format="137">
      <pivotArea type="data" outline="0" fieldPosition="0">
        <references count="3">
          <reference field="4294967294" count="1" selected="0">
            <x v="2"/>
          </reference>
          <reference field="0" count="1" selected="0">
            <x v="0"/>
          </reference>
          <reference field="1" count="1" selected="0">
            <x v="19"/>
          </reference>
        </references>
      </pivotArea>
    </chartFormat>
    <chartFormat chart="0" format="138">
      <pivotArea type="data" outline="0" fieldPosition="0">
        <references count="3">
          <reference field="4294967294" count="1" selected="0">
            <x v="2"/>
          </reference>
          <reference field="0" count="1" selected="0">
            <x v="0"/>
          </reference>
          <reference field="1" count="1" selected="0">
            <x v="20"/>
          </reference>
        </references>
      </pivotArea>
    </chartFormat>
    <chartFormat chart="0" format="139">
      <pivotArea type="data" outline="0" fieldPosition="0">
        <references count="3">
          <reference field="4294967294" count="1" selected="0">
            <x v="2"/>
          </reference>
          <reference field="0" count="1" selected="0">
            <x v="0"/>
          </reference>
          <reference field="1" count="1" selected="0">
            <x v="21"/>
          </reference>
        </references>
      </pivotArea>
    </chartFormat>
    <chartFormat chart="0" format="140">
      <pivotArea type="data" outline="0" fieldPosition="0">
        <references count="3">
          <reference field="4294967294" count="1" selected="0">
            <x v="2"/>
          </reference>
          <reference field="0" count="1" selected="0">
            <x v="0"/>
          </reference>
          <reference field="1" count="1" selected="0">
            <x v="22"/>
          </reference>
        </references>
      </pivotArea>
    </chartFormat>
    <chartFormat chart="0" format="141">
      <pivotArea type="data" outline="0" fieldPosition="0">
        <references count="3">
          <reference field="4294967294" count="1" selected="0">
            <x v="2"/>
          </reference>
          <reference field="0" count="1" selected="0">
            <x v="0"/>
          </reference>
          <reference field="1" count="1" selected="0">
            <x v="23"/>
          </reference>
        </references>
      </pivotArea>
    </chartFormat>
    <chartFormat chart="0" format="142">
      <pivotArea type="data" outline="0" fieldPosition="0">
        <references count="3">
          <reference field="4294967294" count="1" selected="0">
            <x v="2"/>
          </reference>
          <reference field="0" count="1" selected="0">
            <x v="0"/>
          </reference>
          <reference field="1" count="1" selected="0">
            <x v="24"/>
          </reference>
        </references>
      </pivotArea>
    </chartFormat>
    <chartFormat chart="0" format="143">
      <pivotArea type="data" outline="0" fieldPosition="0">
        <references count="3">
          <reference field="4294967294" count="1" selected="0">
            <x v="2"/>
          </reference>
          <reference field="0" count="1" selected="0">
            <x v="0"/>
          </reference>
          <reference field="1" count="1" selected="0">
            <x v="25"/>
          </reference>
        </references>
      </pivotArea>
    </chartFormat>
    <chartFormat chart="0" format="144">
      <pivotArea type="data" outline="0" fieldPosition="0">
        <references count="3">
          <reference field="4294967294" count="1" selected="0">
            <x v="2"/>
          </reference>
          <reference field="0" count="1" selected="0">
            <x v="0"/>
          </reference>
          <reference field="1" count="1" selected="0">
            <x v="26"/>
          </reference>
        </references>
      </pivotArea>
    </chartFormat>
    <chartFormat chart="0" format="145">
      <pivotArea type="data" outline="0" fieldPosition="0">
        <references count="1">
          <reference field="4294967294" count="1" selected="0">
            <x v="0"/>
          </reference>
        </references>
      </pivotArea>
    </chartFormat>
    <chartFormat chart="0" format="146">
      <pivotArea type="data" outline="0" fieldPosition="0">
        <references count="1">
          <reference field="4294967294" count="1" selected="0">
            <x v="2"/>
          </reference>
        </references>
      </pivotArea>
    </chartFormat>
    <chartFormat chart="0" format="147">
      <pivotArea type="data" outline="0" fieldPosition="0">
        <references count="3">
          <reference field="4294967294" count="1" selected="0">
            <x v="0"/>
          </reference>
          <reference field="0" count="1" selected="0">
            <x v="2"/>
          </reference>
          <reference field="1" count="1" selected="0">
            <x v="27"/>
          </reference>
        </references>
      </pivotArea>
    </chartFormat>
    <chartFormat chart="0" format="148">
      <pivotArea type="data" outline="0" fieldPosition="0">
        <references count="3">
          <reference field="4294967294" count="1" selected="0">
            <x v="2"/>
          </reference>
          <reference field="0" count="1" selected="0">
            <x v="2"/>
          </reference>
          <reference field="1" count="1" selected="0">
            <x v="27"/>
          </reference>
        </references>
      </pivotArea>
    </chartFormat>
    <chartFormat chart="0" format="149">
      <pivotArea type="data" outline="0" fieldPosition="0">
        <references count="3">
          <reference field="4294967294" count="1" selected="0">
            <x v="0"/>
          </reference>
          <reference field="0" count="1" selected="0">
            <x v="3"/>
          </reference>
          <reference field="1" count="1" selected="0">
            <x v="10"/>
          </reference>
        </references>
      </pivotArea>
    </chartFormat>
    <chartFormat chart="0" format="150">
      <pivotArea type="data" outline="0" fieldPosition="0">
        <references count="3">
          <reference field="4294967294" count="1" selected="0">
            <x v="0"/>
          </reference>
          <reference field="0" count="1" selected="0">
            <x v="3"/>
          </reference>
          <reference field="1" count="1" selected="0">
            <x v="11"/>
          </reference>
        </references>
      </pivotArea>
    </chartFormat>
    <chartFormat chart="0" format="151">
      <pivotArea type="data" outline="0" fieldPosition="0">
        <references count="3">
          <reference field="4294967294" count="1" selected="0">
            <x v="0"/>
          </reference>
          <reference field="0" count="1" selected="0">
            <x v="3"/>
          </reference>
          <reference field="1" count="1" selected="0">
            <x v="12"/>
          </reference>
        </references>
      </pivotArea>
    </chartFormat>
    <chartFormat chart="0" format="152">
      <pivotArea type="data" outline="0" fieldPosition="0">
        <references count="3">
          <reference field="4294967294" count="1" selected="0">
            <x v="0"/>
          </reference>
          <reference field="0" count="1" selected="0">
            <x v="3"/>
          </reference>
          <reference field="1" count="1" selected="0">
            <x v="13"/>
          </reference>
        </references>
      </pivotArea>
    </chartFormat>
    <chartFormat chart="0" format="153">
      <pivotArea type="data" outline="0" fieldPosition="0">
        <references count="3">
          <reference field="4294967294" count="1" selected="0">
            <x v="0"/>
          </reference>
          <reference field="0" count="1" selected="0">
            <x v="3"/>
          </reference>
          <reference field="1" count="1" selected="0">
            <x v="14"/>
          </reference>
        </references>
      </pivotArea>
    </chartFormat>
    <chartFormat chart="0" format="154">
      <pivotArea type="data" outline="0" fieldPosition="0">
        <references count="3">
          <reference field="4294967294" count="1" selected="0">
            <x v="0"/>
          </reference>
          <reference field="0" count="1" selected="0">
            <x v="3"/>
          </reference>
          <reference field="1" count="1" selected="0">
            <x v="15"/>
          </reference>
        </references>
      </pivotArea>
    </chartFormat>
    <chartFormat chart="0" format="155">
      <pivotArea type="data" outline="0" fieldPosition="0">
        <references count="3">
          <reference field="4294967294" count="1" selected="0">
            <x v="0"/>
          </reference>
          <reference field="0" count="1" selected="0">
            <x v="3"/>
          </reference>
          <reference field="1" count="1" selected="0">
            <x v="16"/>
          </reference>
        </references>
      </pivotArea>
    </chartFormat>
    <chartFormat chart="0" format="156">
      <pivotArea type="data" outline="0" fieldPosition="0">
        <references count="3">
          <reference field="4294967294" count="1" selected="0">
            <x v="0"/>
          </reference>
          <reference field="0" count="1" selected="0">
            <x v="3"/>
          </reference>
          <reference field="1" count="1" selected="0">
            <x v="17"/>
          </reference>
        </references>
      </pivotArea>
    </chartFormat>
    <chartFormat chart="0" format="157">
      <pivotArea type="data" outline="0" fieldPosition="0">
        <references count="3">
          <reference field="4294967294" count="1" selected="0">
            <x v="0"/>
          </reference>
          <reference field="0" count="1" selected="0">
            <x v="3"/>
          </reference>
          <reference field="1" count="1" selected="0">
            <x v="18"/>
          </reference>
        </references>
      </pivotArea>
    </chartFormat>
    <chartFormat chart="0" format="158">
      <pivotArea type="data" outline="0" fieldPosition="0">
        <references count="3">
          <reference field="4294967294" count="1" selected="0">
            <x v="0"/>
          </reference>
          <reference field="0" count="1" selected="0">
            <x v="3"/>
          </reference>
          <reference field="1" count="1" selected="0">
            <x v="19"/>
          </reference>
        </references>
      </pivotArea>
    </chartFormat>
    <chartFormat chart="0" format="159">
      <pivotArea type="data" outline="0" fieldPosition="0">
        <references count="3">
          <reference field="4294967294" count="1" selected="0">
            <x v="0"/>
          </reference>
          <reference field="0" count="1" selected="0">
            <x v="3"/>
          </reference>
          <reference field="1" count="1" selected="0">
            <x v="20"/>
          </reference>
        </references>
      </pivotArea>
    </chartFormat>
    <chartFormat chart="0" format="160">
      <pivotArea type="data" outline="0" fieldPosition="0">
        <references count="3">
          <reference field="4294967294" count="1" selected="0">
            <x v="0"/>
          </reference>
          <reference field="0" count="1" selected="0">
            <x v="3"/>
          </reference>
          <reference field="1" count="1" selected="0">
            <x v="21"/>
          </reference>
        </references>
      </pivotArea>
    </chartFormat>
    <chartFormat chart="0" format="161">
      <pivotArea type="data" outline="0" fieldPosition="0">
        <references count="3">
          <reference field="4294967294" count="1" selected="0">
            <x v="0"/>
          </reference>
          <reference field="0" count="1" selected="0">
            <x v="3"/>
          </reference>
          <reference field="1" count="1" selected="0">
            <x v="22"/>
          </reference>
        </references>
      </pivotArea>
    </chartFormat>
    <chartFormat chart="0" format="162">
      <pivotArea type="data" outline="0" fieldPosition="0">
        <references count="3">
          <reference field="4294967294" count="1" selected="0">
            <x v="0"/>
          </reference>
          <reference field="0" count="1" selected="0">
            <x v="3"/>
          </reference>
          <reference field="1" count="1" selected="0">
            <x v="23"/>
          </reference>
        </references>
      </pivotArea>
    </chartFormat>
    <chartFormat chart="0" format="163">
      <pivotArea type="data" outline="0" fieldPosition="0">
        <references count="3">
          <reference field="4294967294" count="1" selected="0">
            <x v="0"/>
          </reference>
          <reference field="0" count="1" selected="0">
            <x v="3"/>
          </reference>
          <reference field="1" count="1" selected="0">
            <x v="24"/>
          </reference>
        </references>
      </pivotArea>
    </chartFormat>
    <chartFormat chart="0" format="164">
      <pivotArea type="data" outline="0" fieldPosition="0">
        <references count="3">
          <reference field="4294967294" count="1" selected="0">
            <x v="0"/>
          </reference>
          <reference field="0" count="1" selected="0">
            <x v="3"/>
          </reference>
          <reference field="1" count="1" selected="0">
            <x v="25"/>
          </reference>
        </references>
      </pivotArea>
    </chartFormat>
    <chartFormat chart="0" format="165">
      <pivotArea type="data" outline="0" fieldPosition="0">
        <references count="3">
          <reference field="4294967294" count="1" selected="0">
            <x v="0"/>
          </reference>
          <reference field="0" count="1" selected="0">
            <x v="3"/>
          </reference>
          <reference field="1" count="1" selected="0">
            <x v="26"/>
          </reference>
        </references>
      </pivotArea>
    </chartFormat>
    <chartFormat chart="0" format="166">
      <pivotArea type="data" outline="0" fieldPosition="0">
        <references count="3">
          <reference field="4294967294" count="1" selected="0">
            <x v="0"/>
          </reference>
          <reference field="0" count="1" selected="0">
            <x v="3"/>
          </reference>
          <reference field="1" count="1" selected="0">
            <x v="0"/>
          </reference>
        </references>
      </pivotArea>
    </chartFormat>
    <chartFormat chart="0" format="167">
      <pivotArea type="data" outline="0" fieldPosition="0">
        <references count="3">
          <reference field="4294967294" count="1" selected="0">
            <x v="0"/>
          </reference>
          <reference field="0" count="1" selected="0">
            <x v="3"/>
          </reference>
          <reference field="1" count="1" selected="0">
            <x v="4"/>
          </reference>
        </references>
      </pivotArea>
    </chartFormat>
    <chartFormat chart="0" format="168">
      <pivotArea type="data" outline="0" fieldPosition="0">
        <references count="3">
          <reference field="4294967294" count="1" selected="0">
            <x v="0"/>
          </reference>
          <reference field="0" count="1" selected="0">
            <x v="3"/>
          </reference>
          <reference field="1" count="1" selected="0">
            <x v="5"/>
          </reference>
        </references>
      </pivotArea>
    </chartFormat>
    <chartFormat chart="0" format="169">
      <pivotArea type="data" outline="0" fieldPosition="0">
        <references count="3">
          <reference field="4294967294" count="1" selected="0">
            <x v="0"/>
          </reference>
          <reference field="0" count="1" selected="0">
            <x v="3"/>
          </reference>
          <reference field="1" count="1" selected="0">
            <x v="6"/>
          </reference>
        </references>
      </pivotArea>
    </chartFormat>
    <chartFormat chart="0" format="170">
      <pivotArea type="data" outline="0" fieldPosition="0">
        <references count="3">
          <reference field="4294967294" count="1" selected="0">
            <x v="0"/>
          </reference>
          <reference field="0" count="1" selected="0">
            <x v="3"/>
          </reference>
          <reference field="1" count="1" selected="0">
            <x v="7"/>
          </reference>
        </references>
      </pivotArea>
    </chartFormat>
    <chartFormat chart="0" format="171">
      <pivotArea type="data" outline="0" fieldPosition="0">
        <references count="3">
          <reference field="4294967294" count="1" selected="0">
            <x v="0"/>
          </reference>
          <reference field="0" count="1" selected="0">
            <x v="3"/>
          </reference>
          <reference field="1" count="1" selected="0">
            <x v="8"/>
          </reference>
        </references>
      </pivotArea>
    </chartFormat>
    <chartFormat chart="0" format="172">
      <pivotArea type="data" outline="0" fieldPosition="0">
        <references count="3">
          <reference field="4294967294" count="1" selected="0">
            <x v="0"/>
          </reference>
          <reference field="0" count="1" selected="0">
            <x v="3"/>
          </reference>
          <reference field="1" count="1" selected="0">
            <x v="9"/>
          </reference>
        </references>
      </pivotArea>
    </chartFormat>
    <chartFormat chart="0" format="173">
      <pivotArea type="data" outline="0" fieldPosition="0">
        <references count="3">
          <reference field="4294967294" count="1" selected="0">
            <x v="2"/>
          </reference>
          <reference field="0" count="1" selected="0">
            <x v="3"/>
          </reference>
          <reference field="1" count="1" selected="0">
            <x v="10"/>
          </reference>
        </references>
      </pivotArea>
    </chartFormat>
    <chartFormat chart="0" format="174">
      <pivotArea type="data" outline="0" fieldPosition="0">
        <references count="3">
          <reference field="4294967294" count="1" selected="0">
            <x v="2"/>
          </reference>
          <reference field="0" count="1" selected="0">
            <x v="3"/>
          </reference>
          <reference field="1" count="1" selected="0">
            <x v="11"/>
          </reference>
        </references>
      </pivotArea>
    </chartFormat>
    <chartFormat chart="0" format="175">
      <pivotArea type="data" outline="0" fieldPosition="0">
        <references count="3">
          <reference field="4294967294" count="1" selected="0">
            <x v="2"/>
          </reference>
          <reference field="0" count="1" selected="0">
            <x v="3"/>
          </reference>
          <reference field="1" count="1" selected="0">
            <x v="12"/>
          </reference>
        </references>
      </pivotArea>
    </chartFormat>
    <chartFormat chart="0" format="176">
      <pivotArea type="data" outline="0" fieldPosition="0">
        <references count="3">
          <reference field="4294967294" count="1" selected="0">
            <x v="2"/>
          </reference>
          <reference field="0" count="1" selected="0">
            <x v="3"/>
          </reference>
          <reference field="1" count="1" selected="0">
            <x v="13"/>
          </reference>
        </references>
      </pivotArea>
    </chartFormat>
    <chartFormat chart="0" format="177">
      <pivotArea type="data" outline="0" fieldPosition="0">
        <references count="3">
          <reference field="4294967294" count="1" selected="0">
            <x v="2"/>
          </reference>
          <reference field="0" count="1" selected="0">
            <x v="3"/>
          </reference>
          <reference field="1" count="1" selected="0">
            <x v="14"/>
          </reference>
        </references>
      </pivotArea>
    </chartFormat>
    <chartFormat chart="0" format="178">
      <pivotArea type="data" outline="0" fieldPosition="0">
        <references count="3">
          <reference field="4294967294" count="1" selected="0">
            <x v="2"/>
          </reference>
          <reference field="0" count="1" selected="0">
            <x v="3"/>
          </reference>
          <reference field="1" count="1" selected="0">
            <x v="15"/>
          </reference>
        </references>
      </pivotArea>
    </chartFormat>
    <chartFormat chart="0" format="179">
      <pivotArea type="data" outline="0" fieldPosition="0">
        <references count="3">
          <reference field="4294967294" count="1" selected="0">
            <x v="2"/>
          </reference>
          <reference field="0" count="1" selected="0">
            <x v="3"/>
          </reference>
          <reference field="1" count="1" selected="0">
            <x v="16"/>
          </reference>
        </references>
      </pivotArea>
    </chartFormat>
    <chartFormat chart="0" format="180">
      <pivotArea type="data" outline="0" fieldPosition="0">
        <references count="3">
          <reference field="4294967294" count="1" selected="0">
            <x v="2"/>
          </reference>
          <reference field="0" count="1" selected="0">
            <x v="3"/>
          </reference>
          <reference field="1" count="1" selected="0">
            <x v="17"/>
          </reference>
        </references>
      </pivotArea>
    </chartFormat>
    <chartFormat chart="0" format="181">
      <pivotArea type="data" outline="0" fieldPosition="0">
        <references count="3">
          <reference field="4294967294" count="1" selected="0">
            <x v="2"/>
          </reference>
          <reference field="0" count="1" selected="0">
            <x v="3"/>
          </reference>
          <reference field="1" count="1" selected="0">
            <x v="18"/>
          </reference>
        </references>
      </pivotArea>
    </chartFormat>
    <chartFormat chart="0" format="182">
      <pivotArea type="data" outline="0" fieldPosition="0">
        <references count="3">
          <reference field="4294967294" count="1" selected="0">
            <x v="2"/>
          </reference>
          <reference field="0" count="1" selected="0">
            <x v="3"/>
          </reference>
          <reference field="1" count="1" selected="0">
            <x v="19"/>
          </reference>
        </references>
      </pivotArea>
    </chartFormat>
    <chartFormat chart="0" format="183">
      <pivotArea type="data" outline="0" fieldPosition="0">
        <references count="3">
          <reference field="4294967294" count="1" selected="0">
            <x v="2"/>
          </reference>
          <reference field="0" count="1" selected="0">
            <x v="3"/>
          </reference>
          <reference field="1" count="1" selected="0">
            <x v="20"/>
          </reference>
        </references>
      </pivotArea>
    </chartFormat>
    <chartFormat chart="0" format="184">
      <pivotArea type="data" outline="0" fieldPosition="0">
        <references count="3">
          <reference field="4294967294" count="1" selected="0">
            <x v="2"/>
          </reference>
          <reference field="0" count="1" selected="0">
            <x v="3"/>
          </reference>
          <reference field="1" count="1" selected="0">
            <x v="21"/>
          </reference>
        </references>
      </pivotArea>
    </chartFormat>
    <chartFormat chart="0" format="185">
      <pivotArea type="data" outline="0" fieldPosition="0">
        <references count="3">
          <reference field="4294967294" count="1" selected="0">
            <x v="2"/>
          </reference>
          <reference field="0" count="1" selected="0">
            <x v="3"/>
          </reference>
          <reference field="1" count="1" selected="0">
            <x v="22"/>
          </reference>
        </references>
      </pivotArea>
    </chartFormat>
    <chartFormat chart="0" format="186">
      <pivotArea type="data" outline="0" fieldPosition="0">
        <references count="3">
          <reference field="4294967294" count="1" selected="0">
            <x v="2"/>
          </reference>
          <reference field="0" count="1" selected="0">
            <x v="3"/>
          </reference>
          <reference field="1" count="1" selected="0">
            <x v="23"/>
          </reference>
        </references>
      </pivotArea>
    </chartFormat>
    <chartFormat chart="0" format="187">
      <pivotArea type="data" outline="0" fieldPosition="0">
        <references count="3">
          <reference field="4294967294" count="1" selected="0">
            <x v="2"/>
          </reference>
          <reference field="0" count="1" selected="0">
            <x v="3"/>
          </reference>
          <reference field="1" count="1" selected="0">
            <x v="24"/>
          </reference>
        </references>
      </pivotArea>
    </chartFormat>
    <chartFormat chart="0" format="188">
      <pivotArea type="data" outline="0" fieldPosition="0">
        <references count="3">
          <reference field="4294967294" count="1" selected="0">
            <x v="2"/>
          </reference>
          <reference field="0" count="1" selected="0">
            <x v="3"/>
          </reference>
          <reference field="1" count="1" selected="0">
            <x v="25"/>
          </reference>
        </references>
      </pivotArea>
    </chartFormat>
    <chartFormat chart="0" format="189">
      <pivotArea type="data" outline="0" fieldPosition="0">
        <references count="3">
          <reference field="4294967294" count="1" selected="0">
            <x v="2"/>
          </reference>
          <reference field="0" count="1" selected="0">
            <x v="3"/>
          </reference>
          <reference field="1" count="1" selected="0">
            <x v="26"/>
          </reference>
        </references>
      </pivotArea>
    </chartFormat>
    <chartFormat chart="0" format="190">
      <pivotArea type="data" outline="0" fieldPosition="0">
        <references count="3">
          <reference field="4294967294" count="1" selected="0">
            <x v="2"/>
          </reference>
          <reference field="0" count="1" selected="0">
            <x v="3"/>
          </reference>
          <reference field="1" count="1" selected="0">
            <x v="0"/>
          </reference>
        </references>
      </pivotArea>
    </chartFormat>
    <chartFormat chart="0" format="191">
      <pivotArea type="data" outline="0" fieldPosition="0">
        <references count="3">
          <reference field="4294967294" count="1" selected="0">
            <x v="2"/>
          </reference>
          <reference field="0" count="1" selected="0">
            <x v="3"/>
          </reference>
          <reference field="1" count="1" selected="0">
            <x v="4"/>
          </reference>
        </references>
      </pivotArea>
    </chartFormat>
    <chartFormat chart="0" format="192">
      <pivotArea type="data" outline="0" fieldPosition="0">
        <references count="3">
          <reference field="4294967294" count="1" selected="0">
            <x v="2"/>
          </reference>
          <reference field="0" count="1" selected="0">
            <x v="3"/>
          </reference>
          <reference field="1" count="1" selected="0">
            <x v="5"/>
          </reference>
        </references>
      </pivotArea>
    </chartFormat>
    <chartFormat chart="0" format="193">
      <pivotArea type="data" outline="0" fieldPosition="0">
        <references count="3">
          <reference field="4294967294" count="1" selected="0">
            <x v="2"/>
          </reference>
          <reference field="0" count="1" selected="0">
            <x v="3"/>
          </reference>
          <reference field="1" count="1" selected="0">
            <x v="6"/>
          </reference>
        </references>
      </pivotArea>
    </chartFormat>
    <chartFormat chart="0" format="194">
      <pivotArea type="data" outline="0" fieldPosition="0">
        <references count="3">
          <reference field="4294967294" count="1" selected="0">
            <x v="2"/>
          </reference>
          <reference field="0" count="1" selected="0">
            <x v="3"/>
          </reference>
          <reference field="1" count="1" selected="0">
            <x v="7"/>
          </reference>
        </references>
      </pivotArea>
    </chartFormat>
    <chartFormat chart="0" format="195">
      <pivotArea type="data" outline="0" fieldPosition="0">
        <references count="3">
          <reference field="4294967294" count="1" selected="0">
            <x v="2"/>
          </reference>
          <reference field="0" count="1" selected="0">
            <x v="3"/>
          </reference>
          <reference field="1" count="1" selected="0">
            <x v="8"/>
          </reference>
        </references>
      </pivotArea>
    </chartFormat>
    <chartFormat chart="0" format="196">
      <pivotArea type="data" outline="0" fieldPosition="0">
        <references count="3">
          <reference field="4294967294" count="1" selected="0">
            <x v="2"/>
          </reference>
          <reference field="0" count="1" selected="0">
            <x v="3"/>
          </reference>
          <reference field="1" count="1" selected="0">
            <x v="9"/>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B00-000000000000}" name="pt.lvl3_generic_3" cacheId="1"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8" firstHeaderRow="0" firstDataRow="1" firstDataCol="2" rowPageCount="5" colPageCount="1"/>
  <pivotFields count="13">
    <pivotField axis="axisRow" compact="0" outline="0" showAll="0" defaultSubtotal="0">
      <items count="4">
        <item x="0"/>
        <item x="1"/>
        <item x="3"/>
        <item x="2"/>
      </items>
    </pivotField>
    <pivotField axis="axisRow" compact="0" outline="0" showAll="0">
      <items count="29">
        <item x="0"/>
        <item x="1"/>
        <item x="19"/>
        <item x="2"/>
        <item x="3"/>
        <item x="4"/>
        <item x="5"/>
        <item x="6"/>
        <item x="7"/>
        <item x="8"/>
        <item x="9"/>
        <item x="10"/>
        <item x="11"/>
        <item x="12"/>
        <item x="13"/>
        <item x="14"/>
        <item x="15"/>
        <item x="16"/>
        <item x="17"/>
        <item x="18"/>
        <item x="27"/>
        <item x="20"/>
        <item x="21"/>
        <item x="22"/>
        <item x="23"/>
        <item x="24"/>
        <item x="25"/>
        <item x="26"/>
        <item t="default"/>
      </items>
    </pivotField>
    <pivotField compact="0" outline="0" showAll="0">
      <items count="6">
        <item x="4"/>
        <item x="0"/>
        <item x="3"/>
        <item x="1"/>
        <item x="2"/>
        <item t="default"/>
      </items>
    </pivotField>
    <pivotField axis="axisPage" compact="0" outline="0" multipleItemSelectionAllowed="1" showAll="0">
      <items count="4">
        <item h="1" x="0"/>
        <item h="1" x="2"/>
        <item x="1"/>
        <item t="default"/>
      </items>
    </pivotField>
    <pivotField axis="axisPage" compact="0" outline="0" multipleItemSelectionAllowed="1" showAll="0">
      <items count="12">
        <item h="1" x="7"/>
        <item h="1" x="0"/>
        <item h="1" x="4"/>
        <item h="1" x="6"/>
        <item h="1" x="2"/>
        <item h="1" x="5"/>
        <item h="1" x="3"/>
        <item h="1" x="1"/>
        <item x="10"/>
        <item h="1" x="8"/>
        <item h="1" x="9"/>
        <item t="default"/>
      </items>
    </pivotField>
    <pivotField axis="axisPage" compact="0" outline="0" multipleItemSelectionAllowed="1" showAll="0">
      <items count="4">
        <item h="1" x="0"/>
        <item x="2"/>
        <item h="1" x="1"/>
        <item t="default"/>
      </items>
    </pivotField>
    <pivotField dataField="1" compact="0" outline="0" showAll="0"/>
    <pivotField dataField="1" compact="0" outline="0" showAll="0"/>
    <pivotField compact="0" outline="0" showAll="0"/>
    <pivotField dataField="1" compact="0" outline="0" showAll="0"/>
    <pivotField compact="0" outline="0" showAll="0"/>
    <pivotField axis="axisPage" compact="0" outline="0" showAll="0">
      <items count="5">
        <item x="0"/>
        <item x="1"/>
        <item x="2"/>
        <item x="3"/>
        <item t="default"/>
      </items>
    </pivotField>
    <pivotField axis="axisPage" compact="0" outline="0" showAll="0">
      <items count="8">
        <item x="0"/>
        <item x="1"/>
        <item x="2"/>
        <item x="3"/>
        <item x="6"/>
        <item x="4"/>
        <item x="5"/>
        <item t="default"/>
      </items>
    </pivotField>
  </pivotFields>
  <rowFields count="2">
    <field x="0"/>
    <field x="1"/>
  </rowFields>
  <rowItems count="1">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1" baseItem="4"/>
  </dataFields>
  <chartFormats count="41">
    <chartFormat chart="0" format="103" series="1">
      <pivotArea type="data" outline="0" fieldPosition="0">
        <references count="1">
          <reference field="4294967294" count="1" selected="0">
            <x v="0"/>
          </reference>
        </references>
      </pivotArea>
    </chartFormat>
    <chartFormat chart="0" format="104" series="1">
      <pivotArea type="data" outline="0" fieldPosition="0">
        <references count="1">
          <reference field="4294967294" count="1" selected="0">
            <x v="1"/>
          </reference>
        </references>
      </pivotArea>
    </chartFormat>
    <chartFormat chart="0" format="106">
      <pivotArea type="data" outline="0" fieldPosition="0">
        <references count="3">
          <reference field="4294967294" count="1" selected="0">
            <x v="0"/>
          </reference>
          <reference field="0" count="1" selected="0">
            <x v="0"/>
          </reference>
          <reference field="1" count="1" selected="0">
            <x v="3"/>
          </reference>
        </references>
      </pivotArea>
    </chartFormat>
    <chartFormat chart="0" format="107">
      <pivotArea type="data" outline="0" fieldPosition="0">
        <references count="3">
          <reference field="4294967294" count="1" selected="0">
            <x v="0"/>
          </reference>
          <reference field="0" count="1" selected="0">
            <x v="0"/>
          </reference>
          <reference field="1" count="1" selected="0">
            <x v="4"/>
          </reference>
        </references>
      </pivotArea>
    </chartFormat>
    <chartFormat chart="0" format="108">
      <pivotArea type="data" outline="0" fieldPosition="0">
        <references count="3">
          <reference field="4294967294" count="1" selected="0">
            <x v="0"/>
          </reference>
          <reference field="0" count="1" selected="0">
            <x v="0"/>
          </reference>
          <reference field="1" count="1" selected="0">
            <x v="5"/>
          </reference>
        </references>
      </pivotArea>
    </chartFormat>
    <chartFormat chart="0" format="109">
      <pivotArea type="data" outline="0" fieldPosition="0">
        <references count="3">
          <reference field="4294967294" count="1" selected="0">
            <x v="0"/>
          </reference>
          <reference field="0" count="1" selected="0">
            <x v="0"/>
          </reference>
          <reference field="1" count="1" selected="0">
            <x v="6"/>
          </reference>
        </references>
      </pivotArea>
    </chartFormat>
    <chartFormat chart="0" format="110">
      <pivotArea type="data" outline="0" fieldPosition="0">
        <references count="3">
          <reference field="4294967294" count="1" selected="0">
            <x v="0"/>
          </reference>
          <reference field="0" count="1" selected="0">
            <x v="0"/>
          </reference>
          <reference field="1" count="1" selected="0">
            <x v="7"/>
          </reference>
        </references>
      </pivotArea>
    </chartFormat>
    <chartFormat chart="0" format="111">
      <pivotArea type="data" outline="0" fieldPosition="0">
        <references count="3">
          <reference field="4294967294" count="1" selected="0">
            <x v="0"/>
          </reference>
          <reference field="0" count="1" selected="0">
            <x v="0"/>
          </reference>
          <reference field="1" count="1" selected="0">
            <x v="8"/>
          </reference>
        </references>
      </pivotArea>
    </chartFormat>
    <chartFormat chart="0" format="112">
      <pivotArea type="data" outline="0" fieldPosition="0">
        <references count="3">
          <reference field="4294967294" count="1" selected="0">
            <x v="0"/>
          </reference>
          <reference field="0" count="1" selected="0">
            <x v="0"/>
          </reference>
          <reference field="1" count="1" selected="0">
            <x v="9"/>
          </reference>
        </references>
      </pivotArea>
    </chartFormat>
    <chartFormat chart="0" format="113">
      <pivotArea type="data" outline="0" fieldPosition="0">
        <references count="3">
          <reference field="4294967294" count="1" selected="0">
            <x v="0"/>
          </reference>
          <reference field="0" count="1" selected="0">
            <x v="0"/>
          </reference>
          <reference field="1" count="1" selected="0">
            <x v="10"/>
          </reference>
        </references>
      </pivotArea>
    </chartFormat>
    <chartFormat chart="0" format="114">
      <pivotArea type="data" outline="0" fieldPosition="0">
        <references count="3">
          <reference field="4294967294" count="1" selected="0">
            <x v="0"/>
          </reference>
          <reference field="0" count="1" selected="0">
            <x v="0"/>
          </reference>
          <reference field="1" count="1" selected="0">
            <x v="11"/>
          </reference>
        </references>
      </pivotArea>
    </chartFormat>
    <chartFormat chart="0" format="115">
      <pivotArea type="data" outline="0" fieldPosition="0">
        <references count="3">
          <reference field="4294967294" count="1" selected="0">
            <x v="0"/>
          </reference>
          <reference field="0" count="1" selected="0">
            <x v="0"/>
          </reference>
          <reference field="1" count="1" selected="0">
            <x v="12"/>
          </reference>
        </references>
      </pivotArea>
    </chartFormat>
    <chartFormat chart="0" format="116">
      <pivotArea type="data" outline="0" fieldPosition="0">
        <references count="3">
          <reference field="4294967294" count="1" selected="0">
            <x v="0"/>
          </reference>
          <reference field="0" count="1" selected="0">
            <x v="0"/>
          </reference>
          <reference field="1" count="1" selected="0">
            <x v="13"/>
          </reference>
        </references>
      </pivotArea>
    </chartFormat>
    <chartFormat chart="0" format="117">
      <pivotArea type="data" outline="0" fieldPosition="0">
        <references count="3">
          <reference field="4294967294" count="1" selected="0">
            <x v="0"/>
          </reference>
          <reference field="0" count="1" selected="0">
            <x v="0"/>
          </reference>
          <reference field="1" count="1" selected="0">
            <x v="14"/>
          </reference>
        </references>
      </pivotArea>
    </chartFormat>
    <chartFormat chart="0" format="118">
      <pivotArea type="data" outline="0" fieldPosition="0">
        <references count="3">
          <reference field="4294967294" count="1" selected="0">
            <x v="0"/>
          </reference>
          <reference field="0" count="1" selected="0">
            <x v="0"/>
          </reference>
          <reference field="1" count="1" selected="0">
            <x v="15"/>
          </reference>
        </references>
      </pivotArea>
    </chartFormat>
    <chartFormat chart="0" format="119">
      <pivotArea type="data" outline="0" fieldPosition="0">
        <references count="3">
          <reference field="4294967294" count="1" selected="0">
            <x v="0"/>
          </reference>
          <reference field="0" count="1" selected="0">
            <x v="0"/>
          </reference>
          <reference field="1" count="1" selected="0">
            <x v="16"/>
          </reference>
        </references>
      </pivotArea>
    </chartFormat>
    <chartFormat chart="0" format="120">
      <pivotArea type="data" outline="0" fieldPosition="0">
        <references count="3">
          <reference field="4294967294" count="1" selected="0">
            <x v="0"/>
          </reference>
          <reference field="0" count="1" selected="0">
            <x v="0"/>
          </reference>
          <reference field="1" count="1" selected="0">
            <x v="17"/>
          </reference>
        </references>
      </pivotArea>
    </chartFormat>
    <chartFormat chart="0" format="121">
      <pivotArea type="data" outline="0" fieldPosition="0">
        <references count="3">
          <reference field="4294967294" count="1" selected="0">
            <x v="0"/>
          </reference>
          <reference field="0" count="1" selected="0">
            <x v="0"/>
          </reference>
          <reference field="1" count="1" selected="0">
            <x v="18"/>
          </reference>
        </references>
      </pivotArea>
    </chartFormat>
    <chartFormat chart="0" format="122">
      <pivotArea type="data" outline="0" fieldPosition="0">
        <references count="3">
          <reference field="4294967294" count="1" selected="0">
            <x v="0"/>
          </reference>
          <reference field="0" count="1" selected="0">
            <x v="0"/>
          </reference>
          <reference field="1" count="1" selected="0">
            <x v="19"/>
          </reference>
        </references>
      </pivotArea>
    </chartFormat>
    <chartFormat chart="0" format="123">
      <pivotArea type="data" outline="0" fieldPosition="0">
        <references count="1">
          <reference field="4294967294" count="1" selected="0">
            <x v="0"/>
          </reference>
        </references>
      </pivotArea>
    </chartFormat>
    <chartFormat chart="0" format="124">
      <pivotArea type="data" outline="0" fieldPosition="0">
        <references count="3">
          <reference field="4294967294" count="1" selected="0">
            <x v="0"/>
          </reference>
          <reference field="0" count="1" selected="0">
            <x v="2"/>
          </reference>
          <reference field="1" count="1" selected="0">
            <x v="20"/>
          </reference>
        </references>
      </pivotArea>
    </chartFormat>
    <chartFormat chart="0" format="125">
      <pivotArea type="data" outline="0" fieldPosition="0">
        <references count="3">
          <reference field="4294967294" count="1" selected="0">
            <x v="2"/>
          </reference>
          <reference field="0" count="1" selected="0">
            <x v="0"/>
          </reference>
          <reference field="1" count="1" selected="0">
            <x v="3"/>
          </reference>
        </references>
      </pivotArea>
    </chartFormat>
    <chartFormat chart="0" format="126">
      <pivotArea type="data" outline="0" fieldPosition="0">
        <references count="3">
          <reference field="4294967294" count="1" selected="0">
            <x v="2"/>
          </reference>
          <reference field="0" count="1" selected="0">
            <x v="0"/>
          </reference>
          <reference field="1" count="1" selected="0">
            <x v="4"/>
          </reference>
        </references>
      </pivotArea>
    </chartFormat>
    <chartFormat chart="0" format="127">
      <pivotArea type="data" outline="0" fieldPosition="0">
        <references count="3">
          <reference field="4294967294" count="1" selected="0">
            <x v="2"/>
          </reference>
          <reference field="0" count="1" selected="0">
            <x v="0"/>
          </reference>
          <reference field="1" count="1" selected="0">
            <x v="5"/>
          </reference>
        </references>
      </pivotArea>
    </chartFormat>
    <chartFormat chart="0" format="128">
      <pivotArea type="data" outline="0" fieldPosition="0">
        <references count="3">
          <reference field="4294967294" count="1" selected="0">
            <x v="2"/>
          </reference>
          <reference field="0" count="1" selected="0">
            <x v="0"/>
          </reference>
          <reference field="1" count="1" selected="0">
            <x v="6"/>
          </reference>
        </references>
      </pivotArea>
    </chartFormat>
    <chartFormat chart="0" format="129">
      <pivotArea type="data" outline="0" fieldPosition="0">
        <references count="3">
          <reference field="4294967294" count="1" selected="0">
            <x v="2"/>
          </reference>
          <reference field="0" count="1" selected="0">
            <x v="0"/>
          </reference>
          <reference field="1" count="1" selected="0">
            <x v="7"/>
          </reference>
        </references>
      </pivotArea>
    </chartFormat>
    <chartFormat chart="0" format="130">
      <pivotArea type="data" outline="0" fieldPosition="0">
        <references count="3">
          <reference field="4294967294" count="1" selected="0">
            <x v="2"/>
          </reference>
          <reference field="0" count="1" selected="0">
            <x v="0"/>
          </reference>
          <reference field="1" count="1" selected="0">
            <x v="8"/>
          </reference>
        </references>
      </pivotArea>
    </chartFormat>
    <chartFormat chart="0" format="131">
      <pivotArea type="data" outline="0" fieldPosition="0">
        <references count="3">
          <reference field="4294967294" count="1" selected="0">
            <x v="2"/>
          </reference>
          <reference field="0" count="1" selected="0">
            <x v="0"/>
          </reference>
          <reference field="1" count="1" selected="0">
            <x v="9"/>
          </reference>
        </references>
      </pivotArea>
    </chartFormat>
    <chartFormat chart="0" format="132">
      <pivotArea type="data" outline="0" fieldPosition="0">
        <references count="3">
          <reference field="4294967294" count="1" selected="0">
            <x v="2"/>
          </reference>
          <reference field="0" count="1" selected="0">
            <x v="0"/>
          </reference>
          <reference field="1" count="1" selected="0">
            <x v="10"/>
          </reference>
        </references>
      </pivotArea>
    </chartFormat>
    <chartFormat chart="0" format="133">
      <pivotArea type="data" outline="0" fieldPosition="0">
        <references count="3">
          <reference field="4294967294" count="1" selected="0">
            <x v="2"/>
          </reference>
          <reference field="0" count="1" selected="0">
            <x v="0"/>
          </reference>
          <reference field="1" count="1" selected="0">
            <x v="11"/>
          </reference>
        </references>
      </pivotArea>
    </chartFormat>
    <chartFormat chart="0" format="134">
      <pivotArea type="data" outline="0" fieldPosition="0">
        <references count="3">
          <reference field="4294967294" count="1" selected="0">
            <x v="2"/>
          </reference>
          <reference field="0" count="1" selected="0">
            <x v="0"/>
          </reference>
          <reference field="1" count="1" selected="0">
            <x v="12"/>
          </reference>
        </references>
      </pivotArea>
    </chartFormat>
    <chartFormat chart="0" format="135">
      <pivotArea type="data" outline="0" fieldPosition="0">
        <references count="3">
          <reference field="4294967294" count="1" selected="0">
            <x v="2"/>
          </reference>
          <reference field="0" count="1" selected="0">
            <x v="0"/>
          </reference>
          <reference field="1" count="1" selected="0">
            <x v="13"/>
          </reference>
        </references>
      </pivotArea>
    </chartFormat>
    <chartFormat chart="0" format="136">
      <pivotArea type="data" outline="0" fieldPosition="0">
        <references count="3">
          <reference field="4294967294" count="1" selected="0">
            <x v="2"/>
          </reference>
          <reference field="0" count="1" selected="0">
            <x v="0"/>
          </reference>
          <reference field="1" count="1" selected="0">
            <x v="14"/>
          </reference>
        </references>
      </pivotArea>
    </chartFormat>
    <chartFormat chart="0" format="137">
      <pivotArea type="data" outline="0" fieldPosition="0">
        <references count="3">
          <reference field="4294967294" count="1" selected="0">
            <x v="2"/>
          </reference>
          <reference field="0" count="1" selected="0">
            <x v="0"/>
          </reference>
          <reference field="1" count="1" selected="0">
            <x v="15"/>
          </reference>
        </references>
      </pivotArea>
    </chartFormat>
    <chartFormat chart="0" format="138">
      <pivotArea type="data" outline="0" fieldPosition="0">
        <references count="3">
          <reference field="4294967294" count="1" selected="0">
            <x v="2"/>
          </reference>
          <reference field="0" count="1" selected="0">
            <x v="0"/>
          </reference>
          <reference field="1" count="1" selected="0">
            <x v="16"/>
          </reference>
        </references>
      </pivotArea>
    </chartFormat>
    <chartFormat chart="0" format="139">
      <pivotArea type="data" outline="0" fieldPosition="0">
        <references count="3">
          <reference field="4294967294" count="1" selected="0">
            <x v="2"/>
          </reference>
          <reference field="0" count="1" selected="0">
            <x v="0"/>
          </reference>
          <reference field="1" count="1" selected="0">
            <x v="17"/>
          </reference>
        </references>
      </pivotArea>
    </chartFormat>
    <chartFormat chart="0" format="140">
      <pivotArea type="data" outline="0" fieldPosition="0">
        <references count="3">
          <reference field="4294967294" count="1" selected="0">
            <x v="2"/>
          </reference>
          <reference field="0" count="1" selected="0">
            <x v="0"/>
          </reference>
          <reference field="1" count="1" selected="0">
            <x v="18"/>
          </reference>
        </references>
      </pivotArea>
    </chartFormat>
    <chartFormat chart="0" format="141">
      <pivotArea type="data" outline="0" fieldPosition="0">
        <references count="3">
          <reference field="4294967294" count="1" selected="0">
            <x v="2"/>
          </reference>
          <reference field="0" count="1" selected="0">
            <x v="0"/>
          </reference>
          <reference field="1" count="1" selected="0">
            <x v="19"/>
          </reference>
        </references>
      </pivotArea>
    </chartFormat>
    <chartFormat chart="0" format="142">
      <pivotArea type="data" outline="0" fieldPosition="0">
        <references count="3">
          <reference field="4294967294" count="1" selected="0">
            <x v="2"/>
          </reference>
          <reference field="0" count="1" selected="0">
            <x v="2"/>
          </reference>
          <reference field="1" count="1" selected="0">
            <x v="20"/>
          </reference>
        </references>
      </pivotArea>
    </chartFormat>
    <chartFormat chart="0" format="143" series="1">
      <pivotArea type="data" outline="0" fieldPosition="0">
        <references count="1">
          <reference field="4294967294" count="1" selected="0">
            <x v="2"/>
          </reference>
        </references>
      </pivotArea>
    </chartFormat>
    <chartFormat chart="0" format="144">
      <pivotArea type="data" outline="0" fieldPosition="0">
        <references count="1">
          <reference field="4294967294" count="1" selected="0">
            <x v="2"/>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C00-000000000000}" name="pt.lvl3_generic_4" cacheId="1"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8" firstHeaderRow="0" firstDataRow="1" firstDataCol="2" rowPageCount="5" colPageCount="1"/>
  <pivotFields count="13">
    <pivotField axis="axisRow" compact="0" outline="0" showAll="0" defaultSubtotal="0">
      <items count="4">
        <item x="0"/>
        <item x="1"/>
        <item x="3"/>
        <item x="2"/>
      </items>
    </pivotField>
    <pivotField axis="axisRow" compact="0" outline="0" showAll="0">
      <items count="29">
        <item x="0"/>
        <item x="1"/>
        <item x="19"/>
        <item x="2"/>
        <item x="3"/>
        <item x="4"/>
        <item x="5"/>
        <item x="6"/>
        <item x="7"/>
        <item x="8"/>
        <item x="9"/>
        <item x="10"/>
        <item x="11"/>
        <item x="12"/>
        <item x="13"/>
        <item x="14"/>
        <item x="15"/>
        <item x="16"/>
        <item x="17"/>
        <item x="18"/>
        <item x="27"/>
        <item x="20"/>
        <item x="21"/>
        <item x="22"/>
        <item x="23"/>
        <item x="24"/>
        <item x="25"/>
        <item x="26"/>
        <item t="default"/>
      </items>
    </pivotField>
    <pivotField compact="0" outline="0" showAll="0">
      <items count="6">
        <item x="4"/>
        <item x="0"/>
        <item x="3"/>
        <item x="1"/>
        <item x="2"/>
        <item t="default"/>
      </items>
    </pivotField>
    <pivotField axis="axisPage" compact="0" outline="0" multipleItemSelectionAllowed="1" showAll="0">
      <items count="4">
        <item h="1" x="2"/>
        <item h="1" x="0"/>
        <item x="1"/>
        <item t="default"/>
      </items>
    </pivotField>
    <pivotField axis="axisPage" compact="0" outline="0" multipleItemSelectionAllowed="1" showAll="0">
      <items count="12">
        <item x="10"/>
        <item h="1" x="7"/>
        <item h="1" x="0"/>
        <item h="1" x="4"/>
        <item h="1" x="6"/>
        <item h="1" x="2"/>
        <item h="1" x="5"/>
        <item h="1" x="3"/>
        <item h="1" x="1"/>
        <item h="1" x="8"/>
        <item h="1" x="9"/>
        <item t="default"/>
      </items>
    </pivotField>
    <pivotField axis="axisPage" compact="0" outline="0" multipleItemSelectionAllowed="1" showAll="0">
      <items count="4">
        <item h="1" x="2"/>
        <item h="1" x="0"/>
        <item x="1"/>
        <item t="default"/>
      </items>
    </pivotField>
    <pivotField dataField="1" compact="0" outline="0" showAll="0"/>
    <pivotField dataField="1" compact="0" outline="0" showAll="0"/>
    <pivotField compact="0" outline="0" showAll="0"/>
    <pivotField dataField="1" compact="0" outline="0" showAll="0"/>
    <pivotField compact="0" outline="0" showAll="0"/>
    <pivotField axis="axisPage" compact="0" outline="0" showAll="0">
      <items count="5">
        <item x="3"/>
        <item x="0"/>
        <item x="1"/>
        <item x="2"/>
        <item t="default"/>
      </items>
    </pivotField>
    <pivotField axis="axisPage" compact="0" outline="0" showAll="0">
      <items count="8">
        <item x="6"/>
        <item x="0"/>
        <item x="1"/>
        <item x="2"/>
        <item x="3"/>
        <item x="4"/>
        <item x="5"/>
        <item t="default"/>
      </items>
    </pivotField>
  </pivotFields>
  <rowFields count="2">
    <field x="0"/>
    <field x="1"/>
  </rowFields>
  <rowItems count="1">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0" baseItem="0"/>
  </dataFields>
  <chartFormats count="11">
    <chartFormat chart="0" format="15" series="1">
      <pivotArea type="data" outline="0" fieldPosition="0">
        <references count="1">
          <reference field="4294967294" count="1" selected="0">
            <x v="0"/>
          </reference>
        </references>
      </pivotArea>
    </chartFormat>
    <chartFormat chart="0" format="16" series="1">
      <pivotArea type="data" outline="0" fieldPosition="0">
        <references count="1">
          <reference field="4294967294" count="1" selected="0">
            <x v="1"/>
          </reference>
        </references>
      </pivotArea>
    </chartFormat>
    <chartFormat chart="0" format="17" series="1">
      <pivotArea type="data" outline="0" fieldPosition="0">
        <references count="1">
          <reference field="4294967294" count="1" selected="0">
            <x v="2"/>
          </reference>
        </references>
      </pivotArea>
    </chartFormat>
    <chartFormat chart="0" format="18">
      <pivotArea type="data" outline="0" fieldPosition="0">
        <references count="3">
          <reference field="4294967294" count="1" selected="0">
            <x v="0"/>
          </reference>
          <reference field="0" count="1" selected="0">
            <x v="0"/>
          </reference>
          <reference field="1" count="1" selected="0">
            <x v="4"/>
          </reference>
        </references>
      </pivotArea>
    </chartFormat>
    <chartFormat chart="0" format="19">
      <pivotArea type="data" outline="0" fieldPosition="0">
        <references count="3">
          <reference field="4294967294" count="1" selected="0">
            <x v="0"/>
          </reference>
          <reference field="0" count="1" selected="0">
            <x v="0"/>
          </reference>
          <reference field="1" count="1" selected="0">
            <x v="9"/>
          </reference>
        </references>
      </pivotArea>
    </chartFormat>
    <chartFormat chart="0" format="20">
      <pivotArea type="data" outline="0" fieldPosition="0">
        <references count="3">
          <reference field="4294967294" count="1" selected="0">
            <x v="2"/>
          </reference>
          <reference field="0" count="1" selected="0">
            <x v="0"/>
          </reference>
          <reference field="1" count="1" selected="0">
            <x v="4"/>
          </reference>
        </references>
      </pivotArea>
    </chartFormat>
    <chartFormat chart="0" format="21">
      <pivotArea type="data" outline="0" fieldPosition="0">
        <references count="3">
          <reference field="4294967294" count="1" selected="0">
            <x v="2"/>
          </reference>
          <reference field="0" count="1" selected="0">
            <x v="0"/>
          </reference>
          <reference field="1" count="1" selected="0">
            <x v="9"/>
          </reference>
        </references>
      </pivotArea>
    </chartFormat>
    <chartFormat chart="0" format="22">
      <pivotArea type="data" outline="0" fieldPosition="0">
        <references count="3">
          <reference field="4294967294" count="1" selected="0">
            <x v="0"/>
          </reference>
          <reference field="0" count="1" selected="0">
            <x v="2"/>
          </reference>
          <reference field="1" count="1" selected="0">
            <x v="20"/>
          </reference>
        </references>
      </pivotArea>
    </chartFormat>
    <chartFormat chart="0" format="23">
      <pivotArea type="data" outline="0" fieldPosition="0">
        <references count="3">
          <reference field="4294967294" count="1" selected="0">
            <x v="2"/>
          </reference>
          <reference field="0" count="1" selected="0">
            <x v="2"/>
          </reference>
          <reference field="1" count="1" selected="0">
            <x v="20"/>
          </reference>
        </references>
      </pivotArea>
    </chartFormat>
    <chartFormat chart="0" format="24">
      <pivotArea type="data" outline="0" fieldPosition="0">
        <references count="1">
          <reference field="4294967294" count="1" selected="0">
            <x v="0"/>
          </reference>
        </references>
      </pivotArea>
    </chartFormat>
    <chartFormat chart="0" format="25">
      <pivotArea type="data" outline="0" fieldPosition="0">
        <references count="1">
          <reference field="4294967294" count="1" selected="0">
            <x v="2"/>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pt.lvl3_generic_5" cacheId="1"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10" firstHeaderRow="0" firstDataRow="1" firstDataCol="2" rowPageCount="5" colPageCount="1"/>
  <pivotFields count="13">
    <pivotField axis="axisRow" compact="0" outline="0" showAll="0" defaultSubtotal="0">
      <items count="4">
        <item x="0"/>
        <item x="1"/>
        <item x="3"/>
        <item x="2"/>
      </items>
    </pivotField>
    <pivotField axis="axisRow" compact="0" outline="0" showAll="0">
      <items count="29">
        <item x="0"/>
        <item x="1"/>
        <item x="19"/>
        <item x="2"/>
        <item x="3"/>
        <item x="4"/>
        <item x="5"/>
        <item x="6"/>
        <item x="7"/>
        <item x="8"/>
        <item x="9"/>
        <item x="10"/>
        <item x="11"/>
        <item x="12"/>
        <item x="13"/>
        <item x="14"/>
        <item x="15"/>
        <item x="16"/>
        <item x="17"/>
        <item x="18"/>
        <item x="27"/>
        <item x="20"/>
        <item x="21"/>
        <item x="22"/>
        <item x="23"/>
        <item x="24"/>
        <item x="25"/>
        <item x="26"/>
        <item t="default"/>
      </items>
    </pivotField>
    <pivotField compact="0" outline="0" showAll="0">
      <items count="6">
        <item x="4"/>
        <item x="0"/>
        <item x="3"/>
        <item x="1"/>
        <item x="2"/>
        <item t="default"/>
      </items>
    </pivotField>
    <pivotField axis="axisPage" compact="0" outline="0" multipleItemSelectionAllowed="1" showAll="0">
      <items count="4">
        <item h="1" x="2"/>
        <item x="0"/>
        <item h="1" x="1"/>
        <item t="default"/>
      </items>
    </pivotField>
    <pivotField axis="axisPage" compact="0" outline="0" multipleItemSelectionAllowed="1" showAll="0">
      <items count="12">
        <item h="1" x="10"/>
        <item h="1" x="7"/>
        <item h="1" x="0"/>
        <item h="1" x="4"/>
        <item h="1" x="6"/>
        <item h="1" x="2"/>
        <item x="5"/>
        <item h="1" x="3"/>
        <item h="1" x="1"/>
        <item h="1" x="8"/>
        <item h="1" x="9"/>
        <item t="default"/>
      </items>
    </pivotField>
    <pivotField axis="axisPage" compact="0" outline="0" multipleItemSelectionAllowed="1" showAll="0">
      <items count="4">
        <item h="1" x="2"/>
        <item x="0"/>
        <item h="1" x="1"/>
        <item t="default"/>
      </items>
    </pivotField>
    <pivotField dataField="1" compact="0" outline="0" showAll="0"/>
    <pivotField dataField="1" compact="0" outline="0" showAll="0"/>
    <pivotField compact="0" outline="0" showAll="0"/>
    <pivotField dataField="1" compact="0" outline="0" showAll="0"/>
    <pivotField compact="0" outline="0" showAll="0"/>
    <pivotField axis="axisPage" compact="0" outline="0" showAll="0">
      <items count="5">
        <item x="3"/>
        <item x="0"/>
        <item x="1"/>
        <item x="2"/>
        <item t="default"/>
      </items>
    </pivotField>
    <pivotField axis="axisPage" compact="0" outline="0" showAll="0">
      <items count="8">
        <item x="6"/>
        <item x="0"/>
        <item x="1"/>
        <item x="2"/>
        <item x="3"/>
        <item x="4"/>
        <item x="5"/>
        <item t="default"/>
      </items>
    </pivotField>
  </pivotFields>
  <rowFields count="2">
    <field x="0"/>
    <field x="1"/>
  </rowFields>
  <rowItems count="3">
    <i>
      <x/>
      <x v="4"/>
    </i>
    <i r="1">
      <x v="9"/>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0" baseItem="0"/>
  </dataFields>
  <chartFormats count="9">
    <chartFormat chart="0" format="15" series="1">
      <pivotArea type="data" outline="0" fieldPosition="0">
        <references count="1">
          <reference field="4294967294" count="1" selected="0">
            <x v="0"/>
          </reference>
        </references>
      </pivotArea>
    </chartFormat>
    <chartFormat chart="0" format="16" series="1">
      <pivotArea type="data" outline="0" fieldPosition="0">
        <references count="1">
          <reference field="4294967294" count="1" selected="0">
            <x v="1"/>
          </reference>
        </references>
      </pivotArea>
    </chartFormat>
    <chartFormat chart="0" format="17" series="1">
      <pivotArea type="data" outline="0" fieldPosition="0">
        <references count="1">
          <reference field="4294967294" count="1" selected="0">
            <x v="2"/>
          </reference>
        </references>
      </pivotArea>
    </chartFormat>
    <chartFormat chart="0" format="18">
      <pivotArea type="data" outline="0" fieldPosition="0">
        <references count="3">
          <reference field="4294967294" count="1" selected="0">
            <x v="0"/>
          </reference>
          <reference field="0" count="1" selected="0">
            <x v="0"/>
          </reference>
          <reference field="1" count="1" selected="0">
            <x v="4"/>
          </reference>
        </references>
      </pivotArea>
    </chartFormat>
    <chartFormat chart="0" format="19">
      <pivotArea type="data" outline="0" fieldPosition="0">
        <references count="3">
          <reference field="4294967294" count="1" selected="0">
            <x v="0"/>
          </reference>
          <reference field="0" count="1" selected="0">
            <x v="0"/>
          </reference>
          <reference field="1" count="1" selected="0">
            <x v="9"/>
          </reference>
        </references>
      </pivotArea>
    </chartFormat>
    <chartFormat chart="0" format="20">
      <pivotArea type="data" outline="0" fieldPosition="0">
        <references count="3">
          <reference field="4294967294" count="1" selected="0">
            <x v="2"/>
          </reference>
          <reference field="0" count="1" selected="0">
            <x v="0"/>
          </reference>
          <reference field="1" count="1" selected="0">
            <x v="4"/>
          </reference>
        </references>
      </pivotArea>
    </chartFormat>
    <chartFormat chart="0" format="21">
      <pivotArea type="data" outline="0" fieldPosition="0">
        <references count="3">
          <reference field="4294967294" count="1" selected="0">
            <x v="2"/>
          </reference>
          <reference field="0" count="1" selected="0">
            <x v="0"/>
          </reference>
          <reference field="1" count="1" selected="0">
            <x v="9"/>
          </reference>
        </references>
      </pivotArea>
    </chartFormat>
    <chartFormat chart="0" format="22">
      <pivotArea type="data" outline="0" fieldPosition="0">
        <references count="1">
          <reference field="4294967294" count="1" selected="0">
            <x v="2"/>
          </reference>
        </references>
      </pivotArea>
    </chartFormat>
    <chartFormat chart="0" format="23">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pt.lvl3_generic_6" cacheId="1"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25" firstHeaderRow="0" firstDataRow="1" firstDataCol="2" rowPageCount="5" colPageCount="1"/>
  <pivotFields count="13">
    <pivotField axis="axisRow" compact="0" outline="0" showAll="0" defaultSubtotal="0">
      <items count="4">
        <item x="0"/>
        <item x="1"/>
        <item x="3"/>
        <item x="2"/>
      </items>
    </pivotField>
    <pivotField axis="axisRow" compact="0" outline="0" showAll="0">
      <items count="29">
        <item x="0"/>
        <item x="1"/>
        <item x="19"/>
        <item x="2"/>
        <item x="3"/>
        <item x="4"/>
        <item x="5"/>
        <item x="6"/>
        <item x="7"/>
        <item x="8"/>
        <item x="9"/>
        <item x="10"/>
        <item x="11"/>
        <item x="12"/>
        <item x="13"/>
        <item x="14"/>
        <item x="15"/>
        <item x="16"/>
        <item x="17"/>
        <item x="18"/>
        <item x="27"/>
        <item x="20"/>
        <item x="21"/>
        <item x="22"/>
        <item x="23"/>
        <item x="24"/>
        <item x="25"/>
        <item x="26"/>
        <item t="default"/>
      </items>
    </pivotField>
    <pivotField compact="0" outline="0" showAll="0">
      <items count="6">
        <item x="4"/>
        <item x="0"/>
        <item x="3"/>
        <item x="1"/>
        <item x="2"/>
        <item t="default"/>
      </items>
    </pivotField>
    <pivotField axis="axisPage" compact="0" outline="0" multipleItemSelectionAllowed="1" showAll="0">
      <items count="4">
        <item h="1" x="2"/>
        <item x="0"/>
        <item h="1" x="1"/>
        <item t="default"/>
      </items>
    </pivotField>
    <pivotField axis="axisPage" compact="0" outline="0" multipleItemSelectionAllowed="1" showAll="0">
      <items count="12">
        <item h="1" x="10"/>
        <item x="7"/>
        <item h="1" x="0"/>
        <item h="1" x="4"/>
        <item h="1" x="6"/>
        <item h="1" x="2"/>
        <item h="1" x="5"/>
        <item h="1" x="3"/>
        <item h="1" x="1"/>
        <item h="1" x="8"/>
        <item h="1" x="9"/>
        <item t="default"/>
      </items>
    </pivotField>
    <pivotField axis="axisPage" compact="0" outline="0" multipleItemSelectionAllowed="1" showAll="0">
      <items count="4">
        <item h="1" x="2"/>
        <item x="0"/>
        <item h="1" x="1"/>
        <item t="default"/>
      </items>
    </pivotField>
    <pivotField dataField="1" compact="0" outline="0" showAll="0"/>
    <pivotField dataField="1" compact="0" outline="0" showAll="0"/>
    <pivotField compact="0" outline="0" showAll="0"/>
    <pivotField dataField="1" compact="0" outline="0" showAll="0"/>
    <pivotField compact="0" outline="0" showAll="0"/>
    <pivotField axis="axisPage" compact="0" outline="0" showAll="0">
      <items count="5">
        <item x="3"/>
        <item x="0"/>
        <item x="1"/>
        <item x="2"/>
        <item t="default"/>
      </items>
    </pivotField>
    <pivotField axis="axisPage" compact="0" outline="0" showAll="0">
      <items count="8">
        <item x="6"/>
        <item x="0"/>
        <item x="1"/>
        <item x="2"/>
        <item x="3"/>
        <item x="4"/>
        <item x="5"/>
        <item t="default"/>
      </items>
    </pivotField>
  </pivotFields>
  <rowFields count="2">
    <field x="0"/>
    <field x="1"/>
  </rowFields>
  <rowItems count="18">
    <i>
      <x/>
      <x v="3"/>
    </i>
    <i r="1">
      <x v="4"/>
    </i>
    <i r="1">
      <x v="5"/>
    </i>
    <i r="1">
      <x v="6"/>
    </i>
    <i r="1">
      <x v="7"/>
    </i>
    <i r="1">
      <x v="8"/>
    </i>
    <i r="1">
      <x v="9"/>
    </i>
    <i r="1">
      <x v="10"/>
    </i>
    <i r="1">
      <x v="11"/>
    </i>
    <i r="1">
      <x v="12"/>
    </i>
    <i r="1">
      <x v="13"/>
    </i>
    <i r="1">
      <x v="14"/>
    </i>
    <i r="1">
      <x v="15"/>
    </i>
    <i r="1">
      <x v="16"/>
    </i>
    <i r="1">
      <x v="17"/>
    </i>
    <i r="1">
      <x v="18"/>
    </i>
    <i r="1">
      <x v="19"/>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0" baseItem="0"/>
  </dataFields>
  <chartFormats count="39">
    <chartFormat chart="0" format="103" series="1">
      <pivotArea type="data" outline="0" fieldPosition="0">
        <references count="1">
          <reference field="4294967294" count="1" selected="0">
            <x v="0"/>
          </reference>
        </references>
      </pivotArea>
    </chartFormat>
    <chartFormat chart="0" format="104" series="1">
      <pivotArea type="data" outline="0" fieldPosition="0">
        <references count="1">
          <reference field="4294967294" count="1" selected="0">
            <x v="1"/>
          </reference>
        </references>
      </pivotArea>
    </chartFormat>
    <chartFormat chart="0" format="105" series="1">
      <pivotArea type="data" outline="0" fieldPosition="0">
        <references count="1">
          <reference field="4294967294" count="1" selected="0">
            <x v="2"/>
          </reference>
        </references>
      </pivotArea>
    </chartFormat>
    <chartFormat chart="0" format="106">
      <pivotArea type="data" outline="0" fieldPosition="0">
        <references count="3">
          <reference field="4294967294" count="1" selected="0">
            <x v="0"/>
          </reference>
          <reference field="0" count="1" selected="0">
            <x v="0"/>
          </reference>
          <reference field="1" count="1" selected="0">
            <x v="3"/>
          </reference>
        </references>
      </pivotArea>
    </chartFormat>
    <chartFormat chart="0" format="107">
      <pivotArea type="data" outline="0" fieldPosition="0">
        <references count="3">
          <reference field="4294967294" count="1" selected="0">
            <x v="0"/>
          </reference>
          <reference field="0" count="1" selected="0">
            <x v="0"/>
          </reference>
          <reference field="1" count="1" selected="0">
            <x v="4"/>
          </reference>
        </references>
      </pivotArea>
    </chartFormat>
    <chartFormat chart="0" format="108">
      <pivotArea type="data" outline="0" fieldPosition="0">
        <references count="3">
          <reference field="4294967294" count="1" selected="0">
            <x v="0"/>
          </reference>
          <reference field="0" count="1" selected="0">
            <x v="0"/>
          </reference>
          <reference field="1" count="1" selected="0">
            <x v="5"/>
          </reference>
        </references>
      </pivotArea>
    </chartFormat>
    <chartFormat chart="0" format="109">
      <pivotArea type="data" outline="0" fieldPosition="0">
        <references count="3">
          <reference field="4294967294" count="1" selected="0">
            <x v="0"/>
          </reference>
          <reference field="0" count="1" selected="0">
            <x v="0"/>
          </reference>
          <reference field="1" count="1" selected="0">
            <x v="6"/>
          </reference>
        </references>
      </pivotArea>
    </chartFormat>
    <chartFormat chart="0" format="110">
      <pivotArea type="data" outline="0" fieldPosition="0">
        <references count="3">
          <reference field="4294967294" count="1" selected="0">
            <x v="0"/>
          </reference>
          <reference field="0" count="1" selected="0">
            <x v="0"/>
          </reference>
          <reference field="1" count="1" selected="0">
            <x v="7"/>
          </reference>
        </references>
      </pivotArea>
    </chartFormat>
    <chartFormat chart="0" format="111">
      <pivotArea type="data" outline="0" fieldPosition="0">
        <references count="3">
          <reference field="4294967294" count="1" selected="0">
            <x v="0"/>
          </reference>
          <reference field="0" count="1" selected="0">
            <x v="0"/>
          </reference>
          <reference field="1" count="1" selected="0">
            <x v="8"/>
          </reference>
        </references>
      </pivotArea>
    </chartFormat>
    <chartFormat chart="0" format="112">
      <pivotArea type="data" outline="0" fieldPosition="0">
        <references count="3">
          <reference field="4294967294" count="1" selected="0">
            <x v="0"/>
          </reference>
          <reference field="0" count="1" selected="0">
            <x v="0"/>
          </reference>
          <reference field="1" count="1" selected="0">
            <x v="9"/>
          </reference>
        </references>
      </pivotArea>
    </chartFormat>
    <chartFormat chart="0" format="113">
      <pivotArea type="data" outline="0" fieldPosition="0">
        <references count="3">
          <reference field="4294967294" count="1" selected="0">
            <x v="0"/>
          </reference>
          <reference field="0" count="1" selected="0">
            <x v="0"/>
          </reference>
          <reference field="1" count="1" selected="0">
            <x v="10"/>
          </reference>
        </references>
      </pivotArea>
    </chartFormat>
    <chartFormat chart="0" format="114">
      <pivotArea type="data" outline="0" fieldPosition="0">
        <references count="3">
          <reference field="4294967294" count="1" selected="0">
            <x v="0"/>
          </reference>
          <reference field="0" count="1" selected="0">
            <x v="0"/>
          </reference>
          <reference field="1" count="1" selected="0">
            <x v="11"/>
          </reference>
        </references>
      </pivotArea>
    </chartFormat>
    <chartFormat chart="0" format="115">
      <pivotArea type="data" outline="0" fieldPosition="0">
        <references count="3">
          <reference field="4294967294" count="1" selected="0">
            <x v="0"/>
          </reference>
          <reference field="0" count="1" selected="0">
            <x v="0"/>
          </reference>
          <reference field="1" count="1" selected="0">
            <x v="12"/>
          </reference>
        </references>
      </pivotArea>
    </chartFormat>
    <chartFormat chart="0" format="116">
      <pivotArea type="data" outline="0" fieldPosition="0">
        <references count="3">
          <reference field="4294967294" count="1" selected="0">
            <x v="0"/>
          </reference>
          <reference field="0" count="1" selected="0">
            <x v="0"/>
          </reference>
          <reference field="1" count="1" selected="0">
            <x v="13"/>
          </reference>
        </references>
      </pivotArea>
    </chartFormat>
    <chartFormat chart="0" format="117">
      <pivotArea type="data" outline="0" fieldPosition="0">
        <references count="3">
          <reference field="4294967294" count="1" selected="0">
            <x v="0"/>
          </reference>
          <reference field="0" count="1" selected="0">
            <x v="0"/>
          </reference>
          <reference field="1" count="1" selected="0">
            <x v="14"/>
          </reference>
        </references>
      </pivotArea>
    </chartFormat>
    <chartFormat chart="0" format="118">
      <pivotArea type="data" outline="0" fieldPosition="0">
        <references count="3">
          <reference field="4294967294" count="1" selected="0">
            <x v="0"/>
          </reference>
          <reference field="0" count="1" selected="0">
            <x v="0"/>
          </reference>
          <reference field="1" count="1" selected="0">
            <x v="15"/>
          </reference>
        </references>
      </pivotArea>
    </chartFormat>
    <chartFormat chart="0" format="119">
      <pivotArea type="data" outline="0" fieldPosition="0">
        <references count="3">
          <reference field="4294967294" count="1" selected="0">
            <x v="0"/>
          </reference>
          <reference field="0" count="1" selected="0">
            <x v="0"/>
          </reference>
          <reference field="1" count="1" selected="0">
            <x v="16"/>
          </reference>
        </references>
      </pivotArea>
    </chartFormat>
    <chartFormat chart="0" format="120">
      <pivotArea type="data" outline="0" fieldPosition="0">
        <references count="3">
          <reference field="4294967294" count="1" selected="0">
            <x v="0"/>
          </reference>
          <reference field="0" count="1" selected="0">
            <x v="0"/>
          </reference>
          <reference field="1" count="1" selected="0">
            <x v="17"/>
          </reference>
        </references>
      </pivotArea>
    </chartFormat>
    <chartFormat chart="0" format="121">
      <pivotArea type="data" outline="0" fieldPosition="0">
        <references count="3">
          <reference field="4294967294" count="1" selected="0">
            <x v="0"/>
          </reference>
          <reference field="0" count="1" selected="0">
            <x v="0"/>
          </reference>
          <reference field="1" count="1" selected="0">
            <x v="18"/>
          </reference>
        </references>
      </pivotArea>
    </chartFormat>
    <chartFormat chart="0" format="122">
      <pivotArea type="data" outline="0" fieldPosition="0">
        <references count="3">
          <reference field="4294967294" count="1" selected="0">
            <x v="0"/>
          </reference>
          <reference field="0" count="1" selected="0">
            <x v="0"/>
          </reference>
          <reference field="1" count="1" selected="0">
            <x v="19"/>
          </reference>
        </references>
      </pivotArea>
    </chartFormat>
    <chartFormat chart="0" format="123">
      <pivotArea type="data" outline="0" fieldPosition="0">
        <references count="3">
          <reference field="4294967294" count="1" selected="0">
            <x v="2"/>
          </reference>
          <reference field="0" count="1" selected="0">
            <x v="0"/>
          </reference>
          <reference field="1" count="1" selected="0">
            <x v="3"/>
          </reference>
        </references>
      </pivotArea>
    </chartFormat>
    <chartFormat chart="0" format="124">
      <pivotArea type="data" outline="0" fieldPosition="0">
        <references count="3">
          <reference field="4294967294" count="1" selected="0">
            <x v="2"/>
          </reference>
          <reference field="0" count="1" selected="0">
            <x v="0"/>
          </reference>
          <reference field="1" count="1" selected="0">
            <x v="4"/>
          </reference>
        </references>
      </pivotArea>
    </chartFormat>
    <chartFormat chart="0" format="125">
      <pivotArea type="data" outline="0" fieldPosition="0">
        <references count="3">
          <reference field="4294967294" count="1" selected="0">
            <x v="2"/>
          </reference>
          <reference field="0" count="1" selected="0">
            <x v="0"/>
          </reference>
          <reference field="1" count="1" selected="0">
            <x v="5"/>
          </reference>
        </references>
      </pivotArea>
    </chartFormat>
    <chartFormat chart="0" format="126">
      <pivotArea type="data" outline="0" fieldPosition="0">
        <references count="3">
          <reference field="4294967294" count="1" selected="0">
            <x v="2"/>
          </reference>
          <reference field="0" count="1" selected="0">
            <x v="0"/>
          </reference>
          <reference field="1" count="1" selected="0">
            <x v="6"/>
          </reference>
        </references>
      </pivotArea>
    </chartFormat>
    <chartFormat chart="0" format="127">
      <pivotArea type="data" outline="0" fieldPosition="0">
        <references count="3">
          <reference field="4294967294" count="1" selected="0">
            <x v="2"/>
          </reference>
          <reference field="0" count="1" selected="0">
            <x v="0"/>
          </reference>
          <reference field="1" count="1" selected="0">
            <x v="7"/>
          </reference>
        </references>
      </pivotArea>
    </chartFormat>
    <chartFormat chart="0" format="128">
      <pivotArea type="data" outline="0" fieldPosition="0">
        <references count="3">
          <reference field="4294967294" count="1" selected="0">
            <x v="2"/>
          </reference>
          <reference field="0" count="1" selected="0">
            <x v="0"/>
          </reference>
          <reference field="1" count="1" selected="0">
            <x v="8"/>
          </reference>
        </references>
      </pivotArea>
    </chartFormat>
    <chartFormat chart="0" format="129">
      <pivotArea type="data" outline="0" fieldPosition="0">
        <references count="3">
          <reference field="4294967294" count="1" selected="0">
            <x v="2"/>
          </reference>
          <reference field="0" count="1" selected="0">
            <x v="0"/>
          </reference>
          <reference field="1" count="1" selected="0">
            <x v="9"/>
          </reference>
        </references>
      </pivotArea>
    </chartFormat>
    <chartFormat chart="0" format="130">
      <pivotArea type="data" outline="0" fieldPosition="0">
        <references count="3">
          <reference field="4294967294" count="1" selected="0">
            <x v="2"/>
          </reference>
          <reference field="0" count="1" selected="0">
            <x v="0"/>
          </reference>
          <reference field="1" count="1" selected="0">
            <x v="10"/>
          </reference>
        </references>
      </pivotArea>
    </chartFormat>
    <chartFormat chart="0" format="131">
      <pivotArea type="data" outline="0" fieldPosition="0">
        <references count="3">
          <reference field="4294967294" count="1" selected="0">
            <x v="2"/>
          </reference>
          <reference field="0" count="1" selected="0">
            <x v="0"/>
          </reference>
          <reference field="1" count="1" selected="0">
            <x v="11"/>
          </reference>
        </references>
      </pivotArea>
    </chartFormat>
    <chartFormat chart="0" format="132">
      <pivotArea type="data" outline="0" fieldPosition="0">
        <references count="3">
          <reference field="4294967294" count="1" selected="0">
            <x v="2"/>
          </reference>
          <reference field="0" count="1" selected="0">
            <x v="0"/>
          </reference>
          <reference field="1" count="1" selected="0">
            <x v="12"/>
          </reference>
        </references>
      </pivotArea>
    </chartFormat>
    <chartFormat chart="0" format="133">
      <pivotArea type="data" outline="0" fieldPosition="0">
        <references count="3">
          <reference field="4294967294" count="1" selected="0">
            <x v="2"/>
          </reference>
          <reference field="0" count="1" selected="0">
            <x v="0"/>
          </reference>
          <reference field="1" count="1" selected="0">
            <x v="13"/>
          </reference>
        </references>
      </pivotArea>
    </chartFormat>
    <chartFormat chart="0" format="134">
      <pivotArea type="data" outline="0" fieldPosition="0">
        <references count="3">
          <reference field="4294967294" count="1" selected="0">
            <x v="2"/>
          </reference>
          <reference field="0" count="1" selected="0">
            <x v="0"/>
          </reference>
          <reference field="1" count="1" selected="0">
            <x v="14"/>
          </reference>
        </references>
      </pivotArea>
    </chartFormat>
    <chartFormat chart="0" format="135">
      <pivotArea type="data" outline="0" fieldPosition="0">
        <references count="3">
          <reference field="4294967294" count="1" selected="0">
            <x v="2"/>
          </reference>
          <reference field="0" count="1" selected="0">
            <x v="0"/>
          </reference>
          <reference field="1" count="1" selected="0">
            <x v="15"/>
          </reference>
        </references>
      </pivotArea>
    </chartFormat>
    <chartFormat chart="0" format="136">
      <pivotArea type="data" outline="0" fieldPosition="0">
        <references count="3">
          <reference field="4294967294" count="1" selected="0">
            <x v="2"/>
          </reference>
          <reference field="0" count="1" selected="0">
            <x v="0"/>
          </reference>
          <reference field="1" count="1" selected="0">
            <x v="16"/>
          </reference>
        </references>
      </pivotArea>
    </chartFormat>
    <chartFormat chart="0" format="137">
      <pivotArea type="data" outline="0" fieldPosition="0">
        <references count="3">
          <reference field="4294967294" count="1" selected="0">
            <x v="2"/>
          </reference>
          <reference field="0" count="1" selected="0">
            <x v="0"/>
          </reference>
          <reference field="1" count="1" selected="0">
            <x v="17"/>
          </reference>
        </references>
      </pivotArea>
    </chartFormat>
    <chartFormat chart="0" format="138">
      <pivotArea type="data" outline="0" fieldPosition="0">
        <references count="3">
          <reference field="4294967294" count="1" selected="0">
            <x v="2"/>
          </reference>
          <reference field="0" count="1" selected="0">
            <x v="0"/>
          </reference>
          <reference field="1" count="1" selected="0">
            <x v="18"/>
          </reference>
        </references>
      </pivotArea>
    </chartFormat>
    <chartFormat chart="0" format="139">
      <pivotArea type="data" outline="0" fieldPosition="0">
        <references count="3">
          <reference field="4294967294" count="1" selected="0">
            <x v="2"/>
          </reference>
          <reference field="0" count="1" selected="0">
            <x v="0"/>
          </reference>
          <reference field="1" count="1" selected="0">
            <x v="19"/>
          </reference>
        </references>
      </pivotArea>
    </chartFormat>
    <chartFormat chart="0" format="140">
      <pivotArea type="data" outline="0" fieldPosition="0">
        <references count="1">
          <reference field="4294967294" count="1" selected="0">
            <x v="2"/>
          </reference>
        </references>
      </pivotArea>
    </chartFormat>
    <chartFormat chart="0" format="14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896DA07-1EB2-47CA-B2D6-8EDCE3CCBB26}" name="pt.lvl3_generic_7" cacheId="1"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54" firstHeaderRow="0" firstDataRow="1" firstDataCol="2" rowPageCount="5" colPageCount="1"/>
  <pivotFields count="13">
    <pivotField axis="axisRow" compact="0" outline="0" subtotalTop="0" showAll="0" defaultSubtotal="0">
      <items count="4">
        <item x="0"/>
        <item x="1"/>
        <item x="3"/>
        <item x="2"/>
      </items>
    </pivotField>
    <pivotField axis="axisRow" compact="0" outline="0" subtotalTop="0" showAll="0">
      <items count="29">
        <item x="0"/>
        <item x="1"/>
        <item x="19"/>
        <item x="2"/>
        <item x="3"/>
        <item x="4"/>
        <item x="5"/>
        <item x="6"/>
        <item x="7"/>
        <item x="8"/>
        <item x="9"/>
        <item x="10"/>
        <item x="11"/>
        <item x="12"/>
        <item x="13"/>
        <item x="14"/>
        <item x="15"/>
        <item x="16"/>
        <item x="17"/>
        <item x="18"/>
        <item x="27"/>
        <item x="20"/>
        <item x="21"/>
        <item x="22"/>
        <item x="23"/>
        <item x="24"/>
        <item x="25"/>
        <item x="26"/>
        <item t="default"/>
      </items>
    </pivotField>
    <pivotField compact="0" outline="0" subtotalTop="0" showAll="0">
      <items count="6">
        <item x="4"/>
        <item x="0"/>
        <item x="3"/>
        <item x="1"/>
        <item x="2"/>
        <item t="default"/>
      </items>
    </pivotField>
    <pivotField axis="axisPage" compact="0" outline="0" subtotalTop="0" multipleItemSelectionAllowed="1" showAll="0">
      <items count="4">
        <item x="2"/>
        <item x="0"/>
        <item x="1"/>
        <item t="default"/>
      </items>
    </pivotField>
    <pivotField axis="axisPage" compact="0" outline="0" subtotalTop="0" multipleItemSelectionAllowed="1" showAll="0">
      <items count="12">
        <item x="10"/>
        <item x="7"/>
        <item x="0"/>
        <item x="4"/>
        <item x="6"/>
        <item x="2"/>
        <item x="5"/>
        <item x="3"/>
        <item x="1"/>
        <item x="8"/>
        <item x="9"/>
        <item t="default"/>
      </items>
    </pivotField>
    <pivotField axis="axisPage" compact="0" outline="0" subtotalTop="0" multipleItemSelectionAllowed="1" showAll="0">
      <items count="4">
        <item x="2"/>
        <item x="0"/>
        <item x="1"/>
        <item t="default"/>
      </items>
    </pivotField>
    <pivotField dataField="1" compact="0" outline="0" subtotalTop="0" showAll="0"/>
    <pivotField dataField="1" compact="0" outline="0" subtotalTop="0" showAll="0"/>
    <pivotField compact="0" outline="0" subtotalTop="0" showAll="0"/>
    <pivotField dataField="1" compact="0" outline="0" subtotalTop="0" showAll="0"/>
    <pivotField compact="0" outline="0" subtotalTop="0" showAll="0"/>
    <pivotField axis="axisPage" compact="0" outline="0" subtotalTop="0" showAll="0">
      <items count="5">
        <item x="3"/>
        <item x="0"/>
        <item x="1"/>
        <item x="2"/>
        <item t="default"/>
      </items>
    </pivotField>
    <pivotField axis="axisPage" compact="0" outline="0" subtotalTop="0" showAll="0">
      <items count="8">
        <item x="6"/>
        <item x="0"/>
        <item x="1"/>
        <item x="2"/>
        <item x="3"/>
        <item x="4"/>
        <item x="5"/>
        <item t="default"/>
      </items>
    </pivotField>
  </pivotFields>
  <rowFields count="2">
    <field x="0"/>
    <field x="1"/>
  </rowFields>
  <rowItems count="47">
    <i>
      <x/>
      <x/>
    </i>
    <i r="1">
      <x v="1"/>
    </i>
    <i r="1">
      <x v="3"/>
    </i>
    <i r="1">
      <x v="4"/>
    </i>
    <i r="1">
      <x v="5"/>
    </i>
    <i r="1">
      <x v="6"/>
    </i>
    <i r="1">
      <x v="7"/>
    </i>
    <i r="1">
      <x v="8"/>
    </i>
    <i r="1">
      <x v="9"/>
    </i>
    <i r="1">
      <x v="10"/>
    </i>
    <i r="1">
      <x v="11"/>
    </i>
    <i r="1">
      <x v="12"/>
    </i>
    <i r="1">
      <x v="13"/>
    </i>
    <i r="1">
      <x v="14"/>
    </i>
    <i r="1">
      <x v="15"/>
    </i>
    <i r="1">
      <x v="16"/>
    </i>
    <i r="1">
      <x v="17"/>
    </i>
    <i r="1">
      <x v="18"/>
    </i>
    <i r="1">
      <x v="19"/>
    </i>
    <i>
      <x v="1"/>
      <x/>
    </i>
    <i r="1">
      <x v="2"/>
    </i>
    <i>
      <x v="2"/>
      <x v="20"/>
    </i>
    <i>
      <x v="3"/>
      <x v="3"/>
    </i>
    <i r="1">
      <x v="4"/>
    </i>
    <i r="1">
      <x v="5"/>
    </i>
    <i r="1">
      <x v="6"/>
    </i>
    <i r="1">
      <x v="7"/>
    </i>
    <i r="1">
      <x v="8"/>
    </i>
    <i r="1">
      <x v="9"/>
    </i>
    <i r="1">
      <x v="10"/>
    </i>
    <i r="1">
      <x v="11"/>
    </i>
    <i r="1">
      <x v="12"/>
    </i>
    <i r="1">
      <x v="13"/>
    </i>
    <i r="1">
      <x v="14"/>
    </i>
    <i r="1">
      <x v="15"/>
    </i>
    <i r="1">
      <x v="16"/>
    </i>
    <i r="1">
      <x v="17"/>
    </i>
    <i r="1">
      <x v="18"/>
    </i>
    <i r="1">
      <x v="19"/>
    </i>
    <i r="1">
      <x v="21"/>
    </i>
    <i r="1">
      <x v="22"/>
    </i>
    <i r="1">
      <x v="23"/>
    </i>
    <i r="1">
      <x v="24"/>
    </i>
    <i r="1">
      <x v="25"/>
    </i>
    <i r="1">
      <x v="26"/>
    </i>
    <i r="1">
      <x v="27"/>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0" baseItem="0"/>
  </dataFields>
  <chartFormats count="95">
    <chartFormat chart="0" format="103" series="1">
      <pivotArea type="data" outline="0" fieldPosition="0">
        <references count="1">
          <reference field="4294967294" count="1" selected="0">
            <x v="0"/>
          </reference>
        </references>
      </pivotArea>
    </chartFormat>
    <chartFormat chart="0" format="104" series="1">
      <pivotArea type="data" outline="0" fieldPosition="0">
        <references count="1">
          <reference field="4294967294" count="1" selected="0">
            <x v="1"/>
          </reference>
        </references>
      </pivotArea>
    </chartFormat>
    <chartFormat chart="0" format="105" series="1">
      <pivotArea type="data" outline="0" fieldPosition="0">
        <references count="1">
          <reference field="4294967294" count="1" selected="0">
            <x v="2"/>
          </reference>
        </references>
      </pivotArea>
    </chartFormat>
    <chartFormat chart="0" format="106">
      <pivotArea type="data" outline="0" fieldPosition="0">
        <references count="3">
          <reference field="4294967294" count="1" selected="0">
            <x v="0"/>
          </reference>
          <reference field="0" count="1" selected="0">
            <x v="0"/>
          </reference>
          <reference field="1" count="1" selected="0">
            <x v="0"/>
          </reference>
        </references>
      </pivotArea>
    </chartFormat>
    <chartFormat chart="0" format="107">
      <pivotArea type="data" outline="0" fieldPosition="0">
        <references count="3">
          <reference field="4294967294" count="1" selected="0">
            <x v="0"/>
          </reference>
          <reference field="0" count="1" selected="0">
            <x v="0"/>
          </reference>
          <reference field="1" count="1" selected="0">
            <x v="1"/>
          </reference>
        </references>
      </pivotArea>
    </chartFormat>
    <chartFormat chart="0" format="108">
      <pivotArea type="data" outline="0" fieldPosition="0">
        <references count="3">
          <reference field="4294967294" count="1" selected="0">
            <x v="0"/>
          </reference>
          <reference field="0" count="1" selected="0">
            <x v="0"/>
          </reference>
          <reference field="1" count="1" selected="0">
            <x v="3"/>
          </reference>
        </references>
      </pivotArea>
    </chartFormat>
    <chartFormat chart="0" format="109">
      <pivotArea type="data" outline="0" fieldPosition="0">
        <references count="3">
          <reference field="4294967294" count="1" selected="0">
            <x v="0"/>
          </reference>
          <reference field="0" count="1" selected="0">
            <x v="0"/>
          </reference>
          <reference field="1" count="1" selected="0">
            <x v="4"/>
          </reference>
        </references>
      </pivotArea>
    </chartFormat>
    <chartFormat chart="0" format="110">
      <pivotArea type="data" outline="0" fieldPosition="0">
        <references count="3">
          <reference field="4294967294" count="1" selected="0">
            <x v="0"/>
          </reference>
          <reference field="0" count="1" selected="0">
            <x v="0"/>
          </reference>
          <reference field="1" count="1" selected="0">
            <x v="5"/>
          </reference>
        </references>
      </pivotArea>
    </chartFormat>
    <chartFormat chart="0" format="111">
      <pivotArea type="data" outline="0" fieldPosition="0">
        <references count="3">
          <reference field="4294967294" count="1" selected="0">
            <x v="0"/>
          </reference>
          <reference field="0" count="1" selected="0">
            <x v="0"/>
          </reference>
          <reference field="1" count="1" selected="0">
            <x v="6"/>
          </reference>
        </references>
      </pivotArea>
    </chartFormat>
    <chartFormat chart="0" format="112">
      <pivotArea type="data" outline="0" fieldPosition="0">
        <references count="3">
          <reference field="4294967294" count="1" selected="0">
            <x v="0"/>
          </reference>
          <reference field="0" count="1" selected="0">
            <x v="0"/>
          </reference>
          <reference field="1" count="1" selected="0">
            <x v="7"/>
          </reference>
        </references>
      </pivotArea>
    </chartFormat>
    <chartFormat chart="0" format="113">
      <pivotArea type="data" outline="0" fieldPosition="0">
        <references count="3">
          <reference field="4294967294" count="1" selected="0">
            <x v="0"/>
          </reference>
          <reference field="0" count="1" selected="0">
            <x v="0"/>
          </reference>
          <reference field="1" count="1" selected="0">
            <x v="8"/>
          </reference>
        </references>
      </pivotArea>
    </chartFormat>
    <chartFormat chart="0" format="114">
      <pivotArea type="data" outline="0" fieldPosition="0">
        <references count="3">
          <reference field="4294967294" count="1" selected="0">
            <x v="0"/>
          </reference>
          <reference field="0" count="1" selected="0">
            <x v="0"/>
          </reference>
          <reference field="1" count="1" selected="0">
            <x v="9"/>
          </reference>
        </references>
      </pivotArea>
    </chartFormat>
    <chartFormat chart="0" format="115">
      <pivotArea type="data" outline="0" fieldPosition="0">
        <references count="3">
          <reference field="4294967294" count="1" selected="0">
            <x v="0"/>
          </reference>
          <reference field="0" count="1" selected="0">
            <x v="0"/>
          </reference>
          <reference field="1" count="1" selected="0">
            <x v="10"/>
          </reference>
        </references>
      </pivotArea>
    </chartFormat>
    <chartFormat chart="0" format="116">
      <pivotArea type="data" outline="0" fieldPosition="0">
        <references count="3">
          <reference field="4294967294" count="1" selected="0">
            <x v="0"/>
          </reference>
          <reference field="0" count="1" selected="0">
            <x v="0"/>
          </reference>
          <reference field="1" count="1" selected="0">
            <x v="11"/>
          </reference>
        </references>
      </pivotArea>
    </chartFormat>
    <chartFormat chart="0" format="117">
      <pivotArea type="data" outline="0" fieldPosition="0">
        <references count="3">
          <reference field="4294967294" count="1" selected="0">
            <x v="0"/>
          </reference>
          <reference field="0" count="1" selected="0">
            <x v="0"/>
          </reference>
          <reference field="1" count="1" selected="0">
            <x v="12"/>
          </reference>
        </references>
      </pivotArea>
    </chartFormat>
    <chartFormat chart="0" format="118">
      <pivotArea type="data" outline="0" fieldPosition="0">
        <references count="3">
          <reference field="4294967294" count="1" selected="0">
            <x v="0"/>
          </reference>
          <reference field="0" count="1" selected="0">
            <x v="0"/>
          </reference>
          <reference field="1" count="1" selected="0">
            <x v="13"/>
          </reference>
        </references>
      </pivotArea>
    </chartFormat>
    <chartFormat chart="0" format="119">
      <pivotArea type="data" outline="0" fieldPosition="0">
        <references count="3">
          <reference field="4294967294" count="1" selected="0">
            <x v="0"/>
          </reference>
          <reference field="0" count="1" selected="0">
            <x v="0"/>
          </reference>
          <reference field="1" count="1" selected="0">
            <x v="14"/>
          </reference>
        </references>
      </pivotArea>
    </chartFormat>
    <chartFormat chart="0" format="120">
      <pivotArea type="data" outline="0" fieldPosition="0">
        <references count="3">
          <reference field="4294967294" count="1" selected="0">
            <x v="0"/>
          </reference>
          <reference field="0" count="1" selected="0">
            <x v="0"/>
          </reference>
          <reference field="1" count="1" selected="0">
            <x v="15"/>
          </reference>
        </references>
      </pivotArea>
    </chartFormat>
    <chartFormat chart="0" format="121">
      <pivotArea type="data" outline="0" fieldPosition="0">
        <references count="3">
          <reference field="4294967294" count="1" selected="0">
            <x v="0"/>
          </reference>
          <reference field="0" count="1" selected="0">
            <x v="0"/>
          </reference>
          <reference field="1" count="1" selected="0">
            <x v="16"/>
          </reference>
        </references>
      </pivotArea>
    </chartFormat>
    <chartFormat chart="0" format="122">
      <pivotArea type="data" outline="0" fieldPosition="0">
        <references count="3">
          <reference field="4294967294" count="1" selected="0">
            <x v="0"/>
          </reference>
          <reference field="0" count="1" selected="0">
            <x v="0"/>
          </reference>
          <reference field="1" count="1" selected="0">
            <x v="17"/>
          </reference>
        </references>
      </pivotArea>
    </chartFormat>
    <chartFormat chart="0" format="123">
      <pivotArea type="data" outline="0" fieldPosition="0">
        <references count="3">
          <reference field="4294967294" count="1" selected="0">
            <x v="0"/>
          </reference>
          <reference field="0" count="1" selected="0">
            <x v="0"/>
          </reference>
          <reference field="1" count="1" selected="0">
            <x v="18"/>
          </reference>
        </references>
      </pivotArea>
    </chartFormat>
    <chartFormat chart="0" format="124">
      <pivotArea type="data" outline="0" fieldPosition="0">
        <references count="3">
          <reference field="4294967294" count="1" selected="0">
            <x v="0"/>
          </reference>
          <reference field="0" count="1" selected="0">
            <x v="0"/>
          </reference>
          <reference field="1" count="1" selected="0">
            <x v="19"/>
          </reference>
        </references>
      </pivotArea>
    </chartFormat>
    <chartFormat chart="0" format="125">
      <pivotArea type="data" outline="0" fieldPosition="0">
        <references count="3">
          <reference field="4294967294" count="1" selected="0">
            <x v="0"/>
          </reference>
          <reference field="0" count="1" selected="0">
            <x v="1"/>
          </reference>
          <reference field="1" count="1" selected="0">
            <x v="0"/>
          </reference>
        </references>
      </pivotArea>
    </chartFormat>
    <chartFormat chart="0" format="126">
      <pivotArea type="data" outline="0" fieldPosition="0">
        <references count="3">
          <reference field="4294967294" count="1" selected="0">
            <x v="0"/>
          </reference>
          <reference field="0" count="1" selected="0">
            <x v="1"/>
          </reference>
          <reference field="1" count="1" selected="0">
            <x v="2"/>
          </reference>
        </references>
      </pivotArea>
    </chartFormat>
    <chartFormat chart="0" format="127">
      <pivotArea type="data" outline="0" fieldPosition="0">
        <references count="3">
          <reference field="4294967294" count="1" selected="0">
            <x v="0"/>
          </reference>
          <reference field="0" count="1" selected="0">
            <x v="2"/>
          </reference>
          <reference field="1" count="1" selected="0">
            <x v="20"/>
          </reference>
        </references>
      </pivotArea>
    </chartFormat>
    <chartFormat chart="0" format="128">
      <pivotArea type="data" outline="0" fieldPosition="0">
        <references count="3">
          <reference field="4294967294" count="1" selected="0">
            <x v="2"/>
          </reference>
          <reference field="0" count="1" selected="0">
            <x v="0"/>
          </reference>
          <reference field="1" count="1" selected="0">
            <x v="0"/>
          </reference>
        </references>
      </pivotArea>
    </chartFormat>
    <chartFormat chart="0" format="129">
      <pivotArea type="data" outline="0" fieldPosition="0">
        <references count="3">
          <reference field="4294967294" count="1" selected="0">
            <x v="2"/>
          </reference>
          <reference field="0" count="1" selected="0">
            <x v="0"/>
          </reference>
          <reference field="1" count="1" selected="0">
            <x v="1"/>
          </reference>
        </references>
      </pivotArea>
    </chartFormat>
    <chartFormat chart="0" format="130">
      <pivotArea type="data" outline="0" fieldPosition="0">
        <references count="3">
          <reference field="4294967294" count="1" selected="0">
            <x v="2"/>
          </reference>
          <reference field="0" count="1" selected="0">
            <x v="0"/>
          </reference>
          <reference field="1" count="1" selected="0">
            <x v="3"/>
          </reference>
        </references>
      </pivotArea>
    </chartFormat>
    <chartFormat chart="0" format="131">
      <pivotArea type="data" outline="0" fieldPosition="0">
        <references count="3">
          <reference field="4294967294" count="1" selected="0">
            <x v="2"/>
          </reference>
          <reference field="0" count="1" selected="0">
            <x v="0"/>
          </reference>
          <reference field="1" count="1" selected="0">
            <x v="4"/>
          </reference>
        </references>
      </pivotArea>
    </chartFormat>
    <chartFormat chart="0" format="132">
      <pivotArea type="data" outline="0" fieldPosition="0">
        <references count="3">
          <reference field="4294967294" count="1" selected="0">
            <x v="2"/>
          </reference>
          <reference field="0" count="1" selected="0">
            <x v="0"/>
          </reference>
          <reference field="1" count="1" selected="0">
            <x v="5"/>
          </reference>
        </references>
      </pivotArea>
    </chartFormat>
    <chartFormat chart="0" format="133">
      <pivotArea type="data" outline="0" fieldPosition="0">
        <references count="3">
          <reference field="4294967294" count="1" selected="0">
            <x v="2"/>
          </reference>
          <reference field="0" count="1" selected="0">
            <x v="0"/>
          </reference>
          <reference field="1" count="1" selected="0">
            <x v="6"/>
          </reference>
        </references>
      </pivotArea>
    </chartFormat>
    <chartFormat chart="0" format="134">
      <pivotArea type="data" outline="0" fieldPosition="0">
        <references count="3">
          <reference field="4294967294" count="1" selected="0">
            <x v="2"/>
          </reference>
          <reference field="0" count="1" selected="0">
            <x v="0"/>
          </reference>
          <reference field="1" count="1" selected="0">
            <x v="7"/>
          </reference>
        </references>
      </pivotArea>
    </chartFormat>
    <chartFormat chart="0" format="135">
      <pivotArea type="data" outline="0" fieldPosition="0">
        <references count="3">
          <reference field="4294967294" count="1" selected="0">
            <x v="2"/>
          </reference>
          <reference field="0" count="1" selected="0">
            <x v="0"/>
          </reference>
          <reference field="1" count="1" selected="0">
            <x v="8"/>
          </reference>
        </references>
      </pivotArea>
    </chartFormat>
    <chartFormat chart="0" format="136">
      <pivotArea type="data" outline="0" fieldPosition="0">
        <references count="3">
          <reference field="4294967294" count="1" selected="0">
            <x v="2"/>
          </reference>
          <reference field="0" count="1" selected="0">
            <x v="0"/>
          </reference>
          <reference field="1" count="1" selected="0">
            <x v="9"/>
          </reference>
        </references>
      </pivotArea>
    </chartFormat>
    <chartFormat chart="0" format="137">
      <pivotArea type="data" outline="0" fieldPosition="0">
        <references count="3">
          <reference field="4294967294" count="1" selected="0">
            <x v="2"/>
          </reference>
          <reference field="0" count="1" selected="0">
            <x v="0"/>
          </reference>
          <reference field="1" count="1" selected="0">
            <x v="10"/>
          </reference>
        </references>
      </pivotArea>
    </chartFormat>
    <chartFormat chart="0" format="138">
      <pivotArea type="data" outline="0" fieldPosition="0">
        <references count="3">
          <reference field="4294967294" count="1" selected="0">
            <x v="2"/>
          </reference>
          <reference field="0" count="1" selected="0">
            <x v="0"/>
          </reference>
          <reference field="1" count="1" selected="0">
            <x v="11"/>
          </reference>
        </references>
      </pivotArea>
    </chartFormat>
    <chartFormat chart="0" format="139">
      <pivotArea type="data" outline="0" fieldPosition="0">
        <references count="3">
          <reference field="4294967294" count="1" selected="0">
            <x v="2"/>
          </reference>
          <reference field="0" count="1" selected="0">
            <x v="0"/>
          </reference>
          <reference field="1" count="1" selected="0">
            <x v="12"/>
          </reference>
        </references>
      </pivotArea>
    </chartFormat>
    <chartFormat chart="0" format="140">
      <pivotArea type="data" outline="0" fieldPosition="0">
        <references count="3">
          <reference field="4294967294" count="1" selected="0">
            <x v="2"/>
          </reference>
          <reference field="0" count="1" selected="0">
            <x v="0"/>
          </reference>
          <reference field="1" count="1" selected="0">
            <x v="13"/>
          </reference>
        </references>
      </pivotArea>
    </chartFormat>
    <chartFormat chart="0" format="141">
      <pivotArea type="data" outline="0" fieldPosition="0">
        <references count="3">
          <reference field="4294967294" count="1" selected="0">
            <x v="2"/>
          </reference>
          <reference field="0" count="1" selected="0">
            <x v="0"/>
          </reference>
          <reference field="1" count="1" selected="0">
            <x v="14"/>
          </reference>
        </references>
      </pivotArea>
    </chartFormat>
    <chartFormat chart="0" format="142">
      <pivotArea type="data" outline="0" fieldPosition="0">
        <references count="3">
          <reference field="4294967294" count="1" selected="0">
            <x v="2"/>
          </reference>
          <reference field="0" count="1" selected="0">
            <x v="0"/>
          </reference>
          <reference field="1" count="1" selected="0">
            <x v="15"/>
          </reference>
        </references>
      </pivotArea>
    </chartFormat>
    <chartFormat chart="0" format="143">
      <pivotArea type="data" outline="0" fieldPosition="0">
        <references count="3">
          <reference field="4294967294" count="1" selected="0">
            <x v="2"/>
          </reference>
          <reference field="0" count="1" selected="0">
            <x v="0"/>
          </reference>
          <reference field="1" count="1" selected="0">
            <x v="16"/>
          </reference>
        </references>
      </pivotArea>
    </chartFormat>
    <chartFormat chart="0" format="144">
      <pivotArea type="data" outline="0" fieldPosition="0">
        <references count="3">
          <reference field="4294967294" count="1" selected="0">
            <x v="2"/>
          </reference>
          <reference field="0" count="1" selected="0">
            <x v="0"/>
          </reference>
          <reference field="1" count="1" selected="0">
            <x v="17"/>
          </reference>
        </references>
      </pivotArea>
    </chartFormat>
    <chartFormat chart="0" format="145">
      <pivotArea type="data" outline="0" fieldPosition="0">
        <references count="3">
          <reference field="4294967294" count="1" selected="0">
            <x v="2"/>
          </reference>
          <reference field="0" count="1" selected="0">
            <x v="0"/>
          </reference>
          <reference field="1" count="1" selected="0">
            <x v="18"/>
          </reference>
        </references>
      </pivotArea>
    </chartFormat>
    <chartFormat chart="0" format="146">
      <pivotArea type="data" outline="0" fieldPosition="0">
        <references count="3">
          <reference field="4294967294" count="1" selected="0">
            <x v="2"/>
          </reference>
          <reference field="0" count="1" selected="0">
            <x v="0"/>
          </reference>
          <reference field="1" count="1" selected="0">
            <x v="19"/>
          </reference>
        </references>
      </pivotArea>
    </chartFormat>
    <chartFormat chart="0" format="147">
      <pivotArea type="data" outline="0" fieldPosition="0">
        <references count="3">
          <reference field="4294967294" count="1" selected="0">
            <x v="2"/>
          </reference>
          <reference field="0" count="1" selected="0">
            <x v="1"/>
          </reference>
          <reference field="1" count="1" selected="0">
            <x v="0"/>
          </reference>
        </references>
      </pivotArea>
    </chartFormat>
    <chartFormat chart="0" format="148">
      <pivotArea type="data" outline="0" fieldPosition="0">
        <references count="3">
          <reference field="4294967294" count="1" selected="0">
            <x v="2"/>
          </reference>
          <reference field="0" count="1" selected="0">
            <x v="1"/>
          </reference>
          <reference field="1" count="1" selected="0">
            <x v="2"/>
          </reference>
        </references>
      </pivotArea>
    </chartFormat>
    <chartFormat chart="0" format="149">
      <pivotArea type="data" outline="0" fieldPosition="0">
        <references count="3">
          <reference field="4294967294" count="1" selected="0">
            <x v="2"/>
          </reference>
          <reference field="0" count="1" selected="0">
            <x v="2"/>
          </reference>
          <reference field="1" count="1" selected="0">
            <x v="20"/>
          </reference>
        </references>
      </pivotArea>
    </chartFormat>
    <chartFormat chart="0" format="150">
      <pivotArea type="data" outline="0" fieldPosition="0">
        <references count="3">
          <reference field="4294967294" count="1" selected="0">
            <x v="2"/>
          </reference>
          <reference field="0" count="1" selected="0">
            <x v="3"/>
          </reference>
          <reference field="1" count="1" selected="0">
            <x v="3"/>
          </reference>
        </references>
      </pivotArea>
    </chartFormat>
    <chartFormat chart="0" format="151">
      <pivotArea type="data" outline="0" fieldPosition="0">
        <references count="3">
          <reference field="4294967294" count="1" selected="0">
            <x v="2"/>
          </reference>
          <reference field="0" count="1" selected="0">
            <x v="3"/>
          </reference>
          <reference field="1" count="1" selected="0">
            <x v="4"/>
          </reference>
        </references>
      </pivotArea>
    </chartFormat>
    <chartFormat chart="0" format="152">
      <pivotArea type="data" outline="0" fieldPosition="0">
        <references count="3">
          <reference field="4294967294" count="1" selected="0">
            <x v="2"/>
          </reference>
          <reference field="0" count="1" selected="0">
            <x v="3"/>
          </reference>
          <reference field="1" count="1" selected="0">
            <x v="5"/>
          </reference>
        </references>
      </pivotArea>
    </chartFormat>
    <chartFormat chart="0" format="153">
      <pivotArea type="data" outline="0" fieldPosition="0">
        <references count="3">
          <reference field="4294967294" count="1" selected="0">
            <x v="2"/>
          </reference>
          <reference field="0" count="1" selected="0">
            <x v="3"/>
          </reference>
          <reference field="1" count="1" selected="0">
            <x v="6"/>
          </reference>
        </references>
      </pivotArea>
    </chartFormat>
    <chartFormat chart="0" format="154">
      <pivotArea type="data" outline="0" fieldPosition="0">
        <references count="3">
          <reference field="4294967294" count="1" selected="0">
            <x v="2"/>
          </reference>
          <reference field="0" count="1" selected="0">
            <x v="3"/>
          </reference>
          <reference field="1" count="1" selected="0">
            <x v="7"/>
          </reference>
        </references>
      </pivotArea>
    </chartFormat>
    <chartFormat chart="0" format="155">
      <pivotArea type="data" outline="0" fieldPosition="0">
        <references count="3">
          <reference field="4294967294" count="1" selected="0">
            <x v="2"/>
          </reference>
          <reference field="0" count="1" selected="0">
            <x v="3"/>
          </reference>
          <reference field="1" count="1" selected="0">
            <x v="8"/>
          </reference>
        </references>
      </pivotArea>
    </chartFormat>
    <chartFormat chart="0" format="156">
      <pivotArea type="data" outline="0" fieldPosition="0">
        <references count="3">
          <reference field="4294967294" count="1" selected="0">
            <x v="2"/>
          </reference>
          <reference field="0" count="1" selected="0">
            <x v="3"/>
          </reference>
          <reference field="1" count="1" selected="0">
            <x v="9"/>
          </reference>
        </references>
      </pivotArea>
    </chartFormat>
    <chartFormat chart="0" format="157">
      <pivotArea type="data" outline="0" fieldPosition="0">
        <references count="3">
          <reference field="4294967294" count="1" selected="0">
            <x v="2"/>
          </reference>
          <reference field="0" count="1" selected="0">
            <x v="3"/>
          </reference>
          <reference field="1" count="1" selected="0">
            <x v="10"/>
          </reference>
        </references>
      </pivotArea>
    </chartFormat>
    <chartFormat chart="0" format="158">
      <pivotArea type="data" outline="0" fieldPosition="0">
        <references count="3">
          <reference field="4294967294" count="1" selected="0">
            <x v="2"/>
          </reference>
          <reference field="0" count="1" selected="0">
            <x v="3"/>
          </reference>
          <reference field="1" count="1" selected="0">
            <x v="11"/>
          </reference>
        </references>
      </pivotArea>
    </chartFormat>
    <chartFormat chart="0" format="159">
      <pivotArea type="data" outline="0" fieldPosition="0">
        <references count="3">
          <reference field="4294967294" count="1" selected="0">
            <x v="2"/>
          </reference>
          <reference field="0" count="1" selected="0">
            <x v="3"/>
          </reference>
          <reference field="1" count="1" selected="0">
            <x v="12"/>
          </reference>
        </references>
      </pivotArea>
    </chartFormat>
    <chartFormat chart="0" format="160">
      <pivotArea type="data" outline="0" fieldPosition="0">
        <references count="3">
          <reference field="4294967294" count="1" selected="0">
            <x v="2"/>
          </reference>
          <reference field="0" count="1" selected="0">
            <x v="3"/>
          </reference>
          <reference field="1" count="1" selected="0">
            <x v="13"/>
          </reference>
        </references>
      </pivotArea>
    </chartFormat>
    <chartFormat chart="0" format="161">
      <pivotArea type="data" outline="0" fieldPosition="0">
        <references count="3">
          <reference field="4294967294" count="1" selected="0">
            <x v="2"/>
          </reference>
          <reference field="0" count="1" selected="0">
            <x v="3"/>
          </reference>
          <reference field="1" count="1" selected="0">
            <x v="14"/>
          </reference>
        </references>
      </pivotArea>
    </chartFormat>
    <chartFormat chart="0" format="162">
      <pivotArea type="data" outline="0" fieldPosition="0">
        <references count="3">
          <reference field="4294967294" count="1" selected="0">
            <x v="0"/>
          </reference>
          <reference field="0" count="1" selected="0">
            <x v="3"/>
          </reference>
          <reference field="1" count="1" selected="0">
            <x v="3"/>
          </reference>
        </references>
      </pivotArea>
    </chartFormat>
    <chartFormat chart="0" format="163">
      <pivotArea type="data" outline="0" fieldPosition="0">
        <references count="3">
          <reference field="4294967294" count="1" selected="0">
            <x v="0"/>
          </reference>
          <reference field="0" count="1" selected="0">
            <x v="3"/>
          </reference>
          <reference field="1" count="1" selected="0">
            <x v="4"/>
          </reference>
        </references>
      </pivotArea>
    </chartFormat>
    <chartFormat chart="0" format="164">
      <pivotArea type="data" outline="0" fieldPosition="0">
        <references count="3">
          <reference field="4294967294" count="1" selected="0">
            <x v="0"/>
          </reference>
          <reference field="0" count="1" selected="0">
            <x v="3"/>
          </reference>
          <reference field="1" count="1" selected="0">
            <x v="5"/>
          </reference>
        </references>
      </pivotArea>
    </chartFormat>
    <chartFormat chart="0" format="165">
      <pivotArea type="data" outline="0" fieldPosition="0">
        <references count="3">
          <reference field="4294967294" count="1" selected="0">
            <x v="0"/>
          </reference>
          <reference field="0" count="1" selected="0">
            <x v="3"/>
          </reference>
          <reference field="1" count="1" selected="0">
            <x v="6"/>
          </reference>
        </references>
      </pivotArea>
    </chartFormat>
    <chartFormat chart="0" format="166">
      <pivotArea type="data" outline="0" fieldPosition="0">
        <references count="3">
          <reference field="4294967294" count="1" selected="0">
            <x v="0"/>
          </reference>
          <reference field="0" count="1" selected="0">
            <x v="3"/>
          </reference>
          <reference field="1" count="1" selected="0">
            <x v="7"/>
          </reference>
        </references>
      </pivotArea>
    </chartFormat>
    <chartFormat chart="0" format="167">
      <pivotArea type="data" outline="0" fieldPosition="0">
        <references count="3">
          <reference field="4294967294" count="1" selected="0">
            <x v="0"/>
          </reference>
          <reference field="0" count="1" selected="0">
            <x v="3"/>
          </reference>
          <reference field="1" count="1" selected="0">
            <x v="8"/>
          </reference>
        </references>
      </pivotArea>
    </chartFormat>
    <chartFormat chart="0" format="168">
      <pivotArea type="data" outline="0" fieldPosition="0">
        <references count="3">
          <reference field="4294967294" count="1" selected="0">
            <x v="0"/>
          </reference>
          <reference field="0" count="1" selected="0">
            <x v="3"/>
          </reference>
          <reference field="1" count="1" selected="0">
            <x v="9"/>
          </reference>
        </references>
      </pivotArea>
    </chartFormat>
    <chartFormat chart="0" format="169">
      <pivotArea type="data" outline="0" fieldPosition="0">
        <references count="3">
          <reference field="4294967294" count="1" selected="0">
            <x v="0"/>
          </reference>
          <reference field="0" count="1" selected="0">
            <x v="3"/>
          </reference>
          <reference field="1" count="1" selected="0">
            <x v="10"/>
          </reference>
        </references>
      </pivotArea>
    </chartFormat>
    <chartFormat chart="0" format="170">
      <pivotArea type="data" outline="0" fieldPosition="0">
        <references count="3">
          <reference field="4294967294" count="1" selected="0">
            <x v="0"/>
          </reference>
          <reference field="0" count="1" selected="0">
            <x v="3"/>
          </reference>
          <reference field="1" count="1" selected="0">
            <x v="11"/>
          </reference>
        </references>
      </pivotArea>
    </chartFormat>
    <chartFormat chart="0" format="171">
      <pivotArea type="data" outline="0" fieldPosition="0">
        <references count="3">
          <reference field="4294967294" count="1" selected="0">
            <x v="0"/>
          </reference>
          <reference field="0" count="1" selected="0">
            <x v="3"/>
          </reference>
          <reference field="1" count="1" selected="0">
            <x v="12"/>
          </reference>
        </references>
      </pivotArea>
    </chartFormat>
    <chartFormat chart="0" format="172">
      <pivotArea type="data" outline="0" fieldPosition="0">
        <references count="3">
          <reference field="4294967294" count="1" selected="0">
            <x v="0"/>
          </reference>
          <reference field="0" count="1" selected="0">
            <x v="3"/>
          </reference>
          <reference field="1" count="1" selected="0">
            <x v="13"/>
          </reference>
        </references>
      </pivotArea>
    </chartFormat>
    <chartFormat chart="0" format="173">
      <pivotArea type="data" outline="0" fieldPosition="0">
        <references count="3">
          <reference field="4294967294" count="1" selected="0">
            <x v="0"/>
          </reference>
          <reference field="0" count="1" selected="0">
            <x v="3"/>
          </reference>
          <reference field="1" count="1" selected="0">
            <x v="14"/>
          </reference>
        </references>
      </pivotArea>
    </chartFormat>
    <chartFormat chart="0" format="174">
      <pivotArea type="data" outline="0" fieldPosition="0">
        <references count="3">
          <reference field="4294967294" count="1" selected="0">
            <x v="0"/>
          </reference>
          <reference field="0" count="1" selected="0">
            <x v="3"/>
          </reference>
          <reference field="1" count="1" selected="0">
            <x v="15"/>
          </reference>
        </references>
      </pivotArea>
    </chartFormat>
    <chartFormat chart="0" format="175">
      <pivotArea type="data" outline="0" fieldPosition="0">
        <references count="3">
          <reference field="4294967294" count="1" selected="0">
            <x v="0"/>
          </reference>
          <reference field="0" count="1" selected="0">
            <x v="3"/>
          </reference>
          <reference field="1" count="1" selected="0">
            <x v="16"/>
          </reference>
        </references>
      </pivotArea>
    </chartFormat>
    <chartFormat chart="0" format="176">
      <pivotArea type="data" outline="0" fieldPosition="0">
        <references count="3">
          <reference field="4294967294" count="1" selected="0">
            <x v="0"/>
          </reference>
          <reference field="0" count="1" selected="0">
            <x v="3"/>
          </reference>
          <reference field="1" count="1" selected="0">
            <x v="17"/>
          </reference>
        </references>
      </pivotArea>
    </chartFormat>
    <chartFormat chart="0" format="177">
      <pivotArea type="data" outline="0" fieldPosition="0">
        <references count="3">
          <reference field="4294967294" count="1" selected="0">
            <x v="0"/>
          </reference>
          <reference field="0" count="1" selected="0">
            <x v="3"/>
          </reference>
          <reference field="1" count="1" selected="0">
            <x v="18"/>
          </reference>
        </references>
      </pivotArea>
    </chartFormat>
    <chartFormat chart="0" format="178">
      <pivotArea type="data" outline="0" fieldPosition="0">
        <references count="3">
          <reference field="4294967294" count="1" selected="0">
            <x v="0"/>
          </reference>
          <reference field="0" count="1" selected="0">
            <x v="3"/>
          </reference>
          <reference field="1" count="1" selected="0">
            <x v="19"/>
          </reference>
        </references>
      </pivotArea>
    </chartFormat>
    <chartFormat chart="0" format="179">
      <pivotArea type="data" outline="0" fieldPosition="0">
        <references count="3">
          <reference field="4294967294" count="1" selected="0">
            <x v="0"/>
          </reference>
          <reference field="0" count="1" selected="0">
            <x v="3"/>
          </reference>
          <reference field="1" count="1" selected="0">
            <x v="21"/>
          </reference>
        </references>
      </pivotArea>
    </chartFormat>
    <chartFormat chart="0" format="180">
      <pivotArea type="data" outline="0" fieldPosition="0">
        <references count="3">
          <reference field="4294967294" count="1" selected="0">
            <x v="0"/>
          </reference>
          <reference field="0" count="1" selected="0">
            <x v="3"/>
          </reference>
          <reference field="1" count="1" selected="0">
            <x v="22"/>
          </reference>
        </references>
      </pivotArea>
    </chartFormat>
    <chartFormat chart="0" format="181">
      <pivotArea type="data" outline="0" fieldPosition="0">
        <references count="3">
          <reference field="4294967294" count="1" selected="0">
            <x v="0"/>
          </reference>
          <reference field="0" count="1" selected="0">
            <x v="3"/>
          </reference>
          <reference field="1" count="1" selected="0">
            <x v="23"/>
          </reference>
        </references>
      </pivotArea>
    </chartFormat>
    <chartFormat chart="0" format="182">
      <pivotArea type="data" outline="0" fieldPosition="0">
        <references count="3">
          <reference field="4294967294" count="1" selected="0">
            <x v="0"/>
          </reference>
          <reference field="0" count="1" selected="0">
            <x v="3"/>
          </reference>
          <reference field="1" count="1" selected="0">
            <x v="24"/>
          </reference>
        </references>
      </pivotArea>
    </chartFormat>
    <chartFormat chart="0" format="183">
      <pivotArea type="data" outline="0" fieldPosition="0">
        <references count="3">
          <reference field="4294967294" count="1" selected="0">
            <x v="0"/>
          </reference>
          <reference field="0" count="1" selected="0">
            <x v="3"/>
          </reference>
          <reference field="1" count="1" selected="0">
            <x v="25"/>
          </reference>
        </references>
      </pivotArea>
    </chartFormat>
    <chartFormat chart="0" format="184">
      <pivotArea type="data" outline="0" fieldPosition="0">
        <references count="3">
          <reference field="4294967294" count="1" selected="0">
            <x v="0"/>
          </reference>
          <reference field="0" count="1" selected="0">
            <x v="3"/>
          </reference>
          <reference field="1" count="1" selected="0">
            <x v="26"/>
          </reference>
        </references>
      </pivotArea>
    </chartFormat>
    <chartFormat chart="0" format="185">
      <pivotArea type="data" outline="0" fieldPosition="0">
        <references count="3">
          <reference field="4294967294" count="1" selected="0">
            <x v="0"/>
          </reference>
          <reference field="0" count="1" selected="0">
            <x v="3"/>
          </reference>
          <reference field="1" count="1" selected="0">
            <x v="27"/>
          </reference>
        </references>
      </pivotArea>
    </chartFormat>
    <chartFormat chart="0" format="186">
      <pivotArea type="data" outline="0" fieldPosition="0">
        <references count="3">
          <reference field="4294967294" count="1" selected="0">
            <x v="2"/>
          </reference>
          <reference field="0" count="1" selected="0">
            <x v="3"/>
          </reference>
          <reference field="1" count="1" selected="0">
            <x v="15"/>
          </reference>
        </references>
      </pivotArea>
    </chartFormat>
    <chartFormat chart="0" format="187">
      <pivotArea type="data" outline="0" fieldPosition="0">
        <references count="3">
          <reference field="4294967294" count="1" selected="0">
            <x v="2"/>
          </reference>
          <reference field="0" count="1" selected="0">
            <x v="3"/>
          </reference>
          <reference field="1" count="1" selected="0">
            <x v="16"/>
          </reference>
        </references>
      </pivotArea>
    </chartFormat>
    <chartFormat chart="0" format="188">
      <pivotArea type="data" outline="0" fieldPosition="0">
        <references count="3">
          <reference field="4294967294" count="1" selected="0">
            <x v="2"/>
          </reference>
          <reference field="0" count="1" selected="0">
            <x v="3"/>
          </reference>
          <reference field="1" count="1" selected="0">
            <x v="17"/>
          </reference>
        </references>
      </pivotArea>
    </chartFormat>
    <chartFormat chart="0" format="189">
      <pivotArea type="data" outline="0" fieldPosition="0">
        <references count="3">
          <reference field="4294967294" count="1" selected="0">
            <x v="2"/>
          </reference>
          <reference field="0" count="1" selected="0">
            <x v="3"/>
          </reference>
          <reference field="1" count="1" selected="0">
            <x v="18"/>
          </reference>
        </references>
      </pivotArea>
    </chartFormat>
    <chartFormat chart="0" format="190">
      <pivotArea type="data" outline="0" fieldPosition="0">
        <references count="3">
          <reference field="4294967294" count="1" selected="0">
            <x v="2"/>
          </reference>
          <reference field="0" count="1" selected="0">
            <x v="3"/>
          </reference>
          <reference field="1" count="1" selected="0">
            <x v="19"/>
          </reference>
        </references>
      </pivotArea>
    </chartFormat>
    <chartFormat chart="0" format="191">
      <pivotArea type="data" outline="0" fieldPosition="0">
        <references count="3">
          <reference field="4294967294" count="1" selected="0">
            <x v="2"/>
          </reference>
          <reference field="0" count="1" selected="0">
            <x v="3"/>
          </reference>
          <reference field="1" count="1" selected="0">
            <x v="21"/>
          </reference>
        </references>
      </pivotArea>
    </chartFormat>
    <chartFormat chart="0" format="192">
      <pivotArea type="data" outline="0" fieldPosition="0">
        <references count="3">
          <reference field="4294967294" count="1" selected="0">
            <x v="2"/>
          </reference>
          <reference field="0" count="1" selected="0">
            <x v="3"/>
          </reference>
          <reference field="1" count="1" selected="0">
            <x v="22"/>
          </reference>
        </references>
      </pivotArea>
    </chartFormat>
    <chartFormat chart="0" format="193">
      <pivotArea type="data" outline="0" fieldPosition="0">
        <references count="3">
          <reference field="4294967294" count="1" selected="0">
            <x v="2"/>
          </reference>
          <reference field="0" count="1" selected="0">
            <x v="3"/>
          </reference>
          <reference field="1" count="1" selected="0">
            <x v="23"/>
          </reference>
        </references>
      </pivotArea>
    </chartFormat>
    <chartFormat chart="0" format="194">
      <pivotArea type="data" outline="0" fieldPosition="0">
        <references count="3">
          <reference field="4294967294" count="1" selected="0">
            <x v="2"/>
          </reference>
          <reference field="0" count="1" selected="0">
            <x v="3"/>
          </reference>
          <reference field="1" count="1" selected="0">
            <x v="24"/>
          </reference>
        </references>
      </pivotArea>
    </chartFormat>
    <chartFormat chart="0" format="195">
      <pivotArea type="data" outline="0" fieldPosition="0">
        <references count="3">
          <reference field="4294967294" count="1" selected="0">
            <x v="2"/>
          </reference>
          <reference field="0" count="1" selected="0">
            <x v="3"/>
          </reference>
          <reference field="1" count="1" selected="0">
            <x v="25"/>
          </reference>
        </references>
      </pivotArea>
    </chartFormat>
    <chartFormat chart="0" format="196">
      <pivotArea type="data" outline="0" fieldPosition="0">
        <references count="3">
          <reference field="4294967294" count="1" selected="0">
            <x v="2"/>
          </reference>
          <reference field="0" count="1" selected="0">
            <x v="3"/>
          </reference>
          <reference field="1" count="1" selected="0">
            <x v="26"/>
          </reference>
        </references>
      </pivotArea>
    </chartFormat>
    <chartFormat chart="0" format="197">
      <pivotArea type="data" outline="0" fieldPosition="0">
        <references count="3">
          <reference field="4294967294" count="1" selected="0">
            <x v="2"/>
          </reference>
          <reference field="0" count="1" selected="0">
            <x v="3"/>
          </reference>
          <reference field="1" count="1" selected="0">
            <x v="27"/>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3AEBCFC-B948-4F8E-91DC-5A6586FE1E20}" name="pt.lvl3_generic_8" cacheId="1"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54" firstHeaderRow="0" firstDataRow="1" firstDataCol="2" rowPageCount="5" colPageCount="1"/>
  <pivotFields count="13">
    <pivotField axis="axisRow" compact="0" outline="0" subtotalTop="0" showAll="0" defaultSubtotal="0">
      <items count="4">
        <item x="0"/>
        <item x="1"/>
        <item x="3"/>
        <item x="2"/>
      </items>
    </pivotField>
    <pivotField axis="axisRow" compact="0" outline="0" subtotalTop="0" showAll="0">
      <items count="29">
        <item x="0"/>
        <item x="1"/>
        <item x="19"/>
        <item x="2"/>
        <item x="3"/>
        <item x="4"/>
        <item x="5"/>
        <item x="6"/>
        <item x="7"/>
        <item x="8"/>
        <item x="9"/>
        <item x="10"/>
        <item x="11"/>
        <item x="12"/>
        <item x="13"/>
        <item x="14"/>
        <item x="15"/>
        <item x="16"/>
        <item x="17"/>
        <item x="18"/>
        <item x="27"/>
        <item x="20"/>
        <item x="21"/>
        <item x="22"/>
        <item x="23"/>
        <item x="24"/>
        <item x="25"/>
        <item x="26"/>
        <item t="default"/>
      </items>
    </pivotField>
    <pivotField compact="0" outline="0" subtotalTop="0" showAll="0">
      <items count="6">
        <item x="4"/>
        <item x="0"/>
        <item x="3"/>
        <item x="1"/>
        <item x="2"/>
        <item t="default"/>
      </items>
    </pivotField>
    <pivotField axis="axisPage" compact="0" outline="0" subtotalTop="0" multipleItemSelectionAllowed="1" showAll="0">
      <items count="4">
        <item x="2"/>
        <item x="0"/>
        <item x="1"/>
        <item t="default"/>
      </items>
    </pivotField>
    <pivotField axis="axisPage" compact="0" outline="0" subtotalTop="0" multipleItemSelectionAllowed="1" showAll="0">
      <items count="12">
        <item x="10"/>
        <item x="7"/>
        <item x="0"/>
        <item x="4"/>
        <item x="6"/>
        <item x="2"/>
        <item x="5"/>
        <item x="3"/>
        <item x="1"/>
        <item x="8"/>
        <item x="9"/>
        <item t="default"/>
      </items>
    </pivotField>
    <pivotField axis="axisPage" compact="0" outline="0" subtotalTop="0" multipleItemSelectionAllowed="1" showAll="0">
      <items count="4">
        <item x="2"/>
        <item x="0"/>
        <item x="1"/>
        <item t="default"/>
      </items>
    </pivotField>
    <pivotField dataField="1" compact="0" outline="0" subtotalTop="0" showAll="0"/>
    <pivotField dataField="1" compact="0" outline="0" subtotalTop="0" showAll="0"/>
    <pivotField compact="0" outline="0" subtotalTop="0" showAll="0"/>
    <pivotField dataField="1" compact="0" outline="0" subtotalTop="0" showAll="0"/>
    <pivotField compact="0" outline="0" subtotalTop="0" showAll="0"/>
    <pivotField axis="axisPage" compact="0" outline="0" subtotalTop="0" showAll="0">
      <items count="5">
        <item x="3"/>
        <item x="0"/>
        <item x="1"/>
        <item x="2"/>
        <item t="default"/>
      </items>
    </pivotField>
    <pivotField axis="axisPage" compact="0" outline="0" subtotalTop="0" showAll="0">
      <items count="8">
        <item x="6"/>
        <item x="0"/>
        <item x="1"/>
        <item x="2"/>
        <item x="3"/>
        <item x="4"/>
        <item x="5"/>
        <item t="default"/>
      </items>
    </pivotField>
  </pivotFields>
  <rowFields count="2">
    <field x="0"/>
    <field x="1"/>
  </rowFields>
  <rowItems count="47">
    <i>
      <x/>
      <x/>
    </i>
    <i r="1">
      <x v="1"/>
    </i>
    <i r="1">
      <x v="3"/>
    </i>
    <i r="1">
      <x v="4"/>
    </i>
    <i r="1">
      <x v="5"/>
    </i>
    <i r="1">
      <x v="6"/>
    </i>
    <i r="1">
      <x v="7"/>
    </i>
    <i r="1">
      <x v="8"/>
    </i>
    <i r="1">
      <x v="9"/>
    </i>
    <i r="1">
      <x v="10"/>
    </i>
    <i r="1">
      <x v="11"/>
    </i>
    <i r="1">
      <x v="12"/>
    </i>
    <i r="1">
      <x v="13"/>
    </i>
    <i r="1">
      <x v="14"/>
    </i>
    <i r="1">
      <x v="15"/>
    </i>
    <i r="1">
      <x v="16"/>
    </i>
    <i r="1">
      <x v="17"/>
    </i>
    <i r="1">
      <x v="18"/>
    </i>
    <i r="1">
      <x v="19"/>
    </i>
    <i>
      <x v="1"/>
      <x/>
    </i>
    <i r="1">
      <x v="2"/>
    </i>
    <i>
      <x v="2"/>
      <x v="20"/>
    </i>
    <i>
      <x v="3"/>
      <x v="3"/>
    </i>
    <i r="1">
      <x v="4"/>
    </i>
    <i r="1">
      <x v="5"/>
    </i>
    <i r="1">
      <x v="6"/>
    </i>
    <i r="1">
      <x v="7"/>
    </i>
    <i r="1">
      <x v="8"/>
    </i>
    <i r="1">
      <x v="9"/>
    </i>
    <i r="1">
      <x v="10"/>
    </i>
    <i r="1">
      <x v="11"/>
    </i>
    <i r="1">
      <x v="12"/>
    </i>
    <i r="1">
      <x v="13"/>
    </i>
    <i r="1">
      <x v="14"/>
    </i>
    <i r="1">
      <x v="15"/>
    </i>
    <i r="1">
      <x v="16"/>
    </i>
    <i r="1">
      <x v="17"/>
    </i>
    <i r="1">
      <x v="18"/>
    </i>
    <i r="1">
      <x v="19"/>
    </i>
    <i r="1">
      <x v="21"/>
    </i>
    <i r="1">
      <x v="22"/>
    </i>
    <i r="1">
      <x v="23"/>
    </i>
    <i r="1">
      <x v="24"/>
    </i>
    <i r="1">
      <x v="25"/>
    </i>
    <i r="1">
      <x v="26"/>
    </i>
    <i r="1">
      <x v="27"/>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0" baseItem="0"/>
  </dataFields>
  <chartFormats count="95">
    <chartFormat chart="0" format="101" series="1">
      <pivotArea type="data" outline="0" fieldPosition="0">
        <references count="1">
          <reference field="4294967294" count="1" selected="0">
            <x v="0"/>
          </reference>
        </references>
      </pivotArea>
    </chartFormat>
    <chartFormat chart="0" format="102" series="1">
      <pivotArea type="data" outline="0" fieldPosition="0">
        <references count="1">
          <reference field="4294967294" count="1" selected="0">
            <x v="1"/>
          </reference>
        </references>
      </pivotArea>
    </chartFormat>
    <chartFormat chart="0" format="103" series="1">
      <pivotArea type="data" outline="0" fieldPosition="0">
        <references count="1">
          <reference field="4294967294" count="1" selected="0">
            <x v="2"/>
          </reference>
        </references>
      </pivotArea>
    </chartFormat>
    <chartFormat chart="0" format="104">
      <pivotArea type="data" outline="0" fieldPosition="0">
        <references count="3">
          <reference field="4294967294" count="1" selected="0">
            <x v="0"/>
          </reference>
          <reference field="0" count="1" selected="0">
            <x v="0"/>
          </reference>
          <reference field="1" count="1" selected="0">
            <x v="0"/>
          </reference>
        </references>
      </pivotArea>
    </chartFormat>
    <chartFormat chart="0" format="105">
      <pivotArea type="data" outline="0" fieldPosition="0">
        <references count="3">
          <reference field="4294967294" count="1" selected="0">
            <x v="0"/>
          </reference>
          <reference field="0" count="1" selected="0">
            <x v="0"/>
          </reference>
          <reference field="1" count="1" selected="0">
            <x v="1"/>
          </reference>
        </references>
      </pivotArea>
    </chartFormat>
    <chartFormat chart="0" format="106">
      <pivotArea type="data" outline="0" fieldPosition="0">
        <references count="3">
          <reference field="4294967294" count="1" selected="0">
            <x v="0"/>
          </reference>
          <reference field="0" count="1" selected="0">
            <x v="0"/>
          </reference>
          <reference field="1" count="1" selected="0">
            <x v="3"/>
          </reference>
        </references>
      </pivotArea>
    </chartFormat>
    <chartFormat chart="0" format="107">
      <pivotArea type="data" outline="0" fieldPosition="0">
        <references count="3">
          <reference field="4294967294" count="1" selected="0">
            <x v="0"/>
          </reference>
          <reference field="0" count="1" selected="0">
            <x v="0"/>
          </reference>
          <reference field="1" count="1" selected="0">
            <x v="4"/>
          </reference>
        </references>
      </pivotArea>
    </chartFormat>
    <chartFormat chart="0" format="108">
      <pivotArea type="data" outline="0" fieldPosition="0">
        <references count="3">
          <reference field="4294967294" count="1" selected="0">
            <x v="0"/>
          </reference>
          <reference field="0" count="1" selected="0">
            <x v="0"/>
          </reference>
          <reference field="1" count="1" selected="0">
            <x v="5"/>
          </reference>
        </references>
      </pivotArea>
    </chartFormat>
    <chartFormat chart="0" format="109">
      <pivotArea type="data" outline="0" fieldPosition="0">
        <references count="3">
          <reference field="4294967294" count="1" selected="0">
            <x v="0"/>
          </reference>
          <reference field="0" count="1" selected="0">
            <x v="0"/>
          </reference>
          <reference field="1" count="1" selected="0">
            <x v="6"/>
          </reference>
        </references>
      </pivotArea>
    </chartFormat>
    <chartFormat chart="0" format="110">
      <pivotArea type="data" outline="0" fieldPosition="0">
        <references count="3">
          <reference field="4294967294" count="1" selected="0">
            <x v="0"/>
          </reference>
          <reference field="0" count="1" selected="0">
            <x v="0"/>
          </reference>
          <reference field="1" count="1" selected="0">
            <x v="7"/>
          </reference>
        </references>
      </pivotArea>
    </chartFormat>
    <chartFormat chart="0" format="111">
      <pivotArea type="data" outline="0" fieldPosition="0">
        <references count="3">
          <reference field="4294967294" count="1" selected="0">
            <x v="0"/>
          </reference>
          <reference field="0" count="1" selected="0">
            <x v="0"/>
          </reference>
          <reference field="1" count="1" selected="0">
            <x v="8"/>
          </reference>
        </references>
      </pivotArea>
    </chartFormat>
    <chartFormat chart="0" format="112">
      <pivotArea type="data" outline="0" fieldPosition="0">
        <references count="3">
          <reference field="4294967294" count="1" selected="0">
            <x v="0"/>
          </reference>
          <reference field="0" count="1" selected="0">
            <x v="0"/>
          </reference>
          <reference field="1" count="1" selected="0">
            <x v="9"/>
          </reference>
        </references>
      </pivotArea>
    </chartFormat>
    <chartFormat chart="0" format="113">
      <pivotArea type="data" outline="0" fieldPosition="0">
        <references count="3">
          <reference field="4294967294" count="1" selected="0">
            <x v="0"/>
          </reference>
          <reference field="0" count="1" selected="0">
            <x v="0"/>
          </reference>
          <reference field="1" count="1" selected="0">
            <x v="10"/>
          </reference>
        </references>
      </pivotArea>
    </chartFormat>
    <chartFormat chart="0" format="114">
      <pivotArea type="data" outline="0" fieldPosition="0">
        <references count="3">
          <reference field="4294967294" count="1" selected="0">
            <x v="0"/>
          </reference>
          <reference field="0" count="1" selected="0">
            <x v="0"/>
          </reference>
          <reference field="1" count="1" selected="0">
            <x v="11"/>
          </reference>
        </references>
      </pivotArea>
    </chartFormat>
    <chartFormat chart="0" format="115">
      <pivotArea type="data" outline="0" fieldPosition="0">
        <references count="3">
          <reference field="4294967294" count="1" selected="0">
            <x v="0"/>
          </reference>
          <reference field="0" count="1" selected="0">
            <x v="0"/>
          </reference>
          <reference field="1" count="1" selected="0">
            <x v="12"/>
          </reference>
        </references>
      </pivotArea>
    </chartFormat>
    <chartFormat chart="0" format="116">
      <pivotArea type="data" outline="0" fieldPosition="0">
        <references count="3">
          <reference field="4294967294" count="1" selected="0">
            <x v="0"/>
          </reference>
          <reference field="0" count="1" selected="0">
            <x v="0"/>
          </reference>
          <reference field="1" count="1" selected="0">
            <x v="13"/>
          </reference>
        </references>
      </pivotArea>
    </chartFormat>
    <chartFormat chart="0" format="117">
      <pivotArea type="data" outline="0" fieldPosition="0">
        <references count="3">
          <reference field="4294967294" count="1" selected="0">
            <x v="0"/>
          </reference>
          <reference field="0" count="1" selected="0">
            <x v="0"/>
          </reference>
          <reference field="1" count="1" selected="0">
            <x v="14"/>
          </reference>
        </references>
      </pivotArea>
    </chartFormat>
    <chartFormat chart="0" format="118">
      <pivotArea type="data" outline="0" fieldPosition="0">
        <references count="3">
          <reference field="4294967294" count="1" selected="0">
            <x v="0"/>
          </reference>
          <reference field="0" count="1" selected="0">
            <x v="0"/>
          </reference>
          <reference field="1" count="1" selected="0">
            <x v="15"/>
          </reference>
        </references>
      </pivotArea>
    </chartFormat>
    <chartFormat chart="0" format="119">
      <pivotArea type="data" outline="0" fieldPosition="0">
        <references count="3">
          <reference field="4294967294" count="1" selected="0">
            <x v="0"/>
          </reference>
          <reference field="0" count="1" selected="0">
            <x v="0"/>
          </reference>
          <reference field="1" count="1" selected="0">
            <x v="16"/>
          </reference>
        </references>
      </pivotArea>
    </chartFormat>
    <chartFormat chart="0" format="120">
      <pivotArea type="data" outline="0" fieldPosition="0">
        <references count="3">
          <reference field="4294967294" count="1" selected="0">
            <x v="0"/>
          </reference>
          <reference field="0" count="1" selected="0">
            <x v="0"/>
          </reference>
          <reference field="1" count="1" selected="0">
            <x v="17"/>
          </reference>
        </references>
      </pivotArea>
    </chartFormat>
    <chartFormat chart="0" format="121">
      <pivotArea type="data" outline="0" fieldPosition="0">
        <references count="3">
          <reference field="4294967294" count="1" selected="0">
            <x v="0"/>
          </reference>
          <reference field="0" count="1" selected="0">
            <x v="0"/>
          </reference>
          <reference field="1" count="1" selected="0">
            <x v="18"/>
          </reference>
        </references>
      </pivotArea>
    </chartFormat>
    <chartFormat chart="0" format="122">
      <pivotArea type="data" outline="0" fieldPosition="0">
        <references count="3">
          <reference field="4294967294" count="1" selected="0">
            <x v="0"/>
          </reference>
          <reference field="0" count="1" selected="0">
            <x v="0"/>
          </reference>
          <reference field="1" count="1" selected="0">
            <x v="19"/>
          </reference>
        </references>
      </pivotArea>
    </chartFormat>
    <chartFormat chart="0" format="123">
      <pivotArea type="data" outline="0" fieldPosition="0">
        <references count="3">
          <reference field="4294967294" count="1" selected="0">
            <x v="0"/>
          </reference>
          <reference field="0" count="1" selected="0">
            <x v="1"/>
          </reference>
          <reference field="1" count="1" selected="0">
            <x v="0"/>
          </reference>
        </references>
      </pivotArea>
    </chartFormat>
    <chartFormat chart="0" format="124">
      <pivotArea type="data" outline="0" fieldPosition="0">
        <references count="3">
          <reference field="4294967294" count="1" selected="0">
            <x v="0"/>
          </reference>
          <reference field="0" count="1" selected="0">
            <x v="1"/>
          </reference>
          <reference field="1" count="1" selected="0">
            <x v="2"/>
          </reference>
        </references>
      </pivotArea>
    </chartFormat>
    <chartFormat chart="0" format="125">
      <pivotArea type="data" outline="0" fieldPosition="0">
        <references count="3">
          <reference field="4294967294" count="1" selected="0">
            <x v="0"/>
          </reference>
          <reference field="0" count="1" selected="0">
            <x v="2"/>
          </reference>
          <reference field="1" count="1" selected="0">
            <x v="20"/>
          </reference>
        </references>
      </pivotArea>
    </chartFormat>
    <chartFormat chart="0" format="126">
      <pivotArea type="data" outline="0" fieldPosition="0">
        <references count="3">
          <reference field="4294967294" count="1" selected="0">
            <x v="2"/>
          </reference>
          <reference field="0" count="1" selected="0">
            <x v="0"/>
          </reference>
          <reference field="1" count="1" selected="0">
            <x v="0"/>
          </reference>
        </references>
      </pivotArea>
    </chartFormat>
    <chartFormat chart="0" format="127">
      <pivotArea type="data" outline="0" fieldPosition="0">
        <references count="3">
          <reference field="4294967294" count="1" selected="0">
            <x v="2"/>
          </reference>
          <reference field="0" count="1" selected="0">
            <x v="0"/>
          </reference>
          <reference field="1" count="1" selected="0">
            <x v="1"/>
          </reference>
        </references>
      </pivotArea>
    </chartFormat>
    <chartFormat chart="0" format="128">
      <pivotArea type="data" outline="0" fieldPosition="0">
        <references count="3">
          <reference field="4294967294" count="1" selected="0">
            <x v="2"/>
          </reference>
          <reference field="0" count="1" selected="0">
            <x v="0"/>
          </reference>
          <reference field="1" count="1" selected="0">
            <x v="3"/>
          </reference>
        </references>
      </pivotArea>
    </chartFormat>
    <chartFormat chart="0" format="129">
      <pivotArea type="data" outline="0" fieldPosition="0">
        <references count="3">
          <reference field="4294967294" count="1" selected="0">
            <x v="2"/>
          </reference>
          <reference field="0" count="1" selected="0">
            <x v="0"/>
          </reference>
          <reference field="1" count="1" selected="0">
            <x v="4"/>
          </reference>
        </references>
      </pivotArea>
    </chartFormat>
    <chartFormat chart="0" format="130">
      <pivotArea type="data" outline="0" fieldPosition="0">
        <references count="3">
          <reference field="4294967294" count="1" selected="0">
            <x v="2"/>
          </reference>
          <reference field="0" count="1" selected="0">
            <x v="0"/>
          </reference>
          <reference field="1" count="1" selected="0">
            <x v="5"/>
          </reference>
        </references>
      </pivotArea>
    </chartFormat>
    <chartFormat chart="0" format="131">
      <pivotArea type="data" outline="0" fieldPosition="0">
        <references count="3">
          <reference field="4294967294" count="1" selected="0">
            <x v="2"/>
          </reference>
          <reference field="0" count="1" selected="0">
            <x v="0"/>
          </reference>
          <reference field="1" count="1" selected="0">
            <x v="6"/>
          </reference>
        </references>
      </pivotArea>
    </chartFormat>
    <chartFormat chart="0" format="132">
      <pivotArea type="data" outline="0" fieldPosition="0">
        <references count="3">
          <reference field="4294967294" count="1" selected="0">
            <x v="2"/>
          </reference>
          <reference field="0" count="1" selected="0">
            <x v="0"/>
          </reference>
          <reference field="1" count="1" selected="0">
            <x v="7"/>
          </reference>
        </references>
      </pivotArea>
    </chartFormat>
    <chartFormat chart="0" format="133">
      <pivotArea type="data" outline="0" fieldPosition="0">
        <references count="3">
          <reference field="4294967294" count="1" selected="0">
            <x v="2"/>
          </reference>
          <reference field="0" count="1" selected="0">
            <x v="0"/>
          </reference>
          <reference field="1" count="1" selected="0">
            <x v="8"/>
          </reference>
        </references>
      </pivotArea>
    </chartFormat>
    <chartFormat chart="0" format="134">
      <pivotArea type="data" outline="0" fieldPosition="0">
        <references count="3">
          <reference field="4294967294" count="1" selected="0">
            <x v="2"/>
          </reference>
          <reference field="0" count="1" selected="0">
            <x v="0"/>
          </reference>
          <reference field="1" count="1" selected="0">
            <x v="9"/>
          </reference>
        </references>
      </pivotArea>
    </chartFormat>
    <chartFormat chart="0" format="135">
      <pivotArea type="data" outline="0" fieldPosition="0">
        <references count="3">
          <reference field="4294967294" count="1" selected="0">
            <x v="2"/>
          </reference>
          <reference field="0" count="1" selected="0">
            <x v="0"/>
          </reference>
          <reference field="1" count="1" selected="0">
            <x v="10"/>
          </reference>
        </references>
      </pivotArea>
    </chartFormat>
    <chartFormat chart="0" format="136">
      <pivotArea type="data" outline="0" fieldPosition="0">
        <references count="3">
          <reference field="4294967294" count="1" selected="0">
            <x v="2"/>
          </reference>
          <reference field="0" count="1" selected="0">
            <x v="0"/>
          </reference>
          <reference field="1" count="1" selected="0">
            <x v="11"/>
          </reference>
        </references>
      </pivotArea>
    </chartFormat>
    <chartFormat chart="0" format="137">
      <pivotArea type="data" outline="0" fieldPosition="0">
        <references count="3">
          <reference field="4294967294" count="1" selected="0">
            <x v="2"/>
          </reference>
          <reference field="0" count="1" selected="0">
            <x v="0"/>
          </reference>
          <reference field="1" count="1" selected="0">
            <x v="12"/>
          </reference>
        </references>
      </pivotArea>
    </chartFormat>
    <chartFormat chart="0" format="138">
      <pivotArea type="data" outline="0" fieldPosition="0">
        <references count="3">
          <reference field="4294967294" count="1" selected="0">
            <x v="2"/>
          </reference>
          <reference field="0" count="1" selected="0">
            <x v="0"/>
          </reference>
          <reference field="1" count="1" selected="0">
            <x v="13"/>
          </reference>
        </references>
      </pivotArea>
    </chartFormat>
    <chartFormat chart="0" format="139">
      <pivotArea type="data" outline="0" fieldPosition="0">
        <references count="3">
          <reference field="4294967294" count="1" selected="0">
            <x v="2"/>
          </reference>
          <reference field="0" count="1" selected="0">
            <x v="0"/>
          </reference>
          <reference field="1" count="1" selected="0">
            <x v="14"/>
          </reference>
        </references>
      </pivotArea>
    </chartFormat>
    <chartFormat chart="0" format="140">
      <pivotArea type="data" outline="0" fieldPosition="0">
        <references count="3">
          <reference field="4294967294" count="1" selected="0">
            <x v="2"/>
          </reference>
          <reference field="0" count="1" selected="0">
            <x v="0"/>
          </reference>
          <reference field="1" count="1" selected="0">
            <x v="15"/>
          </reference>
        </references>
      </pivotArea>
    </chartFormat>
    <chartFormat chart="0" format="141">
      <pivotArea type="data" outline="0" fieldPosition="0">
        <references count="3">
          <reference field="4294967294" count="1" selected="0">
            <x v="2"/>
          </reference>
          <reference field="0" count="1" selected="0">
            <x v="0"/>
          </reference>
          <reference field="1" count="1" selected="0">
            <x v="16"/>
          </reference>
        </references>
      </pivotArea>
    </chartFormat>
    <chartFormat chart="0" format="142">
      <pivotArea type="data" outline="0" fieldPosition="0">
        <references count="3">
          <reference field="4294967294" count="1" selected="0">
            <x v="2"/>
          </reference>
          <reference field="0" count="1" selected="0">
            <x v="0"/>
          </reference>
          <reference field="1" count="1" selected="0">
            <x v="17"/>
          </reference>
        </references>
      </pivotArea>
    </chartFormat>
    <chartFormat chart="0" format="143">
      <pivotArea type="data" outline="0" fieldPosition="0">
        <references count="3">
          <reference field="4294967294" count="1" selected="0">
            <x v="2"/>
          </reference>
          <reference field="0" count="1" selected="0">
            <x v="0"/>
          </reference>
          <reference field="1" count="1" selected="0">
            <x v="18"/>
          </reference>
        </references>
      </pivotArea>
    </chartFormat>
    <chartFormat chart="0" format="144">
      <pivotArea type="data" outline="0" fieldPosition="0">
        <references count="3">
          <reference field="4294967294" count="1" selected="0">
            <x v="2"/>
          </reference>
          <reference field="0" count="1" selected="0">
            <x v="0"/>
          </reference>
          <reference field="1" count="1" selected="0">
            <x v="19"/>
          </reference>
        </references>
      </pivotArea>
    </chartFormat>
    <chartFormat chart="0" format="145">
      <pivotArea type="data" outline="0" fieldPosition="0">
        <references count="3">
          <reference field="4294967294" count="1" selected="0">
            <x v="2"/>
          </reference>
          <reference field="0" count="1" selected="0">
            <x v="1"/>
          </reference>
          <reference field="1" count="1" selected="0">
            <x v="0"/>
          </reference>
        </references>
      </pivotArea>
    </chartFormat>
    <chartFormat chart="0" format="146">
      <pivotArea type="data" outline="0" fieldPosition="0">
        <references count="3">
          <reference field="4294967294" count="1" selected="0">
            <x v="2"/>
          </reference>
          <reference field="0" count="1" selected="0">
            <x v="1"/>
          </reference>
          <reference field="1" count="1" selected="0">
            <x v="2"/>
          </reference>
        </references>
      </pivotArea>
    </chartFormat>
    <chartFormat chart="0" format="147">
      <pivotArea type="data" outline="0" fieldPosition="0">
        <references count="3">
          <reference field="4294967294" count="1" selected="0">
            <x v="2"/>
          </reference>
          <reference field="0" count="1" selected="0">
            <x v="2"/>
          </reference>
          <reference field="1" count="1" selected="0">
            <x v="20"/>
          </reference>
        </references>
      </pivotArea>
    </chartFormat>
    <chartFormat chart="0" format="148">
      <pivotArea type="data" outline="0" fieldPosition="0">
        <references count="3">
          <reference field="4294967294" count="1" selected="0">
            <x v="2"/>
          </reference>
          <reference field="0" count="1" selected="0">
            <x v="3"/>
          </reference>
          <reference field="1" count="1" selected="0">
            <x v="3"/>
          </reference>
        </references>
      </pivotArea>
    </chartFormat>
    <chartFormat chart="0" format="149">
      <pivotArea type="data" outline="0" fieldPosition="0">
        <references count="3">
          <reference field="4294967294" count="1" selected="0">
            <x v="2"/>
          </reference>
          <reference field="0" count="1" selected="0">
            <x v="3"/>
          </reference>
          <reference field="1" count="1" selected="0">
            <x v="4"/>
          </reference>
        </references>
      </pivotArea>
    </chartFormat>
    <chartFormat chart="0" format="150">
      <pivotArea type="data" outline="0" fieldPosition="0">
        <references count="3">
          <reference field="4294967294" count="1" selected="0">
            <x v="2"/>
          </reference>
          <reference field="0" count="1" selected="0">
            <x v="3"/>
          </reference>
          <reference field="1" count="1" selected="0">
            <x v="5"/>
          </reference>
        </references>
      </pivotArea>
    </chartFormat>
    <chartFormat chart="0" format="151">
      <pivotArea type="data" outline="0" fieldPosition="0">
        <references count="3">
          <reference field="4294967294" count="1" selected="0">
            <x v="2"/>
          </reference>
          <reference field="0" count="1" selected="0">
            <x v="3"/>
          </reference>
          <reference field="1" count="1" selected="0">
            <x v="6"/>
          </reference>
        </references>
      </pivotArea>
    </chartFormat>
    <chartFormat chart="0" format="152">
      <pivotArea type="data" outline="0" fieldPosition="0">
        <references count="3">
          <reference field="4294967294" count="1" selected="0">
            <x v="2"/>
          </reference>
          <reference field="0" count="1" selected="0">
            <x v="3"/>
          </reference>
          <reference field="1" count="1" selected="0">
            <x v="7"/>
          </reference>
        </references>
      </pivotArea>
    </chartFormat>
    <chartFormat chart="0" format="153">
      <pivotArea type="data" outline="0" fieldPosition="0">
        <references count="3">
          <reference field="4294967294" count="1" selected="0">
            <x v="2"/>
          </reference>
          <reference field="0" count="1" selected="0">
            <x v="3"/>
          </reference>
          <reference field="1" count="1" selected="0">
            <x v="8"/>
          </reference>
        </references>
      </pivotArea>
    </chartFormat>
    <chartFormat chart="0" format="154">
      <pivotArea type="data" outline="0" fieldPosition="0">
        <references count="3">
          <reference field="4294967294" count="1" selected="0">
            <x v="2"/>
          </reference>
          <reference field="0" count="1" selected="0">
            <x v="3"/>
          </reference>
          <reference field="1" count="1" selected="0">
            <x v="9"/>
          </reference>
        </references>
      </pivotArea>
    </chartFormat>
    <chartFormat chart="0" format="155">
      <pivotArea type="data" outline="0" fieldPosition="0">
        <references count="3">
          <reference field="4294967294" count="1" selected="0">
            <x v="2"/>
          </reference>
          <reference field="0" count="1" selected="0">
            <x v="3"/>
          </reference>
          <reference field="1" count="1" selected="0">
            <x v="10"/>
          </reference>
        </references>
      </pivotArea>
    </chartFormat>
    <chartFormat chart="0" format="156">
      <pivotArea type="data" outline="0" fieldPosition="0">
        <references count="3">
          <reference field="4294967294" count="1" selected="0">
            <x v="2"/>
          </reference>
          <reference field="0" count="1" selected="0">
            <x v="3"/>
          </reference>
          <reference field="1" count="1" selected="0">
            <x v="11"/>
          </reference>
        </references>
      </pivotArea>
    </chartFormat>
    <chartFormat chart="0" format="157">
      <pivotArea type="data" outline="0" fieldPosition="0">
        <references count="3">
          <reference field="4294967294" count="1" selected="0">
            <x v="2"/>
          </reference>
          <reference field="0" count="1" selected="0">
            <x v="3"/>
          </reference>
          <reference field="1" count="1" selected="0">
            <x v="12"/>
          </reference>
        </references>
      </pivotArea>
    </chartFormat>
    <chartFormat chart="0" format="158">
      <pivotArea type="data" outline="0" fieldPosition="0">
        <references count="3">
          <reference field="4294967294" count="1" selected="0">
            <x v="2"/>
          </reference>
          <reference field="0" count="1" selected="0">
            <x v="3"/>
          </reference>
          <reference field="1" count="1" selected="0">
            <x v="13"/>
          </reference>
        </references>
      </pivotArea>
    </chartFormat>
    <chartFormat chart="0" format="159">
      <pivotArea type="data" outline="0" fieldPosition="0">
        <references count="3">
          <reference field="4294967294" count="1" selected="0">
            <x v="2"/>
          </reference>
          <reference field="0" count="1" selected="0">
            <x v="3"/>
          </reference>
          <reference field="1" count="1" selected="0">
            <x v="14"/>
          </reference>
        </references>
      </pivotArea>
    </chartFormat>
    <chartFormat chart="0" format="160">
      <pivotArea type="data" outline="0" fieldPosition="0">
        <references count="3">
          <reference field="4294967294" count="1" selected="0">
            <x v="0"/>
          </reference>
          <reference field="0" count="1" selected="0">
            <x v="3"/>
          </reference>
          <reference field="1" count="1" selected="0">
            <x v="3"/>
          </reference>
        </references>
      </pivotArea>
    </chartFormat>
    <chartFormat chart="0" format="161">
      <pivotArea type="data" outline="0" fieldPosition="0">
        <references count="3">
          <reference field="4294967294" count="1" selected="0">
            <x v="0"/>
          </reference>
          <reference field="0" count="1" selected="0">
            <x v="3"/>
          </reference>
          <reference field="1" count="1" selected="0">
            <x v="4"/>
          </reference>
        </references>
      </pivotArea>
    </chartFormat>
    <chartFormat chart="0" format="162">
      <pivotArea type="data" outline="0" fieldPosition="0">
        <references count="3">
          <reference field="4294967294" count="1" selected="0">
            <x v="0"/>
          </reference>
          <reference field="0" count="1" selected="0">
            <x v="3"/>
          </reference>
          <reference field="1" count="1" selected="0">
            <x v="5"/>
          </reference>
        </references>
      </pivotArea>
    </chartFormat>
    <chartFormat chart="0" format="163">
      <pivotArea type="data" outline="0" fieldPosition="0">
        <references count="3">
          <reference field="4294967294" count="1" selected="0">
            <x v="0"/>
          </reference>
          <reference field="0" count="1" selected="0">
            <x v="3"/>
          </reference>
          <reference field="1" count="1" selected="0">
            <x v="6"/>
          </reference>
        </references>
      </pivotArea>
    </chartFormat>
    <chartFormat chart="0" format="164">
      <pivotArea type="data" outline="0" fieldPosition="0">
        <references count="3">
          <reference field="4294967294" count="1" selected="0">
            <x v="0"/>
          </reference>
          <reference field="0" count="1" selected="0">
            <x v="3"/>
          </reference>
          <reference field="1" count="1" selected="0">
            <x v="7"/>
          </reference>
        </references>
      </pivotArea>
    </chartFormat>
    <chartFormat chart="0" format="165">
      <pivotArea type="data" outline="0" fieldPosition="0">
        <references count="3">
          <reference field="4294967294" count="1" selected="0">
            <x v="0"/>
          </reference>
          <reference field="0" count="1" selected="0">
            <x v="3"/>
          </reference>
          <reference field="1" count="1" selected="0">
            <x v="8"/>
          </reference>
        </references>
      </pivotArea>
    </chartFormat>
    <chartFormat chart="0" format="166">
      <pivotArea type="data" outline="0" fieldPosition="0">
        <references count="3">
          <reference field="4294967294" count="1" selected="0">
            <x v="0"/>
          </reference>
          <reference field="0" count="1" selected="0">
            <x v="3"/>
          </reference>
          <reference field="1" count="1" selected="0">
            <x v="9"/>
          </reference>
        </references>
      </pivotArea>
    </chartFormat>
    <chartFormat chart="0" format="167">
      <pivotArea type="data" outline="0" fieldPosition="0">
        <references count="3">
          <reference field="4294967294" count="1" selected="0">
            <x v="0"/>
          </reference>
          <reference field="0" count="1" selected="0">
            <x v="3"/>
          </reference>
          <reference field="1" count="1" selected="0">
            <x v="10"/>
          </reference>
        </references>
      </pivotArea>
    </chartFormat>
    <chartFormat chart="0" format="168">
      <pivotArea type="data" outline="0" fieldPosition="0">
        <references count="3">
          <reference field="4294967294" count="1" selected="0">
            <x v="0"/>
          </reference>
          <reference field="0" count="1" selected="0">
            <x v="3"/>
          </reference>
          <reference field="1" count="1" selected="0">
            <x v="11"/>
          </reference>
        </references>
      </pivotArea>
    </chartFormat>
    <chartFormat chart="0" format="169">
      <pivotArea type="data" outline="0" fieldPosition="0">
        <references count="3">
          <reference field="4294967294" count="1" selected="0">
            <x v="0"/>
          </reference>
          <reference field="0" count="1" selected="0">
            <x v="3"/>
          </reference>
          <reference field="1" count="1" selected="0">
            <x v="12"/>
          </reference>
        </references>
      </pivotArea>
    </chartFormat>
    <chartFormat chart="0" format="170">
      <pivotArea type="data" outline="0" fieldPosition="0">
        <references count="3">
          <reference field="4294967294" count="1" selected="0">
            <x v="0"/>
          </reference>
          <reference field="0" count="1" selected="0">
            <x v="3"/>
          </reference>
          <reference field="1" count="1" selected="0">
            <x v="13"/>
          </reference>
        </references>
      </pivotArea>
    </chartFormat>
    <chartFormat chart="0" format="171">
      <pivotArea type="data" outline="0" fieldPosition="0">
        <references count="3">
          <reference field="4294967294" count="1" selected="0">
            <x v="0"/>
          </reference>
          <reference field="0" count="1" selected="0">
            <x v="3"/>
          </reference>
          <reference field="1" count="1" selected="0">
            <x v="14"/>
          </reference>
        </references>
      </pivotArea>
    </chartFormat>
    <chartFormat chart="0" format="172">
      <pivotArea type="data" outline="0" fieldPosition="0">
        <references count="3">
          <reference field="4294967294" count="1" selected="0">
            <x v="0"/>
          </reference>
          <reference field="0" count="1" selected="0">
            <x v="3"/>
          </reference>
          <reference field="1" count="1" selected="0">
            <x v="15"/>
          </reference>
        </references>
      </pivotArea>
    </chartFormat>
    <chartFormat chart="0" format="173">
      <pivotArea type="data" outline="0" fieldPosition="0">
        <references count="3">
          <reference field="4294967294" count="1" selected="0">
            <x v="0"/>
          </reference>
          <reference field="0" count="1" selected="0">
            <x v="3"/>
          </reference>
          <reference field="1" count="1" selected="0">
            <x v="16"/>
          </reference>
        </references>
      </pivotArea>
    </chartFormat>
    <chartFormat chart="0" format="174">
      <pivotArea type="data" outline="0" fieldPosition="0">
        <references count="3">
          <reference field="4294967294" count="1" selected="0">
            <x v="0"/>
          </reference>
          <reference field="0" count="1" selected="0">
            <x v="3"/>
          </reference>
          <reference field="1" count="1" selected="0">
            <x v="17"/>
          </reference>
        </references>
      </pivotArea>
    </chartFormat>
    <chartFormat chart="0" format="175">
      <pivotArea type="data" outline="0" fieldPosition="0">
        <references count="3">
          <reference field="4294967294" count="1" selected="0">
            <x v="0"/>
          </reference>
          <reference field="0" count="1" selected="0">
            <x v="3"/>
          </reference>
          <reference field="1" count="1" selected="0">
            <x v="18"/>
          </reference>
        </references>
      </pivotArea>
    </chartFormat>
    <chartFormat chart="0" format="176">
      <pivotArea type="data" outline="0" fieldPosition="0">
        <references count="3">
          <reference field="4294967294" count="1" selected="0">
            <x v="0"/>
          </reference>
          <reference field="0" count="1" selected="0">
            <x v="3"/>
          </reference>
          <reference field="1" count="1" selected="0">
            <x v="19"/>
          </reference>
        </references>
      </pivotArea>
    </chartFormat>
    <chartFormat chart="0" format="177">
      <pivotArea type="data" outline="0" fieldPosition="0">
        <references count="3">
          <reference field="4294967294" count="1" selected="0">
            <x v="0"/>
          </reference>
          <reference field="0" count="1" selected="0">
            <x v="3"/>
          </reference>
          <reference field="1" count="1" selected="0">
            <x v="21"/>
          </reference>
        </references>
      </pivotArea>
    </chartFormat>
    <chartFormat chart="0" format="178">
      <pivotArea type="data" outline="0" fieldPosition="0">
        <references count="3">
          <reference field="4294967294" count="1" selected="0">
            <x v="0"/>
          </reference>
          <reference field="0" count="1" selected="0">
            <x v="3"/>
          </reference>
          <reference field="1" count="1" selected="0">
            <x v="22"/>
          </reference>
        </references>
      </pivotArea>
    </chartFormat>
    <chartFormat chart="0" format="179">
      <pivotArea type="data" outline="0" fieldPosition="0">
        <references count="3">
          <reference field="4294967294" count="1" selected="0">
            <x v="0"/>
          </reference>
          <reference field="0" count="1" selected="0">
            <x v="3"/>
          </reference>
          <reference field="1" count="1" selected="0">
            <x v="23"/>
          </reference>
        </references>
      </pivotArea>
    </chartFormat>
    <chartFormat chart="0" format="180">
      <pivotArea type="data" outline="0" fieldPosition="0">
        <references count="3">
          <reference field="4294967294" count="1" selected="0">
            <x v="0"/>
          </reference>
          <reference field="0" count="1" selected="0">
            <x v="3"/>
          </reference>
          <reference field="1" count="1" selected="0">
            <x v="24"/>
          </reference>
        </references>
      </pivotArea>
    </chartFormat>
    <chartFormat chart="0" format="181">
      <pivotArea type="data" outline="0" fieldPosition="0">
        <references count="3">
          <reference field="4294967294" count="1" selected="0">
            <x v="0"/>
          </reference>
          <reference field="0" count="1" selected="0">
            <x v="3"/>
          </reference>
          <reference field="1" count="1" selected="0">
            <x v="25"/>
          </reference>
        </references>
      </pivotArea>
    </chartFormat>
    <chartFormat chart="0" format="182">
      <pivotArea type="data" outline="0" fieldPosition="0">
        <references count="3">
          <reference field="4294967294" count="1" selected="0">
            <x v="0"/>
          </reference>
          <reference field="0" count="1" selected="0">
            <x v="3"/>
          </reference>
          <reference field="1" count="1" selected="0">
            <x v="26"/>
          </reference>
        </references>
      </pivotArea>
    </chartFormat>
    <chartFormat chart="0" format="183">
      <pivotArea type="data" outline="0" fieldPosition="0">
        <references count="3">
          <reference field="4294967294" count="1" selected="0">
            <x v="0"/>
          </reference>
          <reference field="0" count="1" selected="0">
            <x v="3"/>
          </reference>
          <reference field="1" count="1" selected="0">
            <x v="27"/>
          </reference>
        </references>
      </pivotArea>
    </chartFormat>
    <chartFormat chart="0" format="184">
      <pivotArea type="data" outline="0" fieldPosition="0">
        <references count="3">
          <reference field="4294967294" count="1" selected="0">
            <x v="2"/>
          </reference>
          <reference field="0" count="1" selected="0">
            <x v="3"/>
          </reference>
          <reference field="1" count="1" selected="0">
            <x v="15"/>
          </reference>
        </references>
      </pivotArea>
    </chartFormat>
    <chartFormat chart="0" format="185">
      <pivotArea type="data" outline="0" fieldPosition="0">
        <references count="3">
          <reference field="4294967294" count="1" selected="0">
            <x v="2"/>
          </reference>
          <reference field="0" count="1" selected="0">
            <x v="3"/>
          </reference>
          <reference field="1" count="1" selected="0">
            <x v="16"/>
          </reference>
        </references>
      </pivotArea>
    </chartFormat>
    <chartFormat chart="0" format="186">
      <pivotArea type="data" outline="0" fieldPosition="0">
        <references count="3">
          <reference field="4294967294" count="1" selected="0">
            <x v="2"/>
          </reference>
          <reference field="0" count="1" selected="0">
            <x v="3"/>
          </reference>
          <reference field="1" count="1" selected="0">
            <x v="17"/>
          </reference>
        </references>
      </pivotArea>
    </chartFormat>
    <chartFormat chart="0" format="187">
      <pivotArea type="data" outline="0" fieldPosition="0">
        <references count="3">
          <reference field="4294967294" count="1" selected="0">
            <x v="2"/>
          </reference>
          <reference field="0" count="1" selected="0">
            <x v="3"/>
          </reference>
          <reference field="1" count="1" selected="0">
            <x v="18"/>
          </reference>
        </references>
      </pivotArea>
    </chartFormat>
    <chartFormat chart="0" format="188">
      <pivotArea type="data" outline="0" fieldPosition="0">
        <references count="3">
          <reference field="4294967294" count="1" selected="0">
            <x v="2"/>
          </reference>
          <reference field="0" count="1" selected="0">
            <x v="3"/>
          </reference>
          <reference field="1" count="1" selected="0">
            <x v="19"/>
          </reference>
        </references>
      </pivotArea>
    </chartFormat>
    <chartFormat chart="0" format="189">
      <pivotArea type="data" outline="0" fieldPosition="0">
        <references count="3">
          <reference field="4294967294" count="1" selected="0">
            <x v="2"/>
          </reference>
          <reference field="0" count="1" selected="0">
            <x v="3"/>
          </reference>
          <reference field="1" count="1" selected="0">
            <x v="21"/>
          </reference>
        </references>
      </pivotArea>
    </chartFormat>
    <chartFormat chart="0" format="190">
      <pivotArea type="data" outline="0" fieldPosition="0">
        <references count="3">
          <reference field="4294967294" count="1" selected="0">
            <x v="2"/>
          </reference>
          <reference field="0" count="1" selected="0">
            <x v="3"/>
          </reference>
          <reference field="1" count="1" selected="0">
            <x v="22"/>
          </reference>
        </references>
      </pivotArea>
    </chartFormat>
    <chartFormat chart="0" format="191">
      <pivotArea type="data" outline="0" fieldPosition="0">
        <references count="3">
          <reference field="4294967294" count="1" selected="0">
            <x v="2"/>
          </reference>
          <reference field="0" count="1" selected="0">
            <x v="3"/>
          </reference>
          <reference field="1" count="1" selected="0">
            <x v="23"/>
          </reference>
        </references>
      </pivotArea>
    </chartFormat>
    <chartFormat chart="0" format="192">
      <pivotArea type="data" outline="0" fieldPosition="0">
        <references count="3">
          <reference field="4294967294" count="1" selected="0">
            <x v="2"/>
          </reference>
          <reference field="0" count="1" selected="0">
            <x v="3"/>
          </reference>
          <reference field="1" count="1" selected="0">
            <x v="24"/>
          </reference>
        </references>
      </pivotArea>
    </chartFormat>
    <chartFormat chart="0" format="193">
      <pivotArea type="data" outline="0" fieldPosition="0">
        <references count="3">
          <reference field="4294967294" count="1" selected="0">
            <x v="2"/>
          </reference>
          <reference field="0" count="1" selected="0">
            <x v="3"/>
          </reference>
          <reference field="1" count="1" selected="0">
            <x v="25"/>
          </reference>
        </references>
      </pivotArea>
    </chartFormat>
    <chartFormat chart="0" format="194">
      <pivotArea type="data" outline="0" fieldPosition="0">
        <references count="3">
          <reference field="4294967294" count="1" selected="0">
            <x v="2"/>
          </reference>
          <reference field="0" count="1" selected="0">
            <x v="3"/>
          </reference>
          <reference field="1" count="1" selected="0">
            <x v="26"/>
          </reference>
        </references>
      </pivotArea>
    </chartFormat>
    <chartFormat chart="0" format="195">
      <pivotArea type="data" outline="0" fieldPosition="0">
        <references count="3">
          <reference field="4294967294" count="1" selected="0">
            <x v="2"/>
          </reference>
          <reference field="0" count="1" selected="0">
            <x v="3"/>
          </reference>
          <reference field="1" count="1" selected="0">
            <x v="27"/>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4192A4BB-7401-4254-9CBB-51B44DAD308A}" name="pt.lvl3_generic_9" cacheId="1"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54" firstHeaderRow="0" firstDataRow="1" firstDataCol="2" rowPageCount="5" colPageCount="1"/>
  <pivotFields count="13">
    <pivotField axis="axisRow" compact="0" outline="0" subtotalTop="0" showAll="0" defaultSubtotal="0">
      <items count="4">
        <item x="0"/>
        <item x="1"/>
        <item x="3"/>
        <item x="2"/>
      </items>
    </pivotField>
    <pivotField axis="axisRow" compact="0" outline="0" subtotalTop="0" showAll="0">
      <items count="29">
        <item x="0"/>
        <item x="1"/>
        <item x="19"/>
        <item x="2"/>
        <item x="3"/>
        <item x="4"/>
        <item x="5"/>
        <item x="6"/>
        <item x="7"/>
        <item x="8"/>
        <item x="9"/>
        <item x="10"/>
        <item x="11"/>
        <item x="12"/>
        <item x="13"/>
        <item x="14"/>
        <item x="15"/>
        <item x="16"/>
        <item x="17"/>
        <item x="18"/>
        <item x="27"/>
        <item x="20"/>
        <item x="21"/>
        <item x="22"/>
        <item x="23"/>
        <item x="24"/>
        <item x="25"/>
        <item x="26"/>
        <item t="default"/>
      </items>
    </pivotField>
    <pivotField compact="0" outline="0" subtotalTop="0" showAll="0">
      <items count="6">
        <item x="4"/>
        <item x="0"/>
        <item x="3"/>
        <item x="1"/>
        <item x="2"/>
        <item t="default"/>
      </items>
    </pivotField>
    <pivotField axis="axisPage" compact="0" outline="0" subtotalTop="0" multipleItemSelectionAllowed="1" showAll="0">
      <items count="4">
        <item x="2"/>
        <item x="0"/>
        <item x="1"/>
        <item t="default"/>
      </items>
    </pivotField>
    <pivotField axis="axisPage" compact="0" outline="0" subtotalTop="0" multipleItemSelectionAllowed="1" showAll="0">
      <items count="12">
        <item x="10"/>
        <item x="7"/>
        <item x="0"/>
        <item x="4"/>
        <item x="6"/>
        <item x="2"/>
        <item x="5"/>
        <item x="3"/>
        <item x="1"/>
        <item x="8"/>
        <item x="9"/>
        <item t="default"/>
      </items>
    </pivotField>
    <pivotField axis="axisPage" compact="0" outline="0" subtotalTop="0" multipleItemSelectionAllowed="1" showAll="0">
      <items count="4">
        <item x="2"/>
        <item x="0"/>
        <item x="1"/>
        <item t="default"/>
      </items>
    </pivotField>
    <pivotField dataField="1" compact="0" outline="0" subtotalTop="0" showAll="0"/>
    <pivotField dataField="1" compact="0" outline="0" subtotalTop="0" showAll="0"/>
    <pivotField compact="0" outline="0" subtotalTop="0" showAll="0"/>
    <pivotField dataField="1" compact="0" outline="0" subtotalTop="0" showAll="0"/>
    <pivotField compact="0" outline="0" subtotalTop="0" showAll="0"/>
    <pivotField axis="axisPage" compact="0" outline="0" subtotalTop="0" showAll="0">
      <items count="5">
        <item x="3"/>
        <item x="0"/>
        <item x="1"/>
        <item x="2"/>
        <item t="default"/>
      </items>
    </pivotField>
    <pivotField axis="axisPage" compact="0" outline="0" subtotalTop="0" showAll="0">
      <items count="8">
        <item x="6"/>
        <item x="0"/>
        <item x="1"/>
        <item x="2"/>
        <item x="3"/>
        <item x="4"/>
        <item x="5"/>
        <item t="default"/>
      </items>
    </pivotField>
  </pivotFields>
  <rowFields count="2">
    <field x="0"/>
    <field x="1"/>
  </rowFields>
  <rowItems count="47">
    <i>
      <x/>
      <x/>
    </i>
    <i r="1">
      <x v="1"/>
    </i>
    <i r="1">
      <x v="3"/>
    </i>
    <i r="1">
      <x v="4"/>
    </i>
    <i r="1">
      <x v="5"/>
    </i>
    <i r="1">
      <x v="6"/>
    </i>
    <i r="1">
      <x v="7"/>
    </i>
    <i r="1">
      <x v="8"/>
    </i>
    <i r="1">
      <x v="9"/>
    </i>
    <i r="1">
      <x v="10"/>
    </i>
    <i r="1">
      <x v="11"/>
    </i>
    <i r="1">
      <x v="12"/>
    </i>
    <i r="1">
      <x v="13"/>
    </i>
    <i r="1">
      <x v="14"/>
    </i>
    <i r="1">
      <x v="15"/>
    </i>
    <i r="1">
      <x v="16"/>
    </i>
    <i r="1">
      <x v="17"/>
    </i>
    <i r="1">
      <x v="18"/>
    </i>
    <i r="1">
      <x v="19"/>
    </i>
    <i>
      <x v="1"/>
      <x/>
    </i>
    <i r="1">
      <x v="2"/>
    </i>
    <i>
      <x v="2"/>
      <x v="20"/>
    </i>
    <i>
      <x v="3"/>
      <x v="3"/>
    </i>
    <i r="1">
      <x v="4"/>
    </i>
    <i r="1">
      <x v="5"/>
    </i>
    <i r="1">
      <x v="6"/>
    </i>
    <i r="1">
      <x v="7"/>
    </i>
    <i r="1">
      <x v="8"/>
    </i>
    <i r="1">
      <x v="9"/>
    </i>
    <i r="1">
      <x v="10"/>
    </i>
    <i r="1">
      <x v="11"/>
    </i>
    <i r="1">
      <x v="12"/>
    </i>
    <i r="1">
      <x v="13"/>
    </i>
    <i r="1">
      <x v="14"/>
    </i>
    <i r="1">
      <x v="15"/>
    </i>
    <i r="1">
      <x v="16"/>
    </i>
    <i r="1">
      <x v="17"/>
    </i>
    <i r="1">
      <x v="18"/>
    </i>
    <i r="1">
      <x v="19"/>
    </i>
    <i r="1">
      <x v="21"/>
    </i>
    <i r="1">
      <x v="22"/>
    </i>
    <i r="1">
      <x v="23"/>
    </i>
    <i r="1">
      <x v="24"/>
    </i>
    <i r="1">
      <x v="25"/>
    </i>
    <i r="1">
      <x v="26"/>
    </i>
    <i r="1">
      <x v="27"/>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0" baseItem="0"/>
  </dataFields>
  <chartFormats count="95">
    <chartFormat chart="0" format="101" series="1">
      <pivotArea type="data" outline="0" fieldPosition="0">
        <references count="1">
          <reference field="4294967294" count="1" selected="0">
            <x v="0"/>
          </reference>
        </references>
      </pivotArea>
    </chartFormat>
    <chartFormat chart="0" format="102" series="1">
      <pivotArea type="data" outline="0" fieldPosition="0">
        <references count="1">
          <reference field="4294967294" count="1" selected="0">
            <x v="1"/>
          </reference>
        </references>
      </pivotArea>
    </chartFormat>
    <chartFormat chart="0" format="103" series="1">
      <pivotArea type="data" outline="0" fieldPosition="0">
        <references count="1">
          <reference field="4294967294" count="1" selected="0">
            <x v="2"/>
          </reference>
        </references>
      </pivotArea>
    </chartFormat>
    <chartFormat chart="0" format="104">
      <pivotArea type="data" outline="0" fieldPosition="0">
        <references count="3">
          <reference field="4294967294" count="1" selected="0">
            <x v="0"/>
          </reference>
          <reference field="0" count="1" selected="0">
            <x v="0"/>
          </reference>
          <reference field="1" count="1" selected="0">
            <x v="0"/>
          </reference>
        </references>
      </pivotArea>
    </chartFormat>
    <chartFormat chart="0" format="105">
      <pivotArea type="data" outline="0" fieldPosition="0">
        <references count="3">
          <reference field="4294967294" count="1" selected="0">
            <x v="0"/>
          </reference>
          <reference field="0" count="1" selected="0">
            <x v="0"/>
          </reference>
          <reference field="1" count="1" selected="0">
            <x v="1"/>
          </reference>
        </references>
      </pivotArea>
    </chartFormat>
    <chartFormat chart="0" format="106">
      <pivotArea type="data" outline="0" fieldPosition="0">
        <references count="3">
          <reference field="4294967294" count="1" selected="0">
            <x v="0"/>
          </reference>
          <reference field="0" count="1" selected="0">
            <x v="0"/>
          </reference>
          <reference field="1" count="1" selected="0">
            <x v="3"/>
          </reference>
        </references>
      </pivotArea>
    </chartFormat>
    <chartFormat chart="0" format="107">
      <pivotArea type="data" outline="0" fieldPosition="0">
        <references count="3">
          <reference field="4294967294" count="1" selected="0">
            <x v="0"/>
          </reference>
          <reference field="0" count="1" selected="0">
            <x v="0"/>
          </reference>
          <reference field="1" count="1" selected="0">
            <x v="4"/>
          </reference>
        </references>
      </pivotArea>
    </chartFormat>
    <chartFormat chart="0" format="108">
      <pivotArea type="data" outline="0" fieldPosition="0">
        <references count="3">
          <reference field="4294967294" count="1" selected="0">
            <x v="0"/>
          </reference>
          <reference field="0" count="1" selected="0">
            <x v="0"/>
          </reference>
          <reference field="1" count="1" selected="0">
            <x v="5"/>
          </reference>
        </references>
      </pivotArea>
    </chartFormat>
    <chartFormat chart="0" format="109">
      <pivotArea type="data" outline="0" fieldPosition="0">
        <references count="3">
          <reference field="4294967294" count="1" selected="0">
            <x v="0"/>
          </reference>
          <reference field="0" count="1" selected="0">
            <x v="0"/>
          </reference>
          <reference field="1" count="1" selected="0">
            <x v="6"/>
          </reference>
        </references>
      </pivotArea>
    </chartFormat>
    <chartFormat chart="0" format="110">
      <pivotArea type="data" outline="0" fieldPosition="0">
        <references count="3">
          <reference field="4294967294" count="1" selected="0">
            <x v="0"/>
          </reference>
          <reference field="0" count="1" selected="0">
            <x v="0"/>
          </reference>
          <reference field="1" count="1" selected="0">
            <x v="7"/>
          </reference>
        </references>
      </pivotArea>
    </chartFormat>
    <chartFormat chart="0" format="111">
      <pivotArea type="data" outline="0" fieldPosition="0">
        <references count="3">
          <reference field="4294967294" count="1" selected="0">
            <x v="0"/>
          </reference>
          <reference field="0" count="1" selected="0">
            <x v="0"/>
          </reference>
          <reference field="1" count="1" selected="0">
            <x v="8"/>
          </reference>
        </references>
      </pivotArea>
    </chartFormat>
    <chartFormat chart="0" format="112">
      <pivotArea type="data" outline="0" fieldPosition="0">
        <references count="3">
          <reference field="4294967294" count="1" selected="0">
            <x v="0"/>
          </reference>
          <reference field="0" count="1" selected="0">
            <x v="0"/>
          </reference>
          <reference field="1" count="1" selected="0">
            <x v="9"/>
          </reference>
        </references>
      </pivotArea>
    </chartFormat>
    <chartFormat chart="0" format="113">
      <pivotArea type="data" outline="0" fieldPosition="0">
        <references count="3">
          <reference field="4294967294" count="1" selected="0">
            <x v="0"/>
          </reference>
          <reference field="0" count="1" selected="0">
            <x v="0"/>
          </reference>
          <reference field="1" count="1" selected="0">
            <x v="10"/>
          </reference>
        </references>
      </pivotArea>
    </chartFormat>
    <chartFormat chart="0" format="114">
      <pivotArea type="data" outline="0" fieldPosition="0">
        <references count="3">
          <reference field="4294967294" count="1" selected="0">
            <x v="0"/>
          </reference>
          <reference field="0" count="1" selected="0">
            <x v="0"/>
          </reference>
          <reference field="1" count="1" selected="0">
            <x v="11"/>
          </reference>
        </references>
      </pivotArea>
    </chartFormat>
    <chartFormat chart="0" format="115">
      <pivotArea type="data" outline="0" fieldPosition="0">
        <references count="3">
          <reference field="4294967294" count="1" selected="0">
            <x v="0"/>
          </reference>
          <reference field="0" count="1" selected="0">
            <x v="0"/>
          </reference>
          <reference field="1" count="1" selected="0">
            <x v="12"/>
          </reference>
        </references>
      </pivotArea>
    </chartFormat>
    <chartFormat chart="0" format="116">
      <pivotArea type="data" outline="0" fieldPosition="0">
        <references count="3">
          <reference field="4294967294" count="1" selected="0">
            <x v="0"/>
          </reference>
          <reference field="0" count="1" selected="0">
            <x v="0"/>
          </reference>
          <reference field="1" count="1" selected="0">
            <x v="13"/>
          </reference>
        </references>
      </pivotArea>
    </chartFormat>
    <chartFormat chart="0" format="117">
      <pivotArea type="data" outline="0" fieldPosition="0">
        <references count="3">
          <reference field="4294967294" count="1" selected="0">
            <x v="0"/>
          </reference>
          <reference field="0" count="1" selected="0">
            <x v="0"/>
          </reference>
          <reference field="1" count="1" selected="0">
            <x v="14"/>
          </reference>
        </references>
      </pivotArea>
    </chartFormat>
    <chartFormat chart="0" format="118">
      <pivotArea type="data" outline="0" fieldPosition="0">
        <references count="3">
          <reference field="4294967294" count="1" selected="0">
            <x v="0"/>
          </reference>
          <reference field="0" count="1" selected="0">
            <x v="0"/>
          </reference>
          <reference field="1" count="1" selected="0">
            <x v="15"/>
          </reference>
        </references>
      </pivotArea>
    </chartFormat>
    <chartFormat chart="0" format="119">
      <pivotArea type="data" outline="0" fieldPosition="0">
        <references count="3">
          <reference field="4294967294" count="1" selected="0">
            <x v="0"/>
          </reference>
          <reference field="0" count="1" selected="0">
            <x v="0"/>
          </reference>
          <reference field="1" count="1" selected="0">
            <x v="16"/>
          </reference>
        </references>
      </pivotArea>
    </chartFormat>
    <chartFormat chart="0" format="120">
      <pivotArea type="data" outline="0" fieldPosition="0">
        <references count="3">
          <reference field="4294967294" count="1" selected="0">
            <x v="0"/>
          </reference>
          <reference field="0" count="1" selected="0">
            <x v="0"/>
          </reference>
          <reference field="1" count="1" selected="0">
            <x v="17"/>
          </reference>
        </references>
      </pivotArea>
    </chartFormat>
    <chartFormat chart="0" format="121">
      <pivotArea type="data" outline="0" fieldPosition="0">
        <references count="3">
          <reference field="4294967294" count="1" selected="0">
            <x v="0"/>
          </reference>
          <reference field="0" count="1" selected="0">
            <x v="0"/>
          </reference>
          <reference field="1" count="1" selected="0">
            <x v="18"/>
          </reference>
        </references>
      </pivotArea>
    </chartFormat>
    <chartFormat chart="0" format="122">
      <pivotArea type="data" outline="0" fieldPosition="0">
        <references count="3">
          <reference field="4294967294" count="1" selected="0">
            <x v="0"/>
          </reference>
          <reference field="0" count="1" selected="0">
            <x v="0"/>
          </reference>
          <reference field="1" count="1" selected="0">
            <x v="19"/>
          </reference>
        </references>
      </pivotArea>
    </chartFormat>
    <chartFormat chart="0" format="123">
      <pivotArea type="data" outline="0" fieldPosition="0">
        <references count="3">
          <reference field="4294967294" count="1" selected="0">
            <x v="0"/>
          </reference>
          <reference field="0" count="1" selected="0">
            <x v="1"/>
          </reference>
          <reference field="1" count="1" selected="0">
            <x v="0"/>
          </reference>
        </references>
      </pivotArea>
    </chartFormat>
    <chartFormat chart="0" format="124">
      <pivotArea type="data" outline="0" fieldPosition="0">
        <references count="3">
          <reference field="4294967294" count="1" selected="0">
            <x v="0"/>
          </reference>
          <reference field="0" count="1" selected="0">
            <x v="1"/>
          </reference>
          <reference field="1" count="1" selected="0">
            <x v="2"/>
          </reference>
        </references>
      </pivotArea>
    </chartFormat>
    <chartFormat chart="0" format="125">
      <pivotArea type="data" outline="0" fieldPosition="0">
        <references count="3">
          <reference field="4294967294" count="1" selected="0">
            <x v="0"/>
          </reference>
          <reference field="0" count="1" selected="0">
            <x v="2"/>
          </reference>
          <reference field="1" count="1" selected="0">
            <x v="20"/>
          </reference>
        </references>
      </pivotArea>
    </chartFormat>
    <chartFormat chart="0" format="126">
      <pivotArea type="data" outline="0" fieldPosition="0">
        <references count="3">
          <reference field="4294967294" count="1" selected="0">
            <x v="2"/>
          </reference>
          <reference field="0" count="1" selected="0">
            <x v="0"/>
          </reference>
          <reference field="1" count="1" selected="0">
            <x v="0"/>
          </reference>
        </references>
      </pivotArea>
    </chartFormat>
    <chartFormat chart="0" format="127">
      <pivotArea type="data" outline="0" fieldPosition="0">
        <references count="3">
          <reference field="4294967294" count="1" selected="0">
            <x v="2"/>
          </reference>
          <reference field="0" count="1" selected="0">
            <x v="0"/>
          </reference>
          <reference field="1" count="1" selected="0">
            <x v="1"/>
          </reference>
        </references>
      </pivotArea>
    </chartFormat>
    <chartFormat chart="0" format="128">
      <pivotArea type="data" outline="0" fieldPosition="0">
        <references count="3">
          <reference field="4294967294" count="1" selected="0">
            <x v="2"/>
          </reference>
          <reference field="0" count="1" selected="0">
            <x v="0"/>
          </reference>
          <reference field="1" count="1" selected="0">
            <x v="3"/>
          </reference>
        </references>
      </pivotArea>
    </chartFormat>
    <chartFormat chart="0" format="129">
      <pivotArea type="data" outline="0" fieldPosition="0">
        <references count="3">
          <reference field="4294967294" count="1" selected="0">
            <x v="2"/>
          </reference>
          <reference field="0" count="1" selected="0">
            <x v="0"/>
          </reference>
          <reference field="1" count="1" selected="0">
            <x v="4"/>
          </reference>
        </references>
      </pivotArea>
    </chartFormat>
    <chartFormat chart="0" format="130">
      <pivotArea type="data" outline="0" fieldPosition="0">
        <references count="3">
          <reference field="4294967294" count="1" selected="0">
            <x v="2"/>
          </reference>
          <reference field="0" count="1" selected="0">
            <x v="0"/>
          </reference>
          <reference field="1" count="1" selected="0">
            <x v="5"/>
          </reference>
        </references>
      </pivotArea>
    </chartFormat>
    <chartFormat chart="0" format="131">
      <pivotArea type="data" outline="0" fieldPosition="0">
        <references count="3">
          <reference field="4294967294" count="1" selected="0">
            <x v="2"/>
          </reference>
          <reference field="0" count="1" selected="0">
            <x v="0"/>
          </reference>
          <reference field="1" count="1" selected="0">
            <x v="6"/>
          </reference>
        </references>
      </pivotArea>
    </chartFormat>
    <chartFormat chart="0" format="132">
      <pivotArea type="data" outline="0" fieldPosition="0">
        <references count="3">
          <reference field="4294967294" count="1" selected="0">
            <x v="2"/>
          </reference>
          <reference field="0" count="1" selected="0">
            <x v="0"/>
          </reference>
          <reference field="1" count="1" selected="0">
            <x v="7"/>
          </reference>
        </references>
      </pivotArea>
    </chartFormat>
    <chartFormat chart="0" format="133">
      <pivotArea type="data" outline="0" fieldPosition="0">
        <references count="3">
          <reference field="4294967294" count="1" selected="0">
            <x v="2"/>
          </reference>
          <reference field="0" count="1" selected="0">
            <x v="0"/>
          </reference>
          <reference field="1" count="1" selected="0">
            <x v="8"/>
          </reference>
        </references>
      </pivotArea>
    </chartFormat>
    <chartFormat chart="0" format="134">
      <pivotArea type="data" outline="0" fieldPosition="0">
        <references count="3">
          <reference field="4294967294" count="1" selected="0">
            <x v="2"/>
          </reference>
          <reference field="0" count="1" selected="0">
            <x v="0"/>
          </reference>
          <reference field="1" count="1" selected="0">
            <x v="9"/>
          </reference>
        </references>
      </pivotArea>
    </chartFormat>
    <chartFormat chart="0" format="135">
      <pivotArea type="data" outline="0" fieldPosition="0">
        <references count="3">
          <reference field="4294967294" count="1" selected="0">
            <x v="2"/>
          </reference>
          <reference field="0" count="1" selected="0">
            <x v="0"/>
          </reference>
          <reference field="1" count="1" selected="0">
            <x v="10"/>
          </reference>
        </references>
      </pivotArea>
    </chartFormat>
    <chartFormat chart="0" format="136">
      <pivotArea type="data" outline="0" fieldPosition="0">
        <references count="3">
          <reference field="4294967294" count="1" selected="0">
            <x v="2"/>
          </reference>
          <reference field="0" count="1" selected="0">
            <x v="0"/>
          </reference>
          <reference field="1" count="1" selected="0">
            <x v="11"/>
          </reference>
        </references>
      </pivotArea>
    </chartFormat>
    <chartFormat chart="0" format="137">
      <pivotArea type="data" outline="0" fieldPosition="0">
        <references count="3">
          <reference field="4294967294" count="1" selected="0">
            <x v="2"/>
          </reference>
          <reference field="0" count="1" selected="0">
            <x v="0"/>
          </reference>
          <reference field="1" count="1" selected="0">
            <x v="12"/>
          </reference>
        </references>
      </pivotArea>
    </chartFormat>
    <chartFormat chart="0" format="138">
      <pivotArea type="data" outline="0" fieldPosition="0">
        <references count="3">
          <reference field="4294967294" count="1" selected="0">
            <x v="2"/>
          </reference>
          <reference field="0" count="1" selected="0">
            <x v="0"/>
          </reference>
          <reference field="1" count="1" selected="0">
            <x v="13"/>
          </reference>
        </references>
      </pivotArea>
    </chartFormat>
    <chartFormat chart="0" format="139">
      <pivotArea type="data" outline="0" fieldPosition="0">
        <references count="3">
          <reference field="4294967294" count="1" selected="0">
            <x v="2"/>
          </reference>
          <reference field="0" count="1" selected="0">
            <x v="0"/>
          </reference>
          <reference field="1" count="1" selected="0">
            <x v="14"/>
          </reference>
        </references>
      </pivotArea>
    </chartFormat>
    <chartFormat chart="0" format="140">
      <pivotArea type="data" outline="0" fieldPosition="0">
        <references count="3">
          <reference field="4294967294" count="1" selected="0">
            <x v="2"/>
          </reference>
          <reference field="0" count="1" selected="0">
            <x v="0"/>
          </reference>
          <reference field="1" count="1" selected="0">
            <x v="15"/>
          </reference>
        </references>
      </pivotArea>
    </chartFormat>
    <chartFormat chart="0" format="141">
      <pivotArea type="data" outline="0" fieldPosition="0">
        <references count="3">
          <reference field="4294967294" count="1" selected="0">
            <x v="2"/>
          </reference>
          <reference field="0" count="1" selected="0">
            <x v="0"/>
          </reference>
          <reference field="1" count="1" selected="0">
            <x v="16"/>
          </reference>
        </references>
      </pivotArea>
    </chartFormat>
    <chartFormat chart="0" format="142">
      <pivotArea type="data" outline="0" fieldPosition="0">
        <references count="3">
          <reference field="4294967294" count="1" selected="0">
            <x v="2"/>
          </reference>
          <reference field="0" count="1" selected="0">
            <x v="0"/>
          </reference>
          <reference field="1" count="1" selected="0">
            <x v="17"/>
          </reference>
        </references>
      </pivotArea>
    </chartFormat>
    <chartFormat chart="0" format="143">
      <pivotArea type="data" outline="0" fieldPosition="0">
        <references count="3">
          <reference field="4294967294" count="1" selected="0">
            <x v="2"/>
          </reference>
          <reference field="0" count="1" selected="0">
            <x v="0"/>
          </reference>
          <reference field="1" count="1" selected="0">
            <x v="18"/>
          </reference>
        </references>
      </pivotArea>
    </chartFormat>
    <chartFormat chart="0" format="144">
      <pivotArea type="data" outline="0" fieldPosition="0">
        <references count="3">
          <reference field="4294967294" count="1" selected="0">
            <x v="2"/>
          </reference>
          <reference field="0" count="1" selected="0">
            <x v="0"/>
          </reference>
          <reference field="1" count="1" selected="0">
            <x v="19"/>
          </reference>
        </references>
      </pivotArea>
    </chartFormat>
    <chartFormat chart="0" format="145">
      <pivotArea type="data" outline="0" fieldPosition="0">
        <references count="3">
          <reference field="4294967294" count="1" selected="0">
            <x v="2"/>
          </reference>
          <reference field="0" count="1" selected="0">
            <x v="1"/>
          </reference>
          <reference field="1" count="1" selected="0">
            <x v="0"/>
          </reference>
        </references>
      </pivotArea>
    </chartFormat>
    <chartFormat chart="0" format="146">
      <pivotArea type="data" outline="0" fieldPosition="0">
        <references count="3">
          <reference field="4294967294" count="1" selected="0">
            <x v="2"/>
          </reference>
          <reference field="0" count="1" selected="0">
            <x v="1"/>
          </reference>
          <reference field="1" count="1" selected="0">
            <x v="2"/>
          </reference>
        </references>
      </pivotArea>
    </chartFormat>
    <chartFormat chart="0" format="147">
      <pivotArea type="data" outline="0" fieldPosition="0">
        <references count="3">
          <reference field="4294967294" count="1" selected="0">
            <x v="2"/>
          </reference>
          <reference field="0" count="1" selected="0">
            <x v="2"/>
          </reference>
          <reference field="1" count="1" selected="0">
            <x v="20"/>
          </reference>
        </references>
      </pivotArea>
    </chartFormat>
    <chartFormat chart="0" format="148">
      <pivotArea type="data" outline="0" fieldPosition="0">
        <references count="3">
          <reference field="4294967294" count="1" selected="0">
            <x v="2"/>
          </reference>
          <reference field="0" count="1" selected="0">
            <x v="3"/>
          </reference>
          <reference field="1" count="1" selected="0">
            <x v="3"/>
          </reference>
        </references>
      </pivotArea>
    </chartFormat>
    <chartFormat chart="0" format="149">
      <pivotArea type="data" outline="0" fieldPosition="0">
        <references count="3">
          <reference field="4294967294" count="1" selected="0">
            <x v="2"/>
          </reference>
          <reference field="0" count="1" selected="0">
            <x v="3"/>
          </reference>
          <reference field="1" count="1" selected="0">
            <x v="4"/>
          </reference>
        </references>
      </pivotArea>
    </chartFormat>
    <chartFormat chart="0" format="150">
      <pivotArea type="data" outline="0" fieldPosition="0">
        <references count="3">
          <reference field="4294967294" count="1" selected="0">
            <x v="2"/>
          </reference>
          <reference field="0" count="1" selected="0">
            <x v="3"/>
          </reference>
          <reference field="1" count="1" selected="0">
            <x v="5"/>
          </reference>
        </references>
      </pivotArea>
    </chartFormat>
    <chartFormat chart="0" format="151">
      <pivotArea type="data" outline="0" fieldPosition="0">
        <references count="3">
          <reference field="4294967294" count="1" selected="0">
            <x v="2"/>
          </reference>
          <reference field="0" count="1" selected="0">
            <x v="3"/>
          </reference>
          <reference field="1" count="1" selected="0">
            <x v="6"/>
          </reference>
        </references>
      </pivotArea>
    </chartFormat>
    <chartFormat chart="0" format="152">
      <pivotArea type="data" outline="0" fieldPosition="0">
        <references count="3">
          <reference field="4294967294" count="1" selected="0">
            <x v="2"/>
          </reference>
          <reference field="0" count="1" selected="0">
            <x v="3"/>
          </reference>
          <reference field="1" count="1" selected="0">
            <x v="7"/>
          </reference>
        </references>
      </pivotArea>
    </chartFormat>
    <chartFormat chart="0" format="153">
      <pivotArea type="data" outline="0" fieldPosition="0">
        <references count="3">
          <reference field="4294967294" count="1" selected="0">
            <x v="2"/>
          </reference>
          <reference field="0" count="1" selected="0">
            <x v="3"/>
          </reference>
          <reference field="1" count="1" selected="0">
            <x v="8"/>
          </reference>
        </references>
      </pivotArea>
    </chartFormat>
    <chartFormat chart="0" format="154">
      <pivotArea type="data" outline="0" fieldPosition="0">
        <references count="3">
          <reference field="4294967294" count="1" selected="0">
            <x v="2"/>
          </reference>
          <reference field="0" count="1" selected="0">
            <x v="3"/>
          </reference>
          <reference field="1" count="1" selected="0">
            <x v="9"/>
          </reference>
        </references>
      </pivotArea>
    </chartFormat>
    <chartFormat chart="0" format="155">
      <pivotArea type="data" outline="0" fieldPosition="0">
        <references count="3">
          <reference field="4294967294" count="1" selected="0">
            <x v="2"/>
          </reference>
          <reference field="0" count="1" selected="0">
            <x v="3"/>
          </reference>
          <reference field="1" count="1" selected="0">
            <x v="10"/>
          </reference>
        </references>
      </pivotArea>
    </chartFormat>
    <chartFormat chart="0" format="156">
      <pivotArea type="data" outline="0" fieldPosition="0">
        <references count="3">
          <reference field="4294967294" count="1" selected="0">
            <x v="2"/>
          </reference>
          <reference field="0" count="1" selected="0">
            <x v="3"/>
          </reference>
          <reference field="1" count="1" selected="0">
            <x v="11"/>
          </reference>
        </references>
      </pivotArea>
    </chartFormat>
    <chartFormat chart="0" format="157">
      <pivotArea type="data" outline="0" fieldPosition="0">
        <references count="3">
          <reference field="4294967294" count="1" selected="0">
            <x v="2"/>
          </reference>
          <reference field="0" count="1" selected="0">
            <x v="3"/>
          </reference>
          <reference field="1" count="1" selected="0">
            <x v="12"/>
          </reference>
        </references>
      </pivotArea>
    </chartFormat>
    <chartFormat chart="0" format="158">
      <pivotArea type="data" outline="0" fieldPosition="0">
        <references count="3">
          <reference field="4294967294" count="1" selected="0">
            <x v="2"/>
          </reference>
          <reference field="0" count="1" selected="0">
            <x v="3"/>
          </reference>
          <reference field="1" count="1" selected="0">
            <x v="13"/>
          </reference>
        </references>
      </pivotArea>
    </chartFormat>
    <chartFormat chart="0" format="159">
      <pivotArea type="data" outline="0" fieldPosition="0">
        <references count="3">
          <reference field="4294967294" count="1" selected="0">
            <x v="2"/>
          </reference>
          <reference field="0" count="1" selected="0">
            <x v="3"/>
          </reference>
          <reference field="1" count="1" selected="0">
            <x v="14"/>
          </reference>
        </references>
      </pivotArea>
    </chartFormat>
    <chartFormat chart="0" format="160">
      <pivotArea type="data" outline="0" fieldPosition="0">
        <references count="3">
          <reference field="4294967294" count="1" selected="0">
            <x v="0"/>
          </reference>
          <reference field="0" count="1" selected="0">
            <x v="3"/>
          </reference>
          <reference field="1" count="1" selected="0">
            <x v="3"/>
          </reference>
        </references>
      </pivotArea>
    </chartFormat>
    <chartFormat chart="0" format="161">
      <pivotArea type="data" outline="0" fieldPosition="0">
        <references count="3">
          <reference field="4294967294" count="1" selected="0">
            <x v="0"/>
          </reference>
          <reference field="0" count="1" selected="0">
            <x v="3"/>
          </reference>
          <reference field="1" count="1" selected="0">
            <x v="4"/>
          </reference>
        </references>
      </pivotArea>
    </chartFormat>
    <chartFormat chart="0" format="162">
      <pivotArea type="data" outline="0" fieldPosition="0">
        <references count="3">
          <reference field="4294967294" count="1" selected="0">
            <x v="0"/>
          </reference>
          <reference field="0" count="1" selected="0">
            <x v="3"/>
          </reference>
          <reference field="1" count="1" selected="0">
            <x v="5"/>
          </reference>
        </references>
      </pivotArea>
    </chartFormat>
    <chartFormat chart="0" format="163">
      <pivotArea type="data" outline="0" fieldPosition="0">
        <references count="3">
          <reference field="4294967294" count="1" selected="0">
            <x v="0"/>
          </reference>
          <reference field="0" count="1" selected="0">
            <x v="3"/>
          </reference>
          <reference field="1" count="1" selected="0">
            <x v="6"/>
          </reference>
        </references>
      </pivotArea>
    </chartFormat>
    <chartFormat chart="0" format="164">
      <pivotArea type="data" outline="0" fieldPosition="0">
        <references count="3">
          <reference field="4294967294" count="1" selected="0">
            <x v="0"/>
          </reference>
          <reference field="0" count="1" selected="0">
            <x v="3"/>
          </reference>
          <reference field="1" count="1" selected="0">
            <x v="7"/>
          </reference>
        </references>
      </pivotArea>
    </chartFormat>
    <chartFormat chart="0" format="165">
      <pivotArea type="data" outline="0" fieldPosition="0">
        <references count="3">
          <reference field="4294967294" count="1" selected="0">
            <x v="0"/>
          </reference>
          <reference field="0" count="1" selected="0">
            <x v="3"/>
          </reference>
          <reference field="1" count="1" selected="0">
            <x v="8"/>
          </reference>
        </references>
      </pivotArea>
    </chartFormat>
    <chartFormat chart="0" format="166">
      <pivotArea type="data" outline="0" fieldPosition="0">
        <references count="3">
          <reference field="4294967294" count="1" selected="0">
            <x v="0"/>
          </reference>
          <reference field="0" count="1" selected="0">
            <x v="3"/>
          </reference>
          <reference field="1" count="1" selected="0">
            <x v="9"/>
          </reference>
        </references>
      </pivotArea>
    </chartFormat>
    <chartFormat chart="0" format="167">
      <pivotArea type="data" outline="0" fieldPosition="0">
        <references count="3">
          <reference field="4294967294" count="1" selected="0">
            <x v="0"/>
          </reference>
          <reference field="0" count="1" selected="0">
            <x v="3"/>
          </reference>
          <reference field="1" count="1" selected="0">
            <x v="10"/>
          </reference>
        </references>
      </pivotArea>
    </chartFormat>
    <chartFormat chart="0" format="168">
      <pivotArea type="data" outline="0" fieldPosition="0">
        <references count="3">
          <reference field="4294967294" count="1" selected="0">
            <x v="0"/>
          </reference>
          <reference field="0" count="1" selected="0">
            <x v="3"/>
          </reference>
          <reference field="1" count="1" selected="0">
            <x v="11"/>
          </reference>
        </references>
      </pivotArea>
    </chartFormat>
    <chartFormat chart="0" format="169">
      <pivotArea type="data" outline="0" fieldPosition="0">
        <references count="3">
          <reference field="4294967294" count="1" selected="0">
            <x v="0"/>
          </reference>
          <reference field="0" count="1" selected="0">
            <x v="3"/>
          </reference>
          <reference field="1" count="1" selected="0">
            <x v="12"/>
          </reference>
        </references>
      </pivotArea>
    </chartFormat>
    <chartFormat chart="0" format="170">
      <pivotArea type="data" outline="0" fieldPosition="0">
        <references count="3">
          <reference field="4294967294" count="1" selected="0">
            <x v="0"/>
          </reference>
          <reference field="0" count="1" selected="0">
            <x v="3"/>
          </reference>
          <reference field="1" count="1" selected="0">
            <x v="13"/>
          </reference>
        </references>
      </pivotArea>
    </chartFormat>
    <chartFormat chart="0" format="171">
      <pivotArea type="data" outline="0" fieldPosition="0">
        <references count="3">
          <reference field="4294967294" count="1" selected="0">
            <x v="0"/>
          </reference>
          <reference field="0" count="1" selected="0">
            <x v="3"/>
          </reference>
          <reference field="1" count="1" selected="0">
            <x v="14"/>
          </reference>
        </references>
      </pivotArea>
    </chartFormat>
    <chartFormat chart="0" format="172">
      <pivotArea type="data" outline="0" fieldPosition="0">
        <references count="3">
          <reference field="4294967294" count="1" selected="0">
            <x v="0"/>
          </reference>
          <reference field="0" count="1" selected="0">
            <x v="3"/>
          </reference>
          <reference field="1" count="1" selected="0">
            <x v="15"/>
          </reference>
        </references>
      </pivotArea>
    </chartFormat>
    <chartFormat chart="0" format="173">
      <pivotArea type="data" outline="0" fieldPosition="0">
        <references count="3">
          <reference field="4294967294" count="1" selected="0">
            <x v="0"/>
          </reference>
          <reference field="0" count="1" selected="0">
            <x v="3"/>
          </reference>
          <reference field="1" count="1" selected="0">
            <x v="16"/>
          </reference>
        </references>
      </pivotArea>
    </chartFormat>
    <chartFormat chart="0" format="174">
      <pivotArea type="data" outline="0" fieldPosition="0">
        <references count="3">
          <reference field="4294967294" count="1" selected="0">
            <x v="0"/>
          </reference>
          <reference field="0" count="1" selected="0">
            <x v="3"/>
          </reference>
          <reference field="1" count="1" selected="0">
            <x v="17"/>
          </reference>
        </references>
      </pivotArea>
    </chartFormat>
    <chartFormat chart="0" format="175">
      <pivotArea type="data" outline="0" fieldPosition="0">
        <references count="3">
          <reference field="4294967294" count="1" selected="0">
            <x v="0"/>
          </reference>
          <reference field="0" count="1" selected="0">
            <x v="3"/>
          </reference>
          <reference field="1" count="1" selected="0">
            <x v="18"/>
          </reference>
        </references>
      </pivotArea>
    </chartFormat>
    <chartFormat chart="0" format="176">
      <pivotArea type="data" outline="0" fieldPosition="0">
        <references count="3">
          <reference field="4294967294" count="1" selected="0">
            <x v="0"/>
          </reference>
          <reference field="0" count="1" selected="0">
            <x v="3"/>
          </reference>
          <reference field="1" count="1" selected="0">
            <x v="19"/>
          </reference>
        </references>
      </pivotArea>
    </chartFormat>
    <chartFormat chart="0" format="177">
      <pivotArea type="data" outline="0" fieldPosition="0">
        <references count="3">
          <reference field="4294967294" count="1" selected="0">
            <x v="0"/>
          </reference>
          <reference field="0" count="1" selected="0">
            <x v="3"/>
          </reference>
          <reference field="1" count="1" selected="0">
            <x v="21"/>
          </reference>
        </references>
      </pivotArea>
    </chartFormat>
    <chartFormat chart="0" format="178">
      <pivotArea type="data" outline="0" fieldPosition="0">
        <references count="3">
          <reference field="4294967294" count="1" selected="0">
            <x v="0"/>
          </reference>
          <reference field="0" count="1" selected="0">
            <x v="3"/>
          </reference>
          <reference field="1" count="1" selected="0">
            <x v="22"/>
          </reference>
        </references>
      </pivotArea>
    </chartFormat>
    <chartFormat chart="0" format="179">
      <pivotArea type="data" outline="0" fieldPosition="0">
        <references count="3">
          <reference field="4294967294" count="1" selected="0">
            <x v="0"/>
          </reference>
          <reference field="0" count="1" selected="0">
            <x v="3"/>
          </reference>
          <reference field="1" count="1" selected="0">
            <x v="23"/>
          </reference>
        </references>
      </pivotArea>
    </chartFormat>
    <chartFormat chart="0" format="180">
      <pivotArea type="data" outline="0" fieldPosition="0">
        <references count="3">
          <reference field="4294967294" count="1" selected="0">
            <x v="0"/>
          </reference>
          <reference field="0" count="1" selected="0">
            <x v="3"/>
          </reference>
          <reference field="1" count="1" selected="0">
            <x v="24"/>
          </reference>
        </references>
      </pivotArea>
    </chartFormat>
    <chartFormat chart="0" format="181">
      <pivotArea type="data" outline="0" fieldPosition="0">
        <references count="3">
          <reference field="4294967294" count="1" selected="0">
            <x v="0"/>
          </reference>
          <reference field="0" count="1" selected="0">
            <x v="3"/>
          </reference>
          <reference field="1" count="1" selected="0">
            <x v="25"/>
          </reference>
        </references>
      </pivotArea>
    </chartFormat>
    <chartFormat chart="0" format="182">
      <pivotArea type="data" outline="0" fieldPosition="0">
        <references count="3">
          <reference field="4294967294" count="1" selected="0">
            <x v="0"/>
          </reference>
          <reference field="0" count="1" selected="0">
            <x v="3"/>
          </reference>
          <reference field="1" count="1" selected="0">
            <x v="26"/>
          </reference>
        </references>
      </pivotArea>
    </chartFormat>
    <chartFormat chart="0" format="183">
      <pivotArea type="data" outline="0" fieldPosition="0">
        <references count="3">
          <reference field="4294967294" count="1" selected="0">
            <x v="0"/>
          </reference>
          <reference field="0" count="1" selected="0">
            <x v="3"/>
          </reference>
          <reference field="1" count="1" selected="0">
            <x v="27"/>
          </reference>
        </references>
      </pivotArea>
    </chartFormat>
    <chartFormat chart="0" format="184">
      <pivotArea type="data" outline="0" fieldPosition="0">
        <references count="3">
          <reference field="4294967294" count="1" selected="0">
            <x v="2"/>
          </reference>
          <reference field="0" count="1" selected="0">
            <x v="3"/>
          </reference>
          <reference field="1" count="1" selected="0">
            <x v="15"/>
          </reference>
        </references>
      </pivotArea>
    </chartFormat>
    <chartFormat chart="0" format="185">
      <pivotArea type="data" outline="0" fieldPosition="0">
        <references count="3">
          <reference field="4294967294" count="1" selected="0">
            <x v="2"/>
          </reference>
          <reference field="0" count="1" selected="0">
            <x v="3"/>
          </reference>
          <reference field="1" count="1" selected="0">
            <x v="16"/>
          </reference>
        </references>
      </pivotArea>
    </chartFormat>
    <chartFormat chart="0" format="186">
      <pivotArea type="data" outline="0" fieldPosition="0">
        <references count="3">
          <reference field="4294967294" count="1" selected="0">
            <x v="2"/>
          </reference>
          <reference field="0" count="1" selected="0">
            <x v="3"/>
          </reference>
          <reference field="1" count="1" selected="0">
            <x v="17"/>
          </reference>
        </references>
      </pivotArea>
    </chartFormat>
    <chartFormat chart="0" format="187">
      <pivotArea type="data" outline="0" fieldPosition="0">
        <references count="3">
          <reference field="4294967294" count="1" selected="0">
            <x v="2"/>
          </reference>
          <reference field="0" count="1" selected="0">
            <x v="3"/>
          </reference>
          <reference field="1" count="1" selected="0">
            <x v="18"/>
          </reference>
        </references>
      </pivotArea>
    </chartFormat>
    <chartFormat chart="0" format="188">
      <pivotArea type="data" outline="0" fieldPosition="0">
        <references count="3">
          <reference field="4294967294" count="1" selected="0">
            <x v="2"/>
          </reference>
          <reference field="0" count="1" selected="0">
            <x v="3"/>
          </reference>
          <reference field="1" count="1" selected="0">
            <x v="19"/>
          </reference>
        </references>
      </pivotArea>
    </chartFormat>
    <chartFormat chart="0" format="189">
      <pivotArea type="data" outline="0" fieldPosition="0">
        <references count="3">
          <reference field="4294967294" count="1" selected="0">
            <x v="2"/>
          </reference>
          <reference field="0" count="1" selected="0">
            <x v="3"/>
          </reference>
          <reference field="1" count="1" selected="0">
            <x v="21"/>
          </reference>
        </references>
      </pivotArea>
    </chartFormat>
    <chartFormat chart="0" format="190">
      <pivotArea type="data" outline="0" fieldPosition="0">
        <references count="3">
          <reference field="4294967294" count="1" selected="0">
            <x v="2"/>
          </reference>
          <reference field="0" count="1" selected="0">
            <x v="3"/>
          </reference>
          <reference field="1" count="1" selected="0">
            <x v="22"/>
          </reference>
        </references>
      </pivotArea>
    </chartFormat>
    <chartFormat chart="0" format="191">
      <pivotArea type="data" outline="0" fieldPosition="0">
        <references count="3">
          <reference field="4294967294" count="1" selected="0">
            <x v="2"/>
          </reference>
          <reference field="0" count="1" selected="0">
            <x v="3"/>
          </reference>
          <reference field="1" count="1" selected="0">
            <x v="23"/>
          </reference>
        </references>
      </pivotArea>
    </chartFormat>
    <chartFormat chart="0" format="192">
      <pivotArea type="data" outline="0" fieldPosition="0">
        <references count="3">
          <reference field="4294967294" count="1" selected="0">
            <x v="2"/>
          </reference>
          <reference field="0" count="1" selected="0">
            <x v="3"/>
          </reference>
          <reference field="1" count="1" selected="0">
            <x v="24"/>
          </reference>
        </references>
      </pivotArea>
    </chartFormat>
    <chartFormat chart="0" format="193">
      <pivotArea type="data" outline="0" fieldPosition="0">
        <references count="3">
          <reference field="4294967294" count="1" selected="0">
            <x v="2"/>
          </reference>
          <reference field="0" count="1" selected="0">
            <x v="3"/>
          </reference>
          <reference field="1" count="1" selected="0">
            <x v="25"/>
          </reference>
        </references>
      </pivotArea>
    </chartFormat>
    <chartFormat chart="0" format="194">
      <pivotArea type="data" outline="0" fieldPosition="0">
        <references count="3">
          <reference field="4294967294" count="1" selected="0">
            <x v="2"/>
          </reference>
          <reference field="0" count="1" selected="0">
            <x v="3"/>
          </reference>
          <reference field="1" count="1" selected="0">
            <x v="26"/>
          </reference>
        </references>
      </pivotArea>
    </chartFormat>
    <chartFormat chart="0" format="195">
      <pivotArea type="data" outline="0" fieldPosition="0">
        <references count="3">
          <reference field="4294967294" count="1" selected="0">
            <x v="2"/>
          </reference>
          <reference field="0" count="1" selected="0">
            <x v="3"/>
          </reference>
          <reference field="1" count="1" selected="0">
            <x v="27"/>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616FF36E-8D4C-42A9-8487-9BA581F5E17C}" name="pt.lvl3_generic_10" cacheId="1"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54" firstHeaderRow="0" firstDataRow="1" firstDataCol="2" rowPageCount="5" colPageCount="1"/>
  <pivotFields count="13">
    <pivotField axis="axisRow" compact="0" outline="0" subtotalTop="0" showAll="0" defaultSubtotal="0">
      <items count="4">
        <item x="0"/>
        <item x="1"/>
        <item x="3"/>
        <item x="2"/>
      </items>
    </pivotField>
    <pivotField axis="axisRow" compact="0" outline="0" subtotalTop="0" showAll="0">
      <items count="29">
        <item x="0"/>
        <item x="1"/>
        <item x="19"/>
        <item x="2"/>
        <item x="3"/>
        <item x="4"/>
        <item x="5"/>
        <item x="6"/>
        <item x="7"/>
        <item x="8"/>
        <item x="9"/>
        <item x="10"/>
        <item x="11"/>
        <item x="12"/>
        <item x="13"/>
        <item x="14"/>
        <item x="15"/>
        <item x="16"/>
        <item x="17"/>
        <item x="18"/>
        <item x="27"/>
        <item x="20"/>
        <item x="21"/>
        <item x="22"/>
        <item x="23"/>
        <item x="24"/>
        <item x="25"/>
        <item x="26"/>
        <item t="default"/>
      </items>
    </pivotField>
    <pivotField compact="0" outline="0" subtotalTop="0" showAll="0">
      <items count="6">
        <item x="4"/>
        <item x="0"/>
        <item x="3"/>
        <item x="1"/>
        <item x="2"/>
        <item t="default"/>
      </items>
    </pivotField>
    <pivotField axis="axisPage" compact="0" outline="0" subtotalTop="0" multipleItemSelectionAllowed="1" showAll="0">
      <items count="4">
        <item x="2"/>
        <item x="0"/>
        <item x="1"/>
        <item t="default"/>
      </items>
    </pivotField>
    <pivotField axis="axisPage" compact="0" outline="0" subtotalTop="0" multipleItemSelectionAllowed="1" showAll="0">
      <items count="12">
        <item x="10"/>
        <item x="7"/>
        <item x="0"/>
        <item x="4"/>
        <item x="6"/>
        <item x="2"/>
        <item x="5"/>
        <item x="3"/>
        <item x="1"/>
        <item x="8"/>
        <item x="9"/>
        <item t="default"/>
      </items>
    </pivotField>
    <pivotField axis="axisPage" compact="0" outline="0" subtotalTop="0" multipleItemSelectionAllowed="1" showAll="0">
      <items count="4">
        <item x="2"/>
        <item x="0"/>
        <item x="1"/>
        <item t="default"/>
      </items>
    </pivotField>
    <pivotField dataField="1" compact="0" outline="0" subtotalTop="0" showAll="0"/>
    <pivotField dataField="1" compact="0" outline="0" subtotalTop="0" showAll="0"/>
    <pivotField dataField="1" compact="0" outline="0" subtotalTop="0" showAll="0"/>
    <pivotField compact="0" outline="0" subtotalTop="0" showAll="0"/>
    <pivotField compact="0" outline="0" subtotalTop="0" showAll="0"/>
    <pivotField axis="axisPage" compact="0" outline="0" subtotalTop="0" showAll="0">
      <items count="5">
        <item x="3"/>
        <item x="0"/>
        <item x="1"/>
        <item x="2"/>
        <item t="default"/>
      </items>
    </pivotField>
    <pivotField axis="axisPage" compact="0" outline="0" subtotalTop="0" showAll="0">
      <items count="8">
        <item x="6"/>
        <item x="0"/>
        <item x="1"/>
        <item x="2"/>
        <item x="3"/>
        <item x="4"/>
        <item x="5"/>
        <item t="default"/>
      </items>
    </pivotField>
  </pivotFields>
  <rowFields count="2">
    <field x="0"/>
    <field x="1"/>
  </rowFields>
  <rowItems count="47">
    <i>
      <x/>
      <x/>
    </i>
    <i r="1">
      <x v="1"/>
    </i>
    <i r="1">
      <x v="3"/>
    </i>
    <i r="1">
      <x v="4"/>
    </i>
    <i r="1">
      <x v="5"/>
    </i>
    <i r="1">
      <x v="6"/>
    </i>
    <i r="1">
      <x v="7"/>
    </i>
    <i r="1">
      <x v="8"/>
    </i>
    <i r="1">
      <x v="9"/>
    </i>
    <i r="1">
      <x v="10"/>
    </i>
    <i r="1">
      <x v="11"/>
    </i>
    <i r="1">
      <x v="12"/>
    </i>
    <i r="1">
      <x v="13"/>
    </i>
    <i r="1">
      <x v="14"/>
    </i>
    <i r="1">
      <x v="15"/>
    </i>
    <i r="1">
      <x v="16"/>
    </i>
    <i r="1">
      <x v="17"/>
    </i>
    <i r="1">
      <x v="18"/>
    </i>
    <i r="1">
      <x v="19"/>
    </i>
    <i>
      <x v="1"/>
      <x/>
    </i>
    <i r="1">
      <x v="2"/>
    </i>
    <i>
      <x v="2"/>
      <x v="20"/>
    </i>
    <i>
      <x v="3"/>
      <x v="3"/>
    </i>
    <i r="1">
      <x v="4"/>
    </i>
    <i r="1">
      <x v="5"/>
    </i>
    <i r="1">
      <x v="6"/>
    </i>
    <i r="1">
      <x v="7"/>
    </i>
    <i r="1">
      <x v="8"/>
    </i>
    <i r="1">
      <x v="9"/>
    </i>
    <i r="1">
      <x v="10"/>
    </i>
    <i r="1">
      <x v="11"/>
    </i>
    <i r="1">
      <x v="12"/>
    </i>
    <i r="1">
      <x v="13"/>
    </i>
    <i r="1">
      <x v="14"/>
    </i>
    <i r="1">
      <x v="15"/>
    </i>
    <i r="1">
      <x v="16"/>
    </i>
    <i r="1">
      <x v="17"/>
    </i>
    <i r="1">
      <x v="18"/>
    </i>
    <i r="1">
      <x v="19"/>
    </i>
    <i r="1">
      <x v="21"/>
    </i>
    <i r="1">
      <x v="22"/>
    </i>
    <i r="1">
      <x v="23"/>
    </i>
    <i r="1">
      <x v="24"/>
    </i>
    <i r="1">
      <x v="25"/>
    </i>
    <i r="1">
      <x v="26"/>
    </i>
    <i r="1">
      <x v="27"/>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Cíl Úkol/Člověk" fld="8" subtotal="average" baseField="0" baseItem="0"/>
  </dataFields>
  <chartFormats count="49">
    <chartFormat chart="0" format="101" series="1">
      <pivotArea type="data" outline="0" fieldPosition="0">
        <references count="1">
          <reference field="4294967294" count="1" selected="0">
            <x v="0"/>
          </reference>
        </references>
      </pivotArea>
    </chartFormat>
    <chartFormat chart="0" format="102" series="1">
      <pivotArea type="data" outline="0" fieldPosition="0">
        <references count="1">
          <reference field="4294967294" count="1" selected="0">
            <x v="1"/>
          </reference>
        </references>
      </pivotArea>
    </chartFormat>
    <chartFormat chart="0" format="103" series="1">
      <pivotArea type="data" outline="0" fieldPosition="0">
        <references count="1">
          <reference field="4294967294" count="1" selected="0">
            <x v="2"/>
          </reference>
        </references>
      </pivotArea>
    </chartFormat>
    <chartFormat chart="0" format="104">
      <pivotArea type="data" outline="0" fieldPosition="0">
        <references count="3">
          <reference field="4294967294" count="1" selected="0">
            <x v="0"/>
          </reference>
          <reference field="0" count="1" selected="0">
            <x v="0"/>
          </reference>
          <reference field="1" count="1" selected="0">
            <x v="0"/>
          </reference>
        </references>
      </pivotArea>
    </chartFormat>
    <chartFormat chart="0" format="105">
      <pivotArea type="data" outline="0" fieldPosition="0">
        <references count="3">
          <reference field="4294967294" count="1" selected="0">
            <x v="0"/>
          </reference>
          <reference field="0" count="1" selected="0">
            <x v="0"/>
          </reference>
          <reference field="1" count="1" selected="0">
            <x v="1"/>
          </reference>
        </references>
      </pivotArea>
    </chartFormat>
    <chartFormat chart="0" format="106">
      <pivotArea type="data" outline="0" fieldPosition="0">
        <references count="3">
          <reference field="4294967294" count="1" selected="0">
            <x v="0"/>
          </reference>
          <reference field="0" count="1" selected="0">
            <x v="0"/>
          </reference>
          <reference field="1" count="1" selected="0">
            <x v="3"/>
          </reference>
        </references>
      </pivotArea>
    </chartFormat>
    <chartFormat chart="0" format="107">
      <pivotArea type="data" outline="0" fieldPosition="0">
        <references count="3">
          <reference field="4294967294" count="1" selected="0">
            <x v="0"/>
          </reference>
          <reference field="0" count="1" selected="0">
            <x v="0"/>
          </reference>
          <reference field="1" count="1" selected="0">
            <x v="4"/>
          </reference>
        </references>
      </pivotArea>
    </chartFormat>
    <chartFormat chart="0" format="108">
      <pivotArea type="data" outline="0" fieldPosition="0">
        <references count="3">
          <reference field="4294967294" count="1" selected="0">
            <x v="0"/>
          </reference>
          <reference field="0" count="1" selected="0">
            <x v="0"/>
          </reference>
          <reference field="1" count="1" selected="0">
            <x v="5"/>
          </reference>
        </references>
      </pivotArea>
    </chartFormat>
    <chartFormat chart="0" format="109">
      <pivotArea type="data" outline="0" fieldPosition="0">
        <references count="3">
          <reference field="4294967294" count="1" selected="0">
            <x v="0"/>
          </reference>
          <reference field="0" count="1" selected="0">
            <x v="0"/>
          </reference>
          <reference field="1" count="1" selected="0">
            <x v="6"/>
          </reference>
        </references>
      </pivotArea>
    </chartFormat>
    <chartFormat chart="0" format="110">
      <pivotArea type="data" outline="0" fieldPosition="0">
        <references count="3">
          <reference field="4294967294" count="1" selected="0">
            <x v="0"/>
          </reference>
          <reference field="0" count="1" selected="0">
            <x v="0"/>
          </reference>
          <reference field="1" count="1" selected="0">
            <x v="7"/>
          </reference>
        </references>
      </pivotArea>
    </chartFormat>
    <chartFormat chart="0" format="111">
      <pivotArea type="data" outline="0" fieldPosition="0">
        <references count="3">
          <reference field="4294967294" count="1" selected="0">
            <x v="0"/>
          </reference>
          <reference field="0" count="1" selected="0">
            <x v="0"/>
          </reference>
          <reference field="1" count="1" selected="0">
            <x v="8"/>
          </reference>
        </references>
      </pivotArea>
    </chartFormat>
    <chartFormat chart="0" format="112">
      <pivotArea type="data" outline="0" fieldPosition="0">
        <references count="3">
          <reference field="4294967294" count="1" selected="0">
            <x v="0"/>
          </reference>
          <reference field="0" count="1" selected="0">
            <x v="0"/>
          </reference>
          <reference field="1" count="1" selected="0">
            <x v="9"/>
          </reference>
        </references>
      </pivotArea>
    </chartFormat>
    <chartFormat chart="0" format="113">
      <pivotArea type="data" outline="0" fieldPosition="0">
        <references count="3">
          <reference field="4294967294" count="1" selected="0">
            <x v="0"/>
          </reference>
          <reference field="0" count="1" selected="0">
            <x v="0"/>
          </reference>
          <reference field="1" count="1" selected="0">
            <x v="10"/>
          </reference>
        </references>
      </pivotArea>
    </chartFormat>
    <chartFormat chart="0" format="114">
      <pivotArea type="data" outline="0" fieldPosition="0">
        <references count="3">
          <reference field="4294967294" count="1" selected="0">
            <x v="0"/>
          </reference>
          <reference field="0" count="1" selected="0">
            <x v="0"/>
          </reference>
          <reference field="1" count="1" selected="0">
            <x v="11"/>
          </reference>
        </references>
      </pivotArea>
    </chartFormat>
    <chartFormat chart="0" format="115">
      <pivotArea type="data" outline="0" fieldPosition="0">
        <references count="3">
          <reference field="4294967294" count="1" selected="0">
            <x v="0"/>
          </reference>
          <reference field="0" count="1" selected="0">
            <x v="0"/>
          </reference>
          <reference field="1" count="1" selected="0">
            <x v="12"/>
          </reference>
        </references>
      </pivotArea>
    </chartFormat>
    <chartFormat chart="0" format="116">
      <pivotArea type="data" outline="0" fieldPosition="0">
        <references count="3">
          <reference field="4294967294" count="1" selected="0">
            <x v="0"/>
          </reference>
          <reference field="0" count="1" selected="0">
            <x v="0"/>
          </reference>
          <reference field="1" count="1" selected="0">
            <x v="13"/>
          </reference>
        </references>
      </pivotArea>
    </chartFormat>
    <chartFormat chart="0" format="117">
      <pivotArea type="data" outline="0" fieldPosition="0">
        <references count="3">
          <reference field="4294967294" count="1" selected="0">
            <x v="0"/>
          </reference>
          <reference field="0" count="1" selected="0">
            <x v="0"/>
          </reference>
          <reference field="1" count="1" selected="0">
            <x v="14"/>
          </reference>
        </references>
      </pivotArea>
    </chartFormat>
    <chartFormat chart="0" format="118">
      <pivotArea type="data" outline="0" fieldPosition="0">
        <references count="3">
          <reference field="4294967294" count="1" selected="0">
            <x v="0"/>
          </reference>
          <reference field="0" count="1" selected="0">
            <x v="0"/>
          </reference>
          <reference field="1" count="1" selected="0">
            <x v="15"/>
          </reference>
        </references>
      </pivotArea>
    </chartFormat>
    <chartFormat chart="0" format="119">
      <pivotArea type="data" outline="0" fieldPosition="0">
        <references count="3">
          <reference field="4294967294" count="1" selected="0">
            <x v="0"/>
          </reference>
          <reference field="0" count="1" selected="0">
            <x v="0"/>
          </reference>
          <reference field="1" count="1" selected="0">
            <x v="16"/>
          </reference>
        </references>
      </pivotArea>
    </chartFormat>
    <chartFormat chart="0" format="120">
      <pivotArea type="data" outline="0" fieldPosition="0">
        <references count="3">
          <reference field="4294967294" count="1" selected="0">
            <x v="0"/>
          </reference>
          <reference field="0" count="1" selected="0">
            <x v="0"/>
          </reference>
          <reference field="1" count="1" selected="0">
            <x v="17"/>
          </reference>
        </references>
      </pivotArea>
    </chartFormat>
    <chartFormat chart="0" format="121">
      <pivotArea type="data" outline="0" fieldPosition="0">
        <references count="3">
          <reference field="4294967294" count="1" selected="0">
            <x v="0"/>
          </reference>
          <reference field="0" count="1" selected="0">
            <x v="0"/>
          </reference>
          <reference field="1" count="1" selected="0">
            <x v="18"/>
          </reference>
        </references>
      </pivotArea>
    </chartFormat>
    <chartFormat chart="0" format="122">
      <pivotArea type="data" outline="0" fieldPosition="0">
        <references count="3">
          <reference field="4294967294" count="1" selected="0">
            <x v="0"/>
          </reference>
          <reference field="0" count="1" selected="0">
            <x v="0"/>
          </reference>
          <reference field="1" count="1" selected="0">
            <x v="19"/>
          </reference>
        </references>
      </pivotArea>
    </chartFormat>
    <chartFormat chart="0" format="123">
      <pivotArea type="data" outline="0" fieldPosition="0">
        <references count="3">
          <reference field="4294967294" count="1" selected="0">
            <x v="0"/>
          </reference>
          <reference field="0" count="1" selected="0">
            <x v="1"/>
          </reference>
          <reference field="1" count="1" selected="0">
            <x v="0"/>
          </reference>
        </references>
      </pivotArea>
    </chartFormat>
    <chartFormat chart="0" format="124">
      <pivotArea type="data" outline="0" fieldPosition="0">
        <references count="3">
          <reference field="4294967294" count="1" selected="0">
            <x v="0"/>
          </reference>
          <reference field="0" count="1" selected="0">
            <x v="1"/>
          </reference>
          <reference field="1" count="1" selected="0">
            <x v="2"/>
          </reference>
        </references>
      </pivotArea>
    </chartFormat>
    <chartFormat chart="0" format="125">
      <pivotArea type="data" outline="0" fieldPosition="0">
        <references count="3">
          <reference field="4294967294" count="1" selected="0">
            <x v="0"/>
          </reference>
          <reference field="0" count="1" selected="0">
            <x v="2"/>
          </reference>
          <reference field="1" count="1" selected="0">
            <x v="20"/>
          </reference>
        </references>
      </pivotArea>
    </chartFormat>
    <chartFormat chart="0" format="126">
      <pivotArea type="data" outline="0" fieldPosition="0">
        <references count="3">
          <reference field="4294967294" count="1" selected="0">
            <x v="0"/>
          </reference>
          <reference field="0" count="1" selected="0">
            <x v="3"/>
          </reference>
          <reference field="1" count="1" selected="0">
            <x v="3"/>
          </reference>
        </references>
      </pivotArea>
    </chartFormat>
    <chartFormat chart="0" format="127">
      <pivotArea type="data" outline="0" fieldPosition="0">
        <references count="3">
          <reference field="4294967294" count="1" selected="0">
            <x v="0"/>
          </reference>
          <reference field="0" count="1" selected="0">
            <x v="3"/>
          </reference>
          <reference field="1" count="1" selected="0">
            <x v="4"/>
          </reference>
        </references>
      </pivotArea>
    </chartFormat>
    <chartFormat chart="0" format="128">
      <pivotArea type="data" outline="0" fieldPosition="0">
        <references count="3">
          <reference field="4294967294" count="1" selected="0">
            <x v="0"/>
          </reference>
          <reference field="0" count="1" selected="0">
            <x v="3"/>
          </reference>
          <reference field="1" count="1" selected="0">
            <x v="5"/>
          </reference>
        </references>
      </pivotArea>
    </chartFormat>
    <chartFormat chart="0" format="129">
      <pivotArea type="data" outline="0" fieldPosition="0">
        <references count="3">
          <reference field="4294967294" count="1" selected="0">
            <x v="0"/>
          </reference>
          <reference field="0" count="1" selected="0">
            <x v="3"/>
          </reference>
          <reference field="1" count="1" selected="0">
            <x v="6"/>
          </reference>
        </references>
      </pivotArea>
    </chartFormat>
    <chartFormat chart="0" format="130">
      <pivotArea type="data" outline="0" fieldPosition="0">
        <references count="3">
          <reference field="4294967294" count="1" selected="0">
            <x v="0"/>
          </reference>
          <reference field="0" count="1" selected="0">
            <x v="3"/>
          </reference>
          <reference field="1" count="1" selected="0">
            <x v="7"/>
          </reference>
        </references>
      </pivotArea>
    </chartFormat>
    <chartFormat chart="0" format="131">
      <pivotArea type="data" outline="0" fieldPosition="0">
        <references count="3">
          <reference field="4294967294" count="1" selected="0">
            <x v="0"/>
          </reference>
          <reference field="0" count="1" selected="0">
            <x v="3"/>
          </reference>
          <reference field="1" count="1" selected="0">
            <x v="8"/>
          </reference>
        </references>
      </pivotArea>
    </chartFormat>
    <chartFormat chart="0" format="132">
      <pivotArea type="data" outline="0" fieldPosition="0">
        <references count="3">
          <reference field="4294967294" count="1" selected="0">
            <x v="0"/>
          </reference>
          <reference field="0" count="1" selected="0">
            <x v="3"/>
          </reference>
          <reference field="1" count="1" selected="0">
            <x v="9"/>
          </reference>
        </references>
      </pivotArea>
    </chartFormat>
    <chartFormat chart="0" format="133">
      <pivotArea type="data" outline="0" fieldPosition="0">
        <references count="3">
          <reference field="4294967294" count="1" selected="0">
            <x v="0"/>
          </reference>
          <reference field="0" count="1" selected="0">
            <x v="3"/>
          </reference>
          <reference field="1" count="1" selected="0">
            <x v="10"/>
          </reference>
        </references>
      </pivotArea>
    </chartFormat>
    <chartFormat chart="0" format="134">
      <pivotArea type="data" outline="0" fieldPosition="0">
        <references count="3">
          <reference field="4294967294" count="1" selected="0">
            <x v="0"/>
          </reference>
          <reference field="0" count="1" selected="0">
            <x v="3"/>
          </reference>
          <reference field="1" count="1" selected="0">
            <x v="11"/>
          </reference>
        </references>
      </pivotArea>
    </chartFormat>
    <chartFormat chart="0" format="135">
      <pivotArea type="data" outline="0" fieldPosition="0">
        <references count="3">
          <reference field="4294967294" count="1" selected="0">
            <x v="0"/>
          </reference>
          <reference field="0" count="1" selected="0">
            <x v="3"/>
          </reference>
          <reference field="1" count="1" selected="0">
            <x v="12"/>
          </reference>
        </references>
      </pivotArea>
    </chartFormat>
    <chartFormat chart="0" format="136">
      <pivotArea type="data" outline="0" fieldPosition="0">
        <references count="3">
          <reference field="4294967294" count="1" selected="0">
            <x v="0"/>
          </reference>
          <reference field="0" count="1" selected="0">
            <x v="3"/>
          </reference>
          <reference field="1" count="1" selected="0">
            <x v="13"/>
          </reference>
        </references>
      </pivotArea>
    </chartFormat>
    <chartFormat chart="0" format="137">
      <pivotArea type="data" outline="0" fieldPosition="0">
        <references count="3">
          <reference field="4294967294" count="1" selected="0">
            <x v="0"/>
          </reference>
          <reference field="0" count="1" selected="0">
            <x v="3"/>
          </reference>
          <reference field="1" count="1" selected="0">
            <x v="14"/>
          </reference>
        </references>
      </pivotArea>
    </chartFormat>
    <chartFormat chart="0" format="138">
      <pivotArea type="data" outline="0" fieldPosition="0">
        <references count="3">
          <reference field="4294967294" count="1" selected="0">
            <x v="0"/>
          </reference>
          <reference field="0" count="1" selected="0">
            <x v="3"/>
          </reference>
          <reference field="1" count="1" selected="0">
            <x v="15"/>
          </reference>
        </references>
      </pivotArea>
    </chartFormat>
    <chartFormat chart="0" format="139">
      <pivotArea type="data" outline="0" fieldPosition="0">
        <references count="3">
          <reference field="4294967294" count="1" selected="0">
            <x v="0"/>
          </reference>
          <reference field="0" count="1" selected="0">
            <x v="3"/>
          </reference>
          <reference field="1" count="1" selected="0">
            <x v="16"/>
          </reference>
        </references>
      </pivotArea>
    </chartFormat>
    <chartFormat chart="0" format="140">
      <pivotArea type="data" outline="0" fieldPosition="0">
        <references count="3">
          <reference field="4294967294" count="1" selected="0">
            <x v="0"/>
          </reference>
          <reference field="0" count="1" selected="0">
            <x v="3"/>
          </reference>
          <reference field="1" count="1" selected="0">
            <x v="17"/>
          </reference>
        </references>
      </pivotArea>
    </chartFormat>
    <chartFormat chart="0" format="141">
      <pivotArea type="data" outline="0" fieldPosition="0">
        <references count="3">
          <reference field="4294967294" count="1" selected="0">
            <x v="0"/>
          </reference>
          <reference field="0" count="1" selected="0">
            <x v="3"/>
          </reference>
          <reference field="1" count="1" selected="0">
            <x v="18"/>
          </reference>
        </references>
      </pivotArea>
    </chartFormat>
    <chartFormat chart="0" format="142">
      <pivotArea type="data" outline="0" fieldPosition="0">
        <references count="3">
          <reference field="4294967294" count="1" selected="0">
            <x v="0"/>
          </reference>
          <reference field="0" count="1" selected="0">
            <x v="3"/>
          </reference>
          <reference field="1" count="1" selected="0">
            <x v="19"/>
          </reference>
        </references>
      </pivotArea>
    </chartFormat>
    <chartFormat chart="0" format="143">
      <pivotArea type="data" outline="0" fieldPosition="0">
        <references count="3">
          <reference field="4294967294" count="1" selected="0">
            <x v="0"/>
          </reference>
          <reference field="0" count="1" selected="0">
            <x v="3"/>
          </reference>
          <reference field="1" count="1" selected="0">
            <x v="21"/>
          </reference>
        </references>
      </pivotArea>
    </chartFormat>
    <chartFormat chart="0" format="144">
      <pivotArea type="data" outline="0" fieldPosition="0">
        <references count="3">
          <reference field="4294967294" count="1" selected="0">
            <x v="0"/>
          </reference>
          <reference field="0" count="1" selected="0">
            <x v="3"/>
          </reference>
          <reference field="1" count="1" selected="0">
            <x v="22"/>
          </reference>
        </references>
      </pivotArea>
    </chartFormat>
    <chartFormat chart="0" format="145">
      <pivotArea type="data" outline="0" fieldPosition="0">
        <references count="3">
          <reference field="4294967294" count="1" selected="0">
            <x v="0"/>
          </reference>
          <reference field="0" count="1" selected="0">
            <x v="3"/>
          </reference>
          <reference field="1" count="1" selected="0">
            <x v="23"/>
          </reference>
        </references>
      </pivotArea>
    </chartFormat>
    <chartFormat chart="0" format="146">
      <pivotArea type="data" outline="0" fieldPosition="0">
        <references count="3">
          <reference field="4294967294" count="1" selected="0">
            <x v="0"/>
          </reference>
          <reference field="0" count="1" selected="0">
            <x v="3"/>
          </reference>
          <reference field="1" count="1" selected="0">
            <x v="24"/>
          </reference>
        </references>
      </pivotArea>
    </chartFormat>
    <chartFormat chart="0" format="147">
      <pivotArea type="data" outline="0" fieldPosition="0">
        <references count="3">
          <reference field="4294967294" count="1" selected="0">
            <x v="0"/>
          </reference>
          <reference field="0" count="1" selected="0">
            <x v="3"/>
          </reference>
          <reference field="1" count="1" selected="0">
            <x v="25"/>
          </reference>
        </references>
      </pivotArea>
    </chartFormat>
    <chartFormat chart="0" format="148">
      <pivotArea type="data" outline="0" fieldPosition="0">
        <references count="3">
          <reference field="4294967294" count="1" selected="0">
            <x v="0"/>
          </reference>
          <reference field="0" count="1" selected="0">
            <x v="3"/>
          </reference>
          <reference field="1" count="1" selected="0">
            <x v="26"/>
          </reference>
        </references>
      </pivotArea>
    </chartFormat>
    <chartFormat chart="0" format="149">
      <pivotArea type="data" outline="0" fieldPosition="0">
        <references count="3">
          <reference field="4294967294" count="1" selected="0">
            <x v="0"/>
          </reference>
          <reference field="0" count="1" selected="0">
            <x v="3"/>
          </reference>
          <reference field="1" count="1" selected="0">
            <x v="27"/>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16837402-5EA5-483A-95A3-60AF775CEEAE}" name="pt.generic_add_data1" cacheId="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B8:D10" firstHeaderRow="1" firstDataRow="2" firstDataCol="2" rowPageCount="5" colPageCount="1"/>
  <pivotFields count="12">
    <pivotField axis="axisRow" compact="0" outline="0" subtotalTop="0" showAll="0" defaultSubtotal="0">
      <items count="2">
        <item x="0"/>
        <item h="1" x="1"/>
      </items>
    </pivotField>
    <pivotField axis="axisRow" compact="0" outline="0" subtotalTop="0" showAll="0">
      <items count="15">
        <item x="0"/>
        <item x="1"/>
        <item x="2"/>
        <item x="3"/>
        <item x="4"/>
        <item x="5"/>
        <item x="6"/>
        <item x="7"/>
        <item x="11"/>
        <item x="12"/>
        <item x="8"/>
        <item x="9"/>
        <item x="10"/>
        <item x="13"/>
        <item t="default"/>
      </items>
    </pivotField>
    <pivotField axis="axisPage" compact="0" outline="0" subtotalTop="0" multipleItemSelectionAllowed="1" showAll="0">
      <items count="3">
        <item h="1" x="1"/>
        <item x="0"/>
        <item t="default"/>
      </items>
    </pivotField>
    <pivotField compact="0" outline="0" subtotalTop="0" multipleItemSelectionAllowed="1" showAll="0"/>
    <pivotField compact="0" outline="0" subtotalTop="0" showAll="0"/>
    <pivotField axis="axisPage" compact="0" outline="0" subtotalTop="0" multipleItemSelectionAllowed="1" showAll="0">
      <items count="4">
        <item x="2"/>
        <item h="1" x="0"/>
        <item h="1" x="1"/>
        <item t="default"/>
      </items>
    </pivotField>
    <pivotField axis="axisPage" compact="0" outline="0" subtotalTop="0" multipleItemSelectionAllowed="1" showAll="0">
      <items count="5">
        <item h="1" x="3"/>
        <item h="1" x="1"/>
        <item x="0"/>
        <item h="1" x="2"/>
        <item t="default"/>
      </items>
    </pivotField>
    <pivotField axis="axisCol" compact="0" outline="0" subtotalTop="0" showAll="0">
      <items count="9">
        <item h="1" x="7"/>
        <item x="3"/>
        <item x="6"/>
        <item x="0"/>
        <item x="5"/>
        <item x="4"/>
        <item x="1"/>
        <item x="2"/>
        <item t="default"/>
      </items>
    </pivotField>
    <pivotField compact="0" outline="0" subtotalTop="0" showAll="0"/>
    <pivotField axis="axisPage" compact="0" outline="0" subtotalTop="0" multipleItemSelectionAllowed="1" showAll="0">
      <items count="7">
        <item x="5"/>
        <item x="0"/>
        <item h="1" x="4"/>
        <item h="1" x="1"/>
        <item h="1" x="3"/>
        <item h="1" x="2"/>
        <item t="default"/>
      </items>
    </pivotField>
    <pivotField dataField="1" compact="0" outline="0" subtotalTop="0" showAll="0"/>
    <pivotField axis="axisPage" compact="0" outline="0" subtotalTop="0" multipleItemSelectionAllowed="1" showAll="0">
      <items count="3">
        <item h="1" x="1"/>
        <item x="0"/>
        <item t="default"/>
      </items>
    </pivotField>
  </pivotFields>
  <rowFields count="2">
    <field x="0"/>
    <field x="1"/>
  </rowFields>
  <rowItems count="1">
    <i t="grand">
      <x/>
    </i>
  </rowItems>
  <colFields count="1">
    <field x="7"/>
  </colFields>
  <colItems count="1">
    <i t="grand">
      <x/>
    </i>
  </colItems>
  <pageFields count="5">
    <pageField fld="2" hier="-1"/>
    <pageField fld="5" hier="-1"/>
    <pageField fld="6" hier="-1"/>
    <pageField fld="9" hier="-1"/>
    <pageField fld="11" hier="-1"/>
  </pageFields>
  <dataFields count="1">
    <dataField name="Sum of Hodnota" fld="10" baseField="0" baseItem="0"/>
  </dataFields>
  <chartFormats count="19">
    <chartFormat chart="0" format="60" series="1">
      <pivotArea type="data" outline="0" fieldPosition="0">
        <references count="2">
          <reference field="4294967294" count="1" selected="0">
            <x v="0"/>
          </reference>
          <reference field="7" count="1" selected="0">
            <x v="1"/>
          </reference>
        </references>
      </pivotArea>
    </chartFormat>
    <chartFormat chart="0" format="61" series="1">
      <pivotArea type="data" outline="0" fieldPosition="0">
        <references count="2">
          <reference field="4294967294" count="1" selected="0">
            <x v="0"/>
          </reference>
          <reference field="7" count="1" selected="0">
            <x v="2"/>
          </reference>
        </references>
      </pivotArea>
    </chartFormat>
    <chartFormat chart="0" format="62" series="1">
      <pivotArea type="data" outline="0" fieldPosition="0">
        <references count="2">
          <reference field="4294967294" count="1" selected="0">
            <x v="0"/>
          </reference>
          <reference field="7" count="1" selected="0">
            <x v="4"/>
          </reference>
        </references>
      </pivotArea>
    </chartFormat>
    <chartFormat chart="0" format="63" series="1">
      <pivotArea type="data" outline="0" fieldPosition="0">
        <references count="2">
          <reference field="4294967294" count="1" selected="0">
            <x v="0"/>
          </reference>
          <reference field="7" count="1" selected="0">
            <x v="6"/>
          </reference>
        </references>
      </pivotArea>
    </chartFormat>
    <chartFormat chart="0" format="64" series="1">
      <pivotArea type="data" outline="0" fieldPosition="0">
        <references count="2">
          <reference field="4294967294" count="1" selected="0">
            <x v="0"/>
          </reference>
          <reference field="7" count="1" selected="0">
            <x v="7"/>
          </reference>
        </references>
      </pivotArea>
    </chartFormat>
    <chartFormat chart="0" format="65" series="1">
      <pivotArea type="data" outline="0" fieldPosition="0">
        <references count="1">
          <reference field="4294967294" count="1" selected="0">
            <x v="0"/>
          </reference>
        </references>
      </pivotArea>
    </chartFormat>
    <chartFormat chart="0" format="66">
      <pivotArea type="data" outline="0" fieldPosition="0">
        <references count="4">
          <reference field="4294967294" count="1" selected="0">
            <x v="0"/>
          </reference>
          <reference field="0" count="1" selected="0">
            <x v="0"/>
          </reference>
          <reference field="1" count="1" selected="0">
            <x v="0"/>
          </reference>
          <reference field="7" count="1" selected="0">
            <x v="6"/>
          </reference>
        </references>
      </pivotArea>
    </chartFormat>
    <chartFormat chart="0" format="67">
      <pivotArea type="data" outline="0" fieldPosition="0">
        <references count="4">
          <reference field="4294967294" count="1" selected="0">
            <x v="0"/>
          </reference>
          <reference field="0" count="1" selected="0">
            <x v="0"/>
          </reference>
          <reference field="1" count="1" selected="0">
            <x v="1"/>
          </reference>
          <reference field="7" count="1" selected="0">
            <x v="6"/>
          </reference>
        </references>
      </pivotArea>
    </chartFormat>
    <chartFormat chart="0" format="68">
      <pivotArea type="data" outline="0" fieldPosition="0">
        <references count="4">
          <reference field="4294967294" count="1" selected="0">
            <x v="0"/>
          </reference>
          <reference field="0" count="1" selected="0">
            <x v="0"/>
          </reference>
          <reference field="1" count="1" selected="0">
            <x v="2"/>
          </reference>
          <reference field="7" count="1" selected="0">
            <x v="6"/>
          </reference>
        </references>
      </pivotArea>
    </chartFormat>
    <chartFormat chart="0" format="69">
      <pivotArea type="data" outline="0" fieldPosition="0">
        <references count="4">
          <reference field="4294967294" count="1" selected="0">
            <x v="0"/>
          </reference>
          <reference field="0" count="1" selected="0">
            <x v="0"/>
          </reference>
          <reference field="1" count="1" selected="0">
            <x v="3"/>
          </reference>
          <reference field="7" count="1" selected="0">
            <x v="6"/>
          </reference>
        </references>
      </pivotArea>
    </chartFormat>
    <chartFormat chart="0" format="70">
      <pivotArea type="data" outline="0" fieldPosition="0">
        <references count="4">
          <reference field="4294967294" count="1" selected="0">
            <x v="0"/>
          </reference>
          <reference field="0" count="1" selected="0">
            <x v="0"/>
          </reference>
          <reference field="1" count="1" selected="0">
            <x v="4"/>
          </reference>
          <reference field="7" count="1" selected="0">
            <x v="6"/>
          </reference>
        </references>
      </pivotArea>
    </chartFormat>
    <chartFormat chart="0" format="71">
      <pivotArea type="data" outline="0" fieldPosition="0">
        <references count="4">
          <reference field="4294967294" count="1" selected="0">
            <x v="0"/>
          </reference>
          <reference field="0" count="1" selected="0">
            <x v="0"/>
          </reference>
          <reference field="1" count="1" selected="0">
            <x v="5"/>
          </reference>
          <reference field="7" count="1" selected="0">
            <x v="6"/>
          </reference>
        </references>
      </pivotArea>
    </chartFormat>
    <chartFormat chart="0" format="72">
      <pivotArea type="data" outline="0" fieldPosition="0">
        <references count="4">
          <reference field="4294967294" count="1" selected="0">
            <x v="0"/>
          </reference>
          <reference field="0" count="1" selected="0">
            <x v="0"/>
          </reference>
          <reference field="1" count="1" selected="0">
            <x v="6"/>
          </reference>
          <reference field="7" count="1" selected="0">
            <x v="6"/>
          </reference>
        </references>
      </pivotArea>
    </chartFormat>
    <chartFormat chart="0" format="73">
      <pivotArea type="data" outline="0" fieldPosition="0">
        <references count="4">
          <reference field="4294967294" count="1" selected="0">
            <x v="0"/>
          </reference>
          <reference field="0" count="1" selected="0">
            <x v="0"/>
          </reference>
          <reference field="1" count="1" selected="0">
            <x v="7"/>
          </reference>
          <reference field="7" count="1" selected="0">
            <x v="6"/>
          </reference>
        </references>
      </pivotArea>
    </chartFormat>
    <chartFormat chart="0" format="74">
      <pivotArea type="data" outline="0" fieldPosition="0">
        <references count="4">
          <reference field="4294967294" count="1" selected="0">
            <x v="0"/>
          </reference>
          <reference field="0" count="1" selected="0">
            <x v="0"/>
          </reference>
          <reference field="1" count="1" selected="0">
            <x v="8"/>
          </reference>
          <reference field="7" count="1" selected="0">
            <x v="6"/>
          </reference>
        </references>
      </pivotArea>
    </chartFormat>
    <chartFormat chart="0" format="75">
      <pivotArea type="data" outline="0" fieldPosition="0">
        <references count="4">
          <reference field="4294967294" count="1" selected="0">
            <x v="0"/>
          </reference>
          <reference field="0" count="1" selected="0">
            <x v="0"/>
          </reference>
          <reference field="1" count="1" selected="0">
            <x v="9"/>
          </reference>
          <reference field="7" count="1" selected="0">
            <x v="6"/>
          </reference>
        </references>
      </pivotArea>
    </chartFormat>
    <chartFormat chart="0" format="76">
      <pivotArea type="data" outline="0" fieldPosition="0">
        <references count="4">
          <reference field="4294967294" count="1" selected="0">
            <x v="0"/>
          </reference>
          <reference field="0" count="1" selected="0">
            <x v="0"/>
          </reference>
          <reference field="1" count="1" selected="0">
            <x v="10"/>
          </reference>
          <reference field="7" count="1" selected="0">
            <x v="6"/>
          </reference>
        </references>
      </pivotArea>
    </chartFormat>
    <chartFormat chart="0" format="77">
      <pivotArea type="data" outline="0" fieldPosition="0">
        <references count="4">
          <reference field="4294967294" count="1" selected="0">
            <x v="0"/>
          </reference>
          <reference field="0" count="1" selected="0">
            <x v="0"/>
          </reference>
          <reference field="1" count="1" selected="0">
            <x v="11"/>
          </reference>
          <reference field="7" count="1" selected="0">
            <x v="6"/>
          </reference>
        </references>
      </pivotArea>
    </chartFormat>
    <chartFormat chart="0" format="78">
      <pivotArea type="data" outline="0" fieldPosition="0">
        <references count="4">
          <reference field="4294967294" count="1" selected="0">
            <x v="0"/>
          </reference>
          <reference field="0" count="1" selected="0">
            <x v="0"/>
          </reference>
          <reference field="1" count="1" selected="0">
            <x v="12"/>
          </reference>
          <reference field="7" count="1" selected="0">
            <x v="6"/>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2014C581-BA6B-4C8D-A27F-28B882F27A8C}" name="pt.generic_add_data2" cacheId="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C9" firstHeaderRow="1" firstDataRow="2" firstDataCol="2" rowPageCount="5" colPageCount="1"/>
  <pivotFields count="12">
    <pivotField axis="axisRow" compact="0" outline="0" subtotalTop="0" showAll="0" defaultSubtotal="0">
      <items count="2">
        <item x="0"/>
        <item x="1"/>
      </items>
    </pivotField>
    <pivotField axis="axisRow" compact="0" outline="0" subtotalTop="0" showAll="0">
      <items count="15">
        <item x="0"/>
        <item x="1"/>
        <item x="2"/>
        <item x="3"/>
        <item x="4"/>
        <item x="5"/>
        <item x="6"/>
        <item x="7"/>
        <item x="11"/>
        <item x="12"/>
        <item x="8"/>
        <item x="9"/>
        <item x="10"/>
        <item x="13"/>
        <item t="default"/>
      </items>
    </pivotField>
    <pivotField axis="axisPage" compact="0" outline="0" subtotalTop="0" multipleItemSelectionAllowed="1" showAll="0">
      <items count="3">
        <item h="1" x="1"/>
        <item x="0"/>
        <item t="default"/>
      </items>
    </pivotField>
    <pivotField compact="0" outline="0" subtotalTop="0" showAll="0"/>
    <pivotField compact="0" outline="0" subtotalTop="0" showAll="0"/>
    <pivotField axis="axisPage" compact="0" outline="0" subtotalTop="0" multipleItemSelectionAllowed="1" showAll="0">
      <items count="4">
        <item x="2"/>
        <item h="1" x="0"/>
        <item h="1" x="1"/>
        <item t="default"/>
      </items>
    </pivotField>
    <pivotField axis="axisPage" compact="0" outline="0" subtotalTop="0" multipleItemSelectionAllowed="1" showAll="0">
      <items count="5">
        <item h="1" x="3"/>
        <item h="1" x="1"/>
        <item x="0"/>
        <item h="1" x="2"/>
        <item t="default"/>
      </items>
    </pivotField>
    <pivotField axis="axisCol" compact="0" outline="0" subtotalTop="0" showAll="0">
      <items count="9">
        <item h="1" x="7"/>
        <item x="3"/>
        <item x="6"/>
        <item x="0"/>
        <item x="5"/>
        <item x="4"/>
        <item x="1"/>
        <item x="2"/>
        <item t="default"/>
      </items>
    </pivotField>
    <pivotField compact="0" outline="0" subtotalTop="0" showAll="0"/>
    <pivotField axis="axisPage" compact="0" outline="0" subtotalTop="0" multipleItemSelectionAllowed="1" showAll="0">
      <items count="7">
        <item x="5"/>
        <item x="0"/>
        <item h="1" x="4"/>
        <item h="1" x="1"/>
        <item h="1" x="3"/>
        <item h="1" x="2"/>
        <item t="default"/>
      </items>
    </pivotField>
    <pivotField dataField="1" compact="0" outline="0" subtotalTop="0" showAll="0"/>
    <pivotField axis="axisPage" compact="0" outline="0" subtotalTop="0" multipleItemSelectionAllowed="1" showAll="0">
      <items count="3">
        <item h="1" x="1"/>
        <item x="0"/>
        <item t="default"/>
      </items>
    </pivotField>
  </pivotFields>
  <rowFields count="2">
    <field x="0"/>
    <field x="1"/>
  </rowFields>
  <rowItems count="1">
    <i t="grand">
      <x/>
    </i>
  </rowItems>
  <colFields count="1">
    <field x="7"/>
  </colFields>
  <colItems count="1">
    <i t="grand">
      <x/>
    </i>
  </colItems>
  <pageFields count="5">
    <pageField fld="2" hier="-1"/>
    <pageField fld="5" hier="-1"/>
    <pageField fld="6" hier="-1"/>
    <pageField fld="9" hier="-1"/>
    <pageField fld="11" hier="-1"/>
  </pageFields>
  <dataFields count="1">
    <dataField name="Sum of Hodnota" fld="10" baseField="0" baseItem="0"/>
  </dataFields>
  <chartFormats count="19">
    <chartFormat chart="0" format="57" series="1">
      <pivotArea type="data" outline="0" fieldPosition="0">
        <references count="2">
          <reference field="4294967294" count="1" selected="0">
            <x v="0"/>
          </reference>
          <reference field="7" count="1" selected="0">
            <x v="1"/>
          </reference>
        </references>
      </pivotArea>
    </chartFormat>
    <chartFormat chart="0" format="58" series="1">
      <pivotArea type="data" outline="0" fieldPosition="0">
        <references count="2">
          <reference field="4294967294" count="1" selected="0">
            <x v="0"/>
          </reference>
          <reference field="7" count="1" selected="0">
            <x v="2"/>
          </reference>
        </references>
      </pivotArea>
    </chartFormat>
    <chartFormat chart="0" format="59" series="1">
      <pivotArea type="data" outline="0" fieldPosition="0">
        <references count="2">
          <reference field="4294967294" count="1" selected="0">
            <x v="0"/>
          </reference>
          <reference field="7" count="1" selected="0">
            <x v="4"/>
          </reference>
        </references>
      </pivotArea>
    </chartFormat>
    <chartFormat chart="0" format="60" series="1">
      <pivotArea type="data" outline="0" fieldPosition="0">
        <references count="2">
          <reference field="4294967294" count="1" selected="0">
            <x v="0"/>
          </reference>
          <reference field="7" count="1" selected="0">
            <x v="6"/>
          </reference>
        </references>
      </pivotArea>
    </chartFormat>
    <chartFormat chart="0" format="61" series="1">
      <pivotArea type="data" outline="0" fieldPosition="0">
        <references count="2">
          <reference field="4294967294" count="1" selected="0">
            <x v="0"/>
          </reference>
          <reference field="7" count="1" selected="0">
            <x v="7"/>
          </reference>
        </references>
      </pivotArea>
    </chartFormat>
    <chartFormat chart="0" format="62" series="1">
      <pivotArea type="data" outline="0" fieldPosition="0">
        <references count="1">
          <reference field="4294967294" count="1" selected="0">
            <x v="0"/>
          </reference>
        </references>
      </pivotArea>
    </chartFormat>
    <chartFormat chart="0" format="63">
      <pivotArea type="data" outline="0" fieldPosition="0">
        <references count="4">
          <reference field="4294967294" count="1" selected="0">
            <x v="0"/>
          </reference>
          <reference field="0" count="1" selected="0">
            <x v="0"/>
          </reference>
          <reference field="1" count="1" selected="0">
            <x v="0"/>
          </reference>
          <reference field="7" count="1" selected="0">
            <x v="6"/>
          </reference>
        </references>
      </pivotArea>
    </chartFormat>
    <chartFormat chart="0" format="64">
      <pivotArea type="data" outline="0" fieldPosition="0">
        <references count="4">
          <reference field="4294967294" count="1" selected="0">
            <x v="0"/>
          </reference>
          <reference field="0" count="1" selected="0">
            <x v="0"/>
          </reference>
          <reference field="1" count="1" selected="0">
            <x v="1"/>
          </reference>
          <reference field="7" count="1" selected="0">
            <x v="6"/>
          </reference>
        </references>
      </pivotArea>
    </chartFormat>
    <chartFormat chart="0" format="65">
      <pivotArea type="data" outline="0" fieldPosition="0">
        <references count="4">
          <reference field="4294967294" count="1" selected="0">
            <x v="0"/>
          </reference>
          <reference field="0" count="1" selected="0">
            <x v="0"/>
          </reference>
          <reference field="1" count="1" selected="0">
            <x v="2"/>
          </reference>
          <reference field="7" count="1" selected="0">
            <x v="6"/>
          </reference>
        </references>
      </pivotArea>
    </chartFormat>
    <chartFormat chart="0" format="66">
      <pivotArea type="data" outline="0" fieldPosition="0">
        <references count="4">
          <reference field="4294967294" count="1" selected="0">
            <x v="0"/>
          </reference>
          <reference field="0" count="1" selected="0">
            <x v="0"/>
          </reference>
          <reference field="1" count="1" selected="0">
            <x v="3"/>
          </reference>
          <reference field="7" count="1" selected="0">
            <x v="6"/>
          </reference>
        </references>
      </pivotArea>
    </chartFormat>
    <chartFormat chart="0" format="67">
      <pivotArea type="data" outline="0" fieldPosition="0">
        <references count="4">
          <reference field="4294967294" count="1" selected="0">
            <x v="0"/>
          </reference>
          <reference field="0" count="1" selected="0">
            <x v="0"/>
          </reference>
          <reference field="1" count="1" selected="0">
            <x v="4"/>
          </reference>
          <reference field="7" count="1" selected="0">
            <x v="6"/>
          </reference>
        </references>
      </pivotArea>
    </chartFormat>
    <chartFormat chart="0" format="68">
      <pivotArea type="data" outline="0" fieldPosition="0">
        <references count="4">
          <reference field="4294967294" count="1" selected="0">
            <x v="0"/>
          </reference>
          <reference field="0" count="1" selected="0">
            <x v="0"/>
          </reference>
          <reference field="1" count="1" selected="0">
            <x v="5"/>
          </reference>
          <reference field="7" count="1" selected="0">
            <x v="6"/>
          </reference>
        </references>
      </pivotArea>
    </chartFormat>
    <chartFormat chart="0" format="69">
      <pivotArea type="data" outline="0" fieldPosition="0">
        <references count="4">
          <reference field="4294967294" count="1" selected="0">
            <x v="0"/>
          </reference>
          <reference field="0" count="1" selected="0">
            <x v="0"/>
          </reference>
          <reference field="1" count="1" selected="0">
            <x v="6"/>
          </reference>
          <reference field="7" count="1" selected="0">
            <x v="6"/>
          </reference>
        </references>
      </pivotArea>
    </chartFormat>
    <chartFormat chart="0" format="70">
      <pivotArea type="data" outline="0" fieldPosition="0">
        <references count="4">
          <reference field="4294967294" count="1" selected="0">
            <x v="0"/>
          </reference>
          <reference field="0" count="1" selected="0">
            <x v="0"/>
          </reference>
          <reference field="1" count="1" selected="0">
            <x v="7"/>
          </reference>
          <reference field="7" count="1" selected="0">
            <x v="6"/>
          </reference>
        </references>
      </pivotArea>
    </chartFormat>
    <chartFormat chart="0" format="71">
      <pivotArea type="data" outline="0" fieldPosition="0">
        <references count="4">
          <reference field="4294967294" count="1" selected="0">
            <x v="0"/>
          </reference>
          <reference field="0" count="1" selected="0">
            <x v="0"/>
          </reference>
          <reference field="1" count="1" selected="0">
            <x v="8"/>
          </reference>
          <reference field="7" count="1" selected="0">
            <x v="6"/>
          </reference>
        </references>
      </pivotArea>
    </chartFormat>
    <chartFormat chart="0" format="72">
      <pivotArea type="data" outline="0" fieldPosition="0">
        <references count="4">
          <reference field="4294967294" count="1" selected="0">
            <x v="0"/>
          </reference>
          <reference field="0" count="1" selected="0">
            <x v="0"/>
          </reference>
          <reference field="1" count="1" selected="0">
            <x v="9"/>
          </reference>
          <reference field="7" count="1" selected="0">
            <x v="6"/>
          </reference>
        </references>
      </pivotArea>
    </chartFormat>
    <chartFormat chart="0" format="73">
      <pivotArea type="data" outline="0" fieldPosition="0">
        <references count="4">
          <reference field="4294967294" count="1" selected="0">
            <x v="0"/>
          </reference>
          <reference field="0" count="1" selected="0">
            <x v="0"/>
          </reference>
          <reference field="1" count="1" selected="0">
            <x v="10"/>
          </reference>
          <reference field="7" count="1" selected="0">
            <x v="6"/>
          </reference>
        </references>
      </pivotArea>
    </chartFormat>
    <chartFormat chart="0" format="74">
      <pivotArea type="data" outline="0" fieldPosition="0">
        <references count="4">
          <reference field="4294967294" count="1" selected="0">
            <x v="0"/>
          </reference>
          <reference field="0" count="1" selected="0">
            <x v="0"/>
          </reference>
          <reference field="1" count="1" selected="0">
            <x v="11"/>
          </reference>
          <reference field="7" count="1" selected="0">
            <x v="6"/>
          </reference>
        </references>
      </pivotArea>
    </chartFormat>
    <chartFormat chart="0" format="75">
      <pivotArea type="data" outline="0" fieldPosition="0">
        <references count="4">
          <reference field="4294967294" count="1" selected="0">
            <x v="0"/>
          </reference>
          <reference field="0" count="1" selected="0">
            <x v="0"/>
          </reference>
          <reference field="1" count="1" selected="0">
            <x v="12"/>
          </reference>
          <reference field="7" count="1" selected="0">
            <x v="6"/>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95261199-7F4F-485A-A4CD-DED81F71D825}" name="pt.generic_add_data3" cacheId="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C9" firstHeaderRow="1" firstDataRow="2" firstDataCol="2" rowPageCount="5" colPageCount="1"/>
  <pivotFields count="12">
    <pivotField axis="axisRow" compact="0" outline="0" subtotalTop="0" showAll="0" defaultSubtotal="0">
      <items count="2">
        <item x="0"/>
        <item x="1"/>
      </items>
    </pivotField>
    <pivotField axis="axisRow" compact="0" outline="0" subtotalTop="0" showAll="0">
      <items count="15">
        <item x="0"/>
        <item x="1"/>
        <item x="2"/>
        <item x="3"/>
        <item x="4"/>
        <item x="5"/>
        <item x="6"/>
        <item x="7"/>
        <item x="11"/>
        <item x="12"/>
        <item x="8"/>
        <item x="9"/>
        <item x="10"/>
        <item x="13"/>
        <item t="default"/>
      </items>
    </pivotField>
    <pivotField axis="axisPage" compact="0" outline="0" subtotalTop="0" multipleItemSelectionAllowed="1" showAll="0">
      <items count="3">
        <item h="1" x="1"/>
        <item x="0"/>
        <item t="default"/>
      </items>
    </pivotField>
    <pivotField compact="0" outline="0" subtotalTop="0" showAll="0"/>
    <pivotField compact="0" outline="0" subtotalTop="0" showAll="0"/>
    <pivotField axis="axisPage" compact="0" outline="0" subtotalTop="0" multipleItemSelectionAllowed="1" showAll="0">
      <items count="4">
        <item x="2"/>
        <item h="1" x="0"/>
        <item h="1" x="1"/>
        <item t="default"/>
      </items>
    </pivotField>
    <pivotField axis="axisPage" compact="0" outline="0" subtotalTop="0" multipleItemSelectionAllowed="1" showAll="0">
      <items count="5">
        <item h="1" x="3"/>
        <item h="1" x="1"/>
        <item x="0"/>
        <item h="1" x="2"/>
        <item t="default"/>
      </items>
    </pivotField>
    <pivotField axis="axisCol" compact="0" outline="0" subtotalTop="0" showAll="0">
      <items count="9">
        <item h="1" x="7"/>
        <item x="3"/>
        <item x="6"/>
        <item x="0"/>
        <item x="5"/>
        <item x="4"/>
        <item x="1"/>
        <item x="2"/>
        <item t="default"/>
      </items>
    </pivotField>
    <pivotField compact="0" outline="0" subtotalTop="0" showAll="0"/>
    <pivotField axis="axisPage" compact="0" outline="0" subtotalTop="0" multipleItemSelectionAllowed="1" showAll="0">
      <items count="7">
        <item x="5"/>
        <item x="0"/>
        <item h="1" x="4"/>
        <item h="1" x="1"/>
        <item h="1" x="3"/>
        <item h="1" x="2"/>
        <item t="default"/>
      </items>
    </pivotField>
    <pivotField dataField="1" compact="0" outline="0" subtotalTop="0" showAll="0"/>
    <pivotField axis="axisPage" compact="0" outline="0" subtotalTop="0" multipleItemSelectionAllowed="1" showAll="0">
      <items count="3">
        <item h="1" x="1"/>
        <item x="0"/>
        <item t="default"/>
      </items>
    </pivotField>
  </pivotFields>
  <rowFields count="2">
    <field x="0"/>
    <field x="1"/>
  </rowFields>
  <rowItems count="1">
    <i t="grand">
      <x/>
    </i>
  </rowItems>
  <colFields count="1">
    <field x="7"/>
  </colFields>
  <colItems count="1">
    <i t="grand">
      <x/>
    </i>
  </colItems>
  <pageFields count="5">
    <pageField fld="2" hier="-1"/>
    <pageField fld="5" hier="-1"/>
    <pageField fld="6" hier="-1"/>
    <pageField fld="9" hier="-1"/>
    <pageField fld="11" hier="-1"/>
  </pageFields>
  <dataFields count="1">
    <dataField name="Sum of Hodnota" fld="10" baseField="0" baseItem="0"/>
  </dataFields>
  <chartFormats count="18">
    <chartFormat chart="0" format="57" series="1">
      <pivotArea type="data" outline="0" fieldPosition="0">
        <references count="2">
          <reference field="4294967294" count="1" selected="0">
            <x v="0"/>
          </reference>
          <reference field="7" count="1" selected="0">
            <x v="3"/>
          </reference>
        </references>
      </pivotArea>
    </chartFormat>
    <chartFormat chart="0" format="58" series="1">
      <pivotArea type="data" outline="0" fieldPosition="0">
        <references count="2">
          <reference field="4294967294" count="1" selected="0">
            <x v="0"/>
          </reference>
          <reference field="7" count="1" selected="0">
            <x v="5"/>
          </reference>
        </references>
      </pivotArea>
    </chartFormat>
    <chartFormat chart="0" format="59" series="1">
      <pivotArea type="data" outline="0" fieldPosition="0">
        <references count="2">
          <reference field="4294967294" count="1" selected="0">
            <x v="0"/>
          </reference>
          <reference field="7" count="1" selected="0">
            <x v="6"/>
          </reference>
        </references>
      </pivotArea>
    </chartFormat>
    <chartFormat chart="0" format="60" series="1">
      <pivotArea type="data" outline="0" fieldPosition="0">
        <references count="2">
          <reference field="4294967294" count="1" selected="0">
            <x v="0"/>
          </reference>
          <reference field="7" count="1" selected="0">
            <x v="7"/>
          </reference>
        </references>
      </pivotArea>
    </chartFormat>
    <chartFormat chart="0" format="61" series="1">
      <pivotArea type="data" outline="0" fieldPosition="0">
        <references count="1">
          <reference field="4294967294" count="1" selected="0">
            <x v="0"/>
          </reference>
        </references>
      </pivotArea>
    </chartFormat>
    <chartFormat chart="0" format="62">
      <pivotArea type="data" outline="0" fieldPosition="0">
        <references count="4">
          <reference field="4294967294" count="1" selected="0">
            <x v="0"/>
          </reference>
          <reference field="0" count="1" selected="0">
            <x v="0"/>
          </reference>
          <reference field="1" count="1" selected="0">
            <x v="0"/>
          </reference>
          <reference field="7" count="1" selected="0">
            <x v="6"/>
          </reference>
        </references>
      </pivotArea>
    </chartFormat>
    <chartFormat chart="0" format="63">
      <pivotArea type="data" outline="0" fieldPosition="0">
        <references count="4">
          <reference field="4294967294" count="1" selected="0">
            <x v="0"/>
          </reference>
          <reference field="0" count="1" selected="0">
            <x v="0"/>
          </reference>
          <reference field="1" count="1" selected="0">
            <x v="1"/>
          </reference>
          <reference field="7" count="1" selected="0">
            <x v="6"/>
          </reference>
        </references>
      </pivotArea>
    </chartFormat>
    <chartFormat chart="0" format="64">
      <pivotArea type="data" outline="0" fieldPosition="0">
        <references count="4">
          <reference field="4294967294" count="1" selected="0">
            <x v="0"/>
          </reference>
          <reference field="0" count="1" selected="0">
            <x v="0"/>
          </reference>
          <reference field="1" count="1" selected="0">
            <x v="2"/>
          </reference>
          <reference field="7" count="1" selected="0">
            <x v="6"/>
          </reference>
        </references>
      </pivotArea>
    </chartFormat>
    <chartFormat chart="0" format="65">
      <pivotArea type="data" outline="0" fieldPosition="0">
        <references count="4">
          <reference field="4294967294" count="1" selected="0">
            <x v="0"/>
          </reference>
          <reference field="0" count="1" selected="0">
            <x v="0"/>
          </reference>
          <reference field="1" count="1" selected="0">
            <x v="3"/>
          </reference>
          <reference field="7" count="1" selected="0">
            <x v="6"/>
          </reference>
        </references>
      </pivotArea>
    </chartFormat>
    <chartFormat chart="0" format="66">
      <pivotArea type="data" outline="0" fieldPosition="0">
        <references count="4">
          <reference field="4294967294" count="1" selected="0">
            <x v="0"/>
          </reference>
          <reference field="0" count="1" selected="0">
            <x v="0"/>
          </reference>
          <reference field="1" count="1" selected="0">
            <x v="4"/>
          </reference>
          <reference field="7" count="1" selected="0">
            <x v="6"/>
          </reference>
        </references>
      </pivotArea>
    </chartFormat>
    <chartFormat chart="0" format="67">
      <pivotArea type="data" outline="0" fieldPosition="0">
        <references count="4">
          <reference field="4294967294" count="1" selected="0">
            <x v="0"/>
          </reference>
          <reference field="0" count="1" selected="0">
            <x v="0"/>
          </reference>
          <reference field="1" count="1" selected="0">
            <x v="5"/>
          </reference>
          <reference field="7" count="1" selected="0">
            <x v="6"/>
          </reference>
        </references>
      </pivotArea>
    </chartFormat>
    <chartFormat chart="0" format="68">
      <pivotArea type="data" outline="0" fieldPosition="0">
        <references count="4">
          <reference field="4294967294" count="1" selected="0">
            <x v="0"/>
          </reference>
          <reference field="0" count="1" selected="0">
            <x v="0"/>
          </reference>
          <reference field="1" count="1" selected="0">
            <x v="6"/>
          </reference>
          <reference field="7" count="1" selected="0">
            <x v="6"/>
          </reference>
        </references>
      </pivotArea>
    </chartFormat>
    <chartFormat chart="0" format="69">
      <pivotArea type="data" outline="0" fieldPosition="0">
        <references count="4">
          <reference field="4294967294" count="1" selected="0">
            <x v="0"/>
          </reference>
          <reference field="0" count="1" selected="0">
            <x v="0"/>
          </reference>
          <reference field="1" count="1" selected="0">
            <x v="7"/>
          </reference>
          <reference field="7" count="1" selected="0">
            <x v="6"/>
          </reference>
        </references>
      </pivotArea>
    </chartFormat>
    <chartFormat chart="0" format="70">
      <pivotArea type="data" outline="0" fieldPosition="0">
        <references count="4">
          <reference field="4294967294" count="1" selected="0">
            <x v="0"/>
          </reference>
          <reference field="0" count="1" selected="0">
            <x v="0"/>
          </reference>
          <reference field="1" count="1" selected="0">
            <x v="8"/>
          </reference>
          <reference field="7" count="1" selected="0">
            <x v="6"/>
          </reference>
        </references>
      </pivotArea>
    </chartFormat>
    <chartFormat chart="0" format="71">
      <pivotArea type="data" outline="0" fieldPosition="0">
        <references count="4">
          <reference field="4294967294" count="1" selected="0">
            <x v="0"/>
          </reference>
          <reference field="0" count="1" selected="0">
            <x v="0"/>
          </reference>
          <reference field="1" count="1" selected="0">
            <x v="9"/>
          </reference>
          <reference field="7" count="1" selected="0">
            <x v="6"/>
          </reference>
        </references>
      </pivotArea>
    </chartFormat>
    <chartFormat chart="0" format="72">
      <pivotArea type="data" outline="0" fieldPosition="0">
        <references count="4">
          <reference field="4294967294" count="1" selected="0">
            <x v="0"/>
          </reference>
          <reference field="0" count="1" selected="0">
            <x v="0"/>
          </reference>
          <reference field="1" count="1" selected="0">
            <x v="10"/>
          </reference>
          <reference field="7" count="1" selected="0">
            <x v="6"/>
          </reference>
        </references>
      </pivotArea>
    </chartFormat>
    <chartFormat chart="0" format="73">
      <pivotArea type="data" outline="0" fieldPosition="0">
        <references count="4">
          <reference field="4294967294" count="1" selected="0">
            <x v="0"/>
          </reference>
          <reference field="0" count="1" selected="0">
            <x v="0"/>
          </reference>
          <reference field="1" count="1" selected="0">
            <x v="11"/>
          </reference>
          <reference field="7" count="1" selected="0">
            <x v="6"/>
          </reference>
        </references>
      </pivotArea>
    </chartFormat>
    <chartFormat chart="0" format="74">
      <pivotArea type="data" outline="0" fieldPosition="0">
        <references count="4">
          <reference field="4294967294" count="1" selected="0">
            <x v="0"/>
          </reference>
          <reference field="0" count="1" selected="0">
            <x v="0"/>
          </reference>
          <reference field="1" count="1" selected="0">
            <x v="12"/>
          </reference>
          <reference field="7" count="1" selected="0">
            <x v="6"/>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DD6B6929-6AB8-44B3-8C86-A9CD6E7D735A}" name="pt.generic_add_data4" cacheId="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C9" firstHeaderRow="1" firstDataRow="2" firstDataCol="2" rowPageCount="5" colPageCount="1"/>
  <pivotFields count="12">
    <pivotField axis="axisRow" compact="0" outline="0" subtotalTop="0" showAll="0" defaultSubtotal="0">
      <items count="2">
        <item x="0"/>
        <item x="1"/>
      </items>
    </pivotField>
    <pivotField axis="axisRow" compact="0" outline="0" subtotalTop="0" showAll="0">
      <items count="15">
        <item x="0"/>
        <item x="1"/>
        <item x="2"/>
        <item x="3"/>
        <item x="4"/>
        <item x="5"/>
        <item x="6"/>
        <item x="7"/>
        <item x="11"/>
        <item x="12"/>
        <item x="8"/>
        <item x="9"/>
        <item x="10"/>
        <item x="13"/>
        <item t="default"/>
      </items>
    </pivotField>
    <pivotField axis="axisPage" compact="0" outline="0" subtotalTop="0" multipleItemSelectionAllowed="1" showAll="0">
      <items count="3">
        <item h="1" x="1"/>
        <item x="0"/>
        <item t="default"/>
      </items>
    </pivotField>
    <pivotField compact="0" outline="0" subtotalTop="0" showAll="0"/>
    <pivotField compact="0" outline="0" subtotalTop="0" showAll="0"/>
    <pivotField axis="axisPage" compact="0" outline="0" subtotalTop="0" multipleItemSelectionAllowed="1" showAll="0">
      <items count="4">
        <item x="2"/>
        <item h="1" x="0"/>
        <item h="1" x="1"/>
        <item t="default"/>
      </items>
    </pivotField>
    <pivotField axis="axisPage" compact="0" outline="0" subtotalTop="0" multipleItemSelectionAllowed="1" showAll="0">
      <items count="5">
        <item x="3"/>
        <item x="1"/>
        <item x="0"/>
        <item x="2"/>
        <item t="default"/>
      </items>
    </pivotField>
    <pivotField axis="axisCol" compact="0" outline="0" subtotalTop="0" showAll="0">
      <items count="9">
        <item h="1" x="7"/>
        <item x="3"/>
        <item x="6"/>
        <item x="0"/>
        <item x="5"/>
        <item x="4"/>
        <item x="1"/>
        <item x="2"/>
        <item t="default"/>
      </items>
    </pivotField>
    <pivotField compact="0" outline="0" subtotalTop="0" showAll="0"/>
    <pivotField axis="axisPage" compact="0" outline="0" subtotalTop="0" multipleItemSelectionAllowed="1" showAll="0">
      <items count="7">
        <item x="5"/>
        <item x="0"/>
        <item h="1" x="4"/>
        <item h="1" x="1"/>
        <item h="1" x="3"/>
        <item h="1" x="2"/>
        <item t="default"/>
      </items>
    </pivotField>
    <pivotField dataField="1" compact="0" outline="0" subtotalTop="0" showAll="0"/>
    <pivotField axis="axisPage" compact="0" outline="0" subtotalTop="0" multipleItemSelectionAllowed="1" showAll="0">
      <items count="3">
        <item h="1" x="1"/>
        <item x="0"/>
        <item t="default"/>
      </items>
    </pivotField>
  </pivotFields>
  <rowFields count="2">
    <field x="0"/>
    <field x="1"/>
  </rowFields>
  <rowItems count="1">
    <i t="grand">
      <x/>
    </i>
  </rowItems>
  <colFields count="1">
    <field x="7"/>
  </colFields>
  <colItems count="1">
    <i t="grand">
      <x/>
    </i>
  </colItems>
  <pageFields count="5">
    <pageField fld="2" hier="-1"/>
    <pageField fld="5" hier="-1"/>
    <pageField fld="6" hier="-1"/>
    <pageField fld="9" hier="-1"/>
    <pageField fld="11" hier="-1"/>
  </pageFields>
  <dataFields count="1">
    <dataField name="Sum of Hodnota" fld="10" baseField="0" baseItem="0"/>
  </dataFields>
  <chartFormats count="1">
    <chartFormat chart="0" format="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C14F7A71-7DD6-4C34-BDA8-C56F27A3AD66}" name="pt.generic_add_data5"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fieldListSortAscending="1">
  <location ref="A7:I23" firstHeaderRow="1" firstDataRow="2" firstDataCol="1" rowPageCount="5" colPageCount="1"/>
  <pivotFields count="12">
    <pivotField axis="axisRow" subtotalTop="0" showAll="0" defaultSubtotal="0">
      <items count="2">
        <item x="0"/>
        <item x="1"/>
      </items>
    </pivotField>
    <pivotField axis="axisRow" subtotalTop="0" showAll="0">
      <items count="15">
        <item x="0"/>
        <item x="1"/>
        <item x="2"/>
        <item x="3"/>
        <item x="4"/>
        <item x="5"/>
        <item x="6"/>
        <item x="7"/>
        <item x="11"/>
        <item x="12"/>
        <item x="8"/>
        <item x="9"/>
        <item x="10"/>
        <item x="13"/>
        <item t="default"/>
      </items>
    </pivotField>
    <pivotField axis="axisPage" subtotalTop="0" multipleItemSelectionAllowed="1" showAll="0">
      <items count="3">
        <item h="1" x="1"/>
        <item x="0"/>
        <item t="default"/>
      </items>
    </pivotField>
    <pivotField subtotalTop="0" showAll="0"/>
    <pivotField subtotalTop="0" showAll="0"/>
    <pivotField axis="axisPage" subtotalTop="0" multipleItemSelectionAllowed="1" showAll="0">
      <items count="4">
        <item x="2"/>
        <item x="0"/>
        <item x="1"/>
        <item t="default"/>
      </items>
    </pivotField>
    <pivotField axis="axisPage" subtotalTop="0" multipleItemSelectionAllowed="1" showAll="0">
      <items count="5">
        <item x="3"/>
        <item x="1"/>
        <item x="0"/>
        <item x="2"/>
        <item t="default"/>
      </items>
    </pivotField>
    <pivotField axis="axisCol" subtotalTop="0" showAll="0">
      <items count="9">
        <item h="1" x="7"/>
        <item x="3"/>
        <item x="6"/>
        <item x="0"/>
        <item x="5"/>
        <item x="4"/>
        <item x="1"/>
        <item x="2"/>
        <item t="default"/>
      </items>
    </pivotField>
    <pivotField subtotalTop="0" showAll="0"/>
    <pivotField axis="axisPage" subtotalTop="0" multipleItemSelectionAllowed="1" showAll="0">
      <items count="7">
        <item h="1" x="5"/>
        <item x="0"/>
        <item h="1" x="4"/>
        <item h="1" x="1"/>
        <item x="3"/>
        <item h="1" x="2"/>
        <item t="default"/>
      </items>
    </pivotField>
    <pivotField dataField="1" subtotalTop="0" showAll="0"/>
    <pivotField axis="axisPage" subtotalTop="0" multipleItemSelectionAllowed="1" showAll="0">
      <items count="3">
        <item h="1" x="1"/>
        <item x="0"/>
        <item t="default"/>
      </items>
    </pivotField>
  </pivotFields>
  <rowFields count="2">
    <field x="0"/>
    <field x="1"/>
  </rowFields>
  <rowItems count="15">
    <i>
      <x/>
    </i>
    <i r="1">
      <x/>
    </i>
    <i r="1">
      <x v="1"/>
    </i>
    <i r="1">
      <x v="2"/>
    </i>
    <i r="1">
      <x v="3"/>
    </i>
    <i r="1">
      <x v="4"/>
    </i>
    <i r="1">
      <x v="5"/>
    </i>
    <i r="1">
      <x v="6"/>
    </i>
    <i r="1">
      <x v="7"/>
    </i>
    <i r="1">
      <x v="8"/>
    </i>
    <i r="1">
      <x v="9"/>
    </i>
    <i r="1">
      <x v="10"/>
    </i>
    <i r="1">
      <x v="11"/>
    </i>
    <i r="1">
      <x v="12"/>
    </i>
    <i t="grand">
      <x/>
    </i>
  </rowItems>
  <colFields count="1">
    <field x="7"/>
  </colFields>
  <colItems count="8">
    <i>
      <x v="1"/>
    </i>
    <i>
      <x v="2"/>
    </i>
    <i>
      <x v="3"/>
    </i>
    <i>
      <x v="4"/>
    </i>
    <i>
      <x v="5"/>
    </i>
    <i>
      <x v="6"/>
    </i>
    <i>
      <x v="7"/>
    </i>
    <i t="grand">
      <x/>
    </i>
  </colItems>
  <pageFields count="5">
    <pageField fld="2" hier="-1"/>
    <pageField fld="5" hier="-1"/>
    <pageField fld="6" hier="-1"/>
    <pageField fld="9" hier="-1"/>
    <pageField fld="11" hier="-1"/>
  </pageFields>
  <dataFields count="1">
    <dataField name="Sum of Hodnota" fld="10" baseField="0" baseItem="0"/>
  </dataFields>
  <chartFormats count="21">
    <chartFormat chart="0" format="5" series="1">
      <pivotArea type="data" outline="0" fieldPosition="0">
        <references count="2">
          <reference field="4294967294" count="1" selected="0">
            <x v="0"/>
          </reference>
          <reference field="7" count="1" selected="0">
            <x v="1"/>
          </reference>
        </references>
      </pivotArea>
    </chartFormat>
    <chartFormat chart="0" format="6" series="1">
      <pivotArea type="data" outline="0" fieldPosition="0">
        <references count="2">
          <reference field="4294967294" count="1" selected="0">
            <x v="0"/>
          </reference>
          <reference field="7" count="1" selected="0">
            <x v="2"/>
          </reference>
        </references>
      </pivotArea>
    </chartFormat>
    <chartFormat chart="0" format="7" series="1">
      <pivotArea type="data" outline="0" fieldPosition="0">
        <references count="2">
          <reference field="4294967294" count="1" selected="0">
            <x v="0"/>
          </reference>
          <reference field="7" count="1" selected="0">
            <x v="3"/>
          </reference>
        </references>
      </pivotArea>
    </chartFormat>
    <chartFormat chart="0" format="8" series="1">
      <pivotArea type="data" outline="0" fieldPosition="0">
        <references count="2">
          <reference field="4294967294" count="1" selected="0">
            <x v="0"/>
          </reference>
          <reference field="7" count="1" selected="0">
            <x v="4"/>
          </reference>
        </references>
      </pivotArea>
    </chartFormat>
    <chartFormat chart="0" format="9" series="1">
      <pivotArea type="data" outline="0" fieldPosition="0">
        <references count="2">
          <reference field="4294967294" count="1" selected="0">
            <x v="0"/>
          </reference>
          <reference field="7" count="1" selected="0">
            <x v="5"/>
          </reference>
        </references>
      </pivotArea>
    </chartFormat>
    <chartFormat chart="0" format="10" series="1">
      <pivotArea type="data" outline="0" fieldPosition="0">
        <references count="2">
          <reference field="4294967294" count="1" selected="0">
            <x v="0"/>
          </reference>
          <reference field="7" count="1" selected="0">
            <x v="6"/>
          </reference>
        </references>
      </pivotArea>
    </chartFormat>
    <chartFormat chart="0" format="11" series="1">
      <pivotArea type="data" outline="0" fieldPosition="0">
        <references count="2">
          <reference field="4294967294" count="1" selected="0">
            <x v="0"/>
          </reference>
          <reference field="7" count="1" selected="0">
            <x v="7"/>
          </reference>
        </references>
      </pivotArea>
    </chartFormat>
    <chartFormat chart="0" format="12">
      <pivotArea type="data" outline="0" fieldPosition="0">
        <references count="4">
          <reference field="4294967294" count="1" selected="0">
            <x v="0"/>
          </reference>
          <reference field="0" count="1" selected="0">
            <x v="0"/>
          </reference>
          <reference field="1" count="1" selected="0">
            <x v="0"/>
          </reference>
          <reference field="7" count="1" selected="0">
            <x v="6"/>
          </reference>
        </references>
      </pivotArea>
    </chartFormat>
    <chartFormat chart="0" format="13">
      <pivotArea type="data" outline="0" fieldPosition="0">
        <references count="4">
          <reference field="4294967294" count="1" selected="0">
            <x v="0"/>
          </reference>
          <reference field="0" count="1" selected="0">
            <x v="0"/>
          </reference>
          <reference field="1" count="1" selected="0">
            <x v="1"/>
          </reference>
          <reference field="7" count="1" selected="0">
            <x v="6"/>
          </reference>
        </references>
      </pivotArea>
    </chartFormat>
    <chartFormat chart="0" format="14">
      <pivotArea type="data" outline="0" fieldPosition="0">
        <references count="4">
          <reference field="4294967294" count="1" selected="0">
            <x v="0"/>
          </reference>
          <reference field="0" count="1" selected="0">
            <x v="0"/>
          </reference>
          <reference field="1" count="1" selected="0">
            <x v="2"/>
          </reference>
          <reference field="7" count="1" selected="0">
            <x v="6"/>
          </reference>
        </references>
      </pivotArea>
    </chartFormat>
    <chartFormat chart="0" format="15">
      <pivotArea type="data" outline="0" fieldPosition="0">
        <references count="4">
          <reference field="4294967294" count="1" selected="0">
            <x v="0"/>
          </reference>
          <reference field="0" count="1" selected="0">
            <x v="0"/>
          </reference>
          <reference field="1" count="1" selected="0">
            <x v="3"/>
          </reference>
          <reference field="7" count="1" selected="0">
            <x v="6"/>
          </reference>
        </references>
      </pivotArea>
    </chartFormat>
    <chartFormat chart="0" format="16">
      <pivotArea type="data" outline="0" fieldPosition="0">
        <references count="4">
          <reference field="4294967294" count="1" selected="0">
            <x v="0"/>
          </reference>
          <reference field="0" count="1" selected="0">
            <x v="0"/>
          </reference>
          <reference field="1" count="1" selected="0">
            <x v="4"/>
          </reference>
          <reference field="7" count="1" selected="0">
            <x v="6"/>
          </reference>
        </references>
      </pivotArea>
    </chartFormat>
    <chartFormat chart="0" format="17">
      <pivotArea type="data" outline="0" fieldPosition="0">
        <references count="4">
          <reference field="4294967294" count="1" selected="0">
            <x v="0"/>
          </reference>
          <reference field="0" count="1" selected="0">
            <x v="0"/>
          </reference>
          <reference field="1" count="1" selected="0">
            <x v="5"/>
          </reference>
          <reference field="7" count="1" selected="0">
            <x v="6"/>
          </reference>
        </references>
      </pivotArea>
    </chartFormat>
    <chartFormat chart="0" format="18">
      <pivotArea type="data" outline="0" fieldPosition="0">
        <references count="4">
          <reference field="4294967294" count="1" selected="0">
            <x v="0"/>
          </reference>
          <reference field="0" count="1" selected="0">
            <x v="0"/>
          </reference>
          <reference field="1" count="1" selected="0">
            <x v="6"/>
          </reference>
          <reference field="7" count="1" selected="0">
            <x v="6"/>
          </reference>
        </references>
      </pivotArea>
    </chartFormat>
    <chartFormat chart="0" format="19">
      <pivotArea type="data" outline="0" fieldPosition="0">
        <references count="4">
          <reference field="4294967294" count="1" selected="0">
            <x v="0"/>
          </reference>
          <reference field="0" count="1" selected="0">
            <x v="0"/>
          </reference>
          <reference field="1" count="1" selected="0">
            <x v="7"/>
          </reference>
          <reference field="7" count="1" selected="0">
            <x v="6"/>
          </reference>
        </references>
      </pivotArea>
    </chartFormat>
    <chartFormat chart="0" format="20">
      <pivotArea type="data" outline="0" fieldPosition="0">
        <references count="4">
          <reference field="4294967294" count="1" selected="0">
            <x v="0"/>
          </reference>
          <reference field="0" count="1" selected="0">
            <x v="0"/>
          </reference>
          <reference field="1" count="1" selected="0">
            <x v="8"/>
          </reference>
          <reference field="7" count="1" selected="0">
            <x v="6"/>
          </reference>
        </references>
      </pivotArea>
    </chartFormat>
    <chartFormat chart="0" format="21">
      <pivotArea type="data" outline="0" fieldPosition="0">
        <references count="4">
          <reference field="4294967294" count="1" selected="0">
            <x v="0"/>
          </reference>
          <reference field="0" count="1" selected="0">
            <x v="0"/>
          </reference>
          <reference field="1" count="1" selected="0">
            <x v="9"/>
          </reference>
          <reference field="7" count="1" selected="0">
            <x v="6"/>
          </reference>
        </references>
      </pivotArea>
    </chartFormat>
    <chartFormat chart="0" format="22">
      <pivotArea type="data" outline="0" fieldPosition="0">
        <references count="4">
          <reference field="4294967294" count="1" selected="0">
            <x v="0"/>
          </reference>
          <reference field="0" count="1" selected="0">
            <x v="0"/>
          </reference>
          <reference field="1" count="1" selected="0">
            <x v="10"/>
          </reference>
          <reference field="7" count="1" selected="0">
            <x v="6"/>
          </reference>
        </references>
      </pivotArea>
    </chartFormat>
    <chartFormat chart="0" format="23">
      <pivotArea type="data" outline="0" fieldPosition="0">
        <references count="4">
          <reference field="4294967294" count="1" selected="0">
            <x v="0"/>
          </reference>
          <reference field="0" count="1" selected="0">
            <x v="0"/>
          </reference>
          <reference field="1" count="1" selected="0">
            <x v="11"/>
          </reference>
          <reference field="7" count="1" selected="0">
            <x v="6"/>
          </reference>
        </references>
      </pivotArea>
    </chartFormat>
    <chartFormat chart="0" format="24">
      <pivotArea type="data" outline="0" fieldPosition="0">
        <references count="4">
          <reference field="4294967294" count="1" selected="0">
            <x v="0"/>
          </reference>
          <reference field="0" count="1" selected="0">
            <x v="0"/>
          </reference>
          <reference field="1" count="1" selected="0">
            <x v="12"/>
          </reference>
          <reference field="7" count="1" selected="0">
            <x v="6"/>
          </reference>
        </references>
      </pivotArea>
    </chartFormat>
    <chartFormat chart="0" format="2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26396C97-2428-4395-8D43-5ABD9DC382DD}" name="pt.generic_add_data6" cacheId="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J22" firstHeaderRow="1" firstDataRow="2" firstDataCol="2" rowPageCount="5" colPageCount="1"/>
  <pivotFields count="12">
    <pivotField axis="axisRow" compact="0" outline="0" subtotalTop="0" showAll="0" defaultSubtotal="0">
      <items count="2">
        <item x="0"/>
        <item x="1"/>
      </items>
    </pivotField>
    <pivotField axis="axisRow" compact="0" outline="0" subtotalTop="0" showAll="0">
      <items count="15">
        <item x="0"/>
        <item x="1"/>
        <item x="2"/>
        <item x="3"/>
        <item x="4"/>
        <item x="5"/>
        <item x="6"/>
        <item x="7"/>
        <item x="11"/>
        <item x="12"/>
        <item x="8"/>
        <item x="9"/>
        <item x="10"/>
        <item x="13"/>
        <item t="default"/>
      </items>
    </pivotField>
    <pivotField axis="axisPage" compact="0" outline="0" subtotalTop="0" multipleItemSelectionAllowed="1" showAll="0">
      <items count="3">
        <item h="1" x="1"/>
        <item x="0"/>
        <item t="default"/>
      </items>
    </pivotField>
    <pivotField compact="0" outline="0" subtotalTop="0" showAll="0"/>
    <pivotField compact="0" outline="0" subtotalTop="0" showAll="0"/>
    <pivotField axis="axisPage" compact="0" outline="0" subtotalTop="0" multipleItemSelectionAllowed="1" showAll="0">
      <items count="4">
        <item x="2"/>
        <item x="0"/>
        <item x="1"/>
        <item t="default"/>
      </items>
    </pivotField>
    <pivotField axis="axisPage" compact="0" outline="0" subtotalTop="0" multipleItemSelectionAllowed="1" showAll="0">
      <items count="5">
        <item x="3"/>
        <item x="1"/>
        <item x="0"/>
        <item x="2"/>
        <item t="default"/>
      </items>
    </pivotField>
    <pivotField axis="axisCol" compact="0" outline="0" subtotalTop="0" showAll="0">
      <items count="9">
        <item x="7"/>
        <item x="3"/>
        <item x="6"/>
        <item x="0"/>
        <item x="5"/>
        <item x="4"/>
        <item x="1"/>
        <item x="2"/>
        <item t="default"/>
      </items>
    </pivotField>
    <pivotField compact="0" outline="0" subtotalTop="0" showAll="0"/>
    <pivotField axis="axisPage" compact="0" outline="0" subtotalTop="0" multipleItemSelectionAllowed="1" showAll="0">
      <items count="7">
        <item h="1" x="5"/>
        <item x="0"/>
        <item h="1" x="4"/>
        <item h="1" x="1"/>
        <item x="3"/>
        <item h="1" x="2"/>
        <item t="default"/>
      </items>
    </pivotField>
    <pivotField dataField="1" compact="0" outline="0" subtotalTop="0" showAll="0"/>
    <pivotField axis="axisPage" compact="0" outline="0" subtotalTop="0" multipleItemSelectionAllowed="1" showAll="0">
      <items count="3">
        <item h="1" x="1"/>
        <item x="0"/>
        <item t="default"/>
      </items>
    </pivotField>
  </pivotFields>
  <rowFields count="2">
    <field x="0"/>
    <field x="1"/>
  </rowFields>
  <rowItems count="14">
    <i>
      <x/>
      <x/>
    </i>
    <i r="1">
      <x v="1"/>
    </i>
    <i r="1">
      <x v="2"/>
    </i>
    <i r="1">
      <x v="3"/>
    </i>
    <i r="1">
      <x v="4"/>
    </i>
    <i r="1">
      <x v="5"/>
    </i>
    <i r="1">
      <x v="6"/>
    </i>
    <i r="1">
      <x v="7"/>
    </i>
    <i r="1">
      <x v="8"/>
    </i>
    <i r="1">
      <x v="9"/>
    </i>
    <i r="1">
      <x v="10"/>
    </i>
    <i r="1">
      <x v="11"/>
    </i>
    <i r="1">
      <x v="12"/>
    </i>
    <i t="grand">
      <x/>
    </i>
  </rowItems>
  <colFields count="1">
    <field x="7"/>
  </colFields>
  <colItems count="8">
    <i>
      <x v="1"/>
    </i>
    <i>
      <x v="2"/>
    </i>
    <i>
      <x v="3"/>
    </i>
    <i>
      <x v="4"/>
    </i>
    <i>
      <x v="5"/>
    </i>
    <i>
      <x v="6"/>
    </i>
    <i>
      <x v="7"/>
    </i>
    <i t="grand">
      <x/>
    </i>
  </colItems>
  <pageFields count="5">
    <pageField fld="2" hier="-1"/>
    <pageField fld="5" hier="-1"/>
    <pageField fld="6" hier="-1"/>
    <pageField fld="9" hier="-1"/>
    <pageField fld="11" hier="-1"/>
  </pageFields>
  <dataFields count="1">
    <dataField name="Sum of Hodnota" fld="10" baseField="0" baseItem="0"/>
  </dataFields>
  <chartFormats count="21">
    <chartFormat chart="0" format="57" series="1">
      <pivotArea type="data" outline="0" fieldPosition="0">
        <references count="2">
          <reference field="4294967294" count="1" selected="0">
            <x v="0"/>
          </reference>
          <reference field="7" count="1" selected="0">
            <x v="1"/>
          </reference>
        </references>
      </pivotArea>
    </chartFormat>
    <chartFormat chart="0" format="58" series="1">
      <pivotArea type="data" outline="0" fieldPosition="0">
        <references count="2">
          <reference field="4294967294" count="1" selected="0">
            <x v="0"/>
          </reference>
          <reference field="7" count="1" selected="0">
            <x v="2"/>
          </reference>
        </references>
      </pivotArea>
    </chartFormat>
    <chartFormat chart="0" format="59" series="1">
      <pivotArea type="data" outline="0" fieldPosition="0">
        <references count="2">
          <reference field="4294967294" count="1" selected="0">
            <x v="0"/>
          </reference>
          <reference field="7" count="1" selected="0">
            <x v="3"/>
          </reference>
        </references>
      </pivotArea>
    </chartFormat>
    <chartFormat chart="0" format="60" series="1">
      <pivotArea type="data" outline="0" fieldPosition="0">
        <references count="2">
          <reference field="4294967294" count="1" selected="0">
            <x v="0"/>
          </reference>
          <reference field="7" count="1" selected="0">
            <x v="4"/>
          </reference>
        </references>
      </pivotArea>
    </chartFormat>
    <chartFormat chart="0" format="61" series="1">
      <pivotArea type="data" outline="0" fieldPosition="0">
        <references count="2">
          <reference field="4294967294" count="1" selected="0">
            <x v="0"/>
          </reference>
          <reference field="7" count="1" selected="0">
            <x v="5"/>
          </reference>
        </references>
      </pivotArea>
    </chartFormat>
    <chartFormat chart="0" format="62" series="1">
      <pivotArea type="data" outline="0" fieldPosition="0">
        <references count="2">
          <reference field="4294967294" count="1" selected="0">
            <x v="0"/>
          </reference>
          <reference field="7" count="1" selected="0">
            <x v="6"/>
          </reference>
        </references>
      </pivotArea>
    </chartFormat>
    <chartFormat chart="0" format="63" series="1">
      <pivotArea type="data" outline="0" fieldPosition="0">
        <references count="2">
          <reference field="4294967294" count="1" selected="0">
            <x v="0"/>
          </reference>
          <reference field="7" count="1" selected="0">
            <x v="7"/>
          </reference>
        </references>
      </pivotArea>
    </chartFormat>
    <chartFormat chart="0" format="64">
      <pivotArea type="data" outline="0" fieldPosition="0">
        <references count="4">
          <reference field="4294967294" count="1" selected="0">
            <x v="0"/>
          </reference>
          <reference field="0" count="1" selected="0">
            <x v="0"/>
          </reference>
          <reference field="1" count="1" selected="0">
            <x v="0"/>
          </reference>
          <reference field="7" count="1" selected="0">
            <x v="6"/>
          </reference>
        </references>
      </pivotArea>
    </chartFormat>
    <chartFormat chart="0" format="65">
      <pivotArea type="data" outline="0" fieldPosition="0">
        <references count="4">
          <reference field="4294967294" count="1" selected="0">
            <x v="0"/>
          </reference>
          <reference field="0" count="1" selected="0">
            <x v="0"/>
          </reference>
          <reference field="1" count="1" selected="0">
            <x v="1"/>
          </reference>
          <reference field="7" count="1" selected="0">
            <x v="6"/>
          </reference>
        </references>
      </pivotArea>
    </chartFormat>
    <chartFormat chart="0" format="66">
      <pivotArea type="data" outline="0" fieldPosition="0">
        <references count="4">
          <reference field="4294967294" count="1" selected="0">
            <x v="0"/>
          </reference>
          <reference field="0" count="1" selected="0">
            <x v="0"/>
          </reference>
          <reference field="1" count="1" selected="0">
            <x v="2"/>
          </reference>
          <reference field="7" count="1" selected="0">
            <x v="6"/>
          </reference>
        </references>
      </pivotArea>
    </chartFormat>
    <chartFormat chart="0" format="67">
      <pivotArea type="data" outline="0" fieldPosition="0">
        <references count="4">
          <reference field="4294967294" count="1" selected="0">
            <x v="0"/>
          </reference>
          <reference field="0" count="1" selected="0">
            <x v="0"/>
          </reference>
          <reference field="1" count="1" selected="0">
            <x v="3"/>
          </reference>
          <reference field="7" count="1" selected="0">
            <x v="6"/>
          </reference>
        </references>
      </pivotArea>
    </chartFormat>
    <chartFormat chart="0" format="68">
      <pivotArea type="data" outline="0" fieldPosition="0">
        <references count="4">
          <reference field="4294967294" count="1" selected="0">
            <x v="0"/>
          </reference>
          <reference field="0" count="1" selected="0">
            <x v="0"/>
          </reference>
          <reference field="1" count="1" selected="0">
            <x v="4"/>
          </reference>
          <reference field="7" count="1" selected="0">
            <x v="6"/>
          </reference>
        </references>
      </pivotArea>
    </chartFormat>
    <chartFormat chart="0" format="69">
      <pivotArea type="data" outline="0" fieldPosition="0">
        <references count="4">
          <reference field="4294967294" count="1" selected="0">
            <x v="0"/>
          </reference>
          <reference field="0" count="1" selected="0">
            <x v="0"/>
          </reference>
          <reference field="1" count="1" selected="0">
            <x v="5"/>
          </reference>
          <reference field="7" count="1" selected="0">
            <x v="6"/>
          </reference>
        </references>
      </pivotArea>
    </chartFormat>
    <chartFormat chart="0" format="70">
      <pivotArea type="data" outline="0" fieldPosition="0">
        <references count="4">
          <reference field="4294967294" count="1" selected="0">
            <x v="0"/>
          </reference>
          <reference field="0" count="1" selected="0">
            <x v="0"/>
          </reference>
          <reference field="1" count="1" selected="0">
            <x v="6"/>
          </reference>
          <reference field="7" count="1" selected="0">
            <x v="6"/>
          </reference>
        </references>
      </pivotArea>
    </chartFormat>
    <chartFormat chart="0" format="71">
      <pivotArea type="data" outline="0" fieldPosition="0">
        <references count="4">
          <reference field="4294967294" count="1" selected="0">
            <x v="0"/>
          </reference>
          <reference field="0" count="1" selected="0">
            <x v="0"/>
          </reference>
          <reference field="1" count="1" selected="0">
            <x v="7"/>
          </reference>
          <reference field="7" count="1" selected="0">
            <x v="6"/>
          </reference>
        </references>
      </pivotArea>
    </chartFormat>
    <chartFormat chart="0" format="72">
      <pivotArea type="data" outline="0" fieldPosition="0">
        <references count="4">
          <reference field="4294967294" count="1" selected="0">
            <x v="0"/>
          </reference>
          <reference field="0" count="1" selected="0">
            <x v="0"/>
          </reference>
          <reference field="1" count="1" selected="0">
            <x v="8"/>
          </reference>
          <reference field="7" count="1" selected="0">
            <x v="6"/>
          </reference>
        </references>
      </pivotArea>
    </chartFormat>
    <chartFormat chart="0" format="73">
      <pivotArea type="data" outline="0" fieldPosition="0">
        <references count="4">
          <reference field="4294967294" count="1" selected="0">
            <x v="0"/>
          </reference>
          <reference field="0" count="1" selected="0">
            <x v="0"/>
          </reference>
          <reference field="1" count="1" selected="0">
            <x v="9"/>
          </reference>
          <reference field="7" count="1" selected="0">
            <x v="6"/>
          </reference>
        </references>
      </pivotArea>
    </chartFormat>
    <chartFormat chart="0" format="74">
      <pivotArea type="data" outline="0" fieldPosition="0">
        <references count="4">
          <reference field="4294967294" count="1" selected="0">
            <x v="0"/>
          </reference>
          <reference field="0" count="1" selected="0">
            <x v="0"/>
          </reference>
          <reference field="1" count="1" selected="0">
            <x v="10"/>
          </reference>
          <reference field="7" count="1" selected="0">
            <x v="6"/>
          </reference>
        </references>
      </pivotArea>
    </chartFormat>
    <chartFormat chart="0" format="75">
      <pivotArea type="data" outline="0" fieldPosition="0">
        <references count="4">
          <reference field="4294967294" count="1" selected="0">
            <x v="0"/>
          </reference>
          <reference field="0" count="1" selected="0">
            <x v="0"/>
          </reference>
          <reference field="1" count="1" selected="0">
            <x v="11"/>
          </reference>
          <reference field="7" count="1" selected="0">
            <x v="6"/>
          </reference>
        </references>
      </pivotArea>
    </chartFormat>
    <chartFormat chart="0" format="76">
      <pivotArea type="data" outline="0" fieldPosition="0">
        <references count="4">
          <reference field="4294967294" count="1" selected="0">
            <x v="0"/>
          </reference>
          <reference field="0" count="1" selected="0">
            <x v="0"/>
          </reference>
          <reference field="1" count="1" selected="0">
            <x v="12"/>
          </reference>
          <reference field="7" count="1" selected="0">
            <x v="6"/>
          </reference>
        </references>
      </pivotArea>
    </chartFormat>
    <chartFormat chart="0" format="77"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158C8227-33E1-4EC1-B4ED-8572187EB43A}" name="pt.generic_add_data7" cacheId="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J22" firstHeaderRow="1" firstDataRow="2" firstDataCol="2" rowPageCount="5" colPageCount="1"/>
  <pivotFields count="12">
    <pivotField axis="axisRow" compact="0" outline="0" subtotalTop="0" showAll="0" defaultSubtotal="0">
      <items count="2">
        <item x="0"/>
        <item x="1"/>
      </items>
    </pivotField>
    <pivotField axis="axisRow" compact="0" outline="0" subtotalTop="0" showAll="0">
      <items count="15">
        <item x="0"/>
        <item x="1"/>
        <item x="2"/>
        <item x="3"/>
        <item x="4"/>
        <item x="5"/>
        <item x="6"/>
        <item x="7"/>
        <item x="11"/>
        <item x="12"/>
        <item x="8"/>
        <item x="9"/>
        <item x="10"/>
        <item x="13"/>
        <item t="default"/>
      </items>
    </pivotField>
    <pivotField axis="axisPage" compact="0" outline="0" subtotalTop="0" multipleItemSelectionAllowed="1" showAll="0">
      <items count="3">
        <item h="1" x="1"/>
        <item x="0"/>
        <item t="default"/>
      </items>
    </pivotField>
    <pivotField compact="0" outline="0" subtotalTop="0" showAll="0"/>
    <pivotField compact="0" outline="0" subtotalTop="0" showAll="0"/>
    <pivotField axis="axisPage" compact="0" outline="0" subtotalTop="0" multipleItemSelectionAllowed="1" showAll="0">
      <items count="4">
        <item x="2"/>
        <item x="0"/>
        <item x="1"/>
        <item t="default"/>
      </items>
    </pivotField>
    <pivotField axis="axisPage" compact="0" outline="0" subtotalTop="0" multipleItemSelectionAllowed="1" showAll="0">
      <items count="5">
        <item x="3"/>
        <item x="1"/>
        <item x="0"/>
        <item x="2"/>
        <item t="default"/>
      </items>
    </pivotField>
    <pivotField axis="axisCol" compact="0" outline="0" subtotalTop="0" showAll="0">
      <items count="9">
        <item h="1" x="7"/>
        <item x="3"/>
        <item x="6"/>
        <item x="0"/>
        <item x="5"/>
        <item x="4"/>
        <item x="1"/>
        <item x="2"/>
        <item t="default"/>
      </items>
    </pivotField>
    <pivotField compact="0" outline="0" subtotalTop="0" showAll="0"/>
    <pivotField axis="axisPage" compact="0" outline="0" subtotalTop="0" multipleItemSelectionAllowed="1" showAll="0">
      <items count="7">
        <item h="1" x="5"/>
        <item x="0"/>
        <item h="1" x="4"/>
        <item h="1" x="1"/>
        <item x="3"/>
        <item h="1" x="2"/>
        <item t="default"/>
      </items>
    </pivotField>
    <pivotField dataField="1" compact="0" outline="0" subtotalTop="0" showAll="0"/>
    <pivotField axis="axisPage" compact="0" outline="0" subtotalTop="0" multipleItemSelectionAllowed="1" showAll="0">
      <items count="3">
        <item h="1" x="1"/>
        <item x="0"/>
        <item t="default"/>
      </items>
    </pivotField>
  </pivotFields>
  <rowFields count="2">
    <field x="0"/>
    <field x="1"/>
  </rowFields>
  <rowItems count="14">
    <i>
      <x/>
      <x/>
    </i>
    <i r="1">
      <x v="1"/>
    </i>
    <i r="1">
      <x v="2"/>
    </i>
    <i r="1">
      <x v="3"/>
    </i>
    <i r="1">
      <x v="4"/>
    </i>
    <i r="1">
      <x v="5"/>
    </i>
    <i r="1">
      <x v="6"/>
    </i>
    <i r="1">
      <x v="7"/>
    </i>
    <i r="1">
      <x v="8"/>
    </i>
    <i r="1">
      <x v="9"/>
    </i>
    <i r="1">
      <x v="10"/>
    </i>
    <i r="1">
      <x v="11"/>
    </i>
    <i r="1">
      <x v="12"/>
    </i>
    <i t="grand">
      <x/>
    </i>
  </rowItems>
  <colFields count="1">
    <field x="7"/>
  </colFields>
  <colItems count="8">
    <i>
      <x v="1"/>
    </i>
    <i>
      <x v="2"/>
    </i>
    <i>
      <x v="3"/>
    </i>
    <i>
      <x v="4"/>
    </i>
    <i>
      <x v="5"/>
    </i>
    <i>
      <x v="6"/>
    </i>
    <i>
      <x v="7"/>
    </i>
    <i t="grand">
      <x/>
    </i>
  </colItems>
  <pageFields count="5">
    <pageField fld="2" hier="-1"/>
    <pageField fld="5" hier="-1"/>
    <pageField fld="6" hier="-1"/>
    <pageField fld="9" hier="-1"/>
    <pageField fld="11" hier="-1"/>
  </pageFields>
  <dataFields count="1">
    <dataField name="Sum of Hodnota" fld="10" baseField="1" baseItem="6"/>
  </dataFields>
  <chartFormats count="21">
    <chartFormat chart="0" format="57" series="1">
      <pivotArea type="data" outline="0" fieldPosition="0">
        <references count="2">
          <reference field="4294967294" count="1" selected="0">
            <x v="0"/>
          </reference>
          <reference field="7" count="1" selected="0">
            <x v="1"/>
          </reference>
        </references>
      </pivotArea>
    </chartFormat>
    <chartFormat chart="0" format="58" series="1">
      <pivotArea type="data" outline="0" fieldPosition="0">
        <references count="2">
          <reference field="4294967294" count="1" selected="0">
            <x v="0"/>
          </reference>
          <reference field="7" count="1" selected="0">
            <x v="2"/>
          </reference>
        </references>
      </pivotArea>
    </chartFormat>
    <chartFormat chart="0" format="59" series="1">
      <pivotArea type="data" outline="0" fieldPosition="0">
        <references count="2">
          <reference field="4294967294" count="1" selected="0">
            <x v="0"/>
          </reference>
          <reference field="7" count="1" selected="0">
            <x v="3"/>
          </reference>
        </references>
      </pivotArea>
    </chartFormat>
    <chartFormat chart="0" format="60" series="1">
      <pivotArea type="data" outline="0" fieldPosition="0">
        <references count="2">
          <reference field="4294967294" count="1" selected="0">
            <x v="0"/>
          </reference>
          <reference field="7" count="1" selected="0">
            <x v="4"/>
          </reference>
        </references>
      </pivotArea>
    </chartFormat>
    <chartFormat chart="0" format="61" series="1">
      <pivotArea type="data" outline="0" fieldPosition="0">
        <references count="2">
          <reference field="4294967294" count="1" selected="0">
            <x v="0"/>
          </reference>
          <reference field="7" count="1" selected="0">
            <x v="5"/>
          </reference>
        </references>
      </pivotArea>
    </chartFormat>
    <chartFormat chart="0" format="62" series="1">
      <pivotArea type="data" outline="0" fieldPosition="0">
        <references count="2">
          <reference field="4294967294" count="1" selected="0">
            <x v="0"/>
          </reference>
          <reference field="7" count="1" selected="0">
            <x v="6"/>
          </reference>
        </references>
      </pivotArea>
    </chartFormat>
    <chartFormat chart="0" format="63" series="1">
      <pivotArea type="data" outline="0" fieldPosition="0">
        <references count="2">
          <reference field="4294967294" count="1" selected="0">
            <x v="0"/>
          </reference>
          <reference field="7" count="1" selected="0">
            <x v="7"/>
          </reference>
        </references>
      </pivotArea>
    </chartFormat>
    <chartFormat chart="0" format="64">
      <pivotArea type="data" outline="0" fieldPosition="0">
        <references count="4">
          <reference field="4294967294" count="1" selected="0">
            <x v="0"/>
          </reference>
          <reference field="0" count="1" selected="0">
            <x v="0"/>
          </reference>
          <reference field="1" count="1" selected="0">
            <x v="0"/>
          </reference>
          <reference field="7" count="1" selected="0">
            <x v="6"/>
          </reference>
        </references>
      </pivotArea>
    </chartFormat>
    <chartFormat chart="0" format="65">
      <pivotArea type="data" outline="0" fieldPosition="0">
        <references count="4">
          <reference field="4294967294" count="1" selected="0">
            <x v="0"/>
          </reference>
          <reference field="0" count="1" selected="0">
            <x v="0"/>
          </reference>
          <reference field="1" count="1" selected="0">
            <x v="1"/>
          </reference>
          <reference field="7" count="1" selected="0">
            <x v="6"/>
          </reference>
        </references>
      </pivotArea>
    </chartFormat>
    <chartFormat chart="0" format="66">
      <pivotArea type="data" outline="0" fieldPosition="0">
        <references count="4">
          <reference field="4294967294" count="1" selected="0">
            <x v="0"/>
          </reference>
          <reference field="0" count="1" selected="0">
            <x v="0"/>
          </reference>
          <reference field="1" count="1" selected="0">
            <x v="2"/>
          </reference>
          <reference field="7" count="1" selected="0">
            <x v="6"/>
          </reference>
        </references>
      </pivotArea>
    </chartFormat>
    <chartFormat chart="0" format="67">
      <pivotArea type="data" outline="0" fieldPosition="0">
        <references count="4">
          <reference field="4294967294" count="1" selected="0">
            <x v="0"/>
          </reference>
          <reference field="0" count="1" selected="0">
            <x v="0"/>
          </reference>
          <reference field="1" count="1" selected="0">
            <x v="3"/>
          </reference>
          <reference field="7" count="1" selected="0">
            <x v="6"/>
          </reference>
        </references>
      </pivotArea>
    </chartFormat>
    <chartFormat chart="0" format="68">
      <pivotArea type="data" outline="0" fieldPosition="0">
        <references count="4">
          <reference field="4294967294" count="1" selected="0">
            <x v="0"/>
          </reference>
          <reference field="0" count="1" selected="0">
            <x v="0"/>
          </reference>
          <reference field="1" count="1" selected="0">
            <x v="4"/>
          </reference>
          <reference field="7" count="1" selected="0">
            <x v="6"/>
          </reference>
        </references>
      </pivotArea>
    </chartFormat>
    <chartFormat chart="0" format="69">
      <pivotArea type="data" outline="0" fieldPosition="0">
        <references count="4">
          <reference field="4294967294" count="1" selected="0">
            <x v="0"/>
          </reference>
          <reference field="0" count="1" selected="0">
            <x v="0"/>
          </reference>
          <reference field="1" count="1" selected="0">
            <x v="5"/>
          </reference>
          <reference field="7" count="1" selected="0">
            <x v="6"/>
          </reference>
        </references>
      </pivotArea>
    </chartFormat>
    <chartFormat chart="0" format="70">
      <pivotArea type="data" outline="0" fieldPosition="0">
        <references count="4">
          <reference field="4294967294" count="1" selected="0">
            <x v="0"/>
          </reference>
          <reference field="0" count="1" selected="0">
            <x v="0"/>
          </reference>
          <reference field="1" count="1" selected="0">
            <x v="6"/>
          </reference>
          <reference field="7" count="1" selected="0">
            <x v="6"/>
          </reference>
        </references>
      </pivotArea>
    </chartFormat>
    <chartFormat chart="0" format="71">
      <pivotArea type="data" outline="0" fieldPosition="0">
        <references count="4">
          <reference field="4294967294" count="1" selected="0">
            <x v="0"/>
          </reference>
          <reference field="0" count="1" selected="0">
            <x v="0"/>
          </reference>
          <reference field="1" count="1" selected="0">
            <x v="7"/>
          </reference>
          <reference field="7" count="1" selected="0">
            <x v="6"/>
          </reference>
        </references>
      </pivotArea>
    </chartFormat>
    <chartFormat chart="0" format="72">
      <pivotArea type="data" outline="0" fieldPosition="0">
        <references count="4">
          <reference field="4294967294" count="1" selected="0">
            <x v="0"/>
          </reference>
          <reference field="0" count="1" selected="0">
            <x v="0"/>
          </reference>
          <reference field="1" count="1" selected="0">
            <x v="8"/>
          </reference>
          <reference field="7" count="1" selected="0">
            <x v="6"/>
          </reference>
        </references>
      </pivotArea>
    </chartFormat>
    <chartFormat chart="0" format="73">
      <pivotArea type="data" outline="0" fieldPosition="0">
        <references count="4">
          <reference field="4294967294" count="1" selected="0">
            <x v="0"/>
          </reference>
          <reference field="0" count="1" selected="0">
            <x v="0"/>
          </reference>
          <reference field="1" count="1" selected="0">
            <x v="9"/>
          </reference>
          <reference field="7" count="1" selected="0">
            <x v="6"/>
          </reference>
        </references>
      </pivotArea>
    </chartFormat>
    <chartFormat chart="0" format="74">
      <pivotArea type="data" outline="0" fieldPosition="0">
        <references count="4">
          <reference field="4294967294" count="1" selected="0">
            <x v="0"/>
          </reference>
          <reference field="0" count="1" selected="0">
            <x v="0"/>
          </reference>
          <reference field="1" count="1" selected="0">
            <x v="10"/>
          </reference>
          <reference field="7" count="1" selected="0">
            <x v="6"/>
          </reference>
        </references>
      </pivotArea>
    </chartFormat>
    <chartFormat chart="0" format="75">
      <pivotArea type="data" outline="0" fieldPosition="0">
        <references count="4">
          <reference field="4294967294" count="1" selected="0">
            <x v="0"/>
          </reference>
          <reference field="0" count="1" selected="0">
            <x v="0"/>
          </reference>
          <reference field="1" count="1" selected="0">
            <x v="11"/>
          </reference>
          <reference field="7" count="1" selected="0">
            <x v="6"/>
          </reference>
        </references>
      </pivotArea>
    </chartFormat>
    <chartFormat chart="0" format="76">
      <pivotArea type="data" outline="0" fieldPosition="0">
        <references count="4">
          <reference field="4294967294" count="1" selected="0">
            <x v="0"/>
          </reference>
          <reference field="0" count="1" selected="0">
            <x v="0"/>
          </reference>
          <reference field="1" count="1" selected="0">
            <x v="12"/>
          </reference>
          <reference field="7" count="1" selected="0">
            <x v="6"/>
          </reference>
        </references>
      </pivotArea>
    </chartFormat>
    <chartFormat chart="0" format="77"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2001DD79-9424-4EFF-98A0-9E813BDF92CB}" name="pt.generic_add_data8" cacheId="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J22" firstHeaderRow="1" firstDataRow="2" firstDataCol="2" rowPageCount="5" colPageCount="1"/>
  <pivotFields count="12">
    <pivotField axis="axisRow" compact="0" outline="0" subtotalTop="0" showAll="0" defaultSubtotal="0">
      <items count="2">
        <item x="0"/>
        <item x="1"/>
      </items>
    </pivotField>
    <pivotField axis="axisRow" compact="0" outline="0" subtotalTop="0" showAll="0">
      <items count="15">
        <item x="0"/>
        <item x="1"/>
        <item x="2"/>
        <item x="3"/>
        <item x="4"/>
        <item x="5"/>
        <item x="6"/>
        <item x="7"/>
        <item x="11"/>
        <item x="12"/>
        <item x="8"/>
        <item x="9"/>
        <item x="10"/>
        <item x="13"/>
        <item t="default"/>
      </items>
    </pivotField>
    <pivotField axis="axisPage" compact="0" outline="0" subtotalTop="0" multipleItemSelectionAllowed="1" showAll="0">
      <items count="3">
        <item h="1" x="1"/>
        <item x="0"/>
        <item t="default"/>
      </items>
    </pivotField>
    <pivotField compact="0" outline="0" subtotalTop="0" showAll="0"/>
    <pivotField compact="0" outline="0" subtotalTop="0" showAll="0"/>
    <pivotField axis="axisPage" compact="0" outline="0" subtotalTop="0" multipleItemSelectionAllowed="1" showAll="0">
      <items count="4">
        <item x="2"/>
        <item x="0"/>
        <item x="1"/>
        <item t="default"/>
      </items>
    </pivotField>
    <pivotField axis="axisPage" compact="0" outline="0" subtotalTop="0" multipleItemSelectionAllowed="1" showAll="0">
      <items count="5">
        <item x="3"/>
        <item x="1"/>
        <item x="0"/>
        <item x="2"/>
        <item t="default"/>
      </items>
    </pivotField>
    <pivotField axis="axisCol" compact="0" outline="0" subtotalTop="0" showAll="0">
      <items count="9">
        <item h="1" x="7"/>
        <item x="3"/>
        <item x="6"/>
        <item x="0"/>
        <item x="5"/>
        <item x="4"/>
        <item x="1"/>
        <item x="2"/>
        <item t="default"/>
      </items>
    </pivotField>
    <pivotField compact="0" outline="0" subtotalTop="0" showAll="0"/>
    <pivotField axis="axisPage" compact="0" outline="0" subtotalTop="0" multipleItemSelectionAllowed="1" showAll="0">
      <items count="7">
        <item h="1" x="5"/>
        <item x="0"/>
        <item h="1" x="4"/>
        <item h="1" x="1"/>
        <item x="3"/>
        <item h="1" x="2"/>
        <item t="default"/>
      </items>
    </pivotField>
    <pivotField dataField="1" compact="0" outline="0" subtotalTop="0" showAll="0"/>
    <pivotField axis="axisPage" compact="0" outline="0" subtotalTop="0" multipleItemSelectionAllowed="1" showAll="0">
      <items count="3">
        <item h="1" x="1"/>
        <item x="0"/>
        <item t="default"/>
      </items>
    </pivotField>
  </pivotFields>
  <rowFields count="2">
    <field x="0"/>
    <field x="1"/>
  </rowFields>
  <rowItems count="14">
    <i>
      <x/>
      <x/>
    </i>
    <i r="1">
      <x v="1"/>
    </i>
    <i r="1">
      <x v="2"/>
    </i>
    <i r="1">
      <x v="3"/>
    </i>
    <i r="1">
      <x v="4"/>
    </i>
    <i r="1">
      <x v="5"/>
    </i>
    <i r="1">
      <x v="6"/>
    </i>
    <i r="1">
      <x v="7"/>
    </i>
    <i r="1">
      <x v="8"/>
    </i>
    <i r="1">
      <x v="9"/>
    </i>
    <i r="1">
      <x v="10"/>
    </i>
    <i r="1">
      <x v="11"/>
    </i>
    <i r="1">
      <x v="12"/>
    </i>
    <i t="grand">
      <x/>
    </i>
  </rowItems>
  <colFields count="1">
    <field x="7"/>
  </colFields>
  <colItems count="8">
    <i>
      <x v="1"/>
    </i>
    <i>
      <x v="2"/>
    </i>
    <i>
      <x v="3"/>
    </i>
    <i>
      <x v="4"/>
    </i>
    <i>
      <x v="5"/>
    </i>
    <i>
      <x v="6"/>
    </i>
    <i>
      <x v="7"/>
    </i>
    <i t="grand">
      <x/>
    </i>
  </colItems>
  <pageFields count="5">
    <pageField fld="2" hier="-1"/>
    <pageField fld="5" hier="-1"/>
    <pageField fld="6" hier="-1"/>
    <pageField fld="9" hier="-1"/>
    <pageField fld="11" hier="-1"/>
  </pageFields>
  <dataFields count="1">
    <dataField name="Sum of Hodnota" fld="10" baseField="0" baseItem="0"/>
  </dataFields>
  <chartFormats count="21">
    <chartFormat chart="0" format="45" series="1">
      <pivotArea type="data" outline="0" fieldPosition="0">
        <references count="2">
          <reference field="4294967294" count="1" selected="0">
            <x v="0"/>
          </reference>
          <reference field="7" count="1" selected="0">
            <x v="1"/>
          </reference>
        </references>
      </pivotArea>
    </chartFormat>
    <chartFormat chart="0" format="46" series="1">
      <pivotArea type="data" outline="0" fieldPosition="0">
        <references count="2">
          <reference field="4294967294" count="1" selected="0">
            <x v="0"/>
          </reference>
          <reference field="7" count="1" selected="0">
            <x v="2"/>
          </reference>
        </references>
      </pivotArea>
    </chartFormat>
    <chartFormat chart="0" format="47" series="1">
      <pivotArea type="data" outline="0" fieldPosition="0">
        <references count="2">
          <reference field="4294967294" count="1" selected="0">
            <x v="0"/>
          </reference>
          <reference field="7" count="1" selected="0">
            <x v="3"/>
          </reference>
        </references>
      </pivotArea>
    </chartFormat>
    <chartFormat chart="0" format="48" series="1">
      <pivotArea type="data" outline="0" fieldPosition="0">
        <references count="2">
          <reference field="4294967294" count="1" selected="0">
            <x v="0"/>
          </reference>
          <reference field="7" count="1" selected="0">
            <x v="4"/>
          </reference>
        </references>
      </pivotArea>
    </chartFormat>
    <chartFormat chart="0" format="49" series="1">
      <pivotArea type="data" outline="0" fieldPosition="0">
        <references count="2">
          <reference field="4294967294" count="1" selected="0">
            <x v="0"/>
          </reference>
          <reference field="7" count="1" selected="0">
            <x v="5"/>
          </reference>
        </references>
      </pivotArea>
    </chartFormat>
    <chartFormat chart="0" format="50" series="1">
      <pivotArea type="data" outline="0" fieldPosition="0">
        <references count="2">
          <reference field="4294967294" count="1" selected="0">
            <x v="0"/>
          </reference>
          <reference field="7" count="1" selected="0">
            <x v="6"/>
          </reference>
        </references>
      </pivotArea>
    </chartFormat>
    <chartFormat chart="0" format="51" series="1">
      <pivotArea type="data" outline="0" fieldPosition="0">
        <references count="2">
          <reference field="4294967294" count="1" selected="0">
            <x v="0"/>
          </reference>
          <reference field="7" count="1" selected="0">
            <x v="7"/>
          </reference>
        </references>
      </pivotArea>
    </chartFormat>
    <chartFormat chart="0" format="52">
      <pivotArea type="data" outline="0" fieldPosition="0">
        <references count="4">
          <reference field="4294967294" count="1" selected="0">
            <x v="0"/>
          </reference>
          <reference field="0" count="1" selected="0">
            <x v="0"/>
          </reference>
          <reference field="1" count="1" selected="0">
            <x v="0"/>
          </reference>
          <reference field="7" count="1" selected="0">
            <x v="6"/>
          </reference>
        </references>
      </pivotArea>
    </chartFormat>
    <chartFormat chart="0" format="53">
      <pivotArea type="data" outline="0" fieldPosition="0">
        <references count="4">
          <reference field="4294967294" count="1" selected="0">
            <x v="0"/>
          </reference>
          <reference field="0" count="1" selected="0">
            <x v="0"/>
          </reference>
          <reference field="1" count="1" selected="0">
            <x v="1"/>
          </reference>
          <reference field="7" count="1" selected="0">
            <x v="6"/>
          </reference>
        </references>
      </pivotArea>
    </chartFormat>
    <chartFormat chart="0" format="54">
      <pivotArea type="data" outline="0" fieldPosition="0">
        <references count="4">
          <reference field="4294967294" count="1" selected="0">
            <x v="0"/>
          </reference>
          <reference field="0" count="1" selected="0">
            <x v="0"/>
          </reference>
          <reference field="1" count="1" selected="0">
            <x v="2"/>
          </reference>
          <reference field="7" count="1" selected="0">
            <x v="6"/>
          </reference>
        </references>
      </pivotArea>
    </chartFormat>
    <chartFormat chart="0" format="55">
      <pivotArea type="data" outline="0" fieldPosition="0">
        <references count="4">
          <reference field="4294967294" count="1" selected="0">
            <x v="0"/>
          </reference>
          <reference field="0" count="1" selected="0">
            <x v="0"/>
          </reference>
          <reference field="1" count="1" selected="0">
            <x v="3"/>
          </reference>
          <reference field="7" count="1" selected="0">
            <x v="6"/>
          </reference>
        </references>
      </pivotArea>
    </chartFormat>
    <chartFormat chart="0" format="56">
      <pivotArea type="data" outline="0" fieldPosition="0">
        <references count="4">
          <reference field="4294967294" count="1" selected="0">
            <x v="0"/>
          </reference>
          <reference field="0" count="1" selected="0">
            <x v="0"/>
          </reference>
          <reference field="1" count="1" selected="0">
            <x v="4"/>
          </reference>
          <reference field="7" count="1" selected="0">
            <x v="6"/>
          </reference>
        </references>
      </pivotArea>
    </chartFormat>
    <chartFormat chart="0" format="57">
      <pivotArea type="data" outline="0" fieldPosition="0">
        <references count="4">
          <reference field="4294967294" count="1" selected="0">
            <x v="0"/>
          </reference>
          <reference field="0" count="1" selected="0">
            <x v="0"/>
          </reference>
          <reference field="1" count="1" selected="0">
            <x v="5"/>
          </reference>
          <reference field="7" count="1" selected="0">
            <x v="6"/>
          </reference>
        </references>
      </pivotArea>
    </chartFormat>
    <chartFormat chart="0" format="58">
      <pivotArea type="data" outline="0" fieldPosition="0">
        <references count="4">
          <reference field="4294967294" count="1" selected="0">
            <x v="0"/>
          </reference>
          <reference field="0" count="1" selected="0">
            <x v="0"/>
          </reference>
          <reference field="1" count="1" selected="0">
            <x v="6"/>
          </reference>
          <reference field="7" count="1" selected="0">
            <x v="6"/>
          </reference>
        </references>
      </pivotArea>
    </chartFormat>
    <chartFormat chart="0" format="59">
      <pivotArea type="data" outline="0" fieldPosition="0">
        <references count="4">
          <reference field="4294967294" count="1" selected="0">
            <x v="0"/>
          </reference>
          <reference field="0" count="1" selected="0">
            <x v="0"/>
          </reference>
          <reference field="1" count="1" selected="0">
            <x v="7"/>
          </reference>
          <reference field="7" count="1" selected="0">
            <x v="6"/>
          </reference>
        </references>
      </pivotArea>
    </chartFormat>
    <chartFormat chart="0" format="60">
      <pivotArea type="data" outline="0" fieldPosition="0">
        <references count="4">
          <reference field="4294967294" count="1" selected="0">
            <x v="0"/>
          </reference>
          <reference field="0" count="1" selected="0">
            <x v="0"/>
          </reference>
          <reference field="1" count="1" selected="0">
            <x v="8"/>
          </reference>
          <reference field="7" count="1" selected="0">
            <x v="6"/>
          </reference>
        </references>
      </pivotArea>
    </chartFormat>
    <chartFormat chart="0" format="61">
      <pivotArea type="data" outline="0" fieldPosition="0">
        <references count="4">
          <reference field="4294967294" count="1" selected="0">
            <x v="0"/>
          </reference>
          <reference field="0" count="1" selected="0">
            <x v="0"/>
          </reference>
          <reference field="1" count="1" selected="0">
            <x v="9"/>
          </reference>
          <reference field="7" count="1" selected="0">
            <x v="6"/>
          </reference>
        </references>
      </pivotArea>
    </chartFormat>
    <chartFormat chart="0" format="62">
      <pivotArea type="data" outline="0" fieldPosition="0">
        <references count="4">
          <reference field="4294967294" count="1" selected="0">
            <x v="0"/>
          </reference>
          <reference field="0" count="1" selected="0">
            <x v="0"/>
          </reference>
          <reference field="1" count="1" selected="0">
            <x v="10"/>
          </reference>
          <reference field="7" count="1" selected="0">
            <x v="6"/>
          </reference>
        </references>
      </pivotArea>
    </chartFormat>
    <chartFormat chart="0" format="63">
      <pivotArea type="data" outline="0" fieldPosition="0">
        <references count="4">
          <reference field="4294967294" count="1" selected="0">
            <x v="0"/>
          </reference>
          <reference field="0" count="1" selected="0">
            <x v="0"/>
          </reference>
          <reference field="1" count="1" selected="0">
            <x v="11"/>
          </reference>
          <reference field="7" count="1" selected="0">
            <x v="6"/>
          </reference>
        </references>
      </pivotArea>
    </chartFormat>
    <chartFormat chart="0" format="64">
      <pivotArea type="data" outline="0" fieldPosition="0">
        <references count="4">
          <reference field="4294967294" count="1" selected="0">
            <x v="0"/>
          </reference>
          <reference field="0" count="1" selected="0">
            <x v="0"/>
          </reference>
          <reference field="1" count="1" selected="0">
            <x v="12"/>
          </reference>
          <reference field="7" count="1" selected="0">
            <x v="6"/>
          </reference>
        </references>
      </pivotArea>
    </chartFormat>
    <chartFormat chart="0" format="6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A6EA3650-415E-4126-932C-89B034BC80BA}" name="pt.generic_add_data9" cacheId="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J22" firstHeaderRow="1" firstDataRow="2" firstDataCol="2" rowPageCount="5" colPageCount="1"/>
  <pivotFields count="12">
    <pivotField axis="axisRow" compact="0" outline="0" subtotalTop="0" showAll="0" defaultSubtotal="0">
      <items count="2">
        <item x="0"/>
        <item x="1"/>
      </items>
    </pivotField>
    <pivotField axis="axisRow" compact="0" outline="0" subtotalTop="0" showAll="0">
      <items count="15">
        <item x="0"/>
        <item x="1"/>
        <item x="2"/>
        <item x="3"/>
        <item x="4"/>
        <item x="5"/>
        <item x="6"/>
        <item x="7"/>
        <item x="11"/>
        <item x="12"/>
        <item x="8"/>
        <item x="9"/>
        <item x="10"/>
        <item x="13"/>
        <item t="default"/>
      </items>
    </pivotField>
    <pivotField axis="axisPage" compact="0" outline="0" subtotalTop="0" multipleItemSelectionAllowed="1" showAll="0">
      <items count="3">
        <item h="1" x="1"/>
        <item x="0"/>
        <item t="default"/>
      </items>
    </pivotField>
    <pivotField compact="0" outline="0" subtotalTop="0" showAll="0"/>
    <pivotField compact="0" outline="0" subtotalTop="0" showAll="0"/>
    <pivotField axis="axisPage" compact="0" outline="0" subtotalTop="0" multipleItemSelectionAllowed="1" showAll="0">
      <items count="4">
        <item x="2"/>
        <item x="0"/>
        <item x="1"/>
        <item t="default"/>
      </items>
    </pivotField>
    <pivotField axis="axisPage" compact="0" outline="0" subtotalTop="0" multipleItemSelectionAllowed="1" showAll="0">
      <items count="5">
        <item x="3"/>
        <item x="1"/>
        <item x="0"/>
        <item x="2"/>
        <item t="default"/>
      </items>
    </pivotField>
    <pivotField axis="axisCol" compact="0" outline="0" subtotalTop="0" showAll="0">
      <items count="9">
        <item h="1" x="7"/>
        <item x="3"/>
        <item x="6"/>
        <item x="0"/>
        <item x="5"/>
        <item x="4"/>
        <item x="1"/>
        <item x="2"/>
        <item t="default"/>
      </items>
    </pivotField>
    <pivotField compact="0" outline="0" subtotalTop="0" showAll="0"/>
    <pivotField axis="axisPage" compact="0" outline="0" subtotalTop="0" multipleItemSelectionAllowed="1" showAll="0">
      <items count="7">
        <item h="1" x="5"/>
        <item x="0"/>
        <item h="1" x="4"/>
        <item h="1" x="1"/>
        <item x="3"/>
        <item h="1" x="2"/>
        <item t="default"/>
      </items>
    </pivotField>
    <pivotField dataField="1" compact="0" outline="0" subtotalTop="0" showAll="0"/>
    <pivotField axis="axisPage" compact="0" outline="0" subtotalTop="0" multipleItemSelectionAllowed="1" showAll="0">
      <items count="3">
        <item h="1" x="1"/>
        <item x="0"/>
        <item t="default"/>
      </items>
    </pivotField>
  </pivotFields>
  <rowFields count="2">
    <field x="0"/>
    <field x="1"/>
  </rowFields>
  <rowItems count="14">
    <i>
      <x/>
      <x/>
    </i>
    <i r="1">
      <x v="1"/>
    </i>
    <i r="1">
      <x v="2"/>
    </i>
    <i r="1">
      <x v="3"/>
    </i>
    <i r="1">
      <x v="4"/>
    </i>
    <i r="1">
      <x v="5"/>
    </i>
    <i r="1">
      <x v="6"/>
    </i>
    <i r="1">
      <x v="7"/>
    </i>
    <i r="1">
      <x v="8"/>
    </i>
    <i r="1">
      <x v="9"/>
    </i>
    <i r="1">
      <x v="10"/>
    </i>
    <i r="1">
      <x v="11"/>
    </i>
    <i r="1">
      <x v="12"/>
    </i>
    <i t="grand">
      <x/>
    </i>
  </rowItems>
  <colFields count="1">
    <field x="7"/>
  </colFields>
  <colItems count="8">
    <i>
      <x v="1"/>
    </i>
    <i>
      <x v="2"/>
    </i>
    <i>
      <x v="3"/>
    </i>
    <i>
      <x v="4"/>
    </i>
    <i>
      <x v="5"/>
    </i>
    <i>
      <x v="6"/>
    </i>
    <i>
      <x v="7"/>
    </i>
    <i t="grand">
      <x/>
    </i>
  </colItems>
  <pageFields count="5">
    <pageField fld="2" hier="-1"/>
    <pageField fld="5" hier="-1"/>
    <pageField fld="6" hier="-1"/>
    <pageField fld="9" hier="-1"/>
    <pageField fld="11" hier="-1"/>
  </pageFields>
  <dataFields count="1">
    <dataField name="Sum of Hodnota" fld="10" baseField="0" baseItem="0"/>
  </dataFields>
  <chartFormats count="21">
    <chartFormat chart="0" format="45" series="1">
      <pivotArea type="data" outline="0" fieldPosition="0">
        <references count="2">
          <reference field="4294967294" count="1" selected="0">
            <x v="0"/>
          </reference>
          <reference field="7" count="1" selected="0">
            <x v="1"/>
          </reference>
        </references>
      </pivotArea>
    </chartFormat>
    <chartFormat chart="0" format="46" series="1">
      <pivotArea type="data" outline="0" fieldPosition="0">
        <references count="2">
          <reference field="4294967294" count="1" selected="0">
            <x v="0"/>
          </reference>
          <reference field="7" count="1" selected="0">
            <x v="2"/>
          </reference>
        </references>
      </pivotArea>
    </chartFormat>
    <chartFormat chart="0" format="47" series="1">
      <pivotArea type="data" outline="0" fieldPosition="0">
        <references count="2">
          <reference field="4294967294" count="1" selected="0">
            <x v="0"/>
          </reference>
          <reference field="7" count="1" selected="0">
            <x v="3"/>
          </reference>
        </references>
      </pivotArea>
    </chartFormat>
    <chartFormat chart="0" format="48" series="1">
      <pivotArea type="data" outline="0" fieldPosition="0">
        <references count="2">
          <reference field="4294967294" count="1" selected="0">
            <x v="0"/>
          </reference>
          <reference field="7" count="1" selected="0">
            <x v="4"/>
          </reference>
        </references>
      </pivotArea>
    </chartFormat>
    <chartFormat chart="0" format="49" series="1">
      <pivotArea type="data" outline="0" fieldPosition="0">
        <references count="2">
          <reference field="4294967294" count="1" selected="0">
            <x v="0"/>
          </reference>
          <reference field="7" count="1" selected="0">
            <x v="5"/>
          </reference>
        </references>
      </pivotArea>
    </chartFormat>
    <chartFormat chart="0" format="50" series="1">
      <pivotArea type="data" outline="0" fieldPosition="0">
        <references count="2">
          <reference field="4294967294" count="1" selected="0">
            <x v="0"/>
          </reference>
          <reference field="7" count="1" selected="0">
            <x v="6"/>
          </reference>
        </references>
      </pivotArea>
    </chartFormat>
    <chartFormat chart="0" format="51" series="1">
      <pivotArea type="data" outline="0" fieldPosition="0">
        <references count="2">
          <reference field="4294967294" count="1" selected="0">
            <x v="0"/>
          </reference>
          <reference field="7" count="1" selected="0">
            <x v="7"/>
          </reference>
        </references>
      </pivotArea>
    </chartFormat>
    <chartFormat chart="0" format="52">
      <pivotArea type="data" outline="0" fieldPosition="0">
        <references count="4">
          <reference field="4294967294" count="1" selected="0">
            <x v="0"/>
          </reference>
          <reference field="0" count="1" selected="0">
            <x v="0"/>
          </reference>
          <reference field="1" count="1" selected="0">
            <x v="0"/>
          </reference>
          <reference field="7" count="1" selected="0">
            <x v="6"/>
          </reference>
        </references>
      </pivotArea>
    </chartFormat>
    <chartFormat chart="0" format="53">
      <pivotArea type="data" outline="0" fieldPosition="0">
        <references count="4">
          <reference field="4294967294" count="1" selected="0">
            <x v="0"/>
          </reference>
          <reference field="0" count="1" selected="0">
            <x v="0"/>
          </reference>
          <reference field="1" count="1" selected="0">
            <x v="1"/>
          </reference>
          <reference field="7" count="1" selected="0">
            <x v="6"/>
          </reference>
        </references>
      </pivotArea>
    </chartFormat>
    <chartFormat chart="0" format="54">
      <pivotArea type="data" outline="0" fieldPosition="0">
        <references count="4">
          <reference field="4294967294" count="1" selected="0">
            <x v="0"/>
          </reference>
          <reference field="0" count="1" selected="0">
            <x v="0"/>
          </reference>
          <reference field="1" count="1" selected="0">
            <x v="2"/>
          </reference>
          <reference field="7" count="1" selected="0">
            <x v="6"/>
          </reference>
        </references>
      </pivotArea>
    </chartFormat>
    <chartFormat chart="0" format="55">
      <pivotArea type="data" outline="0" fieldPosition="0">
        <references count="4">
          <reference field="4294967294" count="1" selected="0">
            <x v="0"/>
          </reference>
          <reference field="0" count="1" selected="0">
            <x v="0"/>
          </reference>
          <reference field="1" count="1" selected="0">
            <x v="3"/>
          </reference>
          <reference field="7" count="1" selected="0">
            <x v="6"/>
          </reference>
        </references>
      </pivotArea>
    </chartFormat>
    <chartFormat chart="0" format="56">
      <pivotArea type="data" outline="0" fieldPosition="0">
        <references count="4">
          <reference field="4294967294" count="1" selected="0">
            <x v="0"/>
          </reference>
          <reference field="0" count="1" selected="0">
            <x v="0"/>
          </reference>
          <reference field="1" count="1" selected="0">
            <x v="4"/>
          </reference>
          <reference field="7" count="1" selected="0">
            <x v="6"/>
          </reference>
        </references>
      </pivotArea>
    </chartFormat>
    <chartFormat chart="0" format="57">
      <pivotArea type="data" outline="0" fieldPosition="0">
        <references count="4">
          <reference field="4294967294" count="1" selected="0">
            <x v="0"/>
          </reference>
          <reference field="0" count="1" selected="0">
            <x v="0"/>
          </reference>
          <reference field="1" count="1" selected="0">
            <x v="5"/>
          </reference>
          <reference field="7" count="1" selected="0">
            <x v="6"/>
          </reference>
        </references>
      </pivotArea>
    </chartFormat>
    <chartFormat chart="0" format="58">
      <pivotArea type="data" outline="0" fieldPosition="0">
        <references count="4">
          <reference field="4294967294" count="1" selected="0">
            <x v="0"/>
          </reference>
          <reference field="0" count="1" selected="0">
            <x v="0"/>
          </reference>
          <reference field="1" count="1" selected="0">
            <x v="6"/>
          </reference>
          <reference field="7" count="1" selected="0">
            <x v="6"/>
          </reference>
        </references>
      </pivotArea>
    </chartFormat>
    <chartFormat chart="0" format="59">
      <pivotArea type="data" outline="0" fieldPosition="0">
        <references count="4">
          <reference field="4294967294" count="1" selected="0">
            <x v="0"/>
          </reference>
          <reference field="0" count="1" selected="0">
            <x v="0"/>
          </reference>
          <reference field="1" count="1" selected="0">
            <x v="7"/>
          </reference>
          <reference field="7" count="1" selected="0">
            <x v="6"/>
          </reference>
        </references>
      </pivotArea>
    </chartFormat>
    <chartFormat chart="0" format="60">
      <pivotArea type="data" outline="0" fieldPosition="0">
        <references count="4">
          <reference field="4294967294" count="1" selected="0">
            <x v="0"/>
          </reference>
          <reference field="0" count="1" selected="0">
            <x v="0"/>
          </reference>
          <reference field="1" count="1" selected="0">
            <x v="8"/>
          </reference>
          <reference field="7" count="1" selected="0">
            <x v="6"/>
          </reference>
        </references>
      </pivotArea>
    </chartFormat>
    <chartFormat chart="0" format="61">
      <pivotArea type="data" outline="0" fieldPosition="0">
        <references count="4">
          <reference field="4294967294" count="1" selected="0">
            <x v="0"/>
          </reference>
          <reference field="0" count="1" selected="0">
            <x v="0"/>
          </reference>
          <reference field="1" count="1" selected="0">
            <x v="9"/>
          </reference>
          <reference field="7" count="1" selected="0">
            <x v="6"/>
          </reference>
        </references>
      </pivotArea>
    </chartFormat>
    <chartFormat chart="0" format="62">
      <pivotArea type="data" outline="0" fieldPosition="0">
        <references count="4">
          <reference field="4294967294" count="1" selected="0">
            <x v="0"/>
          </reference>
          <reference field="0" count="1" selected="0">
            <x v="0"/>
          </reference>
          <reference field="1" count="1" selected="0">
            <x v="10"/>
          </reference>
          <reference field="7" count="1" selected="0">
            <x v="6"/>
          </reference>
        </references>
      </pivotArea>
    </chartFormat>
    <chartFormat chart="0" format="63">
      <pivotArea type="data" outline="0" fieldPosition="0">
        <references count="4">
          <reference field="4294967294" count="1" selected="0">
            <x v="0"/>
          </reference>
          <reference field="0" count="1" selected="0">
            <x v="0"/>
          </reference>
          <reference field="1" count="1" selected="0">
            <x v="11"/>
          </reference>
          <reference field="7" count="1" selected="0">
            <x v="6"/>
          </reference>
        </references>
      </pivotArea>
    </chartFormat>
    <chartFormat chart="0" format="64">
      <pivotArea type="data" outline="0" fieldPosition="0">
        <references count="4">
          <reference field="4294967294" count="1" selected="0">
            <x v="0"/>
          </reference>
          <reference field="0" count="1" selected="0">
            <x v="0"/>
          </reference>
          <reference field="1" count="1" selected="0">
            <x v="12"/>
          </reference>
          <reference field="7" count="1" selected="0">
            <x v="6"/>
          </reference>
        </references>
      </pivotArea>
    </chartFormat>
    <chartFormat chart="0" format="6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80A51A91-B2EB-4588-8614-F4F0BAF61750}" name="pt.generic_add_data10" cacheId="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J22" firstHeaderRow="1" firstDataRow="2" firstDataCol="2" rowPageCount="5" colPageCount="1"/>
  <pivotFields count="12">
    <pivotField axis="axisRow" compact="0" outline="0" subtotalTop="0" showAll="0" defaultSubtotal="0">
      <items count="2">
        <item x="0"/>
        <item x="1"/>
      </items>
    </pivotField>
    <pivotField axis="axisRow" compact="0" outline="0" subtotalTop="0" showAll="0">
      <items count="15">
        <item x="0"/>
        <item x="1"/>
        <item x="2"/>
        <item x="3"/>
        <item x="4"/>
        <item x="5"/>
        <item x="6"/>
        <item x="7"/>
        <item x="11"/>
        <item x="12"/>
        <item x="8"/>
        <item x="9"/>
        <item x="10"/>
        <item x="13"/>
        <item t="default"/>
      </items>
    </pivotField>
    <pivotField axis="axisPage" compact="0" outline="0" subtotalTop="0" multipleItemSelectionAllowed="1" showAll="0">
      <items count="3">
        <item h="1" x="1"/>
        <item x="0"/>
        <item t="default"/>
      </items>
    </pivotField>
    <pivotField compact="0" outline="0" subtotalTop="0" showAll="0"/>
    <pivotField compact="0" outline="0" subtotalTop="0" showAll="0"/>
    <pivotField axis="axisPage" compact="0" outline="0" subtotalTop="0" multipleItemSelectionAllowed="1" showAll="0">
      <items count="4">
        <item x="2"/>
        <item x="0"/>
        <item x="1"/>
        <item t="default"/>
      </items>
    </pivotField>
    <pivotField axis="axisPage" compact="0" outline="0" subtotalTop="0" multipleItemSelectionAllowed="1" showAll="0">
      <items count="5">
        <item x="3"/>
        <item x="1"/>
        <item x="0"/>
        <item x="2"/>
        <item t="default"/>
      </items>
    </pivotField>
    <pivotField axis="axisCol" compact="0" outline="0" subtotalTop="0" showAll="0">
      <items count="9">
        <item h="1" x="7"/>
        <item x="3"/>
        <item x="6"/>
        <item x="0"/>
        <item x="5"/>
        <item x="4"/>
        <item x="1"/>
        <item x="2"/>
        <item t="default"/>
      </items>
    </pivotField>
    <pivotField compact="0" outline="0" subtotalTop="0" showAll="0"/>
    <pivotField axis="axisPage" compact="0" outline="0" subtotalTop="0" multipleItemSelectionAllowed="1" showAll="0">
      <items count="7">
        <item h="1" x="5"/>
        <item x="0"/>
        <item h="1" x="4"/>
        <item h="1" x="1"/>
        <item x="3"/>
        <item h="1" x="2"/>
        <item t="default"/>
      </items>
    </pivotField>
    <pivotField dataField="1" compact="0" outline="0" subtotalTop="0" showAll="0"/>
    <pivotField axis="axisPage" compact="0" outline="0" subtotalTop="0" multipleItemSelectionAllowed="1" showAll="0">
      <items count="3">
        <item h="1" x="1"/>
        <item x="0"/>
        <item t="default"/>
      </items>
    </pivotField>
  </pivotFields>
  <rowFields count="2">
    <field x="0"/>
    <field x="1"/>
  </rowFields>
  <rowItems count="14">
    <i>
      <x/>
      <x/>
    </i>
    <i r="1">
      <x v="1"/>
    </i>
    <i r="1">
      <x v="2"/>
    </i>
    <i r="1">
      <x v="3"/>
    </i>
    <i r="1">
      <x v="4"/>
    </i>
    <i r="1">
      <x v="5"/>
    </i>
    <i r="1">
      <x v="6"/>
    </i>
    <i r="1">
      <x v="7"/>
    </i>
    <i r="1">
      <x v="8"/>
    </i>
    <i r="1">
      <x v="9"/>
    </i>
    <i r="1">
      <x v="10"/>
    </i>
    <i r="1">
      <x v="11"/>
    </i>
    <i r="1">
      <x v="12"/>
    </i>
    <i t="grand">
      <x/>
    </i>
  </rowItems>
  <colFields count="1">
    <field x="7"/>
  </colFields>
  <colItems count="8">
    <i>
      <x v="1"/>
    </i>
    <i>
      <x v="2"/>
    </i>
    <i>
      <x v="3"/>
    </i>
    <i>
      <x v="4"/>
    </i>
    <i>
      <x v="5"/>
    </i>
    <i>
      <x v="6"/>
    </i>
    <i>
      <x v="7"/>
    </i>
    <i t="grand">
      <x/>
    </i>
  </colItems>
  <pageFields count="5">
    <pageField fld="2" hier="-1"/>
    <pageField fld="5" hier="-1"/>
    <pageField fld="6" hier="-1"/>
    <pageField fld="9" hier="-1"/>
    <pageField fld="11" hier="-1"/>
  </pageFields>
  <dataFields count="1">
    <dataField name="Sum of Hodnota" fld="10" baseField="0" baseItem="0"/>
  </dataFields>
  <chartFormats count="21">
    <chartFormat chart="0" format="45" series="1">
      <pivotArea type="data" outline="0" fieldPosition="0">
        <references count="2">
          <reference field="4294967294" count="1" selected="0">
            <x v="0"/>
          </reference>
          <reference field="7" count="1" selected="0">
            <x v="1"/>
          </reference>
        </references>
      </pivotArea>
    </chartFormat>
    <chartFormat chart="0" format="46" series="1">
      <pivotArea type="data" outline="0" fieldPosition="0">
        <references count="2">
          <reference field="4294967294" count="1" selected="0">
            <x v="0"/>
          </reference>
          <reference field="7" count="1" selected="0">
            <x v="2"/>
          </reference>
        </references>
      </pivotArea>
    </chartFormat>
    <chartFormat chart="0" format="47" series="1">
      <pivotArea type="data" outline="0" fieldPosition="0">
        <references count="2">
          <reference field="4294967294" count="1" selected="0">
            <x v="0"/>
          </reference>
          <reference field="7" count="1" selected="0">
            <x v="3"/>
          </reference>
        </references>
      </pivotArea>
    </chartFormat>
    <chartFormat chart="0" format="48" series="1">
      <pivotArea type="data" outline="0" fieldPosition="0">
        <references count="2">
          <reference field="4294967294" count="1" selected="0">
            <x v="0"/>
          </reference>
          <reference field="7" count="1" selected="0">
            <x v="4"/>
          </reference>
        </references>
      </pivotArea>
    </chartFormat>
    <chartFormat chart="0" format="49" series="1">
      <pivotArea type="data" outline="0" fieldPosition="0">
        <references count="2">
          <reference field="4294967294" count="1" selected="0">
            <x v="0"/>
          </reference>
          <reference field="7" count="1" selected="0">
            <x v="5"/>
          </reference>
        </references>
      </pivotArea>
    </chartFormat>
    <chartFormat chart="0" format="50" series="1">
      <pivotArea type="data" outline="0" fieldPosition="0">
        <references count="2">
          <reference field="4294967294" count="1" selected="0">
            <x v="0"/>
          </reference>
          <reference field="7" count="1" selected="0">
            <x v="6"/>
          </reference>
        </references>
      </pivotArea>
    </chartFormat>
    <chartFormat chart="0" format="51" series="1">
      <pivotArea type="data" outline="0" fieldPosition="0">
        <references count="2">
          <reference field="4294967294" count="1" selected="0">
            <x v="0"/>
          </reference>
          <reference field="7" count="1" selected="0">
            <x v="7"/>
          </reference>
        </references>
      </pivotArea>
    </chartFormat>
    <chartFormat chart="0" format="52">
      <pivotArea type="data" outline="0" fieldPosition="0">
        <references count="4">
          <reference field="4294967294" count="1" selected="0">
            <x v="0"/>
          </reference>
          <reference field="0" count="1" selected="0">
            <x v="0"/>
          </reference>
          <reference field="1" count="1" selected="0">
            <x v="0"/>
          </reference>
          <reference field="7" count="1" selected="0">
            <x v="6"/>
          </reference>
        </references>
      </pivotArea>
    </chartFormat>
    <chartFormat chart="0" format="53">
      <pivotArea type="data" outline="0" fieldPosition="0">
        <references count="4">
          <reference field="4294967294" count="1" selected="0">
            <x v="0"/>
          </reference>
          <reference field="0" count="1" selected="0">
            <x v="0"/>
          </reference>
          <reference field="1" count="1" selected="0">
            <x v="1"/>
          </reference>
          <reference field="7" count="1" selected="0">
            <x v="6"/>
          </reference>
        </references>
      </pivotArea>
    </chartFormat>
    <chartFormat chart="0" format="54">
      <pivotArea type="data" outline="0" fieldPosition="0">
        <references count="4">
          <reference field="4294967294" count="1" selected="0">
            <x v="0"/>
          </reference>
          <reference field="0" count="1" selected="0">
            <x v="0"/>
          </reference>
          <reference field="1" count="1" selected="0">
            <x v="2"/>
          </reference>
          <reference field="7" count="1" selected="0">
            <x v="6"/>
          </reference>
        </references>
      </pivotArea>
    </chartFormat>
    <chartFormat chart="0" format="55">
      <pivotArea type="data" outline="0" fieldPosition="0">
        <references count="4">
          <reference field="4294967294" count="1" selected="0">
            <x v="0"/>
          </reference>
          <reference field="0" count="1" selected="0">
            <x v="0"/>
          </reference>
          <reference field="1" count="1" selected="0">
            <x v="3"/>
          </reference>
          <reference field="7" count="1" selected="0">
            <x v="6"/>
          </reference>
        </references>
      </pivotArea>
    </chartFormat>
    <chartFormat chart="0" format="56">
      <pivotArea type="data" outline="0" fieldPosition="0">
        <references count="4">
          <reference field="4294967294" count="1" selected="0">
            <x v="0"/>
          </reference>
          <reference field="0" count="1" selected="0">
            <x v="0"/>
          </reference>
          <reference field="1" count="1" selected="0">
            <x v="4"/>
          </reference>
          <reference field="7" count="1" selected="0">
            <x v="6"/>
          </reference>
        </references>
      </pivotArea>
    </chartFormat>
    <chartFormat chart="0" format="57">
      <pivotArea type="data" outline="0" fieldPosition="0">
        <references count="4">
          <reference field="4294967294" count="1" selected="0">
            <x v="0"/>
          </reference>
          <reference field="0" count="1" selected="0">
            <x v="0"/>
          </reference>
          <reference field="1" count="1" selected="0">
            <x v="5"/>
          </reference>
          <reference field="7" count="1" selected="0">
            <x v="6"/>
          </reference>
        </references>
      </pivotArea>
    </chartFormat>
    <chartFormat chart="0" format="58">
      <pivotArea type="data" outline="0" fieldPosition="0">
        <references count="4">
          <reference field="4294967294" count="1" selected="0">
            <x v="0"/>
          </reference>
          <reference field="0" count="1" selected="0">
            <x v="0"/>
          </reference>
          <reference field="1" count="1" selected="0">
            <x v="6"/>
          </reference>
          <reference field="7" count="1" selected="0">
            <x v="6"/>
          </reference>
        </references>
      </pivotArea>
    </chartFormat>
    <chartFormat chart="0" format="59">
      <pivotArea type="data" outline="0" fieldPosition="0">
        <references count="4">
          <reference field="4294967294" count="1" selected="0">
            <x v="0"/>
          </reference>
          <reference field="0" count="1" selected="0">
            <x v="0"/>
          </reference>
          <reference field="1" count="1" selected="0">
            <x v="7"/>
          </reference>
          <reference field="7" count="1" selected="0">
            <x v="6"/>
          </reference>
        </references>
      </pivotArea>
    </chartFormat>
    <chartFormat chart="0" format="60">
      <pivotArea type="data" outline="0" fieldPosition="0">
        <references count="4">
          <reference field="4294967294" count="1" selected="0">
            <x v="0"/>
          </reference>
          <reference field="0" count="1" selected="0">
            <x v="0"/>
          </reference>
          <reference field="1" count="1" selected="0">
            <x v="8"/>
          </reference>
          <reference field="7" count="1" selected="0">
            <x v="6"/>
          </reference>
        </references>
      </pivotArea>
    </chartFormat>
    <chartFormat chart="0" format="61">
      <pivotArea type="data" outline="0" fieldPosition="0">
        <references count="4">
          <reference field="4294967294" count="1" selected="0">
            <x v="0"/>
          </reference>
          <reference field="0" count="1" selected="0">
            <x v="0"/>
          </reference>
          <reference field="1" count="1" selected="0">
            <x v="9"/>
          </reference>
          <reference field="7" count="1" selected="0">
            <x v="6"/>
          </reference>
        </references>
      </pivotArea>
    </chartFormat>
    <chartFormat chart="0" format="62">
      <pivotArea type="data" outline="0" fieldPosition="0">
        <references count="4">
          <reference field="4294967294" count="1" selected="0">
            <x v="0"/>
          </reference>
          <reference field="0" count="1" selected="0">
            <x v="0"/>
          </reference>
          <reference field="1" count="1" selected="0">
            <x v="10"/>
          </reference>
          <reference field="7" count="1" selected="0">
            <x v="6"/>
          </reference>
        </references>
      </pivotArea>
    </chartFormat>
    <chartFormat chart="0" format="63">
      <pivotArea type="data" outline="0" fieldPosition="0">
        <references count="4">
          <reference field="4294967294" count="1" selected="0">
            <x v="0"/>
          </reference>
          <reference field="0" count="1" selected="0">
            <x v="0"/>
          </reference>
          <reference field="1" count="1" selected="0">
            <x v="11"/>
          </reference>
          <reference field="7" count="1" selected="0">
            <x v="6"/>
          </reference>
        </references>
      </pivotArea>
    </chartFormat>
    <chartFormat chart="0" format="64">
      <pivotArea type="data" outline="0" fieldPosition="0">
        <references count="4">
          <reference field="4294967294" count="1" selected="0">
            <x v="0"/>
          </reference>
          <reference field="0" count="1" selected="0">
            <x v="0"/>
          </reference>
          <reference field="1" count="1" selected="0">
            <x v="12"/>
          </reference>
          <reference field="7" count="1" selected="0">
            <x v="6"/>
          </reference>
        </references>
      </pivotArea>
    </chartFormat>
    <chartFormat chart="0" format="6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59B96165-0927-476F-A73D-53F9116F272B}" name="pt.generic_add_data11" cacheId="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0" firstHeaderRow="1" firstDataRow="3" firstDataCol="2" rowPageCount="5" colPageCount="1"/>
  <pivotFields count="12">
    <pivotField axis="axisRow" compact="0" outline="0" subtotalTop="0" showAll="0" defaultSubtotal="0">
      <items count="2">
        <item x="0"/>
        <item x="1"/>
      </items>
    </pivotField>
    <pivotField axis="axisRow" compact="0" outline="0" subtotalTop="0" showAll="0">
      <items count="15">
        <item x="0"/>
        <item x="1"/>
        <item x="2"/>
        <item x="3"/>
        <item x="4"/>
        <item x="5"/>
        <item x="6"/>
        <item x="7"/>
        <item x="11"/>
        <item x="12"/>
        <item x="8"/>
        <item x="9"/>
        <item x="10"/>
        <item x="13"/>
        <item t="default"/>
      </items>
    </pivotField>
    <pivotField axis="axisPage" compact="0" outline="0" subtotalTop="0" multipleItemSelectionAllowed="1" showAll="0">
      <items count="3">
        <item h="1" x="1"/>
        <item x="0"/>
        <item t="default"/>
      </items>
    </pivotField>
    <pivotField axis="axisPage" compact="0" outline="0" subtotalTop="0" multipleItemSelectionAllowed="1" showAll="0">
      <items count="3">
        <item x="1"/>
        <item h="1" x="0"/>
        <item t="default"/>
      </items>
    </pivotField>
    <pivotField axis="axisPage" compact="0" outline="0" subtotalTop="0" multipleItemSelectionAllowed="1" showAll="0">
      <items count="6">
        <item x="4"/>
        <item h="1" x="0"/>
        <item h="1" x="1"/>
        <item h="1" x="3"/>
        <item h="1" x="2"/>
        <item t="default"/>
      </items>
    </pivotField>
    <pivotField compact="0" outline="0" subtotalTop="0" showAll="0">
      <items count="4">
        <item x="2"/>
        <item h="1" x="0"/>
        <item h="1" x="1"/>
        <item t="default"/>
      </items>
    </pivotField>
    <pivotField axis="axisPage" compact="0" outline="0" subtotalTop="0" multipleItemSelectionAllowed="1" showAll="0">
      <items count="5">
        <item h="1" x="3"/>
        <item h="1" x="1"/>
        <item x="0"/>
        <item h="1" x="2"/>
        <item t="default"/>
      </items>
    </pivotField>
    <pivotField compact="0" outline="0" subtotalTop="0" showAll="0"/>
    <pivotField axis="axisCol" compact="0" outline="0" subtotalTop="0" showAll="0" sortType="descending" defaultSubtotal="0">
      <items count="5">
        <item x="1"/>
        <item h="1" x="3"/>
        <item x="2"/>
        <item x="0"/>
        <item h="1" x="4"/>
      </items>
    </pivotField>
    <pivotField axis="axisCol" compact="0" outline="0" subtotalTop="0" showAll="0">
      <items count="7">
        <item h="1" x="5"/>
        <item x="0"/>
        <item x="4"/>
        <item h="1" x="1"/>
        <item h="1" x="3"/>
        <item h="1" x="2"/>
        <item t="default"/>
      </items>
    </pivotField>
    <pivotField dataField="1" compact="0" outline="0" subtotalTop="0" showAll="0"/>
    <pivotField axis="axisPage" compact="0" outline="0" subtotalTop="0" multipleItemSelectionAllowed="1" showAll="0">
      <items count="3">
        <item h="1" x="1"/>
        <item x="0"/>
        <item t="default"/>
      </items>
    </pivotField>
  </pivotFields>
  <rowFields count="2">
    <field x="0"/>
    <field x="1"/>
  </rowFields>
  <rowItems count="1">
    <i t="grand">
      <x/>
    </i>
  </rowItems>
  <colFields count="2">
    <field x="8"/>
    <field x="9"/>
  </colFields>
  <colItems count="1">
    <i t="grand">
      <x/>
    </i>
  </colItems>
  <pageFields count="5">
    <pageField fld="2" hier="-1"/>
    <pageField fld="6" hier="-1"/>
    <pageField fld="3" hier="-1"/>
    <pageField fld="4" hier="-1"/>
    <pageField fld="11" hier="-1"/>
  </pageFields>
  <dataFields count="1">
    <dataField name="Sum of Hodnota" fld="10" baseField="0" baseItem="0"/>
  </dataFields>
  <chartFormats count="4">
    <chartFormat chart="0" format="20" series="1">
      <pivotArea type="data" outline="0" fieldPosition="0">
        <references count="3">
          <reference field="4294967294" count="1" selected="0">
            <x v="0"/>
          </reference>
          <reference field="8" count="1" selected="0">
            <x v="2"/>
          </reference>
          <reference field="9" count="1" selected="0">
            <x v="1"/>
          </reference>
        </references>
      </pivotArea>
    </chartFormat>
    <chartFormat chart="0" format="21" series="1">
      <pivotArea type="data" outline="0" fieldPosition="0">
        <references count="3">
          <reference field="4294967294" count="1" selected="0">
            <x v="0"/>
          </reference>
          <reference field="8" count="1" selected="0">
            <x v="3"/>
          </reference>
          <reference field="9" count="1" selected="0">
            <x v="1"/>
          </reference>
        </references>
      </pivotArea>
    </chartFormat>
    <chartFormat chart="0" format="22" series="1">
      <pivotArea type="data" outline="0" fieldPosition="0">
        <references count="3">
          <reference field="4294967294" count="1" selected="0">
            <x v="0"/>
          </reference>
          <reference field="8" count="1" selected="0">
            <x v="3"/>
          </reference>
          <reference field="9" count="1" selected="0">
            <x v="2"/>
          </reference>
        </references>
      </pivotArea>
    </chartFormat>
    <chartFormat chart="0" format="23"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A70878C5-EAD6-4F9F-9A0B-585075CACAA3}" name="pt.generic_add_data12" cacheId="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0" firstHeaderRow="1" firstDataRow="3" firstDataCol="2" rowPageCount="5" colPageCount="1"/>
  <pivotFields count="12">
    <pivotField axis="axisRow" compact="0" outline="0" subtotalTop="0" showAll="0" defaultSubtotal="0">
      <items count="2">
        <item x="0"/>
        <item x="1"/>
      </items>
    </pivotField>
    <pivotField axis="axisRow" compact="0" outline="0" subtotalTop="0" showAll="0">
      <items count="15">
        <item x="0"/>
        <item x="1"/>
        <item x="2"/>
        <item x="3"/>
        <item x="4"/>
        <item x="5"/>
        <item x="6"/>
        <item x="7"/>
        <item x="11"/>
        <item x="12"/>
        <item x="8"/>
        <item x="9"/>
        <item x="10"/>
        <item x="13"/>
        <item t="default"/>
      </items>
    </pivotField>
    <pivotField axis="axisPage" compact="0" outline="0" subtotalTop="0" multipleItemSelectionAllowed="1" showAll="0">
      <items count="3">
        <item h="1" x="1"/>
        <item x="0"/>
        <item t="default"/>
      </items>
    </pivotField>
    <pivotField axis="axisPage" compact="0" outline="0" subtotalTop="0" multipleItemSelectionAllowed="1" showAll="0">
      <items count="3">
        <item x="1"/>
        <item h="1" x="0"/>
        <item t="default"/>
      </items>
    </pivotField>
    <pivotField axis="axisPage" compact="0" outline="0" subtotalTop="0" multipleItemSelectionAllowed="1" showAll="0">
      <items count="6">
        <item x="4"/>
        <item h="1" x="0"/>
        <item h="1" x="1"/>
        <item h="1" x="3"/>
        <item h="1" x="2"/>
        <item t="default"/>
      </items>
    </pivotField>
    <pivotField compact="0" outline="0" subtotalTop="0" showAll="0">
      <items count="4">
        <item x="2"/>
        <item h="1" x="0"/>
        <item h="1" x="1"/>
        <item t="default"/>
      </items>
    </pivotField>
    <pivotField axis="axisPage" compact="0" outline="0" subtotalTop="0" multipleItemSelectionAllowed="1" showAll="0">
      <items count="5">
        <item h="1" x="3"/>
        <item h="1" x="1"/>
        <item x="0"/>
        <item h="1" x="2"/>
        <item t="default"/>
      </items>
    </pivotField>
    <pivotField compact="0" outline="0" subtotalTop="0" showAll="0"/>
    <pivotField axis="axisCol" compact="0" outline="0" subtotalTop="0" showAll="0" sortType="descending" defaultSubtotal="0">
      <items count="5">
        <item x="1"/>
        <item h="1" x="3"/>
        <item x="2"/>
        <item x="0"/>
        <item h="1" x="4"/>
      </items>
    </pivotField>
    <pivotField axis="axisCol" compact="0" outline="0" subtotalTop="0" showAll="0">
      <items count="7">
        <item h="1" x="5"/>
        <item x="0"/>
        <item x="4"/>
        <item h="1" x="1"/>
        <item h="1" x="3"/>
        <item h="1" x="2"/>
        <item t="default"/>
      </items>
    </pivotField>
    <pivotField dataField="1" compact="0" outline="0" subtotalTop="0" showAll="0"/>
    <pivotField axis="axisPage" compact="0" outline="0" subtotalTop="0" multipleItemSelectionAllowed="1" showAll="0">
      <items count="3">
        <item h="1" x="1"/>
        <item x="0"/>
        <item t="default"/>
      </items>
    </pivotField>
  </pivotFields>
  <rowFields count="2">
    <field x="0"/>
    <field x="1"/>
  </rowFields>
  <rowItems count="1">
    <i t="grand">
      <x/>
    </i>
  </rowItems>
  <colFields count="2">
    <field x="8"/>
    <field x="9"/>
  </colFields>
  <colItems count="1">
    <i t="grand">
      <x/>
    </i>
  </colItems>
  <pageFields count="5">
    <pageField fld="2" hier="-1"/>
    <pageField fld="6" hier="-1"/>
    <pageField fld="3" hier="-1"/>
    <pageField fld="4" hier="-1"/>
    <pageField fld="11" hier="-1"/>
  </pageFields>
  <dataFields count="1">
    <dataField name="Sum of Hodnota" fld="10" baseField="0" baseItem="0"/>
  </dataFields>
  <chartFormats count="7">
    <chartFormat chart="0" format="18" series="1">
      <pivotArea type="data" outline="0" fieldPosition="0">
        <references count="3">
          <reference field="4294967294" count="1" selected="0">
            <x v="0"/>
          </reference>
          <reference field="8" count="1" selected="0">
            <x v="0"/>
          </reference>
          <reference field="9" count="1" selected="0">
            <x v="1"/>
          </reference>
        </references>
      </pivotArea>
    </chartFormat>
    <chartFormat chart="0" format="19" series="1">
      <pivotArea type="data" outline="0" fieldPosition="0">
        <references count="3">
          <reference field="4294967294" count="1" selected="0">
            <x v="0"/>
          </reference>
          <reference field="8" count="1" selected="0">
            <x v="2"/>
          </reference>
          <reference field="9" count="1" selected="0">
            <x v="1"/>
          </reference>
        </references>
      </pivotArea>
    </chartFormat>
    <chartFormat chart="0" format="20" series="1">
      <pivotArea type="data" outline="0" fieldPosition="0">
        <references count="3">
          <reference field="4294967294" count="1" selected="0">
            <x v="0"/>
          </reference>
          <reference field="8" count="1" selected="0">
            <x v="2"/>
          </reference>
          <reference field="9" count="1" selected="0">
            <x v="2"/>
          </reference>
        </references>
      </pivotArea>
    </chartFormat>
    <chartFormat chart="0" format="21" series="1">
      <pivotArea type="data" outline="0" fieldPosition="0">
        <references count="3">
          <reference field="4294967294" count="1" selected="0">
            <x v="0"/>
          </reference>
          <reference field="8" count="1" selected="0">
            <x v="3"/>
          </reference>
          <reference field="9" count="1" selected="0">
            <x v="1"/>
          </reference>
        </references>
      </pivotArea>
    </chartFormat>
    <chartFormat chart="0" format="22" series="1">
      <pivotArea type="data" outline="0" fieldPosition="0">
        <references count="3">
          <reference field="4294967294" count="1" selected="0">
            <x v="0"/>
          </reference>
          <reference field="8" count="1" selected="0">
            <x v="3"/>
          </reference>
          <reference field="9" count="1" selected="0">
            <x v="2"/>
          </reference>
        </references>
      </pivotArea>
    </chartFormat>
    <chartFormat chart="0" format="23" series="1">
      <pivotArea type="data" outline="0" fieldPosition="0">
        <references count="3">
          <reference field="4294967294" count="1" selected="0">
            <x v="0"/>
          </reference>
          <reference field="8" count="1" selected="0">
            <x v="0"/>
          </reference>
          <reference field="9" count="1" selected="0">
            <x v="2"/>
          </reference>
        </references>
      </pivotArea>
    </chartFormat>
    <chartFormat chart="0" format="24"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9CF0D0EA-0CC6-49DB-A155-EF9D4DC03521}" name="pt.generic_add_data13" cacheId="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0" firstHeaderRow="1" firstDataRow="3" firstDataCol="2" rowPageCount="5" colPageCount="1"/>
  <pivotFields count="12">
    <pivotField axis="axisRow" compact="0" outline="0" subtotalTop="0" showAll="0" defaultSubtotal="0">
      <items count="2">
        <item x="0"/>
        <item x="1"/>
      </items>
    </pivotField>
    <pivotField axis="axisRow" compact="0" outline="0" subtotalTop="0" showAll="0">
      <items count="15">
        <item x="0"/>
        <item x="1"/>
        <item x="2"/>
        <item x="3"/>
        <item x="4"/>
        <item x="5"/>
        <item x="6"/>
        <item x="7"/>
        <item x="11"/>
        <item x="12"/>
        <item x="8"/>
        <item x="9"/>
        <item x="10"/>
        <item x="13"/>
        <item t="default"/>
      </items>
    </pivotField>
    <pivotField axis="axisPage" compact="0" outline="0" subtotalTop="0" multipleItemSelectionAllowed="1" showAll="0">
      <items count="3">
        <item h="1" x="1"/>
        <item x="0"/>
        <item t="default"/>
      </items>
    </pivotField>
    <pivotField axis="axisPage" compact="0" outline="0" subtotalTop="0" multipleItemSelectionAllowed="1" showAll="0">
      <items count="3">
        <item x="1"/>
        <item h="1" x="0"/>
        <item t="default"/>
      </items>
    </pivotField>
    <pivotField axis="axisPage" compact="0" outline="0" subtotalTop="0" multipleItemSelectionAllowed="1" showAll="0">
      <items count="6">
        <item x="4"/>
        <item h="1" x="0"/>
        <item h="1" x="1"/>
        <item h="1" x="3"/>
        <item h="1" x="2"/>
        <item t="default"/>
      </items>
    </pivotField>
    <pivotField compact="0" outline="0" subtotalTop="0" showAll="0">
      <items count="4">
        <item x="2"/>
        <item h="1" x="0"/>
        <item h="1" x="1"/>
        <item t="default"/>
      </items>
    </pivotField>
    <pivotField axis="axisPage" compact="0" outline="0" subtotalTop="0" multipleItemSelectionAllowed="1" showAll="0">
      <items count="5">
        <item h="1" x="3"/>
        <item h="1" x="1"/>
        <item x="0"/>
        <item h="1" x="2"/>
        <item t="default"/>
      </items>
    </pivotField>
    <pivotField compact="0" outline="0" subtotalTop="0" showAll="0"/>
    <pivotField axis="axisCol" compact="0" outline="0" subtotalTop="0" showAll="0" sortType="descending" defaultSubtotal="0">
      <items count="5">
        <item x="1"/>
        <item h="1" x="3"/>
        <item x="2"/>
        <item x="0"/>
        <item h="1" x="4"/>
      </items>
    </pivotField>
    <pivotField axis="axisCol" compact="0" outline="0" subtotalTop="0" showAll="0">
      <items count="7">
        <item h="1" x="5"/>
        <item x="0"/>
        <item x="4"/>
        <item h="1" x="1"/>
        <item h="1" x="3"/>
        <item h="1" x="2"/>
        <item t="default"/>
      </items>
    </pivotField>
    <pivotField dataField="1" compact="0" outline="0" subtotalTop="0" showAll="0"/>
    <pivotField axis="axisPage" compact="0" outline="0" subtotalTop="0" multipleItemSelectionAllowed="1" showAll="0">
      <items count="3">
        <item h="1" x="1"/>
        <item x="0"/>
        <item t="default"/>
      </items>
    </pivotField>
  </pivotFields>
  <rowFields count="2">
    <field x="0"/>
    <field x="1"/>
  </rowFields>
  <rowItems count="1">
    <i t="grand">
      <x/>
    </i>
  </rowItems>
  <colFields count="2">
    <field x="8"/>
    <field x="9"/>
  </colFields>
  <colItems count="1">
    <i t="grand">
      <x/>
    </i>
  </colItems>
  <pageFields count="5">
    <pageField fld="2" hier="-1"/>
    <pageField fld="6" hier="-1"/>
    <pageField fld="3" hier="-1"/>
    <pageField fld="4" hier="-1"/>
    <pageField fld="11" hier="-1"/>
  </pageFields>
  <dataFields count="1">
    <dataField name="Sum of Hodnota" fld="10" baseField="0" baseItem="0"/>
  </dataFields>
  <chartFormats count="7">
    <chartFormat chart="0" format="19" series="1">
      <pivotArea type="data" outline="0" fieldPosition="0">
        <references count="3">
          <reference field="4294967294" count="1" selected="0">
            <x v="0"/>
          </reference>
          <reference field="8" count="1" selected="0">
            <x v="0"/>
          </reference>
          <reference field="9" count="1" selected="0">
            <x v="1"/>
          </reference>
        </references>
      </pivotArea>
    </chartFormat>
    <chartFormat chart="0" format="20" series="1">
      <pivotArea type="data" outline="0" fieldPosition="0">
        <references count="3">
          <reference field="4294967294" count="1" selected="0">
            <x v="0"/>
          </reference>
          <reference field="8" count="1" selected="0">
            <x v="2"/>
          </reference>
          <reference field="9" count="1" selected="0">
            <x v="1"/>
          </reference>
        </references>
      </pivotArea>
    </chartFormat>
    <chartFormat chart="0" format="21" series="1">
      <pivotArea type="data" outline="0" fieldPosition="0">
        <references count="3">
          <reference field="4294967294" count="1" selected="0">
            <x v="0"/>
          </reference>
          <reference field="8" count="1" selected="0">
            <x v="3"/>
          </reference>
          <reference field="9" count="1" selected="0">
            <x v="1"/>
          </reference>
        </references>
      </pivotArea>
    </chartFormat>
    <chartFormat chart="0" format="22" series="1">
      <pivotArea type="data" outline="0" fieldPosition="0">
        <references count="3">
          <reference field="4294967294" count="1" selected="0">
            <x v="0"/>
          </reference>
          <reference field="8" count="1" selected="0">
            <x v="3"/>
          </reference>
          <reference field="9" count="1" selected="0">
            <x v="2"/>
          </reference>
        </references>
      </pivotArea>
    </chartFormat>
    <chartFormat chart="0" format="23" series="1">
      <pivotArea type="data" outline="0" fieldPosition="0">
        <references count="3">
          <reference field="4294967294" count="1" selected="0">
            <x v="0"/>
          </reference>
          <reference field="8" count="1" selected="0">
            <x v="0"/>
          </reference>
          <reference field="9" count="1" selected="0">
            <x v="2"/>
          </reference>
        </references>
      </pivotArea>
    </chartFormat>
    <chartFormat chart="0" format="24" series="1">
      <pivotArea type="data" outline="0" fieldPosition="0">
        <references count="3">
          <reference field="4294967294" count="1" selected="0">
            <x v="0"/>
          </reference>
          <reference field="8" count="1" selected="0">
            <x v="2"/>
          </reference>
          <reference field="9" count="1" selected="0">
            <x v="2"/>
          </reference>
        </references>
      </pivotArea>
    </chartFormat>
    <chartFormat chart="0" format="2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067BE4B2-DBA4-40B7-B82F-6AB5757B9872}" name="pt.generic_add_data14" cacheId="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0" firstHeaderRow="1" firstDataRow="3" firstDataCol="2" rowPageCount="5" colPageCount="1"/>
  <pivotFields count="12">
    <pivotField axis="axisRow" compact="0" outline="0" subtotalTop="0" showAll="0" defaultSubtotal="0">
      <items count="2">
        <item x="0"/>
        <item x="1"/>
      </items>
    </pivotField>
    <pivotField axis="axisRow" compact="0" outline="0" subtotalTop="0" showAll="0">
      <items count="15">
        <item x="0"/>
        <item x="1"/>
        <item x="2"/>
        <item x="3"/>
        <item x="4"/>
        <item x="5"/>
        <item x="6"/>
        <item x="7"/>
        <item x="11"/>
        <item x="12"/>
        <item x="8"/>
        <item x="9"/>
        <item x="10"/>
        <item x="13"/>
        <item t="default"/>
      </items>
    </pivotField>
    <pivotField axis="axisPage" compact="0" outline="0" subtotalTop="0" multipleItemSelectionAllowed="1" showAll="0">
      <items count="3">
        <item h="1" x="1"/>
        <item x="0"/>
        <item t="default"/>
      </items>
    </pivotField>
    <pivotField axis="axisPage" compact="0" outline="0" subtotalTop="0" multipleItemSelectionAllowed="1" showAll="0">
      <items count="3">
        <item x="1"/>
        <item h="1" x="0"/>
        <item t="default"/>
      </items>
    </pivotField>
    <pivotField axis="axisPage" compact="0" outline="0" subtotalTop="0" multipleItemSelectionAllowed="1" showAll="0">
      <items count="6">
        <item x="4"/>
        <item h="1" x="0"/>
        <item h="1" x="1"/>
        <item h="1" x="3"/>
        <item h="1" x="2"/>
        <item t="default"/>
      </items>
    </pivotField>
    <pivotField compact="0" outline="0" subtotalTop="0" showAll="0">
      <items count="4">
        <item x="2"/>
        <item h="1" x="0"/>
        <item h="1" x="1"/>
        <item t="default"/>
      </items>
    </pivotField>
    <pivotField axis="axisPage" compact="0" outline="0" subtotalTop="0" multipleItemSelectionAllowed="1" showAll="0">
      <items count="5">
        <item x="3"/>
        <item x="1"/>
        <item x="0"/>
        <item x="2"/>
        <item t="default"/>
      </items>
    </pivotField>
    <pivotField compact="0" outline="0" subtotalTop="0" showAll="0"/>
    <pivotField axis="axisCol" compact="0" outline="0" subtotalTop="0" showAll="0" sortType="descending" defaultSubtotal="0">
      <items count="5">
        <item x="1"/>
        <item h="1" x="3"/>
        <item x="2"/>
        <item x="0"/>
        <item h="1" x="4"/>
      </items>
    </pivotField>
    <pivotField axis="axisCol" compact="0" outline="0" subtotalTop="0" showAll="0">
      <items count="7">
        <item h="1" x="5"/>
        <item x="0"/>
        <item x="4"/>
        <item h="1" x="1"/>
        <item h="1" x="3"/>
        <item h="1" x="2"/>
        <item t="default"/>
      </items>
    </pivotField>
    <pivotField dataField="1" compact="0" outline="0" subtotalTop="0" showAll="0"/>
    <pivotField axis="axisPage" compact="0" outline="0" subtotalTop="0" multipleItemSelectionAllowed="1" showAll="0">
      <items count="3">
        <item h="1" x="1"/>
        <item x="0"/>
        <item t="default"/>
      </items>
    </pivotField>
  </pivotFields>
  <rowFields count="2">
    <field x="0"/>
    <field x="1"/>
  </rowFields>
  <rowItems count="1">
    <i t="grand">
      <x/>
    </i>
  </rowItems>
  <colFields count="2">
    <field x="8"/>
    <field x="9"/>
  </colFields>
  <colItems count="1">
    <i t="grand">
      <x/>
    </i>
  </colItems>
  <pageFields count="5">
    <pageField fld="2" hier="-1"/>
    <pageField fld="6" hier="-1"/>
    <pageField fld="3" hier="-1"/>
    <pageField fld="4" hier="-1"/>
    <pageField fld="11" hier="-1"/>
  </pageFields>
  <dataFields count="1">
    <dataField name="Sum of Hodnota" fld="10" baseField="0" baseItem="0"/>
  </dataFields>
  <chartFormats count="1">
    <chartFormat chart="0" format="19"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A54FD4AA-8988-4832-A110-16C102DD6E9B}" name="pt.generic_add_data15" cacheId="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I23" firstHeaderRow="1" firstDataRow="3" firstDataCol="2" rowPageCount="5" colPageCount="1"/>
  <pivotFields count="12">
    <pivotField axis="axisRow" compact="0" outline="0" subtotalTop="0" showAll="0" defaultSubtotal="0">
      <items count="2">
        <item x="0"/>
        <item x="1"/>
      </items>
    </pivotField>
    <pivotField axis="axisRow" compact="0" outline="0" subtotalTop="0" showAll="0">
      <items count="15">
        <item x="0"/>
        <item x="1"/>
        <item x="2"/>
        <item x="3"/>
        <item x="4"/>
        <item x="5"/>
        <item x="6"/>
        <item x="7"/>
        <item x="11"/>
        <item x="12"/>
        <item x="8"/>
        <item x="9"/>
        <item x="10"/>
        <item x="13"/>
        <item t="default"/>
      </items>
    </pivotField>
    <pivotField axis="axisPage" compact="0" outline="0" subtotalTop="0" multipleItemSelectionAllowed="1" showAll="0">
      <items count="3">
        <item h="1" x="1"/>
        <item x="0"/>
        <item t="default"/>
      </items>
    </pivotField>
    <pivotField axis="axisPage" compact="0" outline="0" subtotalTop="0" multipleItemSelectionAllowed="1" showAll="0">
      <items count="3">
        <item x="1"/>
        <item x="0"/>
        <item t="default"/>
      </items>
    </pivotField>
    <pivotField axis="axisPage" compact="0" outline="0" subtotalTop="0" multipleItemSelectionAllowed="1" showAll="0">
      <items count="6">
        <item x="4"/>
        <item x="0"/>
        <item x="1"/>
        <item x="3"/>
        <item x="2"/>
        <item t="default"/>
      </items>
    </pivotField>
    <pivotField compact="0" outline="0" subtotalTop="0" showAll="0"/>
    <pivotField axis="axisPage" compact="0" outline="0" subtotalTop="0" multipleItemSelectionAllowed="1" showAll="0">
      <items count="5">
        <item x="3"/>
        <item x="1"/>
        <item x="0"/>
        <item x="2"/>
        <item t="default"/>
      </items>
    </pivotField>
    <pivotField compact="0" outline="0" subtotalTop="0" showAll="0"/>
    <pivotField axis="axisCol" compact="0" outline="0" subtotalTop="0" showAll="0" sortType="descending" defaultSubtotal="0">
      <items count="5">
        <item x="1"/>
        <item h="1" x="3"/>
        <item x="2"/>
        <item x="0"/>
        <item h="1" x="4"/>
      </items>
    </pivotField>
    <pivotField axis="axisCol" compact="0" outline="0" subtotalTop="0" showAll="0">
      <items count="7">
        <item h="1" x="5"/>
        <item x="0"/>
        <item x="4"/>
        <item h="1" x="1"/>
        <item h="1" x="3"/>
        <item h="1" x="2"/>
        <item t="default"/>
      </items>
    </pivotField>
    <pivotField dataField="1" compact="0" outline="0" subtotalTop="0" showAll="0"/>
    <pivotField axis="axisPage" compact="0" outline="0" subtotalTop="0" multipleItemSelectionAllowed="1" showAll="0">
      <items count="3">
        <item h="1" x="1"/>
        <item x="0"/>
        <item t="default"/>
      </items>
    </pivotField>
  </pivotFields>
  <rowFields count="2">
    <field x="0"/>
    <field x="1"/>
  </rowFields>
  <rowItems count="14">
    <i>
      <x/>
      <x/>
    </i>
    <i r="1">
      <x v="1"/>
    </i>
    <i r="1">
      <x v="2"/>
    </i>
    <i r="1">
      <x v="3"/>
    </i>
    <i r="1">
      <x v="4"/>
    </i>
    <i r="1">
      <x v="5"/>
    </i>
    <i r="1">
      <x v="6"/>
    </i>
    <i r="1">
      <x v="7"/>
    </i>
    <i r="1">
      <x v="8"/>
    </i>
    <i r="1">
      <x v="9"/>
    </i>
    <i r="1">
      <x v="10"/>
    </i>
    <i r="1">
      <x v="11"/>
    </i>
    <i r="1">
      <x v="12"/>
    </i>
    <i t="grand">
      <x/>
    </i>
  </rowItems>
  <colFields count="2">
    <field x="8"/>
    <field x="9"/>
  </colFields>
  <colItems count="7">
    <i>
      <x/>
      <x v="1"/>
    </i>
    <i r="1">
      <x v="2"/>
    </i>
    <i>
      <x v="2"/>
      <x v="1"/>
    </i>
    <i r="1">
      <x v="2"/>
    </i>
    <i>
      <x v="3"/>
      <x v="1"/>
    </i>
    <i r="1">
      <x v="2"/>
    </i>
    <i t="grand">
      <x/>
    </i>
  </colItems>
  <pageFields count="5">
    <pageField fld="2" hier="-1"/>
    <pageField fld="6" hier="-1"/>
    <pageField fld="3" hier="-1"/>
    <pageField fld="4" hier="-1"/>
    <pageField fld="11" hier="-1"/>
  </pageFields>
  <dataFields count="1">
    <dataField name="Sum of Hodnota" fld="10" baseField="0" baseItem="0"/>
  </dataFields>
  <chartFormats count="7">
    <chartFormat chart="0" format="19" series="1">
      <pivotArea type="data" outline="0" fieldPosition="0">
        <references count="3">
          <reference field="4294967294" count="1" selected="0">
            <x v="0"/>
          </reference>
          <reference field="8" count="1" selected="0">
            <x v="0"/>
          </reference>
          <reference field="9" count="1" selected="0">
            <x v="1"/>
          </reference>
        </references>
      </pivotArea>
    </chartFormat>
    <chartFormat chart="0" format="20" series="1">
      <pivotArea type="data" outline="0" fieldPosition="0">
        <references count="3">
          <reference field="4294967294" count="1" selected="0">
            <x v="0"/>
          </reference>
          <reference field="8" count="1" selected="0">
            <x v="0"/>
          </reference>
          <reference field="9" count="1" selected="0">
            <x v="2"/>
          </reference>
        </references>
      </pivotArea>
    </chartFormat>
    <chartFormat chart="0" format="21" series="1">
      <pivotArea type="data" outline="0" fieldPosition="0">
        <references count="3">
          <reference field="4294967294" count="1" selected="0">
            <x v="0"/>
          </reference>
          <reference field="8" count="1" selected="0">
            <x v="2"/>
          </reference>
          <reference field="9" count="1" selected="0">
            <x v="1"/>
          </reference>
        </references>
      </pivotArea>
    </chartFormat>
    <chartFormat chart="0" format="22" series="1">
      <pivotArea type="data" outline="0" fieldPosition="0">
        <references count="3">
          <reference field="4294967294" count="1" selected="0">
            <x v="0"/>
          </reference>
          <reference field="8" count="1" selected="0">
            <x v="2"/>
          </reference>
          <reference field="9" count="1" selected="0">
            <x v="2"/>
          </reference>
        </references>
      </pivotArea>
    </chartFormat>
    <chartFormat chart="0" format="23" series="1">
      <pivotArea type="data" outline="0" fieldPosition="0">
        <references count="3">
          <reference field="4294967294" count="1" selected="0">
            <x v="0"/>
          </reference>
          <reference field="8" count="1" selected="0">
            <x v="3"/>
          </reference>
          <reference field="9" count="1" selected="0">
            <x v="1"/>
          </reference>
        </references>
      </pivotArea>
    </chartFormat>
    <chartFormat chart="0" format="24" series="1">
      <pivotArea type="data" outline="0" fieldPosition="0">
        <references count="3">
          <reference field="4294967294" count="1" selected="0">
            <x v="0"/>
          </reference>
          <reference field="8" count="1" selected="0">
            <x v="3"/>
          </reference>
          <reference field="9" count="1" selected="0">
            <x v="2"/>
          </reference>
        </references>
      </pivotArea>
    </chartFormat>
    <chartFormat chart="0" format="2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FCB5D617-BAF6-4A39-B3A4-B5D6BCC8B3F8}" name="pt.generic_add_data16" cacheId="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I23" firstHeaderRow="1" firstDataRow="3" firstDataCol="2" rowPageCount="5" colPageCount="1"/>
  <pivotFields count="12">
    <pivotField axis="axisRow" compact="0" outline="0" subtotalTop="0" showAll="0" defaultSubtotal="0">
      <items count="2">
        <item x="0"/>
        <item x="1"/>
      </items>
    </pivotField>
    <pivotField axis="axisRow" compact="0" outline="0" subtotalTop="0" showAll="0">
      <items count="15">
        <item x="0"/>
        <item x="1"/>
        <item x="2"/>
        <item x="3"/>
        <item x="4"/>
        <item x="5"/>
        <item x="6"/>
        <item x="7"/>
        <item x="11"/>
        <item x="12"/>
        <item x="8"/>
        <item x="9"/>
        <item x="10"/>
        <item x="13"/>
        <item t="default"/>
      </items>
    </pivotField>
    <pivotField axis="axisPage" compact="0" outline="0" subtotalTop="0" multipleItemSelectionAllowed="1" showAll="0">
      <items count="3">
        <item h="1" x="1"/>
        <item x="0"/>
        <item t="default"/>
      </items>
    </pivotField>
    <pivotField axis="axisPage" compact="0" outline="0" subtotalTop="0" multipleItemSelectionAllowed="1" showAll="0">
      <items count="3">
        <item x="1"/>
        <item x="0"/>
        <item t="default"/>
      </items>
    </pivotField>
    <pivotField axis="axisPage" compact="0" outline="0" subtotalTop="0" multipleItemSelectionAllowed="1" showAll="0">
      <items count="6">
        <item x="4"/>
        <item x="0"/>
        <item x="1"/>
        <item x="3"/>
        <item x="2"/>
        <item t="default"/>
      </items>
    </pivotField>
    <pivotField compact="0" outline="0" subtotalTop="0" showAll="0"/>
    <pivotField axis="axisPage" compact="0" outline="0" subtotalTop="0" multipleItemSelectionAllowed="1" showAll="0">
      <items count="5">
        <item x="3"/>
        <item x="1"/>
        <item x="0"/>
        <item x="2"/>
        <item t="default"/>
      </items>
    </pivotField>
    <pivotField compact="0" outline="0" subtotalTop="0" showAll="0"/>
    <pivotField axis="axisCol" compact="0" outline="0" subtotalTop="0" showAll="0" sortType="descending" defaultSubtotal="0">
      <items count="5">
        <item x="1"/>
        <item h="1" x="3"/>
        <item x="2"/>
        <item x="0"/>
        <item h="1" x="4"/>
      </items>
    </pivotField>
    <pivotField axis="axisCol" compact="0" outline="0" subtotalTop="0" showAll="0">
      <items count="7">
        <item h="1" x="5"/>
        <item x="0"/>
        <item x="4"/>
        <item h="1" x="1"/>
        <item h="1" x="3"/>
        <item h="1" x="2"/>
        <item t="default"/>
      </items>
    </pivotField>
    <pivotField dataField="1" compact="0" outline="0" subtotalTop="0" showAll="0"/>
    <pivotField axis="axisPage" compact="0" outline="0" subtotalTop="0" multipleItemSelectionAllowed="1" showAll="0">
      <items count="3">
        <item h="1" x="1"/>
        <item x="0"/>
        <item t="default"/>
      </items>
    </pivotField>
  </pivotFields>
  <rowFields count="2">
    <field x="0"/>
    <field x="1"/>
  </rowFields>
  <rowItems count="14">
    <i>
      <x/>
      <x/>
    </i>
    <i r="1">
      <x v="1"/>
    </i>
    <i r="1">
      <x v="2"/>
    </i>
    <i r="1">
      <x v="3"/>
    </i>
    <i r="1">
      <x v="4"/>
    </i>
    <i r="1">
      <x v="5"/>
    </i>
    <i r="1">
      <x v="6"/>
    </i>
    <i r="1">
      <x v="7"/>
    </i>
    <i r="1">
      <x v="8"/>
    </i>
    <i r="1">
      <x v="9"/>
    </i>
    <i r="1">
      <x v="10"/>
    </i>
    <i r="1">
      <x v="11"/>
    </i>
    <i r="1">
      <x v="12"/>
    </i>
    <i t="grand">
      <x/>
    </i>
  </rowItems>
  <colFields count="2">
    <field x="8"/>
    <field x="9"/>
  </colFields>
  <colItems count="7">
    <i>
      <x/>
      <x v="1"/>
    </i>
    <i r="1">
      <x v="2"/>
    </i>
    <i>
      <x v="2"/>
      <x v="1"/>
    </i>
    <i r="1">
      <x v="2"/>
    </i>
    <i>
      <x v="3"/>
      <x v="1"/>
    </i>
    <i r="1">
      <x v="2"/>
    </i>
    <i t="grand">
      <x/>
    </i>
  </colItems>
  <pageFields count="5">
    <pageField fld="2" hier="-1"/>
    <pageField fld="6" hier="-1"/>
    <pageField fld="3" hier="-1"/>
    <pageField fld="4" hier="-1"/>
    <pageField fld="11" hier="-1"/>
  </pageFields>
  <dataFields count="1">
    <dataField name="Sum of Hodnota" fld="10" baseField="0" baseItem="0"/>
  </dataFields>
  <chartFormats count="7">
    <chartFormat chart="0" format="19" series="1">
      <pivotArea type="data" outline="0" fieldPosition="0">
        <references count="3">
          <reference field="4294967294" count="1" selected="0">
            <x v="0"/>
          </reference>
          <reference field="8" count="1" selected="0">
            <x v="0"/>
          </reference>
          <reference field="9" count="1" selected="0">
            <x v="1"/>
          </reference>
        </references>
      </pivotArea>
    </chartFormat>
    <chartFormat chart="0" format="20" series="1">
      <pivotArea type="data" outline="0" fieldPosition="0">
        <references count="3">
          <reference field="4294967294" count="1" selected="0">
            <x v="0"/>
          </reference>
          <reference field="8" count="1" selected="0">
            <x v="0"/>
          </reference>
          <reference field="9" count="1" selected="0">
            <x v="2"/>
          </reference>
        </references>
      </pivotArea>
    </chartFormat>
    <chartFormat chart="0" format="21" series="1">
      <pivotArea type="data" outline="0" fieldPosition="0">
        <references count="3">
          <reference field="4294967294" count="1" selected="0">
            <x v="0"/>
          </reference>
          <reference field="8" count="1" selected="0">
            <x v="2"/>
          </reference>
          <reference field="9" count="1" selected="0">
            <x v="1"/>
          </reference>
        </references>
      </pivotArea>
    </chartFormat>
    <chartFormat chart="0" format="22" series="1">
      <pivotArea type="data" outline="0" fieldPosition="0">
        <references count="3">
          <reference field="4294967294" count="1" selected="0">
            <x v="0"/>
          </reference>
          <reference field="8" count="1" selected="0">
            <x v="2"/>
          </reference>
          <reference field="9" count="1" selected="0">
            <x v="2"/>
          </reference>
        </references>
      </pivotArea>
    </chartFormat>
    <chartFormat chart="0" format="23" series="1">
      <pivotArea type="data" outline="0" fieldPosition="0">
        <references count="3">
          <reference field="4294967294" count="1" selected="0">
            <x v="0"/>
          </reference>
          <reference field="8" count="1" selected="0">
            <x v="3"/>
          </reference>
          <reference field="9" count="1" selected="0">
            <x v="1"/>
          </reference>
        </references>
      </pivotArea>
    </chartFormat>
    <chartFormat chart="0" format="24" series="1">
      <pivotArea type="data" outline="0" fieldPosition="0">
        <references count="3">
          <reference field="4294967294" count="1" selected="0">
            <x v="0"/>
          </reference>
          <reference field="8" count="1" selected="0">
            <x v="3"/>
          </reference>
          <reference field="9" count="1" selected="0">
            <x v="2"/>
          </reference>
        </references>
      </pivotArea>
    </chartFormat>
    <chartFormat chart="0" format="2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86934A34-43E1-49E4-855F-A75A4863A523}" name="pt.generic_add_data17" cacheId="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I23" firstHeaderRow="1" firstDataRow="3" firstDataCol="2" rowPageCount="5" colPageCount="1"/>
  <pivotFields count="12">
    <pivotField axis="axisRow" compact="0" outline="0" subtotalTop="0" showAll="0" defaultSubtotal="0">
      <items count="2">
        <item x="0"/>
        <item x="1"/>
      </items>
    </pivotField>
    <pivotField axis="axisRow" compact="0" outline="0" subtotalTop="0" showAll="0">
      <items count="15">
        <item x="0"/>
        <item x="1"/>
        <item x="2"/>
        <item x="3"/>
        <item x="4"/>
        <item x="5"/>
        <item x="6"/>
        <item x="7"/>
        <item x="11"/>
        <item x="12"/>
        <item x="8"/>
        <item x="9"/>
        <item x="10"/>
        <item x="13"/>
        <item t="default"/>
      </items>
    </pivotField>
    <pivotField axis="axisPage" compact="0" outline="0" subtotalTop="0" multipleItemSelectionAllowed="1" showAll="0">
      <items count="3">
        <item h="1" x="1"/>
        <item x="0"/>
        <item t="default"/>
      </items>
    </pivotField>
    <pivotField axis="axisPage" compact="0" outline="0" subtotalTop="0" multipleItemSelectionAllowed="1" showAll="0">
      <items count="3">
        <item x="1"/>
        <item x="0"/>
        <item t="default"/>
      </items>
    </pivotField>
    <pivotField axis="axisPage" compact="0" outline="0" subtotalTop="0" multipleItemSelectionAllowed="1" showAll="0">
      <items count="6">
        <item x="4"/>
        <item x="0"/>
        <item x="1"/>
        <item x="3"/>
        <item x="2"/>
        <item t="default"/>
      </items>
    </pivotField>
    <pivotField compact="0" outline="0" subtotalTop="0" showAll="0"/>
    <pivotField axis="axisPage" compact="0" outline="0" subtotalTop="0" multipleItemSelectionAllowed="1" showAll="0">
      <items count="5">
        <item x="3"/>
        <item x="1"/>
        <item x="0"/>
        <item x="2"/>
        <item t="default"/>
      </items>
    </pivotField>
    <pivotField compact="0" outline="0" subtotalTop="0" showAll="0"/>
    <pivotField axis="axisCol" compact="0" outline="0" subtotalTop="0" showAll="0" sortType="descending" defaultSubtotal="0">
      <items count="5">
        <item x="1"/>
        <item h="1" x="3"/>
        <item x="2"/>
        <item x="0"/>
        <item h="1" x="4"/>
      </items>
    </pivotField>
    <pivotField axis="axisCol" compact="0" outline="0" subtotalTop="0" showAll="0">
      <items count="7">
        <item h="1" x="5"/>
        <item x="0"/>
        <item x="4"/>
        <item h="1" x="1"/>
        <item h="1" x="3"/>
        <item h="1" x="2"/>
        <item t="default"/>
      </items>
    </pivotField>
    <pivotField dataField="1" compact="0" outline="0" subtotalTop="0" showAll="0"/>
    <pivotField axis="axisPage" compact="0" outline="0" subtotalTop="0" multipleItemSelectionAllowed="1" showAll="0">
      <items count="3">
        <item h="1" x="1"/>
        <item x="0"/>
        <item t="default"/>
      </items>
    </pivotField>
  </pivotFields>
  <rowFields count="2">
    <field x="0"/>
    <field x="1"/>
  </rowFields>
  <rowItems count="14">
    <i>
      <x/>
      <x/>
    </i>
    <i r="1">
      <x v="1"/>
    </i>
    <i r="1">
      <x v="2"/>
    </i>
    <i r="1">
      <x v="3"/>
    </i>
    <i r="1">
      <x v="4"/>
    </i>
    <i r="1">
      <x v="5"/>
    </i>
    <i r="1">
      <x v="6"/>
    </i>
    <i r="1">
      <x v="7"/>
    </i>
    <i r="1">
      <x v="8"/>
    </i>
    <i r="1">
      <x v="9"/>
    </i>
    <i r="1">
      <x v="10"/>
    </i>
    <i r="1">
      <x v="11"/>
    </i>
    <i r="1">
      <x v="12"/>
    </i>
    <i t="grand">
      <x/>
    </i>
  </rowItems>
  <colFields count="2">
    <field x="8"/>
    <field x="9"/>
  </colFields>
  <colItems count="7">
    <i>
      <x/>
      <x v="1"/>
    </i>
    <i r="1">
      <x v="2"/>
    </i>
    <i>
      <x v="2"/>
      <x v="1"/>
    </i>
    <i r="1">
      <x v="2"/>
    </i>
    <i>
      <x v="3"/>
      <x v="1"/>
    </i>
    <i r="1">
      <x v="2"/>
    </i>
    <i t="grand">
      <x/>
    </i>
  </colItems>
  <pageFields count="5">
    <pageField fld="2" hier="-1"/>
    <pageField fld="6" hier="-1"/>
    <pageField fld="3" hier="-1"/>
    <pageField fld="4" hier="-1"/>
    <pageField fld="11" hier="-1"/>
  </pageFields>
  <dataFields count="1">
    <dataField name="Sum of Hodnota" fld="10" baseField="0" baseItem="0"/>
  </dataFields>
  <chartFormats count="7">
    <chartFormat chart="0" format="19" series="1">
      <pivotArea type="data" outline="0" fieldPosition="0">
        <references count="3">
          <reference field="4294967294" count="1" selected="0">
            <x v="0"/>
          </reference>
          <reference field="8" count="1" selected="0">
            <x v="0"/>
          </reference>
          <reference field="9" count="1" selected="0">
            <x v="1"/>
          </reference>
        </references>
      </pivotArea>
    </chartFormat>
    <chartFormat chart="0" format="20" series="1">
      <pivotArea type="data" outline="0" fieldPosition="0">
        <references count="3">
          <reference field="4294967294" count="1" selected="0">
            <x v="0"/>
          </reference>
          <reference field="8" count="1" selected="0">
            <x v="0"/>
          </reference>
          <reference field="9" count="1" selected="0">
            <x v="2"/>
          </reference>
        </references>
      </pivotArea>
    </chartFormat>
    <chartFormat chart="0" format="21" series="1">
      <pivotArea type="data" outline="0" fieldPosition="0">
        <references count="3">
          <reference field="4294967294" count="1" selected="0">
            <x v="0"/>
          </reference>
          <reference field="8" count="1" selected="0">
            <x v="2"/>
          </reference>
          <reference field="9" count="1" selected="0">
            <x v="1"/>
          </reference>
        </references>
      </pivotArea>
    </chartFormat>
    <chartFormat chart="0" format="22" series="1">
      <pivotArea type="data" outline="0" fieldPosition="0">
        <references count="3">
          <reference field="4294967294" count="1" selected="0">
            <x v="0"/>
          </reference>
          <reference field="8" count="1" selected="0">
            <x v="2"/>
          </reference>
          <reference field="9" count="1" selected="0">
            <x v="2"/>
          </reference>
        </references>
      </pivotArea>
    </chartFormat>
    <chartFormat chart="0" format="23" series="1">
      <pivotArea type="data" outline="0" fieldPosition="0">
        <references count="3">
          <reference field="4294967294" count="1" selected="0">
            <x v="0"/>
          </reference>
          <reference field="8" count="1" selected="0">
            <x v="3"/>
          </reference>
          <reference field="9" count="1" selected="0">
            <x v="1"/>
          </reference>
        </references>
      </pivotArea>
    </chartFormat>
    <chartFormat chart="0" format="24" series="1">
      <pivotArea type="data" outline="0" fieldPosition="0">
        <references count="3">
          <reference field="4294967294" count="1" selected="0">
            <x v="0"/>
          </reference>
          <reference field="8" count="1" selected="0">
            <x v="3"/>
          </reference>
          <reference field="9" count="1" selected="0">
            <x v="2"/>
          </reference>
        </references>
      </pivotArea>
    </chartFormat>
    <chartFormat chart="0" format="2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2F8F5F29-5C3D-4691-91D8-C0170D2805BD}" name="pt.generic_add_data18" cacheId="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I23" firstHeaderRow="1" firstDataRow="3" firstDataCol="2" rowPageCount="5" colPageCount="1"/>
  <pivotFields count="12">
    <pivotField axis="axisRow" compact="0" outline="0" subtotalTop="0" showAll="0" defaultSubtotal="0">
      <items count="2">
        <item x="0"/>
        <item x="1"/>
      </items>
    </pivotField>
    <pivotField axis="axisRow" compact="0" outline="0" subtotalTop="0" showAll="0">
      <items count="15">
        <item x="0"/>
        <item x="1"/>
        <item x="2"/>
        <item x="3"/>
        <item x="4"/>
        <item x="5"/>
        <item x="6"/>
        <item x="7"/>
        <item x="11"/>
        <item x="12"/>
        <item x="8"/>
        <item x="9"/>
        <item x="10"/>
        <item x="13"/>
        <item t="default"/>
      </items>
    </pivotField>
    <pivotField axis="axisPage" compact="0" outline="0" subtotalTop="0" multipleItemSelectionAllowed="1" showAll="0">
      <items count="3">
        <item h="1" x="1"/>
        <item x="0"/>
        <item t="default"/>
      </items>
    </pivotField>
    <pivotField axis="axisPage" compact="0" outline="0" subtotalTop="0" multipleItemSelectionAllowed="1" showAll="0">
      <items count="3">
        <item x="1"/>
        <item x="0"/>
        <item t="default"/>
      </items>
    </pivotField>
    <pivotField axis="axisPage" compact="0" outline="0" subtotalTop="0" multipleItemSelectionAllowed="1" showAll="0">
      <items count="6">
        <item x="4"/>
        <item x="0"/>
        <item x="1"/>
        <item x="3"/>
        <item x="2"/>
        <item t="default"/>
      </items>
    </pivotField>
    <pivotField compact="0" outline="0" subtotalTop="0" showAll="0"/>
    <pivotField axis="axisPage" compact="0" outline="0" subtotalTop="0" multipleItemSelectionAllowed="1" showAll="0">
      <items count="5">
        <item x="3"/>
        <item x="1"/>
        <item x="0"/>
        <item x="2"/>
        <item t="default"/>
      </items>
    </pivotField>
    <pivotField compact="0" outline="0" subtotalTop="0" showAll="0"/>
    <pivotField axis="axisCol" compact="0" outline="0" subtotalTop="0" showAll="0" sortType="descending" defaultSubtotal="0">
      <items count="5">
        <item x="1"/>
        <item h="1" x="3"/>
        <item x="2"/>
        <item x="0"/>
        <item h="1" x="4"/>
      </items>
    </pivotField>
    <pivotField axis="axisCol" compact="0" outline="0" subtotalTop="0" showAll="0">
      <items count="7">
        <item h="1" x="5"/>
        <item x="0"/>
        <item x="4"/>
        <item h="1" x="1"/>
        <item h="1" x="3"/>
        <item h="1" x="2"/>
        <item t="default"/>
      </items>
    </pivotField>
    <pivotField dataField="1" compact="0" outline="0" subtotalTop="0" showAll="0"/>
    <pivotField axis="axisPage" compact="0" outline="0" subtotalTop="0" multipleItemSelectionAllowed="1" showAll="0">
      <items count="3">
        <item h="1" x="1"/>
        <item x="0"/>
        <item t="default"/>
      </items>
    </pivotField>
  </pivotFields>
  <rowFields count="2">
    <field x="0"/>
    <field x="1"/>
  </rowFields>
  <rowItems count="14">
    <i>
      <x/>
      <x/>
    </i>
    <i r="1">
      <x v="1"/>
    </i>
    <i r="1">
      <x v="2"/>
    </i>
    <i r="1">
      <x v="3"/>
    </i>
    <i r="1">
      <x v="4"/>
    </i>
    <i r="1">
      <x v="5"/>
    </i>
    <i r="1">
      <x v="6"/>
    </i>
    <i r="1">
      <x v="7"/>
    </i>
    <i r="1">
      <x v="8"/>
    </i>
    <i r="1">
      <x v="9"/>
    </i>
    <i r="1">
      <x v="10"/>
    </i>
    <i r="1">
      <x v="11"/>
    </i>
    <i r="1">
      <x v="12"/>
    </i>
    <i t="grand">
      <x/>
    </i>
  </rowItems>
  <colFields count="2">
    <field x="8"/>
    <field x="9"/>
  </colFields>
  <colItems count="7">
    <i>
      <x/>
      <x v="1"/>
    </i>
    <i r="1">
      <x v="2"/>
    </i>
    <i>
      <x v="2"/>
      <x v="1"/>
    </i>
    <i r="1">
      <x v="2"/>
    </i>
    <i>
      <x v="3"/>
      <x v="1"/>
    </i>
    <i r="1">
      <x v="2"/>
    </i>
    <i t="grand">
      <x/>
    </i>
  </colItems>
  <pageFields count="5">
    <pageField fld="2" hier="-1"/>
    <pageField fld="6" hier="-1"/>
    <pageField fld="3" hier="-1"/>
    <pageField fld="4" hier="-1"/>
    <pageField fld="11" hier="-1"/>
  </pageFields>
  <dataFields count="1">
    <dataField name="Sum of Hodnota" fld="10" baseField="0" baseItem="0"/>
  </dataFields>
  <chartFormats count="7">
    <chartFormat chart="0" format="19" series="1">
      <pivotArea type="data" outline="0" fieldPosition="0">
        <references count="3">
          <reference field="4294967294" count="1" selected="0">
            <x v="0"/>
          </reference>
          <reference field="8" count="1" selected="0">
            <x v="0"/>
          </reference>
          <reference field="9" count="1" selected="0">
            <x v="1"/>
          </reference>
        </references>
      </pivotArea>
    </chartFormat>
    <chartFormat chart="0" format="20" series="1">
      <pivotArea type="data" outline="0" fieldPosition="0">
        <references count="3">
          <reference field="4294967294" count="1" selected="0">
            <x v="0"/>
          </reference>
          <reference field="8" count="1" selected="0">
            <x v="0"/>
          </reference>
          <reference field="9" count="1" selected="0">
            <x v="2"/>
          </reference>
        </references>
      </pivotArea>
    </chartFormat>
    <chartFormat chart="0" format="21" series="1">
      <pivotArea type="data" outline="0" fieldPosition="0">
        <references count="3">
          <reference field="4294967294" count="1" selected="0">
            <x v="0"/>
          </reference>
          <reference field="8" count="1" selected="0">
            <x v="2"/>
          </reference>
          <reference field="9" count="1" selected="0">
            <x v="1"/>
          </reference>
        </references>
      </pivotArea>
    </chartFormat>
    <chartFormat chart="0" format="22" series="1">
      <pivotArea type="data" outline="0" fieldPosition="0">
        <references count="3">
          <reference field="4294967294" count="1" selected="0">
            <x v="0"/>
          </reference>
          <reference field="8" count="1" selected="0">
            <x v="2"/>
          </reference>
          <reference field="9" count="1" selected="0">
            <x v="2"/>
          </reference>
        </references>
      </pivotArea>
    </chartFormat>
    <chartFormat chart="0" format="23" series="1">
      <pivotArea type="data" outline="0" fieldPosition="0">
        <references count="3">
          <reference field="4294967294" count="1" selected="0">
            <x v="0"/>
          </reference>
          <reference field="8" count="1" selected="0">
            <x v="3"/>
          </reference>
          <reference field="9" count="1" selected="0">
            <x v="1"/>
          </reference>
        </references>
      </pivotArea>
    </chartFormat>
    <chartFormat chart="0" format="24" series="1">
      <pivotArea type="data" outline="0" fieldPosition="0">
        <references count="3">
          <reference field="4294967294" count="1" selected="0">
            <x v="0"/>
          </reference>
          <reference field="8" count="1" selected="0">
            <x v="3"/>
          </reference>
          <reference field="9" count="1" selected="0">
            <x v="2"/>
          </reference>
        </references>
      </pivotArea>
    </chartFormat>
    <chartFormat chart="0" format="2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56A88F32-7D6A-4987-B793-AB7156314ED1}" name="pt.generic_add_data19" cacheId="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I23" firstHeaderRow="1" firstDataRow="3" firstDataCol="2" rowPageCount="5" colPageCount="1"/>
  <pivotFields count="12">
    <pivotField axis="axisRow" compact="0" outline="0" subtotalTop="0" showAll="0" defaultSubtotal="0">
      <items count="2">
        <item x="0"/>
        <item x="1"/>
      </items>
    </pivotField>
    <pivotField axis="axisRow" compact="0" outline="0" subtotalTop="0" showAll="0">
      <items count="15">
        <item x="0"/>
        <item x="1"/>
        <item x="2"/>
        <item x="3"/>
        <item x="4"/>
        <item x="5"/>
        <item x="6"/>
        <item x="7"/>
        <item x="11"/>
        <item x="12"/>
        <item x="8"/>
        <item x="9"/>
        <item x="10"/>
        <item x="13"/>
        <item t="default"/>
      </items>
    </pivotField>
    <pivotField axis="axisPage" compact="0" outline="0" subtotalTop="0" multipleItemSelectionAllowed="1" showAll="0">
      <items count="3">
        <item h="1" x="1"/>
        <item x="0"/>
        <item t="default"/>
      </items>
    </pivotField>
    <pivotField axis="axisPage" compact="0" outline="0" subtotalTop="0" multipleItemSelectionAllowed="1" showAll="0">
      <items count="3">
        <item x="1"/>
        <item x="0"/>
        <item t="default"/>
      </items>
    </pivotField>
    <pivotField axis="axisPage" compact="0" outline="0" subtotalTop="0" multipleItemSelectionAllowed="1" showAll="0">
      <items count="6">
        <item x="4"/>
        <item x="0"/>
        <item x="1"/>
        <item x="3"/>
        <item x="2"/>
        <item t="default"/>
      </items>
    </pivotField>
    <pivotField compact="0" outline="0" subtotalTop="0" showAll="0"/>
    <pivotField axis="axisPage" compact="0" outline="0" subtotalTop="0" multipleItemSelectionAllowed="1" showAll="0">
      <items count="5">
        <item x="3"/>
        <item x="1"/>
        <item x="0"/>
        <item x="2"/>
        <item t="default"/>
      </items>
    </pivotField>
    <pivotField compact="0" outline="0" subtotalTop="0" showAll="0"/>
    <pivotField axis="axisCol" compact="0" outline="0" subtotalTop="0" showAll="0" sortType="descending" defaultSubtotal="0">
      <items count="5">
        <item x="1"/>
        <item h="1" x="3"/>
        <item x="2"/>
        <item x="0"/>
        <item h="1" x="4"/>
      </items>
    </pivotField>
    <pivotField axis="axisCol" compact="0" outline="0" subtotalTop="0" showAll="0">
      <items count="7">
        <item h="1" x="5"/>
        <item x="0"/>
        <item x="4"/>
        <item h="1" x="1"/>
        <item h="1" x="3"/>
        <item h="1" x="2"/>
        <item t="default"/>
      </items>
    </pivotField>
    <pivotField dataField="1" compact="0" outline="0" subtotalTop="0" showAll="0"/>
    <pivotField axis="axisPage" compact="0" outline="0" subtotalTop="0" multipleItemSelectionAllowed="1" showAll="0">
      <items count="3">
        <item h="1" x="1"/>
        <item x="0"/>
        <item t="default"/>
      </items>
    </pivotField>
  </pivotFields>
  <rowFields count="2">
    <field x="0"/>
    <field x="1"/>
  </rowFields>
  <rowItems count="14">
    <i>
      <x/>
      <x/>
    </i>
    <i r="1">
      <x v="1"/>
    </i>
    <i r="1">
      <x v="2"/>
    </i>
    <i r="1">
      <x v="3"/>
    </i>
    <i r="1">
      <x v="4"/>
    </i>
    <i r="1">
      <x v="5"/>
    </i>
    <i r="1">
      <x v="6"/>
    </i>
    <i r="1">
      <x v="7"/>
    </i>
    <i r="1">
      <x v="8"/>
    </i>
    <i r="1">
      <x v="9"/>
    </i>
    <i r="1">
      <x v="10"/>
    </i>
    <i r="1">
      <x v="11"/>
    </i>
    <i r="1">
      <x v="12"/>
    </i>
    <i t="grand">
      <x/>
    </i>
  </rowItems>
  <colFields count="2">
    <field x="8"/>
    <field x="9"/>
  </colFields>
  <colItems count="7">
    <i>
      <x/>
      <x v="1"/>
    </i>
    <i r="1">
      <x v="2"/>
    </i>
    <i>
      <x v="2"/>
      <x v="1"/>
    </i>
    <i r="1">
      <x v="2"/>
    </i>
    <i>
      <x v="3"/>
      <x v="1"/>
    </i>
    <i r="1">
      <x v="2"/>
    </i>
    <i t="grand">
      <x/>
    </i>
  </colItems>
  <pageFields count="5">
    <pageField fld="2" hier="-1"/>
    <pageField fld="6" hier="-1"/>
    <pageField fld="3" hier="-1"/>
    <pageField fld="4" hier="-1"/>
    <pageField fld="11" hier="-1"/>
  </pageFields>
  <dataFields count="1">
    <dataField name="Sum of Hodnota" fld="10" baseField="0" baseItem="0"/>
  </dataFields>
  <chartFormats count="7">
    <chartFormat chart="0" format="19" series="1">
      <pivotArea type="data" outline="0" fieldPosition="0">
        <references count="3">
          <reference field="4294967294" count="1" selected="0">
            <x v="0"/>
          </reference>
          <reference field="8" count="1" selected="0">
            <x v="0"/>
          </reference>
          <reference field="9" count="1" selected="0">
            <x v="1"/>
          </reference>
        </references>
      </pivotArea>
    </chartFormat>
    <chartFormat chart="0" format="20" series="1">
      <pivotArea type="data" outline="0" fieldPosition="0">
        <references count="3">
          <reference field="4294967294" count="1" selected="0">
            <x v="0"/>
          </reference>
          <reference field="8" count="1" selected="0">
            <x v="0"/>
          </reference>
          <reference field="9" count="1" selected="0">
            <x v="2"/>
          </reference>
        </references>
      </pivotArea>
    </chartFormat>
    <chartFormat chart="0" format="21" series="1">
      <pivotArea type="data" outline="0" fieldPosition="0">
        <references count="3">
          <reference field="4294967294" count="1" selected="0">
            <x v="0"/>
          </reference>
          <reference field="8" count="1" selected="0">
            <x v="2"/>
          </reference>
          <reference field="9" count="1" selected="0">
            <x v="1"/>
          </reference>
        </references>
      </pivotArea>
    </chartFormat>
    <chartFormat chart="0" format="22" series="1">
      <pivotArea type="data" outline="0" fieldPosition="0">
        <references count="3">
          <reference field="4294967294" count="1" selected="0">
            <x v="0"/>
          </reference>
          <reference field="8" count="1" selected="0">
            <x v="2"/>
          </reference>
          <reference field="9" count="1" selected="0">
            <x v="2"/>
          </reference>
        </references>
      </pivotArea>
    </chartFormat>
    <chartFormat chart="0" format="23" series="1">
      <pivotArea type="data" outline="0" fieldPosition="0">
        <references count="3">
          <reference field="4294967294" count="1" selected="0">
            <x v="0"/>
          </reference>
          <reference field="8" count="1" selected="0">
            <x v="3"/>
          </reference>
          <reference field="9" count="1" selected="0">
            <x v="1"/>
          </reference>
        </references>
      </pivotArea>
    </chartFormat>
    <chartFormat chart="0" format="24" series="1">
      <pivotArea type="data" outline="0" fieldPosition="0">
        <references count="3">
          <reference field="4294967294" count="1" selected="0">
            <x v="0"/>
          </reference>
          <reference field="8" count="1" selected="0">
            <x v="3"/>
          </reference>
          <reference field="9" count="1" selected="0">
            <x v="2"/>
          </reference>
        </references>
      </pivotArea>
    </chartFormat>
    <chartFormat chart="0" format="2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8A608B26-F41B-4629-903F-ADCA69CC5649}" name="pt.generic_add_data20" cacheId="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I23" firstHeaderRow="1" firstDataRow="3" firstDataCol="2" rowPageCount="5" colPageCount="1"/>
  <pivotFields count="12">
    <pivotField axis="axisRow" compact="0" outline="0" subtotalTop="0" showAll="0" defaultSubtotal="0">
      <items count="2">
        <item x="0"/>
        <item x="1"/>
      </items>
    </pivotField>
    <pivotField axis="axisRow" compact="0" outline="0" subtotalTop="0" showAll="0">
      <items count="15">
        <item x="0"/>
        <item x="1"/>
        <item x="2"/>
        <item x="3"/>
        <item x="4"/>
        <item x="5"/>
        <item x="6"/>
        <item x="7"/>
        <item x="11"/>
        <item x="12"/>
        <item x="8"/>
        <item x="9"/>
        <item x="10"/>
        <item x="13"/>
        <item t="default"/>
      </items>
    </pivotField>
    <pivotField axis="axisPage" compact="0" outline="0" subtotalTop="0" multipleItemSelectionAllowed="1" showAll="0">
      <items count="3">
        <item h="1" x="1"/>
        <item x="0"/>
        <item t="default"/>
      </items>
    </pivotField>
    <pivotField axis="axisPage" compact="0" outline="0" subtotalTop="0" multipleItemSelectionAllowed="1" showAll="0">
      <items count="3">
        <item x="1"/>
        <item x="0"/>
        <item t="default"/>
      </items>
    </pivotField>
    <pivotField axis="axisPage" compact="0" outline="0" subtotalTop="0" multipleItemSelectionAllowed="1" showAll="0">
      <items count="6">
        <item x="4"/>
        <item x="0"/>
        <item x="1"/>
        <item x="3"/>
        <item x="2"/>
        <item t="default"/>
      </items>
    </pivotField>
    <pivotField compact="0" outline="0" subtotalTop="0" showAll="0"/>
    <pivotField axis="axisPage" compact="0" outline="0" subtotalTop="0" multipleItemSelectionAllowed="1" showAll="0">
      <items count="5">
        <item x="3"/>
        <item x="1"/>
        <item x="0"/>
        <item x="2"/>
        <item t="default"/>
      </items>
    </pivotField>
    <pivotField compact="0" outline="0" subtotalTop="0" showAll="0"/>
    <pivotField axis="axisCol" compact="0" outline="0" subtotalTop="0" showAll="0" sortType="descending" defaultSubtotal="0">
      <items count="5">
        <item x="1"/>
        <item h="1" x="3"/>
        <item x="2"/>
        <item x="0"/>
        <item h="1" x="4"/>
      </items>
    </pivotField>
    <pivotField axis="axisCol" compact="0" outline="0" subtotalTop="0" showAll="0">
      <items count="7">
        <item h="1" x="5"/>
        <item x="0"/>
        <item x="4"/>
        <item h="1" x="1"/>
        <item h="1" x="3"/>
        <item h="1" x="2"/>
        <item t="default"/>
      </items>
    </pivotField>
    <pivotField dataField="1" compact="0" outline="0" subtotalTop="0" showAll="0"/>
    <pivotField axis="axisPage" compact="0" outline="0" subtotalTop="0" multipleItemSelectionAllowed="1" showAll="0">
      <items count="3">
        <item h="1" x="1"/>
        <item x="0"/>
        <item t="default"/>
      </items>
    </pivotField>
  </pivotFields>
  <rowFields count="2">
    <field x="0"/>
    <field x="1"/>
  </rowFields>
  <rowItems count="14">
    <i>
      <x/>
      <x/>
    </i>
    <i r="1">
      <x v="1"/>
    </i>
    <i r="1">
      <x v="2"/>
    </i>
    <i r="1">
      <x v="3"/>
    </i>
    <i r="1">
      <x v="4"/>
    </i>
    <i r="1">
      <x v="5"/>
    </i>
    <i r="1">
      <x v="6"/>
    </i>
    <i r="1">
      <x v="7"/>
    </i>
    <i r="1">
      <x v="8"/>
    </i>
    <i r="1">
      <x v="9"/>
    </i>
    <i r="1">
      <x v="10"/>
    </i>
    <i r="1">
      <x v="11"/>
    </i>
    <i r="1">
      <x v="12"/>
    </i>
    <i t="grand">
      <x/>
    </i>
  </rowItems>
  <colFields count="2">
    <field x="8"/>
    <field x="9"/>
  </colFields>
  <colItems count="7">
    <i>
      <x/>
      <x v="1"/>
    </i>
    <i r="1">
      <x v="2"/>
    </i>
    <i>
      <x v="2"/>
      <x v="1"/>
    </i>
    <i r="1">
      <x v="2"/>
    </i>
    <i>
      <x v="3"/>
      <x v="1"/>
    </i>
    <i r="1">
      <x v="2"/>
    </i>
    <i t="grand">
      <x/>
    </i>
  </colItems>
  <pageFields count="5">
    <pageField fld="2" hier="-1"/>
    <pageField fld="6" hier="-1"/>
    <pageField fld="3" hier="-1"/>
    <pageField fld="4" hier="-1"/>
    <pageField fld="11" hier="-1"/>
  </pageFields>
  <dataFields count="1">
    <dataField name="Sum of Hodnota" fld="10" baseField="0" baseItem="0"/>
  </dataFields>
  <chartFormats count="7">
    <chartFormat chart="0" format="19" series="1">
      <pivotArea type="data" outline="0" fieldPosition="0">
        <references count="3">
          <reference field="4294967294" count="1" selected="0">
            <x v="0"/>
          </reference>
          <reference field="8" count="1" selected="0">
            <x v="0"/>
          </reference>
          <reference field="9" count="1" selected="0">
            <x v="1"/>
          </reference>
        </references>
      </pivotArea>
    </chartFormat>
    <chartFormat chart="0" format="20" series="1">
      <pivotArea type="data" outline="0" fieldPosition="0">
        <references count="3">
          <reference field="4294967294" count="1" selected="0">
            <x v="0"/>
          </reference>
          <reference field="8" count="1" selected="0">
            <x v="0"/>
          </reference>
          <reference field="9" count="1" selected="0">
            <x v="2"/>
          </reference>
        </references>
      </pivotArea>
    </chartFormat>
    <chartFormat chart="0" format="21" series="1">
      <pivotArea type="data" outline="0" fieldPosition="0">
        <references count="3">
          <reference field="4294967294" count="1" selected="0">
            <x v="0"/>
          </reference>
          <reference field="8" count="1" selected="0">
            <x v="2"/>
          </reference>
          <reference field="9" count="1" selected="0">
            <x v="1"/>
          </reference>
        </references>
      </pivotArea>
    </chartFormat>
    <chartFormat chart="0" format="22" series="1">
      <pivotArea type="data" outline="0" fieldPosition="0">
        <references count="3">
          <reference field="4294967294" count="1" selected="0">
            <x v="0"/>
          </reference>
          <reference field="8" count="1" selected="0">
            <x v="2"/>
          </reference>
          <reference field="9" count="1" selected="0">
            <x v="2"/>
          </reference>
        </references>
      </pivotArea>
    </chartFormat>
    <chartFormat chart="0" format="23" series="1">
      <pivotArea type="data" outline="0" fieldPosition="0">
        <references count="3">
          <reference field="4294967294" count="1" selected="0">
            <x v="0"/>
          </reference>
          <reference field="8" count="1" selected="0">
            <x v="3"/>
          </reference>
          <reference field="9" count="1" selected="0">
            <x v="1"/>
          </reference>
        </references>
      </pivotArea>
    </chartFormat>
    <chartFormat chart="0" format="24" series="1">
      <pivotArea type="data" outline="0" fieldPosition="0">
        <references count="3">
          <reference field="4294967294" count="1" selected="0">
            <x v="0"/>
          </reference>
          <reference field="8" count="1" selected="0">
            <x v="3"/>
          </reference>
          <reference field="9" count="1" selected="0">
            <x v="2"/>
          </reference>
        </references>
      </pivotArea>
    </chartFormat>
    <chartFormat chart="0" format="2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93482A64-033D-4BF9-916A-B1B14371ECDA}" name="pt.generic_add_data21" cacheId="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B8:D10" firstHeaderRow="1" firstDataRow="2" firstDataCol="2" rowPageCount="6" colPageCount="1"/>
  <pivotFields count="12">
    <pivotField axis="axisRow" compact="0" outline="0" subtotalTop="0" showAll="0" defaultSubtotal="0">
      <items count="2">
        <item x="0"/>
        <item x="1"/>
      </items>
    </pivotField>
    <pivotField axis="axisRow" compact="0" outline="0" subtotalTop="0" showAll="0">
      <items count="15">
        <item x="0"/>
        <item x="1"/>
        <item x="2"/>
        <item x="3"/>
        <item x="4"/>
        <item x="5"/>
        <item x="6"/>
        <item x="7"/>
        <item x="11"/>
        <item x="12"/>
        <item x="8"/>
        <item x="9"/>
        <item x="10"/>
        <item x="13"/>
        <item t="default"/>
      </items>
    </pivotField>
    <pivotField axis="axisPage" compact="0" outline="0" subtotalTop="0" multipleItemSelectionAllowed="1" showAll="0">
      <items count="3">
        <item h="1" x="1"/>
        <item x="0"/>
        <item t="default"/>
      </items>
    </pivotField>
    <pivotField axis="axisPage" compact="0" outline="0" subtotalTop="0" multipleItemSelectionAllowed="1" showAll="0">
      <items count="3">
        <item x="1"/>
        <item h="1" x="0"/>
        <item t="default"/>
      </items>
    </pivotField>
    <pivotField axis="axisPage" compact="0" outline="0" subtotalTop="0" multipleItemSelectionAllowed="1" showAll="0">
      <items count="6">
        <item x="4"/>
        <item h="1" x="0"/>
        <item h="1" x="1"/>
        <item h="1" x="3"/>
        <item h="1" x="2"/>
        <item t="default"/>
      </items>
    </pivotField>
    <pivotField axis="axisPage" compact="0" outline="0" subtotalTop="0" multipleItemSelectionAllowed="1" showAll="0">
      <items count="4">
        <item x="2"/>
        <item h="1" x="0"/>
        <item h="1" x="1"/>
        <item t="default"/>
      </items>
    </pivotField>
    <pivotField axis="axisPage" compact="0" outline="0" subtotalTop="0" multipleItemSelectionAllowed="1" showAll="0">
      <items count="5">
        <item h="1" x="3"/>
        <item h="1" x="1"/>
        <item x="0"/>
        <item h="1" x="2"/>
        <item t="default"/>
      </items>
    </pivotField>
    <pivotField compact="0" outline="0" subtotalTop="0" showAll="0"/>
    <pivotField compact="0" outline="0" subtotalTop="0" showAll="0"/>
    <pivotField axis="axisCol" compact="0" outline="0" subtotalTop="0" showAll="0">
      <items count="7">
        <item h="1" x="5"/>
        <item x="0"/>
        <item h="1" x="4"/>
        <item h="1" x="1"/>
        <item h="1" x="3"/>
        <item x="2"/>
        <item t="default"/>
      </items>
    </pivotField>
    <pivotField dataField="1" compact="0" outline="0" subtotalTop="0" showAll="0"/>
    <pivotField axis="axisPage" compact="0" outline="0" subtotalTop="0" multipleItemSelectionAllowed="1" showAll="0">
      <items count="3">
        <item h="1" x="1"/>
        <item x="0"/>
        <item t="default"/>
      </items>
    </pivotField>
  </pivotFields>
  <rowFields count="2">
    <field x="0"/>
    <field x="1"/>
  </rowFields>
  <rowItems count="1">
    <i t="grand">
      <x/>
    </i>
  </rowItems>
  <colFields count="1">
    <field x="9"/>
  </colFields>
  <colItems count="1">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3">
    <chartFormat chart="0" format="13" series="1">
      <pivotArea type="data" outline="0" fieldPosition="0">
        <references count="2">
          <reference field="4294967294" count="1" selected="0">
            <x v="0"/>
          </reference>
          <reference field="9" count="1" selected="0">
            <x v="1"/>
          </reference>
        </references>
      </pivotArea>
    </chartFormat>
    <chartFormat chart="0" format="14" series="1">
      <pivotArea type="data" outline="0" fieldPosition="0">
        <references count="2">
          <reference field="4294967294" count="1" selected="0">
            <x v="0"/>
          </reference>
          <reference field="9" count="1" selected="0">
            <x v="5"/>
          </reference>
        </references>
      </pivotArea>
    </chartFormat>
    <chartFormat chart="0" format="1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xmlns:mc="http://schemas.openxmlformats.org/markup-compatibility/2006" xmlns:xr="http://schemas.microsoft.com/office/spreadsheetml/2014/revision" mc:Ignorable="xr" xr:uid="{45E1924A-F169-4C92-B436-7D63D8ABFECA}" name="pt.generic_add_data22" cacheId="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C10" firstHeaderRow="1" firstDataRow="2" firstDataCol="2" rowPageCount="6" colPageCount="1"/>
  <pivotFields count="12">
    <pivotField axis="axisRow" compact="0" outline="0" subtotalTop="0" showAll="0" defaultSubtotal="0">
      <items count="2">
        <item x="0"/>
        <item x="1"/>
      </items>
    </pivotField>
    <pivotField axis="axisRow" compact="0" outline="0" subtotalTop="0" showAll="0">
      <items count="15">
        <item x="0"/>
        <item x="1"/>
        <item x="2"/>
        <item x="3"/>
        <item x="4"/>
        <item x="5"/>
        <item x="6"/>
        <item x="7"/>
        <item x="11"/>
        <item x="12"/>
        <item x="8"/>
        <item x="9"/>
        <item x="10"/>
        <item x="13"/>
        <item t="default"/>
      </items>
    </pivotField>
    <pivotField axis="axisPage" compact="0" outline="0" subtotalTop="0" multipleItemSelectionAllowed="1" showAll="0">
      <items count="3">
        <item h="1" x="1"/>
        <item x="0"/>
        <item t="default"/>
      </items>
    </pivotField>
    <pivotField axis="axisPage" compact="0" outline="0" subtotalTop="0" multipleItemSelectionAllowed="1" showAll="0">
      <items count="3">
        <item x="1"/>
        <item h="1" x="0"/>
        <item t="default"/>
      </items>
    </pivotField>
    <pivotField axis="axisPage" compact="0" outline="0" subtotalTop="0" multipleItemSelectionAllowed="1" showAll="0">
      <items count="6">
        <item x="4"/>
        <item h="1" x="0"/>
        <item h="1" x="1"/>
        <item h="1" x="3"/>
        <item h="1" x="2"/>
        <item t="default"/>
      </items>
    </pivotField>
    <pivotField axis="axisPage" compact="0" outline="0" subtotalTop="0" multipleItemSelectionAllowed="1" showAll="0">
      <items count="4">
        <item x="2"/>
        <item h="1" x="0"/>
        <item h="1" x="1"/>
        <item t="default"/>
      </items>
    </pivotField>
    <pivotField axis="axisPage" compact="0" outline="0" subtotalTop="0" multipleItemSelectionAllowed="1" showAll="0">
      <items count="5">
        <item h="1" x="3"/>
        <item h="1" x="1"/>
        <item x="0"/>
        <item h="1" x="2"/>
        <item t="default"/>
      </items>
    </pivotField>
    <pivotField compact="0" outline="0" subtotalTop="0" showAll="0"/>
    <pivotField compact="0" outline="0" subtotalTop="0" showAll="0"/>
    <pivotField axis="axisCol" compact="0" outline="0" subtotalTop="0" showAll="0">
      <items count="7">
        <item h="1" x="5"/>
        <item x="0"/>
        <item h="1" x="4"/>
        <item h="1" x="1"/>
        <item h="1" x="3"/>
        <item x="2"/>
        <item t="default"/>
      </items>
    </pivotField>
    <pivotField dataField="1" compact="0" outline="0" subtotalTop="0" showAll="0"/>
    <pivotField axis="axisPage" compact="0" outline="0" subtotalTop="0" multipleItemSelectionAllowed="1" showAll="0">
      <items count="3">
        <item h="1" x="1"/>
        <item x="0"/>
        <item t="default"/>
      </items>
    </pivotField>
  </pivotFields>
  <rowFields count="2">
    <field x="0"/>
    <field x="1"/>
  </rowFields>
  <rowItems count="1">
    <i t="grand">
      <x/>
    </i>
  </rowItems>
  <colFields count="1">
    <field x="9"/>
  </colFields>
  <colItems count="1">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3">
    <chartFormat chart="0" format="13" series="1">
      <pivotArea type="data" outline="0" fieldPosition="0">
        <references count="2">
          <reference field="4294967294" count="1" selected="0">
            <x v="0"/>
          </reference>
          <reference field="9" count="1" selected="0">
            <x v="1"/>
          </reference>
        </references>
      </pivotArea>
    </chartFormat>
    <chartFormat chart="0" format="14" series="1">
      <pivotArea type="data" outline="0" fieldPosition="0">
        <references count="2">
          <reference field="4294967294" count="1" selected="0">
            <x v="0"/>
          </reference>
          <reference field="9" count="1" selected="0">
            <x v="5"/>
          </reference>
        </references>
      </pivotArea>
    </chartFormat>
    <chartFormat chart="0" format="1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xmlns:mc="http://schemas.openxmlformats.org/markup-compatibility/2006" xmlns:xr="http://schemas.microsoft.com/office/spreadsheetml/2014/revision" mc:Ignorable="xr" xr:uid="{808DE64E-E526-4FD1-8F26-B4FF4E5AFB3D}" name="pt.generic_add_data23" cacheId="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C10" firstHeaderRow="1" firstDataRow="2" firstDataCol="2" rowPageCount="6" colPageCount="1"/>
  <pivotFields count="12">
    <pivotField axis="axisRow" compact="0" outline="0" subtotalTop="0" showAll="0" defaultSubtotal="0">
      <items count="2">
        <item x="0"/>
        <item x="1"/>
      </items>
    </pivotField>
    <pivotField axis="axisRow" compact="0" outline="0" subtotalTop="0" showAll="0">
      <items count="15">
        <item x="0"/>
        <item x="1"/>
        <item x="2"/>
        <item x="3"/>
        <item x="4"/>
        <item x="5"/>
        <item x="6"/>
        <item x="7"/>
        <item x="11"/>
        <item x="12"/>
        <item x="8"/>
        <item x="9"/>
        <item x="10"/>
        <item x="13"/>
        <item t="default"/>
      </items>
    </pivotField>
    <pivotField axis="axisPage" compact="0" outline="0" subtotalTop="0" multipleItemSelectionAllowed="1" showAll="0">
      <items count="3">
        <item h="1" x="1"/>
        <item x="0"/>
        <item t="default"/>
      </items>
    </pivotField>
    <pivotField axis="axisPage" compact="0" outline="0" subtotalTop="0" multipleItemSelectionAllowed="1" showAll="0">
      <items count="3">
        <item x="1"/>
        <item h="1" x="0"/>
        <item t="default"/>
      </items>
    </pivotField>
    <pivotField axis="axisPage" compact="0" outline="0" subtotalTop="0" multipleItemSelectionAllowed="1" showAll="0">
      <items count="6">
        <item x="4"/>
        <item h="1" x="0"/>
        <item h="1" x="1"/>
        <item h="1" x="3"/>
        <item h="1" x="2"/>
        <item t="default"/>
      </items>
    </pivotField>
    <pivotField axis="axisPage" compact="0" outline="0" subtotalTop="0" multipleItemSelectionAllowed="1" showAll="0">
      <items count="4">
        <item x="2"/>
        <item h="1" x="0"/>
        <item h="1" x="1"/>
        <item t="default"/>
      </items>
    </pivotField>
    <pivotField axis="axisPage" compact="0" outline="0" subtotalTop="0" multipleItemSelectionAllowed="1" showAll="0">
      <items count="5">
        <item h="1" x="3"/>
        <item h="1" x="1"/>
        <item x="0"/>
        <item h="1" x="2"/>
        <item t="default"/>
      </items>
    </pivotField>
    <pivotField compact="0" outline="0" subtotalTop="0" showAll="0"/>
    <pivotField compact="0" outline="0" subtotalTop="0" showAll="0"/>
    <pivotField axis="axisCol" compact="0" outline="0" subtotalTop="0" showAll="0">
      <items count="7">
        <item h="1" x="5"/>
        <item x="0"/>
        <item h="1" x="4"/>
        <item h="1" x="1"/>
        <item h="1" x="3"/>
        <item x="2"/>
        <item t="default"/>
      </items>
    </pivotField>
    <pivotField dataField="1" compact="0" outline="0" subtotalTop="0" showAll="0"/>
    <pivotField axis="axisPage" compact="0" outline="0" subtotalTop="0" multipleItemSelectionAllowed="1" showAll="0">
      <items count="3">
        <item h="1" x="1"/>
        <item x="0"/>
        <item t="default"/>
      </items>
    </pivotField>
  </pivotFields>
  <rowFields count="2">
    <field x="0"/>
    <field x="1"/>
  </rowFields>
  <rowItems count="1">
    <i t="grand">
      <x/>
    </i>
  </rowItems>
  <colFields count="1">
    <field x="9"/>
  </colFields>
  <colItems count="1">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3">
    <chartFormat chart="0" format="13" series="1">
      <pivotArea type="data" outline="0" fieldPosition="0">
        <references count="2">
          <reference field="4294967294" count="1" selected="0">
            <x v="0"/>
          </reference>
          <reference field="9" count="1" selected="0">
            <x v="1"/>
          </reference>
        </references>
      </pivotArea>
    </chartFormat>
    <chartFormat chart="0" format="14" series="1">
      <pivotArea type="data" outline="0" fieldPosition="0">
        <references count="2">
          <reference field="4294967294" count="1" selected="0">
            <x v="0"/>
          </reference>
          <reference field="9" count="1" selected="0">
            <x v="5"/>
          </reference>
        </references>
      </pivotArea>
    </chartFormat>
    <chartFormat chart="0" format="1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xmlns:mc="http://schemas.openxmlformats.org/markup-compatibility/2006" xmlns:xr="http://schemas.microsoft.com/office/spreadsheetml/2014/revision" mc:Ignorable="xr" xr:uid="{C2CE003D-4B21-4BDD-8231-CE50339DBF64}" name="pt.generic_add_data24" cacheId="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C10" firstHeaderRow="1" firstDataRow="2" firstDataCol="2" rowPageCount="6" colPageCount="1"/>
  <pivotFields count="12">
    <pivotField axis="axisRow" compact="0" outline="0" subtotalTop="0" showAll="0" defaultSubtotal="0">
      <items count="2">
        <item x="0"/>
        <item x="1"/>
      </items>
    </pivotField>
    <pivotField axis="axisRow" compact="0" outline="0" subtotalTop="0" showAll="0">
      <items count="15">
        <item x="0"/>
        <item x="1"/>
        <item x="2"/>
        <item x="3"/>
        <item x="4"/>
        <item x="5"/>
        <item x="6"/>
        <item x="7"/>
        <item x="11"/>
        <item x="12"/>
        <item x="8"/>
        <item x="9"/>
        <item x="10"/>
        <item x="13"/>
        <item t="default"/>
      </items>
    </pivotField>
    <pivotField axis="axisPage" compact="0" outline="0" subtotalTop="0" multipleItemSelectionAllowed="1" showAll="0">
      <items count="3">
        <item h="1" x="1"/>
        <item x="0"/>
        <item t="default"/>
      </items>
    </pivotField>
    <pivotField axis="axisPage" compact="0" outline="0" subtotalTop="0" multipleItemSelectionAllowed="1" showAll="0">
      <items count="3">
        <item x="1"/>
        <item h="1" x="0"/>
        <item t="default"/>
      </items>
    </pivotField>
    <pivotField axis="axisPage" compact="0" outline="0" subtotalTop="0" multipleItemSelectionAllowed="1" showAll="0">
      <items count="6">
        <item x="4"/>
        <item h="1" x="0"/>
        <item h="1" x="1"/>
        <item h="1" x="3"/>
        <item h="1" x="2"/>
        <item t="default"/>
      </items>
    </pivotField>
    <pivotField axis="axisPage" compact="0" outline="0" subtotalTop="0" multipleItemSelectionAllowed="1" showAll="0">
      <items count="4">
        <item x="2"/>
        <item h="1" x="0"/>
        <item h="1" x="1"/>
        <item t="default"/>
      </items>
    </pivotField>
    <pivotField axis="axisPage" compact="0" outline="0" subtotalTop="0" multipleItemSelectionAllowed="1" showAll="0">
      <items count="5">
        <item x="3"/>
        <item x="1"/>
        <item x="0"/>
        <item x="2"/>
        <item t="default"/>
      </items>
    </pivotField>
    <pivotField compact="0" outline="0" subtotalTop="0" showAll="0"/>
    <pivotField compact="0" outline="0" subtotalTop="0" showAll="0"/>
    <pivotField axis="axisCol" compact="0" outline="0" subtotalTop="0" showAll="0">
      <items count="7">
        <item h="1" x="5"/>
        <item x="0"/>
        <item h="1" x="4"/>
        <item h="1" x="1"/>
        <item h="1" x="3"/>
        <item x="2"/>
        <item t="default"/>
      </items>
    </pivotField>
    <pivotField dataField="1" compact="0" outline="0" subtotalTop="0" showAll="0"/>
    <pivotField axis="axisPage" compact="0" outline="0" subtotalTop="0" multipleItemSelectionAllowed="1" showAll="0">
      <items count="3">
        <item h="1" x="1"/>
        <item x="0"/>
        <item t="default"/>
      </items>
    </pivotField>
  </pivotFields>
  <rowFields count="2">
    <field x="0"/>
    <field x="1"/>
  </rowFields>
  <rowItems count="1">
    <i t="grand">
      <x/>
    </i>
  </rowItems>
  <colFields count="1">
    <field x="9"/>
  </colFields>
  <colItems count="1">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1">
    <chartFormat chart="0" format="13"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xmlns:mc="http://schemas.openxmlformats.org/markup-compatibility/2006" xmlns:xr="http://schemas.microsoft.com/office/spreadsheetml/2014/revision" mc:Ignorable="xr" xr:uid="{6746F67E-C7C7-450C-92DB-06A4833C0AD3}" name="pt.generic_add_data25" cacheId="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E23" firstHeaderRow="1" firstDataRow="2" firstDataCol="2" rowPageCount="6" colPageCount="1"/>
  <pivotFields count="12">
    <pivotField axis="axisRow" compact="0" outline="0" subtotalTop="0" showAll="0" defaultSubtotal="0">
      <items count="2">
        <item x="0"/>
        <item x="1"/>
      </items>
    </pivotField>
    <pivotField axis="axisRow" compact="0" outline="0" subtotalTop="0" showAll="0">
      <items count="15">
        <item x="0"/>
        <item x="1"/>
        <item x="2"/>
        <item x="3"/>
        <item x="4"/>
        <item x="5"/>
        <item x="6"/>
        <item x="7"/>
        <item x="11"/>
        <item x="12"/>
        <item x="8"/>
        <item x="9"/>
        <item x="10"/>
        <item x="13"/>
        <item t="default"/>
      </items>
    </pivotField>
    <pivotField axis="axisPage" compact="0" outline="0" subtotalTop="0" multipleItemSelectionAllowed="1" showAll="0">
      <items count="3">
        <item h="1" x="1"/>
        <item x="0"/>
        <item t="default"/>
      </items>
    </pivotField>
    <pivotField axis="axisPage" compact="0" outline="0" subtotalTop="0" multipleItemSelectionAllowed="1" showAll="0">
      <items count="3">
        <item x="1"/>
        <item x="0"/>
        <item t="default"/>
      </items>
    </pivotField>
    <pivotField axis="axisPage" compact="0" outline="0" subtotalTop="0" multipleItemSelectionAllowed="1" showAll="0">
      <items count="6">
        <item x="4"/>
        <item x="0"/>
        <item x="1"/>
        <item x="3"/>
        <item x="2"/>
        <item t="default"/>
      </items>
    </pivotField>
    <pivotField axis="axisPage" compact="0" outline="0" subtotalTop="0" multipleItemSelectionAllowed="1" showAll="0">
      <items count="4">
        <item x="2"/>
        <item x="0"/>
        <item x="1"/>
        <item t="default"/>
      </items>
    </pivotField>
    <pivotField axis="axisPage" compact="0" outline="0" subtotalTop="0" multipleItemSelectionAllowed="1" showAll="0">
      <items count="5">
        <item x="3"/>
        <item x="1"/>
        <item x="0"/>
        <item x="2"/>
        <item t="default"/>
      </items>
    </pivotField>
    <pivotField compact="0" outline="0" subtotalTop="0" showAll="0"/>
    <pivotField compact="0" outline="0" subtotalTop="0" showAll="0"/>
    <pivotField axis="axisCol" compact="0" outline="0" subtotalTop="0" showAll="0">
      <items count="7">
        <item h="1" x="5"/>
        <item x="0"/>
        <item h="1" x="4"/>
        <item h="1" x="1"/>
        <item h="1" x="3"/>
        <item x="2"/>
        <item t="default"/>
      </items>
    </pivotField>
    <pivotField dataField="1" compact="0" outline="0" subtotalTop="0" showAll="0"/>
    <pivotField axis="axisPage" compact="0" outline="0" subtotalTop="0" multipleItemSelectionAllowed="1" showAll="0">
      <items count="3">
        <item h="1" x="1"/>
        <item x="0"/>
        <item t="default"/>
      </items>
    </pivotField>
  </pivotFields>
  <rowFields count="2">
    <field x="0"/>
    <field x="1"/>
  </rowFields>
  <rowItems count="14">
    <i>
      <x/>
      <x/>
    </i>
    <i r="1">
      <x v="1"/>
    </i>
    <i r="1">
      <x v="2"/>
    </i>
    <i r="1">
      <x v="3"/>
    </i>
    <i r="1">
      <x v="4"/>
    </i>
    <i r="1">
      <x v="5"/>
    </i>
    <i r="1">
      <x v="6"/>
    </i>
    <i r="1">
      <x v="7"/>
    </i>
    <i r="1">
      <x v="8"/>
    </i>
    <i r="1">
      <x v="9"/>
    </i>
    <i r="1">
      <x v="10"/>
    </i>
    <i r="1">
      <x v="11"/>
    </i>
    <i r="1">
      <x v="12"/>
    </i>
    <i t="grand">
      <x/>
    </i>
  </rowItems>
  <colFields count="1">
    <field x="9"/>
  </colFields>
  <colItems count="3">
    <i>
      <x v="1"/>
    </i>
    <i>
      <x v="5"/>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3">
    <chartFormat chart="0" format="13" series="1">
      <pivotArea type="data" outline="0" fieldPosition="0">
        <references count="2">
          <reference field="4294967294" count="1" selected="0">
            <x v="0"/>
          </reference>
          <reference field="9" count="1" selected="0">
            <x v="1"/>
          </reference>
        </references>
      </pivotArea>
    </chartFormat>
    <chartFormat chart="0" format="14" series="1">
      <pivotArea type="data" outline="0" fieldPosition="0">
        <references count="2">
          <reference field="4294967294" count="1" selected="0">
            <x v="0"/>
          </reference>
          <reference field="9" count="1" selected="0">
            <x v="5"/>
          </reference>
        </references>
      </pivotArea>
    </chartFormat>
    <chartFormat chart="0" format="1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xmlns:mc="http://schemas.openxmlformats.org/markup-compatibility/2006" xmlns:xr="http://schemas.microsoft.com/office/spreadsheetml/2014/revision" mc:Ignorable="xr" xr:uid="{681019B4-84F8-4551-BEDE-71FD04EC277D}" name="pt.generic_add_data26" cacheId="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E23" firstHeaderRow="1" firstDataRow="2" firstDataCol="2" rowPageCount="6" colPageCount="1"/>
  <pivotFields count="12">
    <pivotField axis="axisRow" compact="0" outline="0" subtotalTop="0" showAll="0" defaultSubtotal="0">
      <items count="2">
        <item x="0"/>
        <item x="1"/>
      </items>
    </pivotField>
    <pivotField axis="axisRow" compact="0" outline="0" subtotalTop="0" showAll="0">
      <items count="15">
        <item x="0"/>
        <item x="1"/>
        <item x="2"/>
        <item x="3"/>
        <item x="4"/>
        <item x="5"/>
        <item x="6"/>
        <item x="7"/>
        <item x="11"/>
        <item x="12"/>
        <item x="8"/>
        <item x="9"/>
        <item x="10"/>
        <item x="13"/>
        <item t="default"/>
      </items>
    </pivotField>
    <pivotField axis="axisPage" compact="0" outline="0" subtotalTop="0" multipleItemSelectionAllowed="1" showAll="0">
      <items count="3">
        <item h="1" x="1"/>
        <item x="0"/>
        <item t="default"/>
      </items>
    </pivotField>
    <pivotField axis="axisPage" compact="0" outline="0" subtotalTop="0" multipleItemSelectionAllowed="1" showAll="0">
      <items count="3">
        <item x="1"/>
        <item x="0"/>
        <item t="default"/>
      </items>
    </pivotField>
    <pivotField axis="axisPage" compact="0" outline="0" subtotalTop="0" multipleItemSelectionAllowed="1" showAll="0">
      <items count="6">
        <item x="4"/>
        <item x="0"/>
        <item x="1"/>
        <item x="3"/>
        <item x="2"/>
        <item t="default"/>
      </items>
    </pivotField>
    <pivotField axis="axisPage" compact="0" outline="0" subtotalTop="0" multipleItemSelectionAllowed="1" showAll="0">
      <items count="4">
        <item x="2"/>
        <item x="0"/>
        <item x="1"/>
        <item t="default"/>
      </items>
    </pivotField>
    <pivotField axis="axisPage" compact="0" outline="0" subtotalTop="0" multipleItemSelectionAllowed="1" showAll="0">
      <items count="5">
        <item x="3"/>
        <item x="1"/>
        <item x="0"/>
        <item x="2"/>
        <item t="default"/>
      </items>
    </pivotField>
    <pivotField compact="0" outline="0" subtotalTop="0" showAll="0"/>
    <pivotField compact="0" outline="0" subtotalTop="0" showAll="0"/>
    <pivotField axis="axisCol" compact="0" outline="0" subtotalTop="0" showAll="0">
      <items count="7">
        <item h="1" x="5"/>
        <item x="0"/>
        <item h="1" x="4"/>
        <item h="1" x="1"/>
        <item h="1" x="3"/>
        <item x="2"/>
        <item t="default"/>
      </items>
    </pivotField>
    <pivotField dataField="1" compact="0" outline="0" subtotalTop="0" showAll="0"/>
    <pivotField axis="axisPage" compact="0" outline="0" subtotalTop="0" multipleItemSelectionAllowed="1" showAll="0">
      <items count="3">
        <item h="1" x="1"/>
        <item x="0"/>
        <item t="default"/>
      </items>
    </pivotField>
  </pivotFields>
  <rowFields count="2">
    <field x="0"/>
    <field x="1"/>
  </rowFields>
  <rowItems count="14">
    <i>
      <x/>
      <x/>
    </i>
    <i r="1">
      <x v="1"/>
    </i>
    <i r="1">
      <x v="2"/>
    </i>
    <i r="1">
      <x v="3"/>
    </i>
    <i r="1">
      <x v="4"/>
    </i>
    <i r="1">
      <x v="5"/>
    </i>
    <i r="1">
      <x v="6"/>
    </i>
    <i r="1">
      <x v="7"/>
    </i>
    <i r="1">
      <x v="8"/>
    </i>
    <i r="1">
      <x v="9"/>
    </i>
    <i r="1">
      <x v="10"/>
    </i>
    <i r="1">
      <x v="11"/>
    </i>
    <i r="1">
      <x v="12"/>
    </i>
    <i t="grand">
      <x/>
    </i>
  </rowItems>
  <colFields count="1">
    <field x="9"/>
  </colFields>
  <colItems count="3">
    <i>
      <x v="1"/>
    </i>
    <i>
      <x v="5"/>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3">
    <chartFormat chart="0" format="13" series="1">
      <pivotArea type="data" outline="0" fieldPosition="0">
        <references count="2">
          <reference field="4294967294" count="1" selected="0">
            <x v="0"/>
          </reference>
          <reference field="9" count="1" selected="0">
            <x v="1"/>
          </reference>
        </references>
      </pivotArea>
    </chartFormat>
    <chartFormat chart="0" format="14" series="1">
      <pivotArea type="data" outline="0" fieldPosition="0">
        <references count="2">
          <reference field="4294967294" count="1" selected="0">
            <x v="0"/>
          </reference>
          <reference field="9" count="1" selected="0">
            <x v="5"/>
          </reference>
        </references>
      </pivotArea>
    </chartFormat>
    <chartFormat chart="0" format="1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1.xml><?xml version="1.0" encoding="utf-8"?>
<pivotTableDefinition xmlns="http://schemas.openxmlformats.org/spreadsheetml/2006/main" xmlns:mc="http://schemas.openxmlformats.org/markup-compatibility/2006" xmlns:xr="http://schemas.microsoft.com/office/spreadsheetml/2014/revision" mc:Ignorable="xr" xr:uid="{8D92DEAC-89CA-43B4-A11A-5DE196084C03}" name="pt.generic_add_data27" cacheId="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E23" firstHeaderRow="1" firstDataRow="2" firstDataCol="2" rowPageCount="6" colPageCount="1"/>
  <pivotFields count="12">
    <pivotField axis="axisRow" compact="0" outline="0" subtotalTop="0" showAll="0" defaultSubtotal="0">
      <items count="2">
        <item x="0"/>
        <item x="1"/>
      </items>
    </pivotField>
    <pivotField axis="axisRow" compact="0" outline="0" subtotalTop="0" showAll="0">
      <items count="15">
        <item x="0"/>
        <item x="1"/>
        <item x="2"/>
        <item x="3"/>
        <item x="4"/>
        <item x="5"/>
        <item x="6"/>
        <item x="7"/>
        <item x="11"/>
        <item x="12"/>
        <item x="8"/>
        <item x="9"/>
        <item x="10"/>
        <item x="13"/>
        <item t="default"/>
      </items>
    </pivotField>
    <pivotField axis="axisPage" compact="0" outline="0" subtotalTop="0" multipleItemSelectionAllowed="1" showAll="0">
      <items count="3">
        <item h="1" x="1"/>
        <item x="0"/>
        <item t="default"/>
      </items>
    </pivotField>
    <pivotField axis="axisPage" compact="0" outline="0" subtotalTop="0" multipleItemSelectionAllowed="1" showAll="0">
      <items count="3">
        <item x="1"/>
        <item x="0"/>
        <item t="default"/>
      </items>
    </pivotField>
    <pivotField axis="axisPage" compact="0" outline="0" subtotalTop="0" multipleItemSelectionAllowed="1" showAll="0">
      <items count="6">
        <item x="4"/>
        <item x="0"/>
        <item x="1"/>
        <item x="3"/>
        <item x="2"/>
        <item t="default"/>
      </items>
    </pivotField>
    <pivotField axis="axisPage" compact="0" outline="0" subtotalTop="0" multipleItemSelectionAllowed="1" showAll="0">
      <items count="4">
        <item x="2"/>
        <item x="0"/>
        <item x="1"/>
        <item t="default"/>
      </items>
    </pivotField>
    <pivotField axis="axisPage" compact="0" outline="0" subtotalTop="0" multipleItemSelectionAllowed="1" showAll="0">
      <items count="5">
        <item x="3"/>
        <item x="1"/>
        <item x="0"/>
        <item x="2"/>
        <item t="default"/>
      </items>
    </pivotField>
    <pivotField compact="0" outline="0" subtotalTop="0" showAll="0"/>
    <pivotField compact="0" outline="0" subtotalTop="0" showAll="0"/>
    <pivotField axis="axisCol" compact="0" outline="0" subtotalTop="0" showAll="0">
      <items count="7">
        <item h="1" x="5"/>
        <item x="0"/>
        <item h="1" x="4"/>
        <item h="1" x="1"/>
        <item h="1" x="3"/>
        <item x="2"/>
        <item t="default"/>
      </items>
    </pivotField>
    <pivotField dataField="1" compact="0" outline="0" subtotalTop="0" showAll="0"/>
    <pivotField axis="axisPage" compact="0" outline="0" subtotalTop="0" multipleItemSelectionAllowed="1" showAll="0">
      <items count="3">
        <item h="1" x="1"/>
        <item x="0"/>
        <item t="default"/>
      </items>
    </pivotField>
  </pivotFields>
  <rowFields count="2">
    <field x="0"/>
    <field x="1"/>
  </rowFields>
  <rowItems count="14">
    <i>
      <x/>
      <x/>
    </i>
    <i r="1">
      <x v="1"/>
    </i>
    <i r="1">
      <x v="2"/>
    </i>
    <i r="1">
      <x v="3"/>
    </i>
    <i r="1">
      <x v="4"/>
    </i>
    <i r="1">
      <x v="5"/>
    </i>
    <i r="1">
      <x v="6"/>
    </i>
    <i r="1">
      <x v="7"/>
    </i>
    <i r="1">
      <x v="8"/>
    </i>
    <i r="1">
      <x v="9"/>
    </i>
    <i r="1">
      <x v="10"/>
    </i>
    <i r="1">
      <x v="11"/>
    </i>
    <i r="1">
      <x v="12"/>
    </i>
    <i t="grand">
      <x/>
    </i>
  </rowItems>
  <colFields count="1">
    <field x="9"/>
  </colFields>
  <colItems count="3">
    <i>
      <x v="1"/>
    </i>
    <i>
      <x v="5"/>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3">
    <chartFormat chart="0" format="13" series="1">
      <pivotArea type="data" outline="0" fieldPosition="0">
        <references count="2">
          <reference field="4294967294" count="1" selected="0">
            <x v="0"/>
          </reference>
          <reference field="9" count="1" selected="0">
            <x v="1"/>
          </reference>
        </references>
      </pivotArea>
    </chartFormat>
    <chartFormat chart="0" format="14" series="1">
      <pivotArea type="data" outline="0" fieldPosition="0">
        <references count="2">
          <reference field="4294967294" count="1" selected="0">
            <x v="0"/>
          </reference>
          <reference field="9" count="1" selected="0">
            <x v="5"/>
          </reference>
        </references>
      </pivotArea>
    </chartFormat>
    <chartFormat chart="0" format="1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2.xml><?xml version="1.0" encoding="utf-8"?>
<pivotTableDefinition xmlns="http://schemas.openxmlformats.org/spreadsheetml/2006/main" xmlns:mc="http://schemas.openxmlformats.org/markup-compatibility/2006" xmlns:xr="http://schemas.microsoft.com/office/spreadsheetml/2014/revision" mc:Ignorable="xr" xr:uid="{3403E413-2A28-4788-8703-1C083802679D}" name="pt.generic_add_data28" cacheId="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E23" firstHeaderRow="1" firstDataRow="2" firstDataCol="2" rowPageCount="6" colPageCount="1"/>
  <pivotFields count="12">
    <pivotField axis="axisRow" compact="0" outline="0" subtotalTop="0" showAll="0" defaultSubtotal="0">
      <items count="2">
        <item x="0"/>
        <item x="1"/>
      </items>
    </pivotField>
    <pivotField axis="axisRow" compact="0" outline="0" subtotalTop="0" showAll="0">
      <items count="15">
        <item x="0"/>
        <item x="1"/>
        <item x="2"/>
        <item x="3"/>
        <item x="4"/>
        <item x="5"/>
        <item x="6"/>
        <item x="7"/>
        <item x="11"/>
        <item x="12"/>
        <item x="8"/>
        <item x="9"/>
        <item x="10"/>
        <item x="13"/>
        <item t="default"/>
      </items>
    </pivotField>
    <pivotField axis="axisPage" compact="0" outline="0" subtotalTop="0" multipleItemSelectionAllowed="1" showAll="0">
      <items count="3">
        <item h="1" x="1"/>
        <item x="0"/>
        <item t="default"/>
      </items>
    </pivotField>
    <pivotField axis="axisPage" compact="0" outline="0" subtotalTop="0" multipleItemSelectionAllowed="1" showAll="0">
      <items count="3">
        <item x="1"/>
        <item x="0"/>
        <item t="default"/>
      </items>
    </pivotField>
    <pivotField axis="axisPage" compact="0" outline="0" subtotalTop="0" multipleItemSelectionAllowed="1" showAll="0">
      <items count="6">
        <item x="4"/>
        <item x="0"/>
        <item x="1"/>
        <item x="3"/>
        <item x="2"/>
        <item t="default"/>
      </items>
    </pivotField>
    <pivotField axis="axisPage" compact="0" outline="0" subtotalTop="0" multipleItemSelectionAllowed="1" showAll="0">
      <items count="4">
        <item x="2"/>
        <item x="0"/>
        <item x="1"/>
        <item t="default"/>
      </items>
    </pivotField>
    <pivotField axis="axisPage" compact="0" outline="0" subtotalTop="0" multipleItemSelectionAllowed="1" showAll="0">
      <items count="5">
        <item x="3"/>
        <item x="1"/>
        <item x="0"/>
        <item x="2"/>
        <item t="default"/>
      </items>
    </pivotField>
    <pivotField compact="0" outline="0" subtotalTop="0" showAll="0"/>
    <pivotField compact="0" outline="0" subtotalTop="0" showAll="0"/>
    <pivotField axis="axisCol" compact="0" outline="0" subtotalTop="0" showAll="0">
      <items count="7">
        <item h="1" x="5"/>
        <item x="0"/>
        <item h="1" x="4"/>
        <item h="1" x="1"/>
        <item h="1" x="3"/>
        <item x="2"/>
        <item t="default"/>
      </items>
    </pivotField>
    <pivotField dataField="1" compact="0" outline="0" subtotalTop="0" showAll="0"/>
    <pivotField axis="axisPage" compact="0" outline="0" subtotalTop="0" multipleItemSelectionAllowed="1" showAll="0">
      <items count="3">
        <item h="1" x="1"/>
        <item x="0"/>
        <item t="default"/>
      </items>
    </pivotField>
  </pivotFields>
  <rowFields count="2">
    <field x="0"/>
    <field x="1"/>
  </rowFields>
  <rowItems count="14">
    <i>
      <x/>
      <x/>
    </i>
    <i r="1">
      <x v="1"/>
    </i>
    <i r="1">
      <x v="2"/>
    </i>
    <i r="1">
      <x v="3"/>
    </i>
    <i r="1">
      <x v="4"/>
    </i>
    <i r="1">
      <x v="5"/>
    </i>
    <i r="1">
      <x v="6"/>
    </i>
    <i r="1">
      <x v="7"/>
    </i>
    <i r="1">
      <x v="8"/>
    </i>
    <i r="1">
      <x v="9"/>
    </i>
    <i r="1">
      <x v="10"/>
    </i>
    <i r="1">
      <x v="11"/>
    </i>
    <i r="1">
      <x v="12"/>
    </i>
    <i t="grand">
      <x/>
    </i>
  </rowItems>
  <colFields count="1">
    <field x="9"/>
  </colFields>
  <colItems count="3">
    <i>
      <x v="1"/>
    </i>
    <i>
      <x v="5"/>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3">
    <chartFormat chart="0" format="13" series="1">
      <pivotArea type="data" outline="0" fieldPosition="0">
        <references count="2">
          <reference field="4294967294" count="1" selected="0">
            <x v="0"/>
          </reference>
          <reference field="9" count="1" selected="0">
            <x v="1"/>
          </reference>
        </references>
      </pivotArea>
    </chartFormat>
    <chartFormat chart="0" format="14" series="1">
      <pivotArea type="data" outline="0" fieldPosition="0">
        <references count="2">
          <reference field="4294967294" count="1" selected="0">
            <x v="0"/>
          </reference>
          <reference field="9" count="1" selected="0">
            <x v="5"/>
          </reference>
        </references>
      </pivotArea>
    </chartFormat>
    <chartFormat chart="0" format="1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3.xml><?xml version="1.0" encoding="utf-8"?>
<pivotTableDefinition xmlns="http://schemas.openxmlformats.org/spreadsheetml/2006/main" xmlns:mc="http://schemas.openxmlformats.org/markup-compatibility/2006" xmlns:xr="http://schemas.microsoft.com/office/spreadsheetml/2014/revision" mc:Ignorable="xr" xr:uid="{D24B2FD7-1478-43B2-9E97-BB7C0A5B3AA1}" name="pt.generic_add_data29" cacheId="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E23" firstHeaderRow="1" firstDataRow="2" firstDataCol="2" rowPageCount="6" colPageCount="1"/>
  <pivotFields count="12">
    <pivotField axis="axisRow" compact="0" outline="0" subtotalTop="0" showAll="0" defaultSubtotal="0">
      <items count="2">
        <item x="0"/>
        <item x="1"/>
      </items>
    </pivotField>
    <pivotField axis="axisRow" compact="0" outline="0" subtotalTop="0" showAll="0">
      <items count="15">
        <item x="0"/>
        <item x="1"/>
        <item x="2"/>
        <item x="3"/>
        <item x="4"/>
        <item x="5"/>
        <item x="6"/>
        <item x="7"/>
        <item x="11"/>
        <item x="12"/>
        <item x="8"/>
        <item x="9"/>
        <item x="10"/>
        <item x="13"/>
        <item t="default"/>
      </items>
    </pivotField>
    <pivotField axis="axisPage" compact="0" outline="0" subtotalTop="0" multipleItemSelectionAllowed="1" showAll="0">
      <items count="3">
        <item h="1" x="1"/>
        <item x="0"/>
        <item t="default"/>
      </items>
    </pivotField>
    <pivotField axis="axisPage" compact="0" outline="0" subtotalTop="0" multipleItemSelectionAllowed="1" showAll="0">
      <items count="3">
        <item x="1"/>
        <item x="0"/>
        <item t="default"/>
      </items>
    </pivotField>
    <pivotField axis="axisPage" compact="0" outline="0" subtotalTop="0" multipleItemSelectionAllowed="1" showAll="0">
      <items count="6">
        <item x="4"/>
        <item x="0"/>
        <item x="1"/>
        <item x="3"/>
        <item x="2"/>
        <item t="default"/>
      </items>
    </pivotField>
    <pivotField axis="axisPage" compact="0" outline="0" subtotalTop="0" multipleItemSelectionAllowed="1" showAll="0">
      <items count="4">
        <item x="2"/>
        <item x="0"/>
        <item x="1"/>
        <item t="default"/>
      </items>
    </pivotField>
    <pivotField axis="axisPage" compact="0" outline="0" subtotalTop="0" multipleItemSelectionAllowed="1" showAll="0">
      <items count="5">
        <item x="3"/>
        <item x="1"/>
        <item x="0"/>
        <item x="2"/>
        <item t="default"/>
      </items>
    </pivotField>
    <pivotField compact="0" outline="0" subtotalTop="0" showAll="0"/>
    <pivotField compact="0" outline="0" subtotalTop="0" showAll="0"/>
    <pivotField axis="axisCol" compact="0" outline="0" subtotalTop="0" showAll="0">
      <items count="7">
        <item h="1" x="5"/>
        <item x="0"/>
        <item h="1" x="4"/>
        <item h="1" x="1"/>
        <item h="1" x="3"/>
        <item x="2"/>
        <item t="default"/>
      </items>
    </pivotField>
    <pivotField dataField="1" compact="0" outline="0" subtotalTop="0" showAll="0"/>
    <pivotField axis="axisPage" compact="0" outline="0" subtotalTop="0" multipleItemSelectionAllowed="1" showAll="0">
      <items count="3">
        <item h="1" x="1"/>
        <item x="0"/>
        <item t="default"/>
      </items>
    </pivotField>
  </pivotFields>
  <rowFields count="2">
    <field x="0"/>
    <field x="1"/>
  </rowFields>
  <rowItems count="14">
    <i>
      <x/>
      <x/>
    </i>
    <i r="1">
      <x v="1"/>
    </i>
    <i r="1">
      <x v="2"/>
    </i>
    <i r="1">
      <x v="3"/>
    </i>
    <i r="1">
      <x v="4"/>
    </i>
    <i r="1">
      <x v="5"/>
    </i>
    <i r="1">
      <x v="6"/>
    </i>
    <i r="1">
      <x v="7"/>
    </i>
    <i r="1">
      <x v="8"/>
    </i>
    <i r="1">
      <x v="9"/>
    </i>
    <i r="1">
      <x v="10"/>
    </i>
    <i r="1">
      <x v="11"/>
    </i>
    <i r="1">
      <x v="12"/>
    </i>
    <i t="grand">
      <x/>
    </i>
  </rowItems>
  <colFields count="1">
    <field x="9"/>
  </colFields>
  <colItems count="3">
    <i>
      <x v="1"/>
    </i>
    <i>
      <x v="5"/>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3">
    <chartFormat chart="0" format="14" series="1">
      <pivotArea type="data" outline="0" fieldPosition="0">
        <references count="2">
          <reference field="4294967294" count="1" selected="0">
            <x v="0"/>
          </reference>
          <reference field="9" count="1" selected="0">
            <x v="1"/>
          </reference>
        </references>
      </pivotArea>
    </chartFormat>
    <chartFormat chart="0" format="15" series="1">
      <pivotArea type="data" outline="0" fieldPosition="0">
        <references count="2">
          <reference field="4294967294" count="1" selected="0">
            <x v="0"/>
          </reference>
          <reference field="9" count="1" selected="0">
            <x v="5"/>
          </reference>
        </references>
      </pivotArea>
    </chartFormat>
    <chartFormat chart="0" format="16"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4.xml><?xml version="1.0" encoding="utf-8"?>
<pivotTableDefinition xmlns="http://schemas.openxmlformats.org/spreadsheetml/2006/main" xmlns:mc="http://schemas.openxmlformats.org/markup-compatibility/2006" xmlns:xr="http://schemas.microsoft.com/office/spreadsheetml/2014/revision" mc:Ignorable="xr" xr:uid="{DF84D083-67A9-45BB-95D5-04BDEDDAD9E3}" name="pt.generic_add_data30" cacheId="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E23" firstHeaderRow="1" firstDataRow="2" firstDataCol="2" rowPageCount="6" colPageCount="1"/>
  <pivotFields count="12">
    <pivotField axis="axisRow" compact="0" outline="0" subtotalTop="0" showAll="0" defaultSubtotal="0">
      <items count="2">
        <item x="0"/>
        <item x="1"/>
      </items>
    </pivotField>
    <pivotField axis="axisRow" compact="0" outline="0" subtotalTop="0" showAll="0">
      <items count="15">
        <item x="0"/>
        <item x="1"/>
        <item x="2"/>
        <item x="3"/>
        <item x="4"/>
        <item x="5"/>
        <item x="6"/>
        <item x="7"/>
        <item x="11"/>
        <item x="12"/>
        <item x="8"/>
        <item x="9"/>
        <item x="10"/>
        <item x="13"/>
        <item t="default"/>
      </items>
    </pivotField>
    <pivotField axis="axisPage" compact="0" outline="0" subtotalTop="0" multipleItemSelectionAllowed="1" showAll="0">
      <items count="3">
        <item h="1" x="1"/>
        <item x="0"/>
        <item t="default"/>
      </items>
    </pivotField>
    <pivotField axis="axisPage" compact="0" outline="0" subtotalTop="0" multipleItemSelectionAllowed="1" showAll="0">
      <items count="3">
        <item x="1"/>
        <item x="0"/>
        <item t="default"/>
      </items>
    </pivotField>
    <pivotField axis="axisPage" compact="0" outline="0" subtotalTop="0" multipleItemSelectionAllowed="1" showAll="0">
      <items count="6">
        <item x="4"/>
        <item x="0"/>
        <item x="1"/>
        <item x="3"/>
        <item x="2"/>
        <item t="default"/>
      </items>
    </pivotField>
    <pivotField axis="axisPage" compact="0" outline="0" subtotalTop="0" multipleItemSelectionAllowed="1" showAll="0">
      <items count="4">
        <item x="2"/>
        <item x="0"/>
        <item x="1"/>
        <item t="default"/>
      </items>
    </pivotField>
    <pivotField axis="axisPage" compact="0" outline="0" subtotalTop="0" multipleItemSelectionAllowed="1" showAll="0">
      <items count="5">
        <item x="3"/>
        <item x="1"/>
        <item x="0"/>
        <item x="2"/>
        <item t="default"/>
      </items>
    </pivotField>
    <pivotField compact="0" outline="0" subtotalTop="0" showAll="0"/>
    <pivotField compact="0" outline="0" subtotalTop="0" showAll="0"/>
    <pivotField axis="axisCol" compact="0" outline="0" subtotalTop="0" showAll="0">
      <items count="7">
        <item h="1" x="5"/>
        <item x="0"/>
        <item h="1" x="4"/>
        <item h="1" x="1"/>
        <item h="1" x="3"/>
        <item x="2"/>
        <item t="default"/>
      </items>
    </pivotField>
    <pivotField dataField="1" compact="0" outline="0" subtotalTop="0" showAll="0"/>
    <pivotField axis="axisPage" compact="0" outline="0" subtotalTop="0" multipleItemSelectionAllowed="1" showAll="0">
      <items count="3">
        <item h="1" x="1"/>
        <item x="0"/>
        <item t="default"/>
      </items>
    </pivotField>
  </pivotFields>
  <rowFields count="2">
    <field x="0"/>
    <field x="1"/>
  </rowFields>
  <rowItems count="14">
    <i>
      <x/>
      <x/>
    </i>
    <i r="1">
      <x v="1"/>
    </i>
    <i r="1">
      <x v="2"/>
    </i>
    <i r="1">
      <x v="3"/>
    </i>
    <i r="1">
      <x v="4"/>
    </i>
    <i r="1">
      <x v="5"/>
    </i>
    <i r="1">
      <x v="6"/>
    </i>
    <i r="1">
      <x v="7"/>
    </i>
    <i r="1">
      <x v="8"/>
    </i>
    <i r="1">
      <x v="9"/>
    </i>
    <i r="1">
      <x v="10"/>
    </i>
    <i r="1">
      <x v="11"/>
    </i>
    <i r="1">
      <x v="12"/>
    </i>
    <i t="grand">
      <x/>
    </i>
  </rowItems>
  <colFields count="1">
    <field x="9"/>
  </colFields>
  <colItems count="3">
    <i>
      <x v="1"/>
    </i>
    <i>
      <x v="5"/>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3">
    <chartFormat chart="0" format="14" series="1">
      <pivotArea type="data" outline="0" fieldPosition="0">
        <references count="2">
          <reference field="4294967294" count="1" selected="0">
            <x v="0"/>
          </reference>
          <reference field="9" count="1" selected="0">
            <x v="1"/>
          </reference>
        </references>
      </pivotArea>
    </chartFormat>
    <chartFormat chart="0" format="15" series="1">
      <pivotArea type="data" outline="0" fieldPosition="0">
        <references count="2">
          <reference field="4294967294" count="1" selected="0">
            <x v="0"/>
          </reference>
          <reference field="9" count="1" selected="0">
            <x v="5"/>
          </reference>
        </references>
      </pivotArea>
    </chartFormat>
    <chartFormat chart="0" format="16"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um_D_N" xr10:uid="{B5F1203E-0D0E-4F54-B3A4-ADDE0399AC3B}" sourceName="Datum D/N">
  <pivotTables>
    <pivotTable tabId="13" name="pt.inbound_ppot_lvl1"/>
    <pivotTable tabId="14" name="pt.inbound_ppot_lvl2"/>
    <pivotTable tabId="15" name="pt.lvl3_generic_1"/>
    <pivotTable tabId="57" name="pt.lvl3_generic_10"/>
    <pivotTable tabId="16" name="pt.lvl3_generic_2"/>
    <pivotTable tabId="50" name="pt.lvl3_generic_3"/>
    <pivotTable tabId="51" name="pt.lvl3_generic_4"/>
    <pivotTable tabId="52" name="pt.lvl3_generic_5"/>
    <pivotTable tabId="53" name="pt.lvl3_generic_6"/>
    <pivotTable tabId="54" name="pt.lvl3_generic_7"/>
    <pivotTable tabId="55" name="pt.lvl3_generic_8"/>
    <pivotTable tabId="56" name="pt.lvl3_generic_9"/>
    <pivotTable tabId="58" name="pt.number_of_tasks"/>
  </pivotTables>
  <data>
    <tabular pivotCacheId="12">
      <items count="7">
        <i x="0" s="1"/>
        <i x="1" s="1"/>
        <i x="2" s="1"/>
        <i x="3" s="1"/>
        <i x="5" s="1"/>
        <i x="4" s="1"/>
        <i x="6"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měna" xr10:uid="{830628F8-73AD-4767-BB96-23589F37D56F}" sourceName="Směna">
  <pivotTables>
    <pivotTable tabId="13" name="pt.inbound_ppot_lvl1"/>
    <pivotTable tabId="14" name="pt.inbound_ppot_lvl2"/>
    <pivotTable tabId="15" name="pt.lvl3_generic_1"/>
    <pivotTable tabId="57" name="pt.lvl3_generic_10"/>
    <pivotTable tabId="16" name="pt.lvl3_generic_2"/>
    <pivotTable tabId="50" name="pt.lvl3_generic_3"/>
    <pivotTable tabId="51" name="pt.lvl3_generic_4"/>
    <pivotTable tabId="52" name="pt.lvl3_generic_5"/>
    <pivotTable tabId="53" name="pt.lvl3_generic_6"/>
    <pivotTable tabId="54" name="pt.lvl3_generic_7"/>
    <pivotTable tabId="55" name="pt.lvl3_generic_8"/>
    <pivotTable tabId="56" name="pt.lvl3_generic_9"/>
    <pivotTable tabId="58" name="pt.number_of_tasks"/>
  </pivotTables>
  <data>
    <tabular pivotCacheId="12">
      <items count="5">
        <i x="0" s="1"/>
        <i x="3" s="1"/>
        <i x="1" s="1"/>
        <i x="2" s="1"/>
        <i x="4"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um D/N" xr10:uid="{A9EB824C-9B82-4B18-BFF4-C1B1CFA0D3CE}" cache="Slicer_Datum_D_N" caption="Datum" startItem="3" rowHeight="241300"/>
  <slicer name="Směna" xr10:uid="{469263C0-8ACB-450A-A9ED-DB83CABC27AE}" cache="Slicer_Směna" caption="Směna"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13.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14.xml"/></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15.xml"/></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16.xml"/></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17.xm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18.xml"/></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19.xml"/></Relationships>
</file>

<file path=xl/worksheets/_rels/sheet22.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20.xml"/></Relationships>
</file>

<file path=xl/worksheets/_rels/sheet23.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21.xml"/></Relationships>
</file>

<file path=xl/worksheets/_rels/sheet24.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22.xml"/></Relationships>
</file>

<file path=xl/worksheets/_rels/sheet25.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23.xml"/></Relationships>
</file>

<file path=xl/worksheets/_rels/sheet26.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24.xml"/></Relationships>
</file>

<file path=xl/worksheets/_rels/sheet27.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ivotTable" Target="../pivotTables/pivotTable25.xml"/></Relationships>
</file>

<file path=xl/worksheets/_rels/sheet28.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pivotTable" Target="../pivotTables/pivotTable26.xml"/></Relationships>
</file>

<file path=xl/worksheets/_rels/sheet29.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27.xml"/></Relationships>
</file>

<file path=xl/worksheets/_rels/sheet30.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28.xml"/></Relationships>
</file>

<file path=xl/worksheets/_rels/sheet31.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29.xml"/></Relationships>
</file>

<file path=xl/worksheets/_rels/sheet32.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30.xml"/></Relationships>
</file>

<file path=xl/worksheets/_rels/sheet33.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31.xml"/></Relationships>
</file>

<file path=xl/worksheets/_rels/sheet34.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32.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24.bin"/><Relationship Id="rId1" Type="http://schemas.openxmlformats.org/officeDocument/2006/relationships/pivotTable" Target="../pivotTables/pivotTable33.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25.bin"/><Relationship Id="rId1" Type="http://schemas.openxmlformats.org/officeDocument/2006/relationships/pivotTable" Target="../pivotTables/pivotTable34.xml"/></Relationships>
</file>

<file path=xl/worksheets/_rels/sheet37.xml.rels><?xml version="1.0" encoding="UTF-8" standalone="yes"?>
<Relationships xmlns="http://schemas.openxmlformats.org/package/2006/relationships"><Relationship Id="rId1" Type="http://schemas.openxmlformats.org/officeDocument/2006/relationships/pivotTable" Target="../pivotTables/pivotTable35.xml"/></Relationships>
</file>

<file path=xl/worksheets/_rels/sheet38.xml.rels><?xml version="1.0" encoding="UTF-8" standalone="yes"?>
<Relationships xmlns="http://schemas.openxmlformats.org/package/2006/relationships"><Relationship Id="rId1" Type="http://schemas.openxmlformats.org/officeDocument/2006/relationships/pivotTable" Target="../pivotTables/pivotTable36.xml"/></Relationships>
</file>

<file path=xl/worksheets/_rels/sheet39.xml.rels><?xml version="1.0" encoding="UTF-8" standalone="yes"?>
<Relationships xmlns="http://schemas.openxmlformats.org/package/2006/relationships"><Relationship Id="rId1" Type="http://schemas.openxmlformats.org/officeDocument/2006/relationships/pivotTable" Target="../pivotTables/pivotTable37.xml"/></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38.xml"/></Relationships>
</file>

<file path=xl/worksheets/_rels/sheet41.xml.rels><?xml version="1.0" encoding="UTF-8" standalone="yes"?>
<Relationships xmlns="http://schemas.openxmlformats.org/package/2006/relationships"><Relationship Id="rId1" Type="http://schemas.openxmlformats.org/officeDocument/2006/relationships/pivotTable" Target="../pivotTables/pivotTable39.xml"/></Relationships>
</file>

<file path=xl/worksheets/_rels/sheet42.xml.rels><?xml version="1.0" encoding="UTF-8" standalone="yes"?>
<Relationships xmlns="http://schemas.openxmlformats.org/package/2006/relationships"><Relationship Id="rId1" Type="http://schemas.openxmlformats.org/officeDocument/2006/relationships/pivotTable" Target="../pivotTables/pivotTable40.xml"/></Relationships>
</file>

<file path=xl/worksheets/_rels/sheet43.xml.rels><?xml version="1.0" encoding="UTF-8" standalone="yes"?>
<Relationships xmlns="http://schemas.openxmlformats.org/package/2006/relationships"><Relationship Id="rId1" Type="http://schemas.openxmlformats.org/officeDocument/2006/relationships/pivotTable" Target="../pivotTables/pivotTable41.xml"/></Relationships>
</file>

<file path=xl/worksheets/_rels/sheet44.xml.rels><?xml version="1.0" encoding="UTF-8" standalone="yes"?>
<Relationships xmlns="http://schemas.openxmlformats.org/package/2006/relationships"><Relationship Id="rId1" Type="http://schemas.openxmlformats.org/officeDocument/2006/relationships/pivotTable" Target="../pivotTables/pivotTable42.xml"/></Relationships>
</file>

<file path=xl/worksheets/_rels/sheet45.xml.rels><?xml version="1.0" encoding="UTF-8" standalone="yes"?>
<Relationships xmlns="http://schemas.openxmlformats.org/package/2006/relationships"><Relationship Id="rId1" Type="http://schemas.openxmlformats.org/officeDocument/2006/relationships/pivotTable" Target="../pivotTables/pivotTable43.xml"/></Relationships>
</file>

<file path=xl/worksheets/_rels/sheet46.xml.rels><?xml version="1.0" encoding="UTF-8" standalone="yes"?>
<Relationships xmlns="http://schemas.openxmlformats.org/package/2006/relationships"><Relationship Id="rId1" Type="http://schemas.openxmlformats.org/officeDocument/2006/relationships/pivotTable" Target="../pivotTables/pivotTable4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sheetPr>
  <dimension ref="A1:AO262"/>
  <sheetViews>
    <sheetView tabSelected="1" zoomScale="94" zoomScaleNormal="94" zoomScaleSheetLayoutView="90" workbookViewId="0">
      <selection activeCell="D152" sqref="D152"/>
    </sheetView>
  </sheetViews>
  <sheetFormatPr defaultRowHeight="15" outlineLevelRow="2" x14ac:dyDescent="0.25"/>
  <cols>
    <col min="1" max="1" width="15.7109375" style="23" customWidth="1"/>
    <col min="2" max="2" width="11.5703125" style="23" customWidth="1"/>
    <col min="3" max="4" width="9.140625" style="23"/>
    <col min="5" max="5" width="15.7109375" style="23" bestFit="1" customWidth="1"/>
    <col min="6" max="6" width="12.140625" style="23" customWidth="1"/>
    <col min="7" max="11" width="9.140625" style="23"/>
    <col min="12" max="12" width="16.5703125" style="23" bestFit="1" customWidth="1"/>
    <col min="13" max="25" width="9.140625" style="23"/>
    <col min="26" max="26" width="46.140625" style="23" customWidth="1"/>
    <col min="27" max="27" width="32.85546875" style="23" customWidth="1"/>
    <col min="28" max="28" width="16.28515625" style="23" customWidth="1"/>
    <col min="29" max="29" width="9.28515625" style="23" customWidth="1"/>
    <col min="30" max="30" width="9.140625" style="23" customWidth="1"/>
    <col min="31" max="31" width="16.42578125" style="23" customWidth="1"/>
    <col min="32" max="32" width="6" style="23" bestFit="1" customWidth="1"/>
    <col min="33" max="33" width="16.42578125" style="23" customWidth="1"/>
    <col min="34" max="34" width="23.85546875" style="23" bestFit="1" customWidth="1"/>
    <col min="35" max="35" width="16.42578125" style="23" bestFit="1" customWidth="1"/>
    <col min="36" max="37" width="9.140625" style="23"/>
    <col min="38" max="38" width="15.7109375" style="23" customWidth="1"/>
    <col min="39" max="39" width="32.85546875" style="23" customWidth="1"/>
    <col min="40" max="40" width="17.42578125" style="23" customWidth="1"/>
    <col min="41" max="41" width="20.7109375" style="23" customWidth="1"/>
    <col min="42" max="42" width="17.28515625" style="23" bestFit="1" customWidth="1"/>
    <col min="43" max="43" width="5.7109375" style="23" bestFit="1" customWidth="1"/>
    <col min="44" max="44" width="4.28515625" style="23" bestFit="1" customWidth="1"/>
    <col min="45" max="45" width="20.5703125" style="23" bestFit="1" customWidth="1"/>
    <col min="46" max="16384" width="9.140625" style="23"/>
  </cols>
  <sheetData>
    <row r="1" spans="1:41" x14ac:dyDescent="0.25">
      <c r="A1" s="22"/>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row>
    <row r="2" spans="1:41" x14ac:dyDescent="0.25">
      <c r="A2" s="22"/>
      <c r="B2" s="22"/>
      <c r="C2" s="22"/>
      <c r="D2" s="22"/>
      <c r="E2" s="22"/>
      <c r="F2" s="22"/>
      <c r="G2" s="22"/>
      <c r="H2" s="22"/>
      <c r="I2" s="22"/>
      <c r="J2" s="22"/>
      <c r="K2" s="22"/>
      <c r="L2" s="22"/>
      <c r="M2" s="22"/>
      <c r="N2" s="22"/>
      <c r="O2" s="22"/>
      <c r="P2" s="22"/>
      <c r="Q2" s="22"/>
      <c r="R2" s="22"/>
      <c r="S2" s="22"/>
      <c r="T2" s="22"/>
      <c r="U2" s="22"/>
      <c r="V2" s="22"/>
      <c r="W2" s="22"/>
      <c r="X2" s="22"/>
      <c r="Y2" s="22"/>
      <c r="Z2" s="22"/>
      <c r="AA2" s="22"/>
      <c r="AB2" s="22"/>
      <c r="AC2" s="22"/>
      <c r="AD2" s="22"/>
      <c r="AE2" s="22"/>
      <c r="AF2" s="22"/>
      <c r="AG2" s="22"/>
      <c r="AH2" s="22"/>
      <c r="AI2" s="22"/>
      <c r="AJ2" s="22"/>
      <c r="AK2" s="22"/>
      <c r="AL2" s="22"/>
      <c r="AM2" s="22"/>
      <c r="AN2" s="22"/>
      <c r="AO2" s="22"/>
    </row>
    <row r="3" spans="1:41" x14ac:dyDescent="0.25">
      <c r="A3" s="22"/>
      <c r="B3" s="22"/>
      <c r="C3" s="22"/>
      <c r="D3" s="22"/>
      <c r="E3" s="22"/>
      <c r="F3" s="22"/>
      <c r="G3" s="22"/>
      <c r="H3" s="22"/>
      <c r="I3" s="22"/>
      <c r="J3" s="22"/>
      <c r="K3" s="22"/>
      <c r="L3" s="22"/>
      <c r="M3" s="22"/>
      <c r="N3" s="22"/>
      <c r="O3" s="22"/>
      <c r="P3" s="22"/>
      <c r="Q3" s="22"/>
      <c r="R3" s="22"/>
      <c r="S3" s="22"/>
      <c r="T3" s="22"/>
      <c r="U3" s="22"/>
      <c r="V3" s="22"/>
      <c r="W3" s="22"/>
      <c r="X3" s="22"/>
      <c r="Y3" s="22"/>
      <c r="Z3" s="22"/>
      <c r="AA3" s="22"/>
      <c r="AB3" s="22"/>
      <c r="AC3" s="22"/>
      <c r="AD3" s="22"/>
      <c r="AE3" s="22"/>
      <c r="AF3" s="22"/>
      <c r="AG3" s="22"/>
      <c r="AH3" s="22"/>
      <c r="AI3" s="22"/>
      <c r="AJ3" s="22"/>
      <c r="AK3" s="22"/>
      <c r="AL3" s="22"/>
      <c r="AM3" s="22"/>
      <c r="AN3" s="22"/>
      <c r="AO3" s="22"/>
    </row>
    <row r="4" spans="1:41" x14ac:dyDescent="0.25">
      <c r="A4" s="22"/>
      <c r="B4" s="22"/>
      <c r="C4" s="22"/>
      <c r="D4" s="22"/>
      <c r="E4" s="22"/>
      <c r="F4" s="22"/>
      <c r="G4" s="22"/>
      <c r="H4" s="22"/>
      <c r="I4" s="22"/>
      <c r="J4" s="22"/>
      <c r="K4" s="22"/>
      <c r="L4" s="22"/>
      <c r="M4" s="22"/>
      <c r="N4" s="22"/>
      <c r="O4" s="22"/>
      <c r="P4" s="22"/>
      <c r="Q4" s="22"/>
      <c r="R4" s="22"/>
      <c r="S4" s="22"/>
      <c r="T4" s="22"/>
      <c r="U4" s="22"/>
      <c r="V4" s="22"/>
      <c r="W4" s="22"/>
      <c r="X4" s="22"/>
      <c r="Y4" s="22"/>
      <c r="Z4" s="22"/>
      <c r="AA4" s="22"/>
      <c r="AB4" s="22"/>
      <c r="AC4" s="22"/>
      <c r="AD4" s="22"/>
      <c r="AE4" s="22"/>
      <c r="AF4" s="22"/>
      <c r="AG4" s="22"/>
      <c r="AH4" s="22"/>
      <c r="AI4" s="22"/>
      <c r="AJ4" s="22"/>
      <c r="AK4" s="22"/>
      <c r="AL4" s="22"/>
      <c r="AM4" s="22"/>
      <c r="AN4" s="22"/>
      <c r="AO4" s="22"/>
    </row>
    <row r="5" spans="1:41" x14ac:dyDescent="0.25">
      <c r="A5" s="22"/>
      <c r="B5" s="22"/>
      <c r="C5" s="22"/>
      <c r="D5" s="22"/>
      <c r="E5" s="22"/>
      <c r="F5" s="22"/>
      <c r="G5" s="22"/>
      <c r="H5" s="22"/>
      <c r="I5" s="22"/>
      <c r="J5" s="22"/>
      <c r="K5" s="22"/>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row>
    <row r="6" spans="1:41" x14ac:dyDescent="0.25">
      <c r="A6" s="22"/>
      <c r="B6" s="22"/>
      <c r="C6" s="22"/>
      <c r="D6" s="22"/>
      <c r="E6" s="22"/>
      <c r="F6" s="22"/>
      <c r="G6" s="22"/>
      <c r="H6" s="22"/>
      <c r="I6" s="22"/>
      <c r="J6" s="22"/>
      <c r="K6" s="22"/>
      <c r="L6" s="22"/>
      <c r="M6" s="22"/>
      <c r="N6" s="22"/>
      <c r="O6" s="22"/>
      <c r="P6" s="22"/>
      <c r="Q6" s="22"/>
      <c r="R6" s="22"/>
      <c r="S6" s="22"/>
      <c r="T6" s="22"/>
      <c r="U6" s="22"/>
      <c r="V6" s="22"/>
      <c r="W6" s="22"/>
      <c r="X6" s="22"/>
      <c r="Y6" s="22"/>
      <c r="Z6" s="22"/>
      <c r="AA6" s="22"/>
      <c r="AB6" s="22"/>
      <c r="AC6" s="22"/>
      <c r="AD6" s="22"/>
      <c r="AE6" s="22"/>
      <c r="AF6" s="22"/>
      <c r="AG6" s="22"/>
      <c r="AH6" s="22"/>
      <c r="AI6" s="22"/>
      <c r="AJ6" s="22"/>
      <c r="AK6" s="22"/>
      <c r="AL6" s="22"/>
      <c r="AM6" s="22"/>
      <c r="AN6" s="22"/>
      <c r="AO6" s="22"/>
    </row>
    <row r="7" spans="1:41" x14ac:dyDescent="0.25">
      <c r="A7" s="22"/>
      <c r="B7" s="22"/>
      <c r="C7" s="22"/>
      <c r="D7" s="22"/>
      <c r="E7" s="22"/>
      <c r="F7" s="22"/>
      <c r="G7" s="22"/>
      <c r="H7" s="22"/>
      <c r="I7" s="22"/>
      <c r="J7" s="22"/>
      <c r="K7" s="22"/>
      <c r="L7" s="22"/>
      <c r="M7" s="22"/>
      <c r="N7" s="22"/>
      <c r="O7" s="22"/>
      <c r="P7" s="22"/>
      <c r="Q7" s="22"/>
      <c r="R7" s="22"/>
      <c r="S7" s="22"/>
      <c r="T7" s="22"/>
      <c r="U7" s="22"/>
      <c r="V7" s="22"/>
      <c r="W7" s="22"/>
      <c r="X7" s="22"/>
      <c r="Y7" s="22"/>
      <c r="Z7" s="22"/>
      <c r="AA7" s="22"/>
      <c r="AB7" s="22"/>
      <c r="AC7" s="22"/>
      <c r="AD7" s="22"/>
      <c r="AE7" s="22"/>
      <c r="AF7" s="22"/>
      <c r="AG7" s="22"/>
      <c r="AH7" s="22"/>
      <c r="AI7" s="22"/>
      <c r="AJ7" s="22"/>
      <c r="AK7" s="22"/>
      <c r="AL7" s="22"/>
      <c r="AM7" s="22"/>
      <c r="AN7" s="22"/>
      <c r="AO7" s="22"/>
    </row>
    <row r="8" spans="1:41" x14ac:dyDescent="0.25">
      <c r="A8" s="22"/>
      <c r="B8" s="22"/>
      <c r="C8" s="22"/>
      <c r="D8" s="22"/>
      <c r="E8" s="22"/>
      <c r="F8" s="22"/>
      <c r="G8" s="22"/>
      <c r="H8" s="22"/>
      <c r="I8" s="22"/>
      <c r="J8" s="22"/>
      <c r="K8" s="22"/>
      <c r="L8" s="22"/>
      <c r="M8" s="22"/>
      <c r="N8" s="22"/>
      <c r="O8" s="22"/>
      <c r="P8" s="22"/>
      <c r="Q8" s="22"/>
      <c r="R8" s="22"/>
      <c r="S8" s="22"/>
      <c r="T8" s="22"/>
      <c r="U8" s="22"/>
      <c r="V8" s="22"/>
      <c r="W8" s="22"/>
      <c r="X8" s="22"/>
      <c r="Y8" s="22"/>
      <c r="Z8" s="22"/>
      <c r="AA8" s="22"/>
      <c r="AB8" s="22"/>
      <c r="AC8" s="22"/>
      <c r="AD8" s="22"/>
      <c r="AE8" s="22"/>
      <c r="AF8" s="22"/>
      <c r="AG8" s="22"/>
      <c r="AH8" s="22"/>
      <c r="AI8" s="22"/>
      <c r="AJ8" s="22"/>
      <c r="AK8" s="22"/>
      <c r="AL8" s="22"/>
      <c r="AM8" s="22"/>
      <c r="AN8" s="22"/>
      <c r="AO8" s="22"/>
    </row>
    <row r="9" spans="1:41" x14ac:dyDescent="0.25">
      <c r="A9" s="22"/>
      <c r="B9" s="22"/>
      <c r="C9" s="22"/>
      <c r="D9" s="22"/>
      <c r="E9" s="22"/>
      <c r="F9" s="22"/>
      <c r="G9" s="22"/>
      <c r="H9" s="22"/>
      <c r="I9" s="22"/>
      <c r="J9" s="22"/>
      <c r="K9" s="22"/>
      <c r="L9" s="22"/>
      <c r="M9" s="22"/>
      <c r="N9" s="22"/>
      <c r="O9" s="22"/>
      <c r="P9" s="22"/>
      <c r="Q9" s="22"/>
      <c r="R9" s="22"/>
      <c r="S9" s="22"/>
      <c r="T9" s="22"/>
      <c r="U9" s="22"/>
      <c r="V9" s="22"/>
      <c r="W9" s="22"/>
      <c r="X9" s="22"/>
      <c r="Y9" s="22"/>
      <c r="Z9" s="22"/>
      <c r="AA9" s="22"/>
      <c r="AB9" s="22"/>
      <c r="AC9" s="22"/>
      <c r="AD9" s="22"/>
      <c r="AE9" s="22"/>
      <c r="AF9" s="22"/>
      <c r="AG9" s="22"/>
      <c r="AH9" s="22"/>
      <c r="AI9" s="22"/>
      <c r="AJ9" s="22"/>
      <c r="AK9" s="22"/>
      <c r="AL9" s="22"/>
      <c r="AM9" s="22"/>
      <c r="AN9" s="22"/>
      <c r="AO9" s="22"/>
    </row>
    <row r="10" spans="1:41" x14ac:dyDescent="0.25">
      <c r="A10" s="22"/>
      <c r="B10" s="22"/>
      <c r="C10" s="22"/>
      <c r="D10" s="22"/>
      <c r="E10" s="22"/>
      <c r="F10" s="22"/>
      <c r="G10" s="22"/>
      <c r="H10" s="22"/>
      <c r="I10" s="22"/>
      <c r="J10" s="22"/>
      <c r="K10" s="22"/>
      <c r="L10" s="22"/>
      <c r="M10" s="22"/>
      <c r="N10" s="22"/>
      <c r="O10" s="22"/>
      <c r="P10" s="22"/>
      <c r="Q10" s="22"/>
      <c r="R10" s="22"/>
      <c r="S10" s="22"/>
      <c r="T10" s="22"/>
      <c r="U10" s="22"/>
      <c r="V10" s="22"/>
      <c r="W10" s="22"/>
      <c r="X10" s="22"/>
      <c r="Y10" s="22"/>
      <c r="Z10" s="22"/>
      <c r="AA10" s="22"/>
      <c r="AB10" s="22"/>
      <c r="AC10" s="22"/>
      <c r="AD10" s="22"/>
      <c r="AE10" s="22"/>
      <c r="AF10" s="22"/>
      <c r="AG10" s="22"/>
      <c r="AH10" s="22"/>
      <c r="AI10" s="22"/>
      <c r="AJ10" s="22"/>
      <c r="AK10" s="22"/>
      <c r="AL10" s="22"/>
      <c r="AM10" s="22"/>
      <c r="AN10" s="22"/>
      <c r="AO10" s="22"/>
    </row>
    <row r="11" spans="1:41" x14ac:dyDescent="0.25">
      <c r="A11" s="22"/>
      <c r="B11" s="22"/>
      <c r="C11" s="22"/>
      <c r="D11" s="22"/>
      <c r="E11" s="22"/>
      <c r="F11" s="22"/>
      <c r="G11" s="22"/>
      <c r="H11" s="22"/>
      <c r="I11" s="22"/>
      <c r="J11" s="22"/>
      <c r="K11" s="22"/>
      <c r="L11" s="22"/>
      <c r="M11" s="22"/>
      <c r="N11" s="22"/>
      <c r="O11" s="22"/>
      <c r="P11" s="22"/>
      <c r="Q11" s="22"/>
      <c r="R11" s="22"/>
      <c r="S11" s="22"/>
      <c r="T11" s="22"/>
      <c r="U11" s="22"/>
      <c r="V11" s="22"/>
      <c r="W11" s="22"/>
      <c r="X11" s="22"/>
      <c r="Y11" s="22"/>
      <c r="Z11" s="22"/>
      <c r="AA11" s="22"/>
      <c r="AB11" s="22"/>
      <c r="AC11" s="22"/>
      <c r="AD11" s="22"/>
      <c r="AE11" s="22"/>
      <c r="AF11" s="22"/>
      <c r="AG11" s="22"/>
      <c r="AH11" s="22"/>
      <c r="AI11" s="22"/>
      <c r="AJ11" s="22"/>
      <c r="AK11" s="22"/>
      <c r="AL11" s="22"/>
      <c r="AM11" s="22"/>
      <c r="AN11" s="22"/>
      <c r="AO11" s="22"/>
    </row>
    <row r="12" spans="1:41" x14ac:dyDescent="0.25">
      <c r="A12" s="22"/>
      <c r="B12" s="22"/>
      <c r="C12" s="22"/>
      <c r="D12" s="22"/>
      <c r="E12" s="22"/>
      <c r="F12" s="22"/>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row>
    <row r="13" spans="1:41" ht="15.75" thickBot="1" x14ac:dyDescent="0.3">
      <c r="A13" s="22"/>
      <c r="B13" s="22"/>
      <c r="C13" s="24"/>
      <c r="D13" s="24"/>
      <c r="E13" s="24"/>
      <c r="F13" s="24"/>
      <c r="G13" s="24"/>
      <c r="H13" s="24"/>
      <c r="I13" s="24"/>
      <c r="J13" s="24"/>
      <c r="K13" s="24"/>
      <c r="L13" s="24"/>
      <c r="M13" s="24"/>
      <c r="N13" s="24"/>
      <c r="O13" s="24"/>
      <c r="P13" s="24"/>
      <c r="Q13" s="24"/>
      <c r="R13" s="24"/>
      <c r="S13" s="24"/>
      <c r="T13" s="24"/>
      <c r="U13" s="24"/>
      <c r="V13" s="24"/>
      <c r="W13" s="24"/>
      <c r="X13" s="24"/>
      <c r="Y13" s="24"/>
      <c r="Z13" s="24"/>
      <c r="AA13" s="22"/>
      <c r="AB13" s="22"/>
      <c r="AC13" s="22"/>
      <c r="AD13" s="22"/>
      <c r="AE13" s="22"/>
      <c r="AF13" s="22"/>
      <c r="AG13" s="22"/>
      <c r="AH13" s="22"/>
      <c r="AI13" s="22"/>
      <c r="AJ13" s="22"/>
      <c r="AK13" s="22"/>
      <c r="AL13" s="22"/>
      <c r="AM13" s="22"/>
      <c r="AN13" s="22"/>
      <c r="AO13" s="22"/>
    </row>
    <row r="14" spans="1:41" hidden="1" outlineLevel="1" x14ac:dyDescent="0.25">
      <c r="A14" s="22"/>
      <c r="B14" s="22"/>
      <c r="C14" s="22"/>
      <c r="D14" s="22"/>
      <c r="E14" s="22"/>
      <c r="F14" s="22"/>
      <c r="G14" s="22"/>
      <c r="H14" s="22"/>
      <c r="I14" s="22"/>
      <c r="J14" s="22"/>
      <c r="K14" s="22"/>
      <c r="L14" s="22"/>
      <c r="M14" s="22"/>
      <c r="N14" s="22"/>
      <c r="O14" s="22"/>
      <c r="P14" s="22"/>
      <c r="Q14" s="22"/>
      <c r="R14" s="22"/>
      <c r="S14" s="22"/>
      <c r="T14" s="22"/>
      <c r="U14" s="22"/>
      <c r="V14" s="22"/>
      <c r="W14" s="22"/>
      <c r="X14" s="22"/>
      <c r="Y14" s="22"/>
      <c r="Z14" s="22"/>
      <c r="AA14" s="22"/>
      <c r="AB14" s="22"/>
      <c r="AC14" s="22"/>
      <c r="AD14" s="22"/>
      <c r="AE14" s="22"/>
      <c r="AF14" s="22"/>
      <c r="AG14" s="22"/>
      <c r="AH14" s="22"/>
      <c r="AI14" s="22"/>
      <c r="AJ14" s="22"/>
      <c r="AK14" s="22"/>
      <c r="AL14" s="22"/>
      <c r="AM14" s="22"/>
      <c r="AN14" s="22"/>
      <c r="AO14" s="22"/>
    </row>
    <row r="15" spans="1:41" hidden="1" outlineLevel="1" x14ac:dyDescent="0.25">
      <c r="A15" s="22"/>
      <c r="B15" s="22"/>
      <c r="C15" s="22"/>
      <c r="D15" s="22"/>
      <c r="E15" s="22"/>
      <c r="F15" s="22"/>
      <c r="G15" s="22"/>
      <c r="H15" s="22"/>
      <c r="I15" s="22"/>
      <c r="J15" s="22"/>
      <c r="K15" s="22"/>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row>
    <row r="16" spans="1:41" hidden="1" outlineLevel="1" x14ac:dyDescent="0.25">
      <c r="A16" s="22"/>
      <c r="B16" s="22"/>
      <c r="C16" s="22"/>
      <c r="D16" s="22"/>
      <c r="E16" s="22"/>
      <c r="F16" s="22"/>
      <c r="G16" s="22"/>
      <c r="H16" s="22"/>
      <c r="I16" s="22"/>
      <c r="J16" s="22"/>
      <c r="K16" s="22"/>
      <c r="L16" s="22"/>
      <c r="M16" s="22"/>
      <c r="N16" s="22"/>
      <c r="O16" s="22"/>
      <c r="P16" s="22"/>
      <c r="Q16" s="22"/>
      <c r="R16" s="22"/>
      <c r="S16" s="22"/>
      <c r="T16" s="22"/>
      <c r="U16" s="22"/>
      <c r="V16" s="22"/>
      <c r="W16" s="22"/>
      <c r="X16" s="22"/>
      <c r="Y16" s="22"/>
      <c r="Z16" s="22"/>
      <c r="AA16" s="22"/>
      <c r="AB16" s="22"/>
      <c r="AC16" s="22"/>
      <c r="AD16" s="22"/>
      <c r="AE16" s="22"/>
      <c r="AF16" s="22"/>
      <c r="AG16" s="22"/>
      <c r="AH16" s="22"/>
      <c r="AI16" s="22"/>
      <c r="AJ16" s="22"/>
      <c r="AK16" s="22"/>
      <c r="AL16" s="22"/>
      <c r="AM16" s="22"/>
      <c r="AN16" s="22"/>
      <c r="AO16" s="22"/>
    </row>
    <row r="17" spans="1:41" hidden="1" outlineLevel="1" x14ac:dyDescent="0.25">
      <c r="A17" s="22"/>
      <c r="B17" s="22"/>
      <c r="C17" s="22"/>
      <c r="D17" s="22"/>
      <c r="E17" s="22"/>
      <c r="F17" s="22"/>
      <c r="G17" s="22"/>
      <c r="H17" s="22"/>
      <c r="I17" s="22"/>
      <c r="J17" s="22"/>
      <c r="K17" s="22"/>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row>
    <row r="18" spans="1:41" hidden="1" outlineLevel="1" x14ac:dyDescent="0.25">
      <c r="A18" s="22"/>
      <c r="B18" s="22"/>
      <c r="C18" s="22"/>
      <c r="D18" s="22"/>
      <c r="E18" s="22"/>
      <c r="F18" s="22"/>
      <c r="G18" s="22"/>
      <c r="H18" s="22"/>
      <c r="I18" s="25"/>
      <c r="J18" s="22"/>
      <c r="K18" s="22"/>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row>
    <row r="19" spans="1:41" hidden="1" outlineLevel="1" x14ac:dyDescent="0.25">
      <c r="A19" s="22"/>
      <c r="B19" s="22"/>
      <c r="C19" s="22"/>
      <c r="D19" s="22"/>
      <c r="E19" s="22"/>
      <c r="F19" s="22"/>
      <c r="G19" s="22"/>
      <c r="H19" s="22"/>
      <c r="I19" s="22"/>
      <c r="J19" s="22"/>
      <c r="K19" s="22"/>
      <c r="L19" s="22"/>
      <c r="M19" s="22"/>
      <c r="N19" s="22"/>
      <c r="O19" s="22"/>
      <c r="P19" s="22"/>
      <c r="Q19" s="22"/>
      <c r="R19" s="22"/>
      <c r="S19" s="22"/>
      <c r="T19" s="22"/>
      <c r="U19" s="22"/>
      <c r="V19" s="22"/>
      <c r="W19" s="22"/>
      <c r="X19" s="22"/>
      <c r="Y19" s="22"/>
      <c r="Z19" s="22"/>
      <c r="AA19" s="22"/>
      <c r="AB19" s="22"/>
      <c r="AC19" s="22"/>
      <c r="AD19" s="22"/>
      <c r="AE19" s="22"/>
      <c r="AF19" s="22"/>
      <c r="AG19" s="22"/>
      <c r="AH19" s="22"/>
      <c r="AI19" s="22"/>
      <c r="AJ19" s="22"/>
      <c r="AK19" s="22"/>
      <c r="AL19" s="22"/>
      <c r="AM19" s="22"/>
      <c r="AN19" s="22"/>
      <c r="AO19" s="22"/>
    </row>
    <row r="20" spans="1:41" hidden="1" outlineLevel="1" x14ac:dyDescent="0.25">
      <c r="A20" s="22"/>
      <c r="B20" s="22"/>
      <c r="C20" s="22"/>
      <c r="D20" s="22"/>
      <c r="E20" s="22"/>
      <c r="F20" s="22"/>
      <c r="G20" s="22"/>
      <c r="H20" s="22"/>
      <c r="I20" s="22"/>
      <c r="J20" s="22"/>
      <c r="K20" s="22"/>
      <c r="L20" s="22"/>
      <c r="M20" s="22"/>
      <c r="N20" s="22"/>
      <c r="O20" s="22"/>
      <c r="P20" s="22"/>
      <c r="Q20" s="22"/>
      <c r="R20" s="22"/>
      <c r="S20" s="22"/>
      <c r="T20" s="22"/>
      <c r="U20" s="22"/>
      <c r="V20" s="22"/>
      <c r="W20" s="22"/>
      <c r="X20" s="22"/>
      <c r="Y20" s="22"/>
      <c r="Z20" s="22"/>
      <c r="AA20" s="22"/>
      <c r="AB20" s="22"/>
      <c r="AC20" s="22"/>
      <c r="AD20" s="22"/>
      <c r="AE20" s="22"/>
      <c r="AF20" s="22"/>
      <c r="AG20" s="22"/>
      <c r="AH20" s="22"/>
      <c r="AI20" s="22"/>
      <c r="AJ20" s="22"/>
      <c r="AK20" s="22"/>
      <c r="AL20" s="22"/>
      <c r="AM20" s="22"/>
      <c r="AN20" s="22"/>
      <c r="AO20" s="22"/>
    </row>
    <row r="21" spans="1:41" hidden="1" outlineLevel="1" x14ac:dyDescent="0.25">
      <c r="A21" s="22"/>
      <c r="B21" s="22"/>
      <c r="C21" s="22"/>
      <c r="D21" s="22"/>
      <c r="E21" s="22"/>
      <c r="F21" s="22"/>
      <c r="G21" s="22"/>
      <c r="H21" s="22"/>
      <c r="I21" s="22"/>
      <c r="J21" s="22"/>
      <c r="K21" s="22"/>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row>
    <row r="22" spans="1:41" hidden="1" outlineLevel="1" x14ac:dyDescent="0.25">
      <c r="A22" s="22"/>
      <c r="B22" s="22"/>
      <c r="C22" s="22"/>
      <c r="D22" s="22"/>
      <c r="E22" s="22"/>
      <c r="F22" s="22"/>
      <c r="G22" s="22"/>
      <c r="H22" s="22"/>
      <c r="I22" s="22"/>
      <c r="J22" s="22"/>
      <c r="K22" s="22"/>
      <c r="L22" s="22"/>
      <c r="M22" s="22"/>
      <c r="N22" s="22"/>
      <c r="O22" s="22"/>
      <c r="P22" s="22"/>
      <c r="Q22" s="22"/>
      <c r="R22" s="22"/>
      <c r="S22" s="22"/>
      <c r="T22" s="22"/>
      <c r="U22" s="22"/>
      <c r="V22" s="22"/>
      <c r="W22" s="22"/>
      <c r="X22" s="22"/>
      <c r="Y22" s="22"/>
      <c r="Z22" s="22"/>
      <c r="AA22" s="22"/>
      <c r="AB22" s="22"/>
      <c r="AC22" s="22"/>
      <c r="AD22" s="22"/>
      <c r="AE22" s="22"/>
      <c r="AF22" s="22"/>
      <c r="AG22" s="22"/>
      <c r="AH22" s="22"/>
      <c r="AI22" s="22"/>
      <c r="AJ22" s="22"/>
      <c r="AK22" s="22"/>
      <c r="AL22" s="22"/>
      <c r="AM22" s="22"/>
      <c r="AN22" s="22"/>
      <c r="AO22" s="22"/>
    </row>
    <row r="23" spans="1:41" hidden="1" outlineLevel="1" x14ac:dyDescent="0.25">
      <c r="A23" s="22"/>
      <c r="B23" s="22"/>
      <c r="C23" s="22"/>
      <c r="D23" s="22"/>
      <c r="E23" s="22"/>
      <c r="F23" s="22"/>
      <c r="G23" s="22"/>
      <c r="H23" s="22"/>
      <c r="I23" s="22"/>
      <c r="J23" s="22"/>
      <c r="K23" s="22"/>
      <c r="L23" s="22"/>
      <c r="M23" s="22"/>
      <c r="N23" s="22"/>
      <c r="O23" s="22"/>
      <c r="P23" s="22"/>
      <c r="Q23" s="22"/>
      <c r="R23" s="22"/>
      <c r="S23" s="22"/>
      <c r="T23" s="22"/>
      <c r="U23" s="22"/>
      <c r="V23" s="22"/>
      <c r="W23" s="22"/>
      <c r="X23" s="22"/>
      <c r="Y23" s="22"/>
      <c r="Z23" s="22"/>
      <c r="AA23" s="22"/>
      <c r="AB23" s="22"/>
      <c r="AC23" s="22"/>
      <c r="AD23" s="22"/>
      <c r="AE23" s="22"/>
      <c r="AF23" s="22"/>
      <c r="AG23" s="22"/>
      <c r="AH23" s="22"/>
      <c r="AI23" s="22"/>
      <c r="AJ23" s="22"/>
      <c r="AK23" s="22"/>
      <c r="AL23" s="22"/>
      <c r="AM23" s="22"/>
      <c r="AN23" s="22"/>
      <c r="AO23" s="22"/>
    </row>
    <row r="24" spans="1:41" hidden="1" outlineLevel="1" x14ac:dyDescent="0.25">
      <c r="A24" s="22"/>
      <c r="B24" s="22"/>
      <c r="C24" s="22"/>
      <c r="D24" s="22"/>
      <c r="E24" s="22"/>
      <c r="F24" s="22"/>
      <c r="G24" s="22"/>
      <c r="H24" s="22"/>
      <c r="I24" s="22"/>
      <c r="J24" s="22"/>
      <c r="K24" s="22"/>
      <c r="L24" s="22"/>
      <c r="M24" s="22"/>
      <c r="N24" s="22"/>
      <c r="O24" s="22"/>
      <c r="P24" s="22"/>
      <c r="Q24" s="22"/>
      <c r="R24" s="22"/>
      <c r="S24" s="22"/>
      <c r="T24" s="22"/>
      <c r="U24" s="22"/>
      <c r="V24" s="22"/>
      <c r="W24" s="22"/>
      <c r="X24" s="22"/>
      <c r="Y24" s="22"/>
      <c r="Z24" s="22"/>
      <c r="AA24" s="22"/>
      <c r="AB24" s="22"/>
      <c r="AC24" s="22"/>
      <c r="AD24" s="22"/>
      <c r="AE24" s="22"/>
      <c r="AF24" s="22"/>
      <c r="AG24" s="22"/>
      <c r="AH24" s="22"/>
      <c r="AI24" s="22"/>
      <c r="AJ24" s="22"/>
      <c r="AK24" s="22"/>
      <c r="AL24" s="22"/>
      <c r="AM24" s="22"/>
      <c r="AN24" s="22"/>
      <c r="AO24" s="22"/>
    </row>
    <row r="25" spans="1:41" hidden="1" outlineLevel="1" x14ac:dyDescent="0.25">
      <c r="A25" s="22"/>
      <c r="B25" s="22"/>
      <c r="C25" s="22"/>
      <c r="D25" s="22"/>
      <c r="E25" s="22"/>
      <c r="F25" s="22"/>
      <c r="G25" s="22"/>
      <c r="H25" s="22"/>
      <c r="I25" s="22"/>
      <c r="J25" s="22"/>
      <c r="K25" s="22"/>
      <c r="L25" s="22"/>
      <c r="M25" s="22"/>
      <c r="N25" s="22"/>
      <c r="O25" s="22"/>
      <c r="P25" s="22"/>
      <c r="Q25" s="22"/>
      <c r="R25" s="22"/>
      <c r="S25" s="22"/>
      <c r="T25" s="22"/>
      <c r="U25" s="22"/>
      <c r="V25" s="22"/>
      <c r="W25" s="22"/>
      <c r="X25" s="22"/>
      <c r="Y25" s="22"/>
      <c r="Z25" s="22"/>
      <c r="AA25" s="22"/>
      <c r="AB25" s="22"/>
      <c r="AC25" s="22"/>
      <c r="AD25" s="22"/>
      <c r="AE25" s="22"/>
      <c r="AF25" s="22"/>
      <c r="AG25" s="22"/>
      <c r="AH25" s="22"/>
      <c r="AI25" s="22"/>
      <c r="AJ25" s="22"/>
      <c r="AK25" s="22"/>
      <c r="AL25" s="22"/>
      <c r="AM25" s="22"/>
      <c r="AN25" s="22"/>
      <c r="AO25" s="22"/>
    </row>
    <row r="26" spans="1:41" hidden="1" outlineLevel="1" x14ac:dyDescent="0.25">
      <c r="A26" s="22"/>
      <c r="B26" s="22"/>
      <c r="C26" s="22"/>
      <c r="D26" s="22"/>
      <c r="E26" s="22"/>
      <c r="F26" s="22"/>
      <c r="G26" s="22"/>
      <c r="H26" s="22"/>
      <c r="I26" s="22"/>
      <c r="J26" s="22"/>
      <c r="K26" s="22"/>
      <c r="L26" s="22"/>
      <c r="M26" s="22"/>
      <c r="N26" s="22"/>
      <c r="O26" s="22"/>
      <c r="P26" s="22"/>
      <c r="Q26" s="22"/>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row>
    <row r="27" spans="1:41" hidden="1" outlineLevel="1" x14ac:dyDescent="0.25">
      <c r="A27" s="22"/>
      <c r="B27" s="22"/>
      <c r="C27" s="22"/>
      <c r="D27" s="22"/>
      <c r="E27" s="22"/>
      <c r="F27" s="22"/>
      <c r="G27" s="22"/>
      <c r="H27" s="22"/>
      <c r="I27" s="22"/>
      <c r="J27" s="22"/>
      <c r="K27" s="22"/>
      <c r="L27" s="22"/>
      <c r="M27" s="22"/>
      <c r="N27" s="22"/>
      <c r="O27" s="22"/>
      <c r="P27" s="22"/>
      <c r="Q27" s="22"/>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row>
    <row r="28" spans="1:41" hidden="1" outlineLevel="1" x14ac:dyDescent="0.25">
      <c r="A28" s="22"/>
      <c r="B28" s="22"/>
      <c r="C28" s="22"/>
      <c r="D28" s="22"/>
      <c r="E28" s="22"/>
      <c r="F28" s="22"/>
      <c r="G28" s="22"/>
      <c r="H28" s="22"/>
      <c r="I28" s="22"/>
      <c r="J28" s="22"/>
      <c r="K28" s="22"/>
      <c r="L28" s="22"/>
      <c r="M28" s="22"/>
      <c r="N28" s="22"/>
      <c r="O28" s="22"/>
      <c r="P28" s="22"/>
      <c r="Q28" s="22"/>
      <c r="R28" s="22"/>
      <c r="S28" s="22"/>
      <c r="T28" s="22"/>
      <c r="U28" s="22"/>
      <c r="V28" s="22"/>
      <c r="W28" s="22"/>
      <c r="X28" s="22"/>
      <c r="Y28" s="22"/>
      <c r="Z28" s="22"/>
      <c r="AA28" s="22"/>
      <c r="AB28" s="22"/>
      <c r="AC28" s="22"/>
      <c r="AD28" s="22"/>
      <c r="AE28" s="22"/>
      <c r="AF28" s="22"/>
      <c r="AG28" s="22"/>
      <c r="AH28" s="22"/>
      <c r="AI28" s="22"/>
      <c r="AJ28" s="22"/>
      <c r="AK28" s="22"/>
      <c r="AL28" s="22"/>
      <c r="AM28" s="22"/>
      <c r="AN28" s="22"/>
      <c r="AO28" s="22"/>
    </row>
    <row r="29" spans="1:41" hidden="1" outlineLevel="1" x14ac:dyDescent="0.25">
      <c r="A29" s="22"/>
      <c r="B29" s="22"/>
      <c r="C29" s="22"/>
      <c r="D29" s="22"/>
      <c r="E29" s="22"/>
      <c r="F29" s="22"/>
      <c r="G29" s="22"/>
      <c r="H29" s="22"/>
      <c r="I29" s="22"/>
      <c r="J29" s="22"/>
      <c r="K29" s="22"/>
      <c r="L29" s="22"/>
      <c r="M29" s="22"/>
      <c r="N29" s="22"/>
      <c r="O29" s="22"/>
      <c r="P29" s="22"/>
      <c r="Q29" s="22"/>
      <c r="R29" s="22"/>
      <c r="S29" s="22"/>
      <c r="T29" s="22"/>
      <c r="U29" s="22"/>
      <c r="V29" s="22"/>
      <c r="W29" s="22"/>
      <c r="X29" s="22"/>
      <c r="Y29" s="22"/>
      <c r="Z29" s="22"/>
      <c r="AA29" s="22"/>
      <c r="AB29" s="22"/>
      <c r="AC29" s="22"/>
      <c r="AD29" s="22"/>
      <c r="AE29" s="22"/>
      <c r="AF29" s="22"/>
      <c r="AG29" s="22"/>
      <c r="AH29" s="22"/>
      <c r="AI29" s="22"/>
      <c r="AJ29" s="22"/>
      <c r="AK29" s="22"/>
      <c r="AL29" s="22"/>
      <c r="AM29" s="22"/>
      <c r="AN29" s="22"/>
      <c r="AO29" s="22"/>
    </row>
    <row r="30" spans="1:41" hidden="1" outlineLevel="1" x14ac:dyDescent="0.25">
      <c r="A30" s="22"/>
      <c r="B30" s="22"/>
      <c r="C30" s="22"/>
      <c r="D30" s="22"/>
      <c r="E30" s="22"/>
      <c r="F30" s="22"/>
      <c r="G30" s="22"/>
      <c r="H30" s="22"/>
      <c r="I30" s="22"/>
      <c r="J30" s="22"/>
      <c r="K30" s="22"/>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row>
    <row r="31" spans="1:41" hidden="1" outlineLevel="1" x14ac:dyDescent="0.25">
      <c r="A31" s="22"/>
      <c r="B31" s="22"/>
      <c r="C31" s="22"/>
      <c r="D31" s="22"/>
      <c r="E31" s="22"/>
      <c r="F31" s="22"/>
      <c r="G31" s="22"/>
      <c r="H31" s="22"/>
      <c r="I31" s="22"/>
      <c r="J31" s="22"/>
      <c r="K31" s="22"/>
      <c r="L31" s="22"/>
      <c r="M31" s="22"/>
      <c r="N31" s="22"/>
      <c r="O31" s="22"/>
      <c r="P31" s="22"/>
      <c r="Q31" s="22"/>
      <c r="R31" s="22"/>
      <c r="S31" s="22"/>
      <c r="T31" s="22"/>
      <c r="U31" s="22"/>
      <c r="V31" s="22"/>
      <c r="W31" s="22"/>
      <c r="X31" s="22"/>
      <c r="Y31" s="22"/>
      <c r="Z31" s="22"/>
      <c r="AA31" s="22"/>
      <c r="AB31" s="22"/>
      <c r="AC31" s="22"/>
      <c r="AD31" s="22"/>
      <c r="AE31" s="22"/>
      <c r="AF31" s="22"/>
      <c r="AG31" s="22"/>
      <c r="AH31" s="22"/>
      <c r="AI31" s="22"/>
      <c r="AJ31" s="22"/>
      <c r="AK31" s="22"/>
      <c r="AL31" s="22"/>
      <c r="AM31" s="22"/>
      <c r="AN31" s="22"/>
      <c r="AO31" s="22"/>
    </row>
    <row r="32" spans="1:41" ht="15.75" hidden="1" outlineLevel="1" thickBot="1" x14ac:dyDescent="0.3">
      <c r="A32" s="22"/>
      <c r="B32" s="22"/>
      <c r="C32" s="24"/>
      <c r="D32" s="24"/>
      <c r="E32" s="24"/>
      <c r="F32" s="24"/>
      <c r="G32" s="24"/>
      <c r="H32" s="24"/>
      <c r="I32" s="24"/>
      <c r="J32" s="24"/>
      <c r="K32" s="24"/>
      <c r="L32" s="24"/>
      <c r="M32" s="24"/>
      <c r="N32" s="24"/>
      <c r="O32" s="24"/>
      <c r="P32" s="24"/>
      <c r="Q32" s="24"/>
      <c r="R32" s="24"/>
      <c r="S32" s="24"/>
      <c r="T32" s="24"/>
      <c r="U32" s="24"/>
      <c r="V32" s="24"/>
      <c r="W32" s="24"/>
      <c r="X32" s="24"/>
      <c r="Y32" s="24"/>
      <c r="Z32" s="24"/>
      <c r="AA32" s="22"/>
      <c r="AB32" s="22"/>
      <c r="AC32" s="22"/>
      <c r="AD32" s="22"/>
      <c r="AE32" s="22"/>
      <c r="AF32" s="22"/>
      <c r="AG32" s="22"/>
      <c r="AH32" s="22"/>
      <c r="AI32" s="22"/>
      <c r="AJ32" s="22"/>
      <c r="AK32" s="22"/>
      <c r="AL32" s="22"/>
      <c r="AM32" s="22"/>
      <c r="AN32" s="22"/>
      <c r="AO32" s="22"/>
    </row>
    <row r="33" spans="1:41" hidden="1" outlineLevel="2" x14ac:dyDescent="0.25">
      <c r="A33" s="22"/>
      <c r="B33" s="22"/>
      <c r="C33" s="26"/>
      <c r="D33" s="26"/>
      <c r="E33" s="26"/>
      <c r="F33" s="26"/>
      <c r="G33" s="26"/>
      <c r="H33" s="26"/>
      <c r="I33" s="26"/>
      <c r="J33" s="26"/>
      <c r="K33" s="26"/>
      <c r="L33" s="26"/>
      <c r="M33" s="26"/>
      <c r="N33" s="26"/>
      <c r="O33" s="26"/>
      <c r="P33" s="26"/>
      <c r="Q33" s="26"/>
      <c r="R33" s="26"/>
      <c r="S33" s="26"/>
      <c r="T33" s="26"/>
      <c r="U33" s="26"/>
      <c r="V33" s="26"/>
      <c r="W33" s="26"/>
      <c r="X33" s="26"/>
      <c r="Y33" s="26"/>
      <c r="Z33" s="26"/>
      <c r="AA33" s="22"/>
      <c r="AB33" s="22"/>
      <c r="AC33" s="22"/>
      <c r="AD33" s="22"/>
      <c r="AE33" s="22"/>
      <c r="AF33" s="22"/>
      <c r="AG33" s="22"/>
      <c r="AH33" s="22"/>
      <c r="AI33" s="22"/>
      <c r="AJ33" s="22"/>
      <c r="AK33" s="22"/>
      <c r="AL33" s="22"/>
      <c r="AM33" s="22"/>
      <c r="AN33" s="22"/>
      <c r="AO33" s="22"/>
    </row>
    <row r="34" spans="1:41" hidden="1" outlineLevel="2" x14ac:dyDescent="0.25">
      <c r="A34" s="22"/>
      <c r="B34" s="22"/>
      <c r="C34" s="26"/>
      <c r="D34" s="26"/>
      <c r="E34" s="26"/>
      <c r="F34" s="26"/>
      <c r="G34" s="26"/>
      <c r="H34" s="26"/>
      <c r="I34" s="26"/>
      <c r="J34" s="26"/>
      <c r="K34" s="26"/>
      <c r="L34" s="26"/>
      <c r="M34" s="26"/>
      <c r="N34" s="26"/>
      <c r="O34" s="26"/>
      <c r="P34" s="26"/>
      <c r="Q34" s="26"/>
      <c r="R34" s="26"/>
      <c r="S34" s="26"/>
      <c r="T34" s="26"/>
      <c r="U34" s="26"/>
      <c r="V34" s="26"/>
      <c r="W34" s="26"/>
      <c r="X34" s="26"/>
      <c r="Y34" s="26"/>
      <c r="Z34" s="26"/>
      <c r="AA34" s="22"/>
      <c r="AB34" s="22"/>
      <c r="AC34" s="22"/>
      <c r="AD34" s="22"/>
      <c r="AE34" s="22"/>
      <c r="AF34" s="22"/>
      <c r="AG34" s="22"/>
      <c r="AH34" s="22"/>
      <c r="AI34" s="22"/>
      <c r="AJ34" s="22"/>
      <c r="AK34" s="22"/>
      <c r="AL34" s="22"/>
      <c r="AM34" s="22"/>
      <c r="AN34" s="22"/>
      <c r="AO34" s="22"/>
    </row>
    <row r="35" spans="1:41" hidden="1" outlineLevel="2" x14ac:dyDescent="0.25">
      <c r="A35" s="22"/>
      <c r="B35" s="22"/>
      <c r="C35" s="26"/>
      <c r="D35" s="26"/>
      <c r="E35" s="26"/>
      <c r="F35" s="26"/>
      <c r="G35" s="26"/>
      <c r="H35" s="26"/>
      <c r="I35" s="26"/>
      <c r="J35" s="26"/>
      <c r="K35" s="26"/>
      <c r="L35" s="26"/>
      <c r="M35" s="26"/>
      <c r="N35" s="26"/>
      <c r="O35" s="26"/>
      <c r="P35" s="26"/>
      <c r="Q35" s="26"/>
      <c r="R35" s="26"/>
      <c r="S35" s="26"/>
      <c r="T35" s="26"/>
      <c r="U35" s="26"/>
      <c r="V35" s="26"/>
      <c r="W35" s="26"/>
      <c r="X35" s="26"/>
      <c r="Y35" s="26"/>
      <c r="Z35" s="26"/>
      <c r="AA35" s="22"/>
      <c r="AB35" s="22"/>
      <c r="AC35" s="22"/>
      <c r="AD35" s="22"/>
      <c r="AE35" s="22"/>
      <c r="AF35" s="22"/>
      <c r="AG35" s="22"/>
      <c r="AH35" s="22"/>
      <c r="AI35" s="22"/>
      <c r="AJ35" s="22"/>
      <c r="AK35" s="22"/>
      <c r="AL35" s="22"/>
      <c r="AM35" s="22"/>
      <c r="AN35" s="22"/>
      <c r="AO35" s="22"/>
    </row>
    <row r="36" spans="1:41" hidden="1" outlineLevel="2" x14ac:dyDescent="0.25">
      <c r="A36" s="22"/>
      <c r="B36" s="22"/>
      <c r="C36" s="26"/>
      <c r="D36" s="26"/>
      <c r="E36" s="26"/>
      <c r="F36" s="26"/>
      <c r="G36" s="26"/>
      <c r="H36" s="26"/>
      <c r="I36" s="26"/>
      <c r="J36" s="26"/>
      <c r="K36" s="26"/>
      <c r="L36" s="26"/>
      <c r="M36" s="26"/>
      <c r="N36" s="26"/>
      <c r="O36" s="26"/>
      <c r="P36" s="26"/>
      <c r="Q36" s="26"/>
      <c r="R36" s="26"/>
      <c r="S36" s="26"/>
      <c r="T36" s="26"/>
      <c r="U36" s="26"/>
      <c r="V36" s="26"/>
      <c r="W36" s="26"/>
      <c r="X36" s="26"/>
      <c r="Y36" s="26"/>
      <c r="Z36" s="26"/>
      <c r="AA36" s="22"/>
      <c r="AB36" s="22"/>
      <c r="AC36" s="22"/>
      <c r="AD36" s="22"/>
      <c r="AE36" s="22"/>
      <c r="AF36" s="22"/>
      <c r="AG36" s="22"/>
      <c r="AH36" s="22"/>
      <c r="AI36" s="22"/>
      <c r="AJ36" s="22"/>
      <c r="AK36" s="22"/>
      <c r="AL36" s="22"/>
      <c r="AM36" s="22"/>
      <c r="AN36" s="22"/>
      <c r="AO36" s="22"/>
    </row>
    <row r="37" spans="1:41" hidden="1" outlineLevel="2" x14ac:dyDescent="0.25">
      <c r="A37" s="22"/>
      <c r="B37" s="22"/>
      <c r="C37" s="26"/>
      <c r="D37" s="26"/>
      <c r="E37" s="26"/>
      <c r="F37" s="26"/>
      <c r="G37" s="26"/>
      <c r="H37" s="26"/>
      <c r="I37" s="26"/>
      <c r="J37" s="26"/>
      <c r="K37" s="26"/>
      <c r="L37" s="26"/>
      <c r="M37" s="26"/>
      <c r="N37" s="26"/>
      <c r="O37" s="26"/>
      <c r="P37" s="26"/>
      <c r="Q37" s="26"/>
      <c r="R37" s="26"/>
      <c r="S37" s="26"/>
      <c r="T37" s="26"/>
      <c r="U37" s="26"/>
      <c r="V37" s="26"/>
      <c r="W37" s="26"/>
      <c r="X37" s="26"/>
      <c r="Y37" s="26"/>
      <c r="Z37" s="26"/>
      <c r="AA37" s="22"/>
      <c r="AB37" s="22"/>
      <c r="AC37" s="22"/>
      <c r="AD37" s="22"/>
      <c r="AE37" s="22"/>
      <c r="AF37" s="22"/>
      <c r="AG37" s="22"/>
      <c r="AH37" s="22"/>
      <c r="AI37" s="22"/>
      <c r="AJ37" s="22"/>
      <c r="AK37" s="22"/>
      <c r="AL37" s="22"/>
      <c r="AM37" s="22"/>
      <c r="AN37" s="22"/>
      <c r="AO37" s="22"/>
    </row>
    <row r="38" spans="1:41" hidden="1" outlineLevel="2" x14ac:dyDescent="0.25">
      <c r="A38" s="22"/>
      <c r="B38" s="22"/>
      <c r="C38" s="26"/>
      <c r="D38" s="26"/>
      <c r="E38" s="26"/>
      <c r="F38" s="26"/>
      <c r="G38" s="26"/>
      <c r="H38" s="26"/>
      <c r="I38" s="26"/>
      <c r="J38" s="26"/>
      <c r="K38" s="26"/>
      <c r="L38" s="26"/>
      <c r="M38" s="26"/>
      <c r="N38" s="26"/>
      <c r="O38" s="26"/>
      <c r="P38" s="26"/>
      <c r="Q38" s="26"/>
      <c r="R38" s="26"/>
      <c r="S38" s="26"/>
      <c r="T38" s="26"/>
      <c r="U38" s="26"/>
      <c r="V38" s="26"/>
      <c r="W38" s="26"/>
      <c r="X38" s="26"/>
      <c r="Y38" s="26"/>
      <c r="Z38" s="26"/>
      <c r="AA38" s="22"/>
      <c r="AB38" s="22"/>
      <c r="AC38" s="22"/>
      <c r="AD38" s="22"/>
      <c r="AE38" s="22"/>
      <c r="AF38" s="22"/>
      <c r="AG38" s="22"/>
      <c r="AH38" s="22"/>
      <c r="AI38" s="22"/>
      <c r="AJ38" s="22"/>
      <c r="AK38" s="22"/>
      <c r="AL38" s="22"/>
      <c r="AM38" s="22"/>
      <c r="AN38" s="22"/>
      <c r="AO38" s="22"/>
    </row>
    <row r="39" spans="1:41" hidden="1" outlineLevel="2" x14ac:dyDescent="0.25">
      <c r="A39" s="22"/>
      <c r="B39" s="22"/>
      <c r="C39" s="26"/>
      <c r="D39" s="26"/>
      <c r="E39" s="26"/>
      <c r="F39" s="26"/>
      <c r="G39" s="26"/>
      <c r="H39" s="26"/>
      <c r="I39" s="26"/>
      <c r="J39" s="26"/>
      <c r="K39" s="26"/>
      <c r="L39" s="26"/>
      <c r="M39" s="26"/>
      <c r="N39" s="26"/>
      <c r="O39" s="26"/>
      <c r="P39" s="26"/>
      <c r="Q39" s="26"/>
      <c r="R39" s="26"/>
      <c r="S39" s="26"/>
      <c r="T39" s="26"/>
      <c r="U39" s="26"/>
      <c r="V39" s="26"/>
      <c r="W39" s="26"/>
      <c r="X39" s="26"/>
      <c r="Y39" s="26"/>
      <c r="Z39" s="26"/>
      <c r="AA39" s="22"/>
      <c r="AB39" s="22"/>
      <c r="AC39" s="22"/>
      <c r="AD39" s="22"/>
      <c r="AE39" s="22"/>
      <c r="AF39" s="22"/>
      <c r="AG39" s="22"/>
      <c r="AH39" s="22"/>
      <c r="AI39" s="22"/>
      <c r="AJ39" s="22"/>
      <c r="AK39" s="22"/>
      <c r="AL39" s="22"/>
      <c r="AM39" s="22"/>
      <c r="AN39" s="22"/>
      <c r="AO39" s="22"/>
    </row>
    <row r="40" spans="1:41" hidden="1" outlineLevel="2" x14ac:dyDescent="0.25">
      <c r="A40" s="22"/>
      <c r="B40" s="22"/>
      <c r="C40" s="26"/>
      <c r="D40" s="26"/>
      <c r="E40" s="26"/>
      <c r="F40" s="26"/>
      <c r="G40" s="26"/>
      <c r="H40" s="26"/>
      <c r="I40" s="26"/>
      <c r="J40" s="26"/>
      <c r="K40" s="26"/>
      <c r="L40" s="26"/>
      <c r="M40" s="26"/>
      <c r="N40" s="26"/>
      <c r="O40" s="26"/>
      <c r="P40" s="26"/>
      <c r="Q40" s="26"/>
      <c r="R40" s="26"/>
      <c r="S40" s="26"/>
      <c r="T40" s="26"/>
      <c r="U40" s="26"/>
      <c r="V40" s="26"/>
      <c r="W40" s="26"/>
      <c r="X40" s="26"/>
      <c r="Y40" s="26"/>
      <c r="Z40" s="26"/>
      <c r="AA40" s="22"/>
      <c r="AB40" s="22"/>
      <c r="AC40" s="22"/>
      <c r="AD40" s="22"/>
      <c r="AE40" s="22"/>
      <c r="AF40" s="22"/>
      <c r="AG40" s="22"/>
      <c r="AH40" s="22"/>
      <c r="AI40" s="22"/>
      <c r="AJ40" s="22"/>
      <c r="AK40" s="22"/>
      <c r="AL40" s="22"/>
      <c r="AM40" s="22"/>
      <c r="AN40" s="22"/>
      <c r="AO40" s="22"/>
    </row>
    <row r="41" spans="1:41" hidden="1" outlineLevel="2" x14ac:dyDescent="0.25">
      <c r="A41" s="22"/>
      <c r="B41" s="22"/>
      <c r="C41" s="26"/>
      <c r="D41" s="26"/>
      <c r="E41" s="26"/>
      <c r="F41" s="26"/>
      <c r="G41" s="26"/>
      <c r="H41" s="26"/>
      <c r="I41" s="26"/>
      <c r="J41" s="26"/>
      <c r="K41" s="26"/>
      <c r="L41" s="26"/>
      <c r="M41" s="26"/>
      <c r="N41" s="26"/>
      <c r="O41" s="26"/>
      <c r="P41" s="26"/>
      <c r="Q41" s="26"/>
      <c r="R41" s="26"/>
      <c r="S41" s="26"/>
      <c r="T41" s="26"/>
      <c r="U41" s="26"/>
      <c r="V41" s="26"/>
      <c r="W41" s="26"/>
      <c r="X41" s="26"/>
      <c r="Y41" s="26"/>
      <c r="Z41" s="26"/>
      <c r="AA41" s="22"/>
      <c r="AB41" s="22"/>
      <c r="AC41" s="22"/>
      <c r="AD41" s="22"/>
      <c r="AE41" s="22"/>
      <c r="AF41" s="22"/>
      <c r="AG41" s="22"/>
      <c r="AH41" s="22"/>
      <c r="AI41" s="22"/>
      <c r="AJ41" s="22"/>
      <c r="AK41" s="22"/>
      <c r="AL41" s="22"/>
      <c r="AM41" s="22"/>
      <c r="AN41" s="22"/>
      <c r="AO41" s="22"/>
    </row>
    <row r="42" spans="1:41" ht="15" hidden="1" customHeight="1" outlineLevel="2" x14ac:dyDescent="0.25">
      <c r="A42" s="22"/>
      <c r="B42" s="22"/>
      <c r="C42" s="26"/>
      <c r="D42" s="26"/>
      <c r="E42" s="26"/>
      <c r="F42" s="26"/>
      <c r="G42" s="26"/>
      <c r="H42" s="26"/>
      <c r="I42" s="26"/>
      <c r="J42" s="26"/>
      <c r="K42" s="26"/>
      <c r="L42" s="26"/>
      <c r="M42" s="26"/>
      <c r="N42" s="26"/>
      <c r="O42" s="26"/>
      <c r="P42" s="26"/>
      <c r="Q42" s="26"/>
      <c r="R42" s="26"/>
      <c r="S42" s="26"/>
      <c r="T42" s="26"/>
      <c r="U42" s="26"/>
      <c r="V42" s="26"/>
      <c r="W42" s="26"/>
      <c r="X42" s="26"/>
      <c r="Y42" s="26"/>
      <c r="Z42" s="26"/>
      <c r="AA42" s="22"/>
      <c r="AB42" s="22"/>
      <c r="AC42" s="22"/>
      <c r="AD42" s="22"/>
      <c r="AE42" s="22"/>
      <c r="AF42" s="22"/>
      <c r="AG42" s="22"/>
      <c r="AH42" s="22"/>
      <c r="AI42" s="22"/>
      <c r="AJ42" s="22"/>
      <c r="AK42" s="22"/>
      <c r="AL42" s="22"/>
      <c r="AM42" s="22"/>
      <c r="AN42" s="22"/>
      <c r="AO42" s="22"/>
    </row>
    <row r="43" spans="1:41" ht="18.75" hidden="1" customHeight="1" outlineLevel="2" x14ac:dyDescent="0.25">
      <c r="A43" s="22"/>
      <c r="B43" s="22"/>
      <c r="C43" s="26"/>
      <c r="D43" s="26"/>
      <c r="E43" s="26"/>
      <c r="F43" s="26"/>
      <c r="G43" s="26"/>
      <c r="H43" s="26"/>
      <c r="I43" s="26"/>
      <c r="J43" s="26"/>
      <c r="K43" s="26"/>
      <c r="L43" s="26"/>
      <c r="M43" s="26"/>
      <c r="N43" s="26"/>
      <c r="O43" s="26"/>
      <c r="P43" s="26"/>
      <c r="Q43" s="26"/>
      <c r="R43" s="26"/>
      <c r="S43" s="26"/>
      <c r="T43" s="26"/>
      <c r="U43" s="26"/>
      <c r="V43" s="26"/>
      <c r="W43" s="26"/>
      <c r="X43" s="26"/>
      <c r="Y43" s="26"/>
      <c r="Z43" s="26"/>
      <c r="AA43" s="22"/>
      <c r="AB43" s="22"/>
      <c r="AC43" s="22"/>
      <c r="AD43" s="22"/>
      <c r="AE43" s="22"/>
      <c r="AF43" s="22"/>
      <c r="AG43" s="22"/>
      <c r="AH43" s="22"/>
      <c r="AI43" s="22"/>
      <c r="AJ43" s="22"/>
      <c r="AK43" s="22"/>
      <c r="AL43" s="22"/>
      <c r="AM43" s="22"/>
      <c r="AN43" s="22"/>
      <c r="AO43" s="22"/>
    </row>
    <row r="44" spans="1:41" hidden="1" outlineLevel="2" x14ac:dyDescent="0.25">
      <c r="A44" s="22"/>
      <c r="B44" s="22"/>
      <c r="C44" s="26"/>
      <c r="D44" s="26"/>
      <c r="E44" s="26"/>
      <c r="F44" s="26"/>
      <c r="G44" s="26"/>
      <c r="H44" s="26"/>
      <c r="I44" s="26"/>
      <c r="J44" s="26"/>
      <c r="K44" s="26"/>
      <c r="L44" s="26"/>
      <c r="M44" s="26"/>
      <c r="N44" s="26"/>
      <c r="O44" s="26"/>
      <c r="P44" s="26"/>
      <c r="Q44" s="26"/>
      <c r="R44" s="26"/>
      <c r="S44" s="26"/>
      <c r="T44" s="26"/>
      <c r="U44" s="26"/>
      <c r="V44" s="26"/>
      <c r="W44" s="26"/>
      <c r="X44" s="26"/>
      <c r="Y44" s="26"/>
      <c r="Z44" s="26"/>
      <c r="AA44" s="22"/>
      <c r="AB44" s="22"/>
      <c r="AC44" s="22"/>
      <c r="AD44" s="22"/>
      <c r="AE44" s="22"/>
      <c r="AF44" s="22"/>
      <c r="AG44" s="22"/>
      <c r="AH44" s="22"/>
      <c r="AI44" s="22"/>
      <c r="AJ44" s="22"/>
      <c r="AK44" s="22"/>
      <c r="AL44" s="22"/>
      <c r="AM44" s="22"/>
      <c r="AN44" s="22"/>
      <c r="AO44" s="22"/>
    </row>
    <row r="45" spans="1:41" hidden="1" outlineLevel="2" x14ac:dyDescent="0.25">
      <c r="A45" s="22"/>
      <c r="B45" s="22"/>
      <c r="C45" s="26"/>
      <c r="D45" s="26"/>
      <c r="E45" s="26"/>
      <c r="F45" s="26"/>
      <c r="G45" s="26"/>
      <c r="H45" s="26"/>
      <c r="I45" s="26"/>
      <c r="J45" s="26"/>
      <c r="K45" s="26"/>
      <c r="L45" s="26"/>
      <c r="M45" s="26"/>
      <c r="N45" s="26"/>
      <c r="O45" s="26"/>
      <c r="P45" s="26"/>
      <c r="Q45" s="26"/>
      <c r="R45" s="26"/>
      <c r="S45" s="26"/>
      <c r="T45" s="26"/>
      <c r="U45" s="26"/>
      <c r="V45" s="26"/>
      <c r="W45" s="26"/>
      <c r="X45" s="26"/>
      <c r="Y45" s="26"/>
      <c r="Z45" s="26"/>
      <c r="AA45" s="22"/>
      <c r="AB45" s="22"/>
      <c r="AC45" s="22"/>
      <c r="AD45" s="22"/>
      <c r="AE45" s="22"/>
      <c r="AF45" s="22"/>
      <c r="AG45" s="22"/>
      <c r="AH45" s="22"/>
      <c r="AI45" s="22"/>
      <c r="AJ45" s="22"/>
      <c r="AK45" s="22"/>
      <c r="AL45" s="22"/>
      <c r="AM45" s="22"/>
      <c r="AN45" s="22"/>
      <c r="AO45" s="22"/>
    </row>
    <row r="46" spans="1:41" hidden="1" outlineLevel="2" x14ac:dyDescent="0.25">
      <c r="A46" s="22"/>
      <c r="B46" s="22"/>
      <c r="C46" s="26"/>
      <c r="D46" s="26"/>
      <c r="E46" s="26"/>
      <c r="F46" s="26"/>
      <c r="G46" s="26"/>
      <c r="H46" s="26"/>
      <c r="I46" s="26"/>
      <c r="J46" s="26"/>
      <c r="K46" s="26"/>
      <c r="L46" s="26"/>
      <c r="M46" s="26"/>
      <c r="N46" s="26"/>
      <c r="O46" s="26"/>
      <c r="P46" s="26"/>
      <c r="Q46" s="26"/>
      <c r="R46" s="26"/>
      <c r="S46" s="26"/>
      <c r="T46" s="26"/>
      <c r="U46" s="26"/>
      <c r="V46" s="26"/>
      <c r="W46" s="26"/>
      <c r="X46" s="26"/>
      <c r="Y46" s="26"/>
      <c r="Z46" s="26"/>
      <c r="AA46" s="22"/>
      <c r="AB46" s="22"/>
      <c r="AC46" s="22"/>
      <c r="AD46" s="22"/>
      <c r="AE46" s="22"/>
      <c r="AF46" s="22"/>
      <c r="AG46" s="22"/>
      <c r="AH46" s="22"/>
      <c r="AI46" s="22"/>
      <c r="AJ46" s="22"/>
      <c r="AK46" s="22"/>
      <c r="AL46" s="22"/>
      <c r="AM46" s="22"/>
      <c r="AN46" s="22"/>
      <c r="AO46" s="22"/>
    </row>
    <row r="47" spans="1:41" hidden="1" outlineLevel="2" x14ac:dyDescent="0.25">
      <c r="A47" s="22"/>
      <c r="B47" s="22"/>
      <c r="C47" s="26"/>
      <c r="D47" s="26"/>
      <c r="E47" s="26"/>
      <c r="F47" s="26"/>
      <c r="G47" s="26"/>
      <c r="H47" s="26"/>
      <c r="I47" s="26"/>
      <c r="J47" s="26"/>
      <c r="K47" s="26"/>
      <c r="L47" s="26"/>
      <c r="M47" s="26"/>
      <c r="N47" s="26"/>
      <c r="O47" s="26"/>
      <c r="P47" s="26"/>
      <c r="Q47" s="26"/>
      <c r="R47" s="26"/>
      <c r="S47" s="26"/>
      <c r="T47" s="26"/>
      <c r="U47" s="26"/>
      <c r="V47" s="26"/>
      <c r="W47" s="26"/>
      <c r="X47" s="26"/>
      <c r="Y47" s="26"/>
      <c r="Z47" s="26"/>
      <c r="AA47" s="22"/>
      <c r="AB47" s="22"/>
      <c r="AC47" s="22"/>
      <c r="AD47" s="22"/>
      <c r="AE47" s="22"/>
      <c r="AF47" s="22"/>
      <c r="AG47" s="22"/>
      <c r="AH47" s="22"/>
      <c r="AI47" s="22"/>
      <c r="AJ47" s="22"/>
      <c r="AK47" s="22"/>
      <c r="AL47" s="22"/>
      <c r="AM47" s="22"/>
      <c r="AN47" s="22"/>
      <c r="AO47" s="22"/>
    </row>
    <row r="48" spans="1:41" hidden="1" outlineLevel="2" x14ac:dyDescent="0.25">
      <c r="A48" s="22"/>
      <c r="B48" s="22"/>
      <c r="C48" s="26"/>
      <c r="D48" s="26"/>
      <c r="E48" s="26"/>
      <c r="F48" s="26"/>
      <c r="G48" s="26"/>
      <c r="H48" s="26"/>
      <c r="I48" s="26"/>
      <c r="J48" s="26"/>
      <c r="K48" s="26"/>
      <c r="L48" s="26"/>
      <c r="M48" s="26"/>
      <c r="N48" s="26"/>
      <c r="O48" s="26"/>
      <c r="P48" s="26"/>
      <c r="Q48" s="26"/>
      <c r="R48" s="26"/>
      <c r="S48" s="26"/>
      <c r="T48" s="26"/>
      <c r="U48" s="26"/>
      <c r="V48" s="26"/>
      <c r="W48" s="26"/>
      <c r="X48" s="26"/>
      <c r="Y48" s="26"/>
      <c r="Z48" s="26"/>
      <c r="AA48" s="22"/>
      <c r="AB48" s="22"/>
      <c r="AC48" s="22"/>
      <c r="AD48" s="22"/>
      <c r="AE48" s="22"/>
      <c r="AF48" s="22"/>
      <c r="AG48" s="22"/>
      <c r="AH48" s="22"/>
      <c r="AI48" s="22"/>
      <c r="AJ48" s="22"/>
      <c r="AK48" s="22"/>
      <c r="AL48" s="22"/>
      <c r="AM48" s="22"/>
      <c r="AN48" s="22"/>
      <c r="AO48" s="22"/>
    </row>
    <row r="49" spans="1:41" hidden="1" outlineLevel="2" x14ac:dyDescent="0.25">
      <c r="A49" s="22"/>
      <c r="B49" s="22"/>
      <c r="C49" s="26"/>
      <c r="D49" s="26"/>
      <c r="E49" s="26"/>
      <c r="F49" s="26"/>
      <c r="G49" s="26"/>
      <c r="H49" s="26"/>
      <c r="I49" s="26"/>
      <c r="J49" s="26"/>
      <c r="K49" s="26"/>
      <c r="L49" s="26"/>
      <c r="M49" s="26"/>
      <c r="N49" s="26"/>
      <c r="O49" s="26"/>
      <c r="P49" s="26"/>
      <c r="Q49" s="26"/>
      <c r="R49" s="26"/>
      <c r="S49" s="26"/>
      <c r="T49" s="26"/>
      <c r="U49" s="26"/>
      <c r="V49" s="26"/>
      <c r="W49" s="26"/>
      <c r="X49" s="26"/>
      <c r="Y49" s="26"/>
      <c r="Z49" s="26"/>
      <c r="AA49" s="22"/>
      <c r="AB49" s="22"/>
      <c r="AC49" s="22"/>
      <c r="AD49" s="22"/>
      <c r="AE49" s="22"/>
      <c r="AF49" s="22"/>
      <c r="AG49" s="22"/>
      <c r="AH49" s="22"/>
      <c r="AI49" s="22"/>
      <c r="AJ49" s="22"/>
      <c r="AK49" s="22"/>
      <c r="AL49" s="22"/>
      <c r="AM49" s="22"/>
      <c r="AN49" s="22"/>
      <c r="AO49" s="22"/>
    </row>
    <row r="50" spans="1:41" hidden="1" outlineLevel="2" x14ac:dyDescent="0.25">
      <c r="A50" s="22"/>
      <c r="B50" s="22"/>
      <c r="C50" s="26"/>
      <c r="D50" s="26"/>
      <c r="E50" s="26"/>
      <c r="F50" s="26"/>
      <c r="G50" s="26"/>
      <c r="H50" s="26"/>
      <c r="I50" s="26"/>
      <c r="J50" s="26"/>
      <c r="K50" s="26"/>
      <c r="L50" s="26"/>
      <c r="M50" s="26"/>
      <c r="N50" s="26"/>
      <c r="O50" s="26"/>
      <c r="P50" s="26"/>
      <c r="Q50" s="26"/>
      <c r="R50" s="26"/>
      <c r="S50" s="26"/>
      <c r="T50" s="26"/>
      <c r="U50" s="26"/>
      <c r="V50" s="26"/>
      <c r="W50" s="26"/>
      <c r="X50" s="26"/>
      <c r="Y50" s="26"/>
      <c r="Z50" s="26"/>
      <c r="AA50" s="22"/>
      <c r="AB50" s="22"/>
      <c r="AC50" s="22"/>
      <c r="AD50" s="22"/>
      <c r="AE50" s="22"/>
      <c r="AF50" s="22"/>
      <c r="AG50" s="22"/>
      <c r="AH50" s="22"/>
      <c r="AI50" s="22"/>
      <c r="AJ50" s="22"/>
      <c r="AK50" s="22"/>
      <c r="AL50" s="22"/>
      <c r="AM50" s="22"/>
      <c r="AN50" s="22"/>
      <c r="AO50" s="22"/>
    </row>
    <row r="51" spans="1:41" hidden="1" outlineLevel="2" x14ac:dyDescent="0.25">
      <c r="A51" s="22"/>
      <c r="B51" s="22"/>
      <c r="C51" s="26"/>
      <c r="D51" s="26"/>
      <c r="E51" s="26"/>
      <c r="F51" s="26"/>
      <c r="G51" s="26"/>
      <c r="H51" s="26"/>
      <c r="I51" s="26"/>
      <c r="J51" s="26"/>
      <c r="K51" s="26"/>
      <c r="L51" s="26"/>
      <c r="M51" s="26"/>
      <c r="N51" s="26"/>
      <c r="O51" s="26"/>
      <c r="P51" s="26"/>
      <c r="Q51" s="26"/>
      <c r="R51" s="26"/>
      <c r="S51" s="26"/>
      <c r="T51" s="26"/>
      <c r="U51" s="26"/>
      <c r="V51" s="26"/>
      <c r="W51" s="26"/>
      <c r="X51" s="26"/>
      <c r="Y51" s="26"/>
      <c r="Z51" s="26"/>
      <c r="AA51" s="22"/>
      <c r="AB51" s="22"/>
      <c r="AC51" s="22"/>
      <c r="AD51" s="22"/>
      <c r="AE51" s="22"/>
      <c r="AF51" s="22"/>
      <c r="AG51" s="22"/>
      <c r="AH51" s="22"/>
      <c r="AI51" s="22"/>
      <c r="AJ51" s="22"/>
      <c r="AK51" s="22"/>
      <c r="AL51" s="22"/>
      <c r="AM51" s="22"/>
      <c r="AN51" s="22"/>
      <c r="AO51" s="22"/>
    </row>
    <row r="52" spans="1:41" hidden="1" outlineLevel="2" x14ac:dyDescent="0.25">
      <c r="A52" s="22"/>
      <c r="B52" s="22"/>
      <c r="C52" s="26"/>
      <c r="D52" s="26"/>
      <c r="E52" s="26"/>
      <c r="F52" s="26"/>
      <c r="G52" s="26"/>
      <c r="H52" s="26"/>
      <c r="I52" s="26"/>
      <c r="J52" s="26"/>
      <c r="K52" s="26"/>
      <c r="L52" s="26"/>
      <c r="M52" s="26"/>
      <c r="N52" s="26"/>
      <c r="O52" s="26"/>
      <c r="P52" s="26"/>
      <c r="Q52" s="26"/>
      <c r="R52" s="26"/>
      <c r="S52" s="26"/>
      <c r="T52" s="26"/>
      <c r="U52" s="26"/>
      <c r="V52" s="26"/>
      <c r="W52" s="26"/>
      <c r="X52" s="26"/>
      <c r="Y52" s="26"/>
      <c r="Z52" s="26"/>
      <c r="AA52" s="22"/>
      <c r="AB52" s="22"/>
      <c r="AC52" s="22"/>
      <c r="AD52" s="22"/>
      <c r="AE52" s="22"/>
      <c r="AF52" s="22"/>
      <c r="AG52" s="22"/>
      <c r="AH52" s="22"/>
      <c r="AI52" s="22"/>
      <c r="AJ52" s="22"/>
      <c r="AK52" s="22"/>
      <c r="AL52" s="22"/>
      <c r="AM52" s="22"/>
      <c r="AN52" s="22"/>
      <c r="AO52" s="22"/>
    </row>
    <row r="53" spans="1:41" hidden="1" outlineLevel="2" x14ac:dyDescent="0.25">
      <c r="A53" s="22"/>
      <c r="B53" s="22"/>
      <c r="C53" s="26"/>
      <c r="D53" s="26"/>
      <c r="E53" s="26"/>
      <c r="F53" s="26"/>
      <c r="G53" s="26"/>
      <c r="H53" s="26"/>
      <c r="I53" s="26"/>
      <c r="J53" s="26"/>
      <c r="K53" s="26"/>
      <c r="L53" s="26"/>
      <c r="M53" s="26"/>
      <c r="N53" s="26"/>
      <c r="O53" s="26"/>
      <c r="P53" s="26"/>
      <c r="Q53" s="26"/>
      <c r="R53" s="26"/>
      <c r="S53" s="26"/>
      <c r="T53" s="26"/>
      <c r="U53" s="26"/>
      <c r="V53" s="26"/>
      <c r="W53" s="26"/>
      <c r="X53" s="26"/>
      <c r="Y53" s="26"/>
      <c r="Z53" s="26"/>
      <c r="AA53" s="22"/>
      <c r="AB53" s="22"/>
      <c r="AC53" s="22"/>
      <c r="AD53" s="22"/>
      <c r="AE53" s="22"/>
      <c r="AF53" s="22"/>
      <c r="AG53" s="22"/>
      <c r="AH53" s="22"/>
      <c r="AI53" s="22"/>
      <c r="AJ53" s="22"/>
      <c r="AK53" s="22"/>
      <c r="AL53" s="22"/>
      <c r="AM53" s="22"/>
      <c r="AN53" s="22"/>
      <c r="AO53" s="22"/>
    </row>
    <row r="54" spans="1:41" hidden="1" outlineLevel="2" x14ac:dyDescent="0.25">
      <c r="A54" s="22"/>
      <c r="B54" s="22"/>
      <c r="C54" s="26"/>
      <c r="D54" s="26"/>
      <c r="E54" s="26"/>
      <c r="F54" s="26"/>
      <c r="G54" s="26"/>
      <c r="H54" s="26"/>
      <c r="I54" s="26"/>
      <c r="J54" s="26"/>
      <c r="K54" s="26"/>
      <c r="L54" s="26"/>
      <c r="M54" s="26"/>
      <c r="N54" s="26"/>
      <c r="O54" s="26"/>
      <c r="P54" s="26"/>
      <c r="Q54" s="26"/>
      <c r="R54" s="26"/>
      <c r="S54" s="26"/>
      <c r="T54" s="26"/>
      <c r="U54" s="26"/>
      <c r="V54" s="26"/>
      <c r="W54" s="26"/>
      <c r="X54" s="26"/>
      <c r="Y54" s="26"/>
      <c r="Z54" s="26"/>
      <c r="AA54" s="22"/>
      <c r="AB54" s="22"/>
      <c r="AC54" s="22"/>
      <c r="AD54" s="22"/>
      <c r="AE54" s="22"/>
      <c r="AF54" s="22"/>
      <c r="AG54" s="22"/>
      <c r="AH54" s="22"/>
      <c r="AI54" s="22"/>
      <c r="AJ54" s="22"/>
      <c r="AK54" s="22"/>
      <c r="AL54" s="22"/>
      <c r="AM54" s="22"/>
      <c r="AN54" s="22"/>
      <c r="AO54" s="22"/>
    </row>
    <row r="55" spans="1:41" hidden="1" outlineLevel="2" x14ac:dyDescent="0.25">
      <c r="A55" s="22"/>
      <c r="B55" s="22"/>
      <c r="C55" s="26"/>
      <c r="D55" s="26"/>
      <c r="E55" s="26"/>
      <c r="F55" s="26"/>
      <c r="G55" s="26"/>
      <c r="H55" s="26"/>
      <c r="I55" s="26"/>
      <c r="J55" s="26"/>
      <c r="K55" s="26"/>
      <c r="L55" s="26"/>
      <c r="M55" s="26"/>
      <c r="N55" s="26"/>
      <c r="O55" s="26"/>
      <c r="P55" s="26"/>
      <c r="Q55" s="26"/>
      <c r="R55" s="26"/>
      <c r="S55" s="26"/>
      <c r="T55" s="26"/>
      <c r="U55" s="26"/>
      <c r="V55" s="26"/>
      <c r="W55" s="26"/>
      <c r="X55" s="26"/>
      <c r="Y55" s="26"/>
      <c r="Z55" s="26"/>
      <c r="AA55" s="22"/>
      <c r="AB55" s="22"/>
      <c r="AC55" s="22"/>
      <c r="AD55" s="22"/>
      <c r="AE55" s="22"/>
      <c r="AF55" s="22"/>
      <c r="AG55" s="22"/>
      <c r="AH55" s="22"/>
      <c r="AI55" s="22"/>
      <c r="AJ55" s="22"/>
      <c r="AK55" s="22"/>
      <c r="AL55" s="22"/>
      <c r="AM55" s="22"/>
      <c r="AN55" s="22"/>
      <c r="AO55" s="22"/>
    </row>
    <row r="56" spans="1:41" hidden="1" outlineLevel="2" x14ac:dyDescent="0.25">
      <c r="A56" s="22"/>
      <c r="B56" s="22"/>
      <c r="C56" s="26"/>
      <c r="D56" s="26"/>
      <c r="E56" s="26"/>
      <c r="F56" s="26"/>
      <c r="G56" s="26"/>
      <c r="H56" s="26"/>
      <c r="I56" s="26"/>
      <c r="J56" s="26"/>
      <c r="K56" s="26"/>
      <c r="L56" s="26"/>
      <c r="M56" s="26"/>
      <c r="N56" s="26"/>
      <c r="O56" s="26"/>
      <c r="P56" s="26"/>
      <c r="Q56" s="26"/>
      <c r="R56" s="26"/>
      <c r="S56" s="26"/>
      <c r="T56" s="26"/>
      <c r="U56" s="26"/>
      <c r="V56" s="26"/>
      <c r="W56" s="26"/>
      <c r="X56" s="26"/>
      <c r="Y56" s="26"/>
      <c r="Z56" s="26"/>
      <c r="AA56" s="22"/>
      <c r="AB56" s="22"/>
      <c r="AC56" s="22"/>
      <c r="AD56" s="22"/>
      <c r="AE56" s="22"/>
      <c r="AF56" s="22"/>
      <c r="AG56" s="22"/>
      <c r="AH56" s="22"/>
      <c r="AI56" s="22"/>
      <c r="AJ56" s="22"/>
      <c r="AK56" s="22"/>
      <c r="AL56" s="22"/>
      <c r="AM56" s="22"/>
      <c r="AN56" s="22"/>
      <c r="AO56" s="22"/>
    </row>
    <row r="57" spans="1:41" hidden="1" outlineLevel="2" x14ac:dyDescent="0.25">
      <c r="A57" s="22"/>
      <c r="B57" s="27"/>
      <c r="C57" s="27"/>
      <c r="D57" s="27"/>
      <c r="E57" s="27"/>
      <c r="F57" s="27"/>
      <c r="G57" s="27"/>
      <c r="H57" s="22"/>
      <c r="I57" s="22"/>
      <c r="J57" s="22"/>
      <c r="K57" s="22"/>
      <c r="L57" s="22"/>
      <c r="M57" s="22"/>
      <c r="N57" s="22"/>
      <c r="O57" s="22"/>
      <c r="P57" s="22"/>
      <c r="Q57" s="22"/>
      <c r="R57" s="22"/>
      <c r="S57" s="22"/>
      <c r="T57" s="22"/>
      <c r="U57" s="22"/>
      <c r="V57" s="22"/>
      <c r="W57" s="22"/>
      <c r="X57" s="22"/>
      <c r="Y57" s="22"/>
      <c r="Z57" s="22"/>
      <c r="AA57" s="22"/>
      <c r="AB57" s="22"/>
      <c r="AC57" s="22"/>
      <c r="AD57" s="22"/>
      <c r="AE57" s="22"/>
      <c r="AF57" s="22"/>
      <c r="AG57" s="22"/>
      <c r="AH57" s="22"/>
      <c r="AI57" s="22"/>
      <c r="AJ57" s="22"/>
      <c r="AK57" s="22"/>
      <c r="AL57" s="22"/>
      <c r="AM57" s="22"/>
      <c r="AN57" s="22"/>
      <c r="AO57" s="22"/>
    </row>
    <row r="58" spans="1:41" hidden="1" outlineLevel="2" x14ac:dyDescent="0.25">
      <c r="A58" s="22"/>
      <c r="B58" s="22"/>
      <c r="C58" s="22"/>
      <c r="D58" s="22"/>
      <c r="E58" s="22"/>
      <c r="F58" s="28"/>
      <c r="G58" s="22"/>
      <c r="H58" s="22"/>
      <c r="I58" s="22"/>
      <c r="J58" s="22"/>
      <c r="K58" s="22"/>
      <c r="L58" s="22"/>
      <c r="M58" s="22"/>
      <c r="N58" s="22"/>
      <c r="O58" s="22"/>
      <c r="P58" s="22"/>
      <c r="Q58" s="22"/>
      <c r="R58" s="22"/>
      <c r="S58" s="22"/>
      <c r="T58" s="22"/>
      <c r="U58" s="22"/>
      <c r="V58" s="22"/>
      <c r="W58" s="22"/>
      <c r="X58" s="22"/>
      <c r="Y58" s="22"/>
      <c r="Z58" s="22"/>
      <c r="AA58" s="22"/>
      <c r="AB58" s="22"/>
      <c r="AC58" s="22"/>
      <c r="AD58" s="22"/>
      <c r="AE58" s="22"/>
      <c r="AF58" s="22"/>
      <c r="AG58" s="22"/>
      <c r="AH58" s="22"/>
      <c r="AI58" s="22"/>
      <c r="AJ58" s="22"/>
      <c r="AK58" s="22"/>
      <c r="AL58" s="22"/>
      <c r="AM58" s="22"/>
      <c r="AN58" s="22"/>
      <c r="AO58" s="22"/>
    </row>
    <row r="59" spans="1:41" hidden="1" outlineLevel="2" x14ac:dyDescent="0.25">
      <c r="A59" s="29"/>
      <c r="B59" s="29"/>
      <c r="C59" s="22"/>
      <c r="D59" s="22"/>
      <c r="E59" s="22"/>
      <c r="F59" s="28"/>
      <c r="G59" s="22"/>
      <c r="H59" s="22"/>
      <c r="I59" s="22"/>
      <c r="J59" s="22"/>
      <c r="K59" s="22"/>
      <c r="L59" s="22"/>
      <c r="M59" s="22"/>
      <c r="N59" s="22"/>
      <c r="O59" s="22"/>
      <c r="P59" s="22"/>
      <c r="Q59" s="22"/>
      <c r="R59" s="22"/>
      <c r="S59" s="22"/>
      <c r="T59" s="22"/>
      <c r="U59" s="22"/>
      <c r="V59" s="22"/>
      <c r="W59" s="22"/>
      <c r="X59" s="22"/>
      <c r="Y59" s="22"/>
      <c r="Z59" s="22"/>
      <c r="AA59" s="22"/>
      <c r="AB59" s="22"/>
      <c r="AC59" s="22"/>
      <c r="AD59" s="22"/>
      <c r="AE59" s="22"/>
      <c r="AF59" s="22"/>
      <c r="AG59" s="22"/>
      <c r="AH59" s="22"/>
      <c r="AI59" s="22"/>
      <c r="AJ59" s="22"/>
      <c r="AK59" s="22"/>
      <c r="AL59" s="22"/>
      <c r="AM59" s="22"/>
      <c r="AN59" s="22"/>
      <c r="AO59" s="22"/>
    </row>
    <row r="60" spans="1:41" hidden="1" outlineLevel="2" x14ac:dyDescent="0.25">
      <c r="A60" s="29"/>
      <c r="B60" s="29"/>
      <c r="C60" s="22"/>
      <c r="D60" s="22"/>
      <c r="E60" s="22"/>
      <c r="F60" s="28"/>
      <c r="G60" s="22"/>
      <c r="H60" s="22"/>
      <c r="I60" s="22"/>
      <c r="J60" s="22"/>
      <c r="K60" s="22"/>
      <c r="L60" s="22"/>
      <c r="M60" s="22"/>
      <c r="N60" s="22"/>
      <c r="O60" s="22"/>
      <c r="P60" s="22"/>
      <c r="Q60" s="22"/>
      <c r="R60" s="22"/>
      <c r="S60" s="22"/>
      <c r="T60" s="22"/>
      <c r="U60" s="22"/>
      <c r="V60" s="22"/>
      <c r="W60" s="22"/>
      <c r="X60" s="22"/>
      <c r="Y60" s="22"/>
      <c r="Z60" s="22"/>
      <c r="AA60" s="22"/>
      <c r="AB60" s="22"/>
      <c r="AC60" s="22"/>
      <c r="AD60" s="22"/>
      <c r="AE60" s="22"/>
      <c r="AF60" s="22"/>
      <c r="AG60" s="22"/>
      <c r="AH60" s="22"/>
      <c r="AI60" s="22"/>
      <c r="AJ60" s="22"/>
      <c r="AK60" s="22"/>
      <c r="AL60" s="22"/>
      <c r="AM60" s="22"/>
      <c r="AN60" s="22"/>
      <c r="AO60" s="22"/>
    </row>
    <row r="61" spans="1:41" hidden="1" outlineLevel="2" x14ac:dyDescent="0.25">
      <c r="A61" s="29"/>
      <c r="B61" s="29"/>
      <c r="C61" s="22"/>
      <c r="D61" s="22"/>
      <c r="E61" s="22"/>
      <c r="F61" s="28"/>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22"/>
      <c r="AK61" s="22"/>
      <c r="AL61" s="22"/>
      <c r="AM61" s="22"/>
      <c r="AN61" s="22"/>
      <c r="AO61" s="22"/>
    </row>
    <row r="62" spans="1:41" hidden="1" outlineLevel="2" x14ac:dyDescent="0.25">
      <c r="A62" s="22"/>
      <c r="B62" s="22"/>
      <c r="C62" s="22"/>
      <c r="D62" s="22"/>
      <c r="E62" s="22"/>
      <c r="F62" s="28"/>
      <c r="G62" s="22"/>
      <c r="H62" s="22"/>
      <c r="I62" s="22"/>
      <c r="J62" s="22"/>
      <c r="K62" s="22"/>
      <c r="L62" s="22"/>
      <c r="M62" s="22"/>
      <c r="N62" s="22"/>
      <c r="O62" s="22"/>
      <c r="P62" s="22"/>
      <c r="Q62" s="22"/>
      <c r="R62" s="22"/>
      <c r="S62" s="22"/>
      <c r="T62" s="22"/>
      <c r="U62" s="22"/>
      <c r="V62" s="22"/>
      <c r="W62" s="22"/>
      <c r="X62" s="22"/>
      <c r="Y62" s="22"/>
      <c r="Z62" s="22"/>
      <c r="AA62" s="22"/>
      <c r="AB62" s="22"/>
      <c r="AC62" s="22"/>
      <c r="AD62" s="22"/>
      <c r="AE62" s="22"/>
      <c r="AF62" s="22"/>
      <c r="AG62" s="22"/>
      <c r="AH62" s="22"/>
      <c r="AI62" s="22"/>
      <c r="AJ62" s="22"/>
      <c r="AK62" s="22"/>
      <c r="AL62" s="22"/>
      <c r="AM62" s="22"/>
      <c r="AN62" s="22"/>
      <c r="AO62" s="22"/>
    </row>
    <row r="63" spans="1:41" hidden="1" outlineLevel="2" x14ac:dyDescent="0.25">
      <c r="A63" s="22"/>
      <c r="B63" s="22"/>
      <c r="C63" s="22"/>
      <c r="D63" s="22"/>
      <c r="E63" s="22"/>
      <c r="F63" s="28"/>
      <c r="G63" s="22"/>
      <c r="H63" s="22"/>
      <c r="I63" s="22"/>
      <c r="J63" s="22"/>
      <c r="K63" s="22"/>
      <c r="L63" s="22"/>
      <c r="M63" s="22"/>
      <c r="N63" s="22"/>
      <c r="O63" s="22"/>
      <c r="P63" s="22"/>
      <c r="Q63" s="22"/>
      <c r="R63" s="22"/>
      <c r="S63" s="22"/>
      <c r="T63" s="22"/>
      <c r="U63" s="22"/>
      <c r="V63" s="22"/>
      <c r="W63" s="22"/>
      <c r="X63" s="22"/>
      <c r="Y63" s="22"/>
      <c r="Z63" s="22"/>
      <c r="AA63" s="22"/>
      <c r="AB63" s="22"/>
      <c r="AC63" s="22"/>
      <c r="AD63" s="22"/>
      <c r="AE63" s="22"/>
      <c r="AF63" s="22"/>
      <c r="AG63" s="22"/>
      <c r="AH63" s="22"/>
      <c r="AI63" s="22"/>
      <c r="AJ63" s="22"/>
      <c r="AK63" s="22"/>
      <c r="AL63" s="22"/>
      <c r="AM63" s="22"/>
      <c r="AN63" s="22"/>
      <c r="AO63" s="22"/>
    </row>
    <row r="64" spans="1:41" hidden="1" outlineLevel="2" x14ac:dyDescent="0.25">
      <c r="A64" s="22"/>
      <c r="B64" s="22"/>
      <c r="C64" s="22"/>
      <c r="D64" s="22"/>
      <c r="E64" s="22"/>
      <c r="F64" s="28"/>
      <c r="G64" s="22"/>
      <c r="H64" s="22"/>
      <c r="I64" s="22"/>
      <c r="J64" s="22"/>
      <c r="K64" s="22"/>
      <c r="L64" s="22"/>
      <c r="M64" s="22"/>
      <c r="N64" s="22"/>
      <c r="O64" s="22"/>
      <c r="P64" s="22"/>
      <c r="Q64" s="22"/>
      <c r="R64" s="22"/>
      <c r="S64" s="22"/>
      <c r="T64" s="22"/>
      <c r="U64" s="22"/>
      <c r="V64" s="22"/>
      <c r="W64" s="22"/>
      <c r="X64" s="30"/>
      <c r="Y64" s="22"/>
      <c r="Z64" s="22"/>
      <c r="AA64" s="22"/>
      <c r="AB64" s="22"/>
      <c r="AC64" s="22"/>
      <c r="AD64" s="22"/>
      <c r="AE64" s="22"/>
      <c r="AF64" s="22"/>
      <c r="AG64" s="22"/>
      <c r="AH64" s="22"/>
      <c r="AI64" s="22"/>
      <c r="AJ64" s="22"/>
      <c r="AK64" s="22"/>
      <c r="AL64" s="22"/>
      <c r="AM64" s="22"/>
      <c r="AN64" s="22"/>
      <c r="AO64" s="22"/>
    </row>
    <row r="65" spans="1:41" hidden="1" outlineLevel="2" x14ac:dyDescent="0.25">
      <c r="A65" s="22"/>
      <c r="B65" s="22"/>
      <c r="C65" s="22"/>
      <c r="D65" s="22"/>
      <c r="E65" s="22"/>
      <c r="F65" s="28"/>
      <c r="G65" s="22"/>
      <c r="H65" s="22"/>
      <c r="I65" s="22"/>
      <c r="J65" s="22"/>
      <c r="K65" s="22"/>
      <c r="L65" s="22"/>
      <c r="M65" s="22"/>
      <c r="N65" s="22"/>
      <c r="O65" s="22"/>
      <c r="P65" s="22"/>
      <c r="Q65" s="22"/>
      <c r="R65" s="22"/>
      <c r="S65" s="22"/>
      <c r="T65" s="22"/>
      <c r="U65" s="22"/>
      <c r="V65" s="22"/>
      <c r="W65" s="22"/>
      <c r="X65" s="30"/>
      <c r="Y65" s="22"/>
      <c r="Z65" s="22"/>
      <c r="AA65" s="22"/>
      <c r="AB65" s="22"/>
      <c r="AC65" s="22"/>
      <c r="AD65" s="22"/>
      <c r="AE65" s="22"/>
      <c r="AF65" s="22"/>
      <c r="AG65" s="22"/>
      <c r="AH65" s="22"/>
      <c r="AI65" s="22"/>
      <c r="AJ65" s="22"/>
      <c r="AK65" s="22"/>
      <c r="AL65" s="22"/>
      <c r="AM65" s="22"/>
      <c r="AN65" s="22"/>
      <c r="AO65" s="22"/>
    </row>
    <row r="66" spans="1:41" hidden="1" outlineLevel="2" x14ac:dyDescent="0.25">
      <c r="A66" s="22"/>
      <c r="B66" s="22"/>
      <c r="C66" s="22"/>
      <c r="D66" s="22"/>
      <c r="E66" s="22"/>
      <c r="F66" s="28"/>
      <c r="G66" s="22"/>
      <c r="H66" s="22"/>
      <c r="I66" s="22"/>
      <c r="J66" s="22"/>
      <c r="K66" s="22"/>
      <c r="L66" s="22"/>
      <c r="M66" s="22"/>
      <c r="N66" s="22"/>
      <c r="O66" s="22"/>
      <c r="P66" s="22"/>
      <c r="Q66" s="22"/>
      <c r="R66" s="22"/>
      <c r="S66" s="22"/>
      <c r="T66" s="22"/>
      <c r="U66" s="22"/>
      <c r="V66" s="22"/>
      <c r="W66" s="22"/>
      <c r="X66" s="30"/>
      <c r="Y66" s="22"/>
      <c r="Z66" s="22"/>
      <c r="AA66" s="22"/>
      <c r="AB66" s="22"/>
      <c r="AC66" s="22"/>
      <c r="AD66" s="22"/>
      <c r="AE66" s="22"/>
      <c r="AF66" s="22"/>
      <c r="AG66" s="22"/>
      <c r="AH66" s="22"/>
      <c r="AI66" s="22"/>
      <c r="AJ66" s="22"/>
      <c r="AK66" s="22"/>
      <c r="AL66" s="22"/>
      <c r="AM66" s="22"/>
      <c r="AN66" s="22"/>
      <c r="AO66" s="22"/>
    </row>
    <row r="67" spans="1:41" hidden="1" outlineLevel="2" x14ac:dyDescent="0.25">
      <c r="A67" s="22"/>
      <c r="B67" s="22"/>
      <c r="C67" s="22"/>
      <c r="D67" s="22"/>
      <c r="E67" s="22"/>
      <c r="F67" s="28"/>
      <c r="G67" s="22"/>
      <c r="H67" s="22"/>
      <c r="I67" s="22"/>
      <c r="J67" s="22"/>
      <c r="K67" s="22"/>
      <c r="L67" s="22"/>
      <c r="M67" s="22"/>
      <c r="N67" s="22"/>
      <c r="O67" s="22"/>
      <c r="P67" s="22"/>
      <c r="Q67" s="22"/>
      <c r="R67" s="22"/>
      <c r="S67" s="22"/>
      <c r="T67" s="22"/>
      <c r="U67" s="22"/>
      <c r="V67" s="22"/>
      <c r="W67" s="22"/>
      <c r="X67" s="30"/>
      <c r="Y67" s="22"/>
      <c r="Z67" s="22"/>
      <c r="AA67" s="22"/>
      <c r="AB67" s="22"/>
      <c r="AC67" s="22"/>
      <c r="AD67" s="22"/>
      <c r="AE67" s="22"/>
      <c r="AF67" s="22"/>
      <c r="AG67" s="22"/>
      <c r="AH67" s="22"/>
      <c r="AI67" s="22"/>
      <c r="AJ67" s="22"/>
      <c r="AK67" s="22"/>
      <c r="AL67" s="22"/>
      <c r="AM67" s="22"/>
      <c r="AN67" s="22"/>
      <c r="AO67" s="22"/>
    </row>
    <row r="68" spans="1:41" hidden="1" outlineLevel="2" x14ac:dyDescent="0.25">
      <c r="A68" s="22"/>
      <c r="B68" s="22"/>
      <c r="C68" s="22"/>
      <c r="D68" s="22"/>
      <c r="E68" s="22"/>
      <c r="F68" s="28"/>
      <c r="G68" s="22"/>
      <c r="H68" s="22"/>
      <c r="I68" s="22"/>
      <c r="J68" s="22"/>
      <c r="K68" s="22"/>
      <c r="L68" s="22"/>
      <c r="M68" s="22"/>
      <c r="N68" s="22"/>
      <c r="O68" s="22"/>
      <c r="P68" s="22"/>
      <c r="Q68" s="22"/>
      <c r="R68" s="22"/>
      <c r="S68" s="22"/>
      <c r="T68" s="22"/>
      <c r="U68" s="22"/>
      <c r="V68" s="22"/>
      <c r="W68" s="22"/>
      <c r="X68" s="30"/>
      <c r="Y68" s="22"/>
      <c r="Z68" s="22"/>
      <c r="AA68" s="22"/>
      <c r="AB68" s="22"/>
      <c r="AC68" s="22"/>
      <c r="AD68" s="22"/>
      <c r="AE68" s="22"/>
      <c r="AF68" s="22"/>
      <c r="AG68" s="22"/>
      <c r="AH68" s="22"/>
      <c r="AI68" s="22"/>
      <c r="AJ68" s="22"/>
      <c r="AK68" s="22"/>
      <c r="AL68" s="22"/>
      <c r="AM68" s="22"/>
      <c r="AN68" s="22"/>
      <c r="AO68" s="22"/>
    </row>
    <row r="69" spans="1:41" hidden="1" outlineLevel="2" x14ac:dyDescent="0.25">
      <c r="A69" s="22"/>
      <c r="B69" s="22"/>
      <c r="C69" s="22"/>
      <c r="D69" s="22"/>
      <c r="E69" s="22"/>
      <c r="F69" s="28"/>
      <c r="G69" s="22"/>
      <c r="H69" s="22"/>
      <c r="I69" s="22"/>
      <c r="J69" s="22"/>
      <c r="K69" s="22"/>
      <c r="L69" s="22"/>
      <c r="M69" s="22"/>
      <c r="N69" s="22"/>
      <c r="O69" s="22"/>
      <c r="P69" s="22"/>
      <c r="Q69" s="22"/>
      <c r="R69" s="22"/>
      <c r="S69" s="22"/>
      <c r="T69" s="22"/>
      <c r="U69" s="22"/>
      <c r="V69" s="22"/>
      <c r="W69" s="22"/>
      <c r="X69" s="30"/>
      <c r="Y69" s="22"/>
      <c r="Z69" s="22"/>
      <c r="AA69" s="22"/>
      <c r="AB69" s="22"/>
      <c r="AC69" s="22"/>
      <c r="AD69" s="22"/>
      <c r="AE69" s="22"/>
      <c r="AF69" s="22"/>
      <c r="AG69" s="22"/>
      <c r="AH69" s="22"/>
      <c r="AI69" s="22"/>
      <c r="AJ69" s="22"/>
      <c r="AK69" s="22"/>
      <c r="AL69" s="22"/>
      <c r="AM69" s="22"/>
      <c r="AN69" s="22"/>
      <c r="AO69" s="22"/>
    </row>
    <row r="70" spans="1:41" hidden="1" outlineLevel="2" x14ac:dyDescent="0.25">
      <c r="A70" s="22"/>
      <c r="B70" s="22"/>
      <c r="C70" s="22"/>
      <c r="D70" s="22"/>
      <c r="E70" s="22"/>
      <c r="F70" s="28"/>
      <c r="G70" s="22"/>
      <c r="H70" s="22"/>
      <c r="I70" s="22"/>
      <c r="J70" s="22"/>
      <c r="K70" s="22"/>
      <c r="L70" s="22"/>
      <c r="M70" s="22"/>
      <c r="N70" s="22"/>
      <c r="O70" s="22"/>
      <c r="P70" s="22"/>
      <c r="Q70" s="22"/>
      <c r="R70" s="22"/>
      <c r="S70" s="22"/>
      <c r="T70" s="22"/>
      <c r="U70" s="22"/>
      <c r="V70" s="22"/>
      <c r="W70" s="22"/>
      <c r="X70" s="30"/>
      <c r="Y70" s="22"/>
      <c r="Z70" s="22"/>
      <c r="AA70" s="22"/>
      <c r="AB70" s="22"/>
      <c r="AC70" s="22"/>
      <c r="AD70" s="22"/>
      <c r="AE70" s="22"/>
      <c r="AF70" s="22"/>
      <c r="AG70" s="22"/>
      <c r="AH70" s="22"/>
      <c r="AI70" s="22"/>
      <c r="AJ70" s="22"/>
      <c r="AK70" s="22"/>
      <c r="AL70" s="22"/>
      <c r="AM70" s="22"/>
      <c r="AN70" s="22"/>
      <c r="AO70" s="22"/>
    </row>
    <row r="71" spans="1:41" hidden="1" outlineLevel="2" x14ac:dyDescent="0.25">
      <c r="A71" s="22"/>
      <c r="B71" s="22"/>
      <c r="C71" s="22"/>
      <c r="D71" s="22"/>
      <c r="E71" s="22"/>
      <c r="F71" s="28"/>
      <c r="G71" s="22"/>
      <c r="H71" s="22"/>
      <c r="I71" s="22"/>
      <c r="J71" s="22"/>
      <c r="K71" s="22"/>
      <c r="L71" s="22"/>
      <c r="M71" s="22"/>
      <c r="N71" s="22"/>
      <c r="O71" s="22"/>
      <c r="P71" s="22"/>
      <c r="Q71" s="22"/>
      <c r="R71" s="22"/>
      <c r="S71" s="22"/>
      <c r="T71" s="22"/>
      <c r="U71" s="22"/>
      <c r="V71" s="22"/>
      <c r="W71" s="22"/>
      <c r="X71" s="22"/>
      <c r="Y71" s="22"/>
      <c r="Z71" s="22"/>
      <c r="AA71" s="22"/>
      <c r="AB71" s="22"/>
      <c r="AC71" s="22"/>
      <c r="AD71" s="22"/>
      <c r="AE71" s="22"/>
      <c r="AF71" s="22"/>
      <c r="AG71" s="22"/>
      <c r="AH71" s="22"/>
      <c r="AI71" s="22"/>
      <c r="AJ71" s="22"/>
      <c r="AK71" s="22"/>
      <c r="AL71" s="22"/>
      <c r="AM71" s="22"/>
      <c r="AN71" s="22"/>
      <c r="AO71" s="22"/>
    </row>
    <row r="72" spans="1:41" hidden="1" outlineLevel="2" x14ac:dyDescent="0.25">
      <c r="A72" s="22"/>
      <c r="B72" s="22"/>
      <c r="C72" s="22"/>
      <c r="D72" s="22"/>
      <c r="E72" s="22"/>
      <c r="F72" s="28"/>
      <c r="G72" s="22"/>
      <c r="H72" s="22"/>
      <c r="I72" s="22"/>
      <c r="J72" s="22"/>
      <c r="K72" s="22"/>
      <c r="L72" s="22"/>
      <c r="M72" s="22"/>
      <c r="N72" s="22"/>
      <c r="O72" s="22"/>
      <c r="P72" s="22"/>
      <c r="Q72" s="22"/>
      <c r="R72" s="22"/>
      <c r="S72" s="22"/>
      <c r="T72" s="22"/>
      <c r="U72" s="22"/>
      <c r="V72" s="22"/>
      <c r="W72" s="22"/>
      <c r="X72" s="22"/>
      <c r="Y72" s="22"/>
      <c r="Z72" s="22"/>
      <c r="AA72" s="22"/>
      <c r="AB72" s="22"/>
      <c r="AC72" s="22"/>
      <c r="AD72" s="22"/>
      <c r="AE72" s="22"/>
      <c r="AF72" s="22"/>
      <c r="AG72" s="22"/>
      <c r="AH72" s="22"/>
      <c r="AI72" s="22"/>
      <c r="AJ72" s="22"/>
      <c r="AK72" s="22"/>
      <c r="AL72" s="22"/>
      <c r="AM72" s="22"/>
      <c r="AN72" s="22"/>
      <c r="AO72" s="22"/>
    </row>
    <row r="73" spans="1:41" hidden="1" outlineLevel="2" x14ac:dyDescent="0.25">
      <c r="A73" s="22"/>
      <c r="B73" s="22"/>
      <c r="C73" s="22"/>
      <c r="D73" s="22"/>
      <c r="E73" s="22"/>
      <c r="F73" s="28"/>
      <c r="G73" s="22"/>
      <c r="H73" s="22"/>
      <c r="I73" s="22"/>
      <c r="J73" s="22"/>
      <c r="K73" s="22"/>
      <c r="L73" s="22"/>
      <c r="M73" s="22"/>
      <c r="N73" s="22"/>
      <c r="O73" s="22"/>
      <c r="P73" s="22"/>
      <c r="Q73" s="22"/>
      <c r="R73" s="22"/>
      <c r="S73" s="22"/>
      <c r="T73" s="22"/>
      <c r="U73" s="22"/>
      <c r="V73" s="22"/>
      <c r="W73" s="22"/>
      <c r="X73" s="22"/>
      <c r="Y73" s="22"/>
      <c r="Z73" s="22"/>
      <c r="AA73" s="22"/>
      <c r="AB73" s="22"/>
      <c r="AC73" s="22"/>
      <c r="AD73" s="22"/>
      <c r="AE73" s="22"/>
      <c r="AF73" s="22"/>
      <c r="AG73" s="22"/>
      <c r="AH73" s="22"/>
      <c r="AI73" s="22"/>
      <c r="AJ73" s="22"/>
      <c r="AK73" s="22"/>
      <c r="AL73" s="22"/>
      <c r="AM73" s="22"/>
      <c r="AN73" s="22"/>
      <c r="AO73" s="22"/>
    </row>
    <row r="74" spans="1:41" hidden="1" outlineLevel="2" x14ac:dyDescent="0.25">
      <c r="A74" s="22"/>
      <c r="B74" s="22"/>
      <c r="C74" s="22"/>
      <c r="D74" s="22"/>
      <c r="E74" s="22"/>
      <c r="F74" s="28"/>
      <c r="G74" s="22"/>
      <c r="H74" s="22"/>
      <c r="I74" s="22"/>
      <c r="J74" s="22"/>
      <c r="K74" s="22"/>
      <c r="L74" s="22"/>
      <c r="M74" s="22"/>
      <c r="N74" s="22"/>
      <c r="O74" s="22"/>
      <c r="P74" s="22"/>
      <c r="Q74" s="22"/>
      <c r="R74" s="22"/>
      <c r="S74" s="22"/>
      <c r="T74" s="22"/>
      <c r="U74" s="22"/>
      <c r="V74" s="22"/>
      <c r="W74" s="22"/>
      <c r="X74" s="22"/>
      <c r="Y74" s="22"/>
      <c r="Z74" s="22"/>
      <c r="AA74" s="22"/>
      <c r="AB74" s="22"/>
      <c r="AC74" s="22"/>
      <c r="AD74" s="22"/>
      <c r="AE74" s="22"/>
      <c r="AF74" s="22"/>
      <c r="AG74" s="22"/>
      <c r="AH74" s="22"/>
      <c r="AI74" s="22"/>
      <c r="AJ74" s="22"/>
      <c r="AK74" s="22"/>
      <c r="AL74" s="22"/>
      <c r="AM74" s="22"/>
      <c r="AN74" s="22"/>
      <c r="AO74" s="22"/>
    </row>
    <row r="75" spans="1:41" hidden="1" outlineLevel="2" x14ac:dyDescent="0.25">
      <c r="A75" s="22"/>
      <c r="B75" s="22"/>
      <c r="C75" s="22"/>
      <c r="D75" s="22"/>
      <c r="E75" s="22"/>
      <c r="F75" s="22"/>
      <c r="G75" s="22"/>
      <c r="H75" s="22"/>
      <c r="I75" s="22"/>
      <c r="J75" s="22"/>
      <c r="K75" s="22"/>
      <c r="L75" s="22"/>
      <c r="M75" s="22"/>
      <c r="N75" s="22"/>
      <c r="O75" s="22"/>
      <c r="P75" s="22"/>
      <c r="Q75" s="22"/>
      <c r="R75" s="22"/>
      <c r="S75" s="22"/>
      <c r="T75" s="22"/>
      <c r="U75" s="22"/>
      <c r="V75" s="22"/>
      <c r="W75" s="22"/>
      <c r="X75" s="22"/>
      <c r="Y75" s="22"/>
      <c r="Z75" s="22"/>
      <c r="AA75" s="22"/>
      <c r="AB75" s="22"/>
      <c r="AC75" s="22"/>
      <c r="AD75" s="22"/>
      <c r="AE75" s="22"/>
      <c r="AF75" s="22"/>
      <c r="AG75" s="22"/>
      <c r="AH75" s="22"/>
      <c r="AI75" s="22"/>
      <c r="AJ75" s="22"/>
      <c r="AK75" s="22"/>
      <c r="AL75" s="22"/>
      <c r="AM75" s="22"/>
      <c r="AN75" s="22"/>
      <c r="AO75" s="22"/>
    </row>
    <row r="76" spans="1:41" hidden="1" outlineLevel="2" x14ac:dyDescent="0.25">
      <c r="A76" s="22"/>
      <c r="B76" s="22"/>
      <c r="C76" s="22"/>
      <c r="D76" s="22"/>
      <c r="E76" s="22"/>
      <c r="F76" s="22"/>
      <c r="G76" s="22"/>
      <c r="H76" s="22"/>
      <c r="I76" s="22"/>
      <c r="J76" s="22"/>
      <c r="K76" s="22"/>
      <c r="L76" s="22"/>
      <c r="M76" s="22"/>
      <c r="N76" s="22"/>
      <c r="O76" s="22"/>
      <c r="P76" s="22"/>
      <c r="Q76" s="22"/>
      <c r="R76" s="22"/>
      <c r="S76" s="22"/>
      <c r="T76" s="22"/>
      <c r="U76" s="22"/>
      <c r="V76" s="22"/>
      <c r="W76" s="22"/>
      <c r="X76" s="22"/>
      <c r="Y76" s="22"/>
      <c r="Z76" s="22"/>
      <c r="AA76" s="22"/>
      <c r="AB76" s="22"/>
      <c r="AC76" s="22"/>
      <c r="AD76" s="22"/>
      <c r="AE76" s="22"/>
      <c r="AF76" s="22"/>
      <c r="AG76" s="22"/>
      <c r="AH76" s="22"/>
      <c r="AI76" s="22"/>
      <c r="AJ76" s="22"/>
      <c r="AK76" s="22"/>
      <c r="AL76" s="22"/>
      <c r="AM76" s="22"/>
      <c r="AN76" s="22"/>
      <c r="AO76" s="22"/>
    </row>
    <row r="77" spans="1:41" hidden="1" outlineLevel="2" x14ac:dyDescent="0.25">
      <c r="A77" s="22"/>
      <c r="B77" s="22"/>
      <c r="C77" s="22"/>
      <c r="D77" s="22"/>
      <c r="E77" s="22"/>
      <c r="F77" s="22"/>
      <c r="G77" s="22"/>
      <c r="H77" s="22"/>
      <c r="I77" s="22"/>
      <c r="J77" s="22"/>
      <c r="K77" s="22"/>
      <c r="L77" s="22"/>
      <c r="M77" s="22"/>
      <c r="N77" s="22"/>
      <c r="O77" s="22"/>
      <c r="P77" s="22"/>
      <c r="Q77" s="22"/>
      <c r="R77" s="22"/>
      <c r="S77" s="22"/>
      <c r="T77" s="22"/>
      <c r="U77" s="22"/>
      <c r="V77" s="22"/>
      <c r="W77" s="22"/>
      <c r="X77" s="22"/>
      <c r="Y77" s="22"/>
      <c r="Z77" s="22"/>
      <c r="AA77" s="22"/>
      <c r="AB77" s="22"/>
      <c r="AC77" s="22"/>
      <c r="AD77" s="22"/>
      <c r="AE77" s="22"/>
      <c r="AF77" s="22"/>
      <c r="AG77" s="22"/>
      <c r="AH77" s="22"/>
      <c r="AI77" s="22"/>
      <c r="AJ77" s="22"/>
      <c r="AK77" s="22"/>
      <c r="AL77" s="22"/>
      <c r="AM77" s="22"/>
      <c r="AN77" s="22"/>
      <c r="AO77" s="22"/>
    </row>
    <row r="78" spans="1:41" hidden="1" outlineLevel="2" x14ac:dyDescent="0.25">
      <c r="A78" s="22"/>
      <c r="B78" s="22"/>
      <c r="C78" s="22"/>
      <c r="D78" s="22"/>
      <c r="E78" s="22"/>
      <c r="F78" s="22"/>
      <c r="G78" s="22"/>
      <c r="H78" s="22"/>
      <c r="I78" s="22"/>
      <c r="J78" s="22"/>
      <c r="K78" s="22"/>
      <c r="L78" s="22"/>
      <c r="M78" s="22"/>
      <c r="N78" s="22"/>
      <c r="O78" s="22"/>
      <c r="P78" s="22"/>
      <c r="Q78" s="22"/>
      <c r="R78" s="22"/>
      <c r="S78" s="22"/>
      <c r="T78" s="22"/>
      <c r="U78" s="22"/>
      <c r="V78" s="22"/>
      <c r="W78" s="22"/>
      <c r="X78" s="22"/>
      <c r="Y78" s="22"/>
      <c r="Z78" s="22"/>
      <c r="AA78" s="22"/>
      <c r="AB78" s="22"/>
      <c r="AC78" s="22"/>
      <c r="AD78" s="22"/>
      <c r="AE78" s="22"/>
      <c r="AF78" s="22"/>
      <c r="AG78" s="22"/>
      <c r="AH78" s="22"/>
      <c r="AI78" s="22"/>
      <c r="AJ78" s="22"/>
      <c r="AK78" s="22"/>
      <c r="AL78" s="22"/>
      <c r="AM78" s="22"/>
      <c r="AN78" s="22"/>
      <c r="AO78" s="22"/>
    </row>
    <row r="79" spans="1:41" hidden="1" outlineLevel="2" x14ac:dyDescent="0.25">
      <c r="A79" s="22"/>
      <c r="B79" s="22"/>
      <c r="C79" s="22"/>
      <c r="D79" s="22"/>
      <c r="E79" s="22"/>
      <c r="F79" s="22"/>
      <c r="G79" s="22"/>
      <c r="H79" s="22"/>
      <c r="I79" s="22"/>
      <c r="J79" s="22"/>
      <c r="K79" s="22"/>
      <c r="L79" s="22"/>
      <c r="M79" s="22"/>
      <c r="N79" s="22"/>
      <c r="O79" s="22"/>
      <c r="P79" s="22"/>
      <c r="Q79" s="22"/>
      <c r="R79" s="22"/>
      <c r="S79" s="22"/>
      <c r="T79" s="22"/>
      <c r="U79" s="22"/>
      <c r="V79" s="22"/>
      <c r="W79" s="22"/>
      <c r="X79" s="22"/>
      <c r="Y79" s="22"/>
      <c r="Z79" s="22"/>
      <c r="AA79" s="22"/>
      <c r="AB79" s="22"/>
      <c r="AC79" s="22"/>
      <c r="AD79" s="22"/>
      <c r="AE79" s="22"/>
      <c r="AF79" s="22"/>
      <c r="AG79" s="22"/>
      <c r="AH79" s="22"/>
      <c r="AI79" s="22"/>
      <c r="AJ79" s="22"/>
      <c r="AK79" s="22"/>
      <c r="AL79" s="22"/>
      <c r="AM79" s="22"/>
      <c r="AN79" s="22"/>
      <c r="AO79" s="22"/>
    </row>
    <row r="80" spans="1:41" hidden="1" outlineLevel="2" x14ac:dyDescent="0.25">
      <c r="A80" s="22"/>
      <c r="B80" s="22"/>
      <c r="C80" s="22"/>
      <c r="D80" s="22"/>
      <c r="E80" s="22"/>
      <c r="F80" s="22"/>
      <c r="G80" s="22"/>
      <c r="H80" s="22"/>
      <c r="I80" s="22"/>
      <c r="J80" s="22"/>
      <c r="K80" s="22"/>
      <c r="L80" s="22"/>
      <c r="M80" s="22"/>
      <c r="N80" s="22"/>
      <c r="O80" s="22"/>
      <c r="P80" s="22"/>
      <c r="Q80" s="22"/>
      <c r="R80" s="22"/>
      <c r="S80" s="22"/>
      <c r="T80" s="22"/>
      <c r="U80" s="22"/>
      <c r="V80" s="22"/>
      <c r="W80" s="22"/>
      <c r="X80" s="22"/>
      <c r="Y80" s="22"/>
      <c r="Z80" s="22"/>
      <c r="AA80" s="22"/>
      <c r="AB80" s="22"/>
      <c r="AC80" s="22"/>
      <c r="AD80" s="22"/>
      <c r="AE80" s="22"/>
      <c r="AF80" s="22"/>
      <c r="AG80" s="22"/>
      <c r="AH80" s="22"/>
      <c r="AI80" s="22"/>
      <c r="AJ80" s="22"/>
      <c r="AK80" s="22"/>
      <c r="AL80" s="22"/>
      <c r="AM80" s="22"/>
      <c r="AN80" s="22"/>
      <c r="AO80" s="22"/>
    </row>
    <row r="81" spans="1:41" hidden="1" outlineLevel="2" x14ac:dyDescent="0.25">
      <c r="A81" s="22"/>
      <c r="B81" s="22"/>
      <c r="C81" s="22"/>
      <c r="D81" s="22"/>
      <c r="E81" s="22"/>
      <c r="F81" s="22"/>
      <c r="G81" s="22"/>
      <c r="H81" s="22"/>
      <c r="I81" s="22"/>
      <c r="J81" s="22"/>
      <c r="K81" s="22"/>
      <c r="L81" s="22"/>
      <c r="M81" s="22"/>
      <c r="N81" s="22"/>
      <c r="O81" s="22"/>
      <c r="P81" s="22"/>
      <c r="Q81" s="22"/>
      <c r="R81" s="22"/>
      <c r="S81" s="22"/>
      <c r="T81" s="22"/>
      <c r="U81" s="22"/>
      <c r="V81" s="22"/>
      <c r="W81" s="22"/>
      <c r="X81" s="22"/>
      <c r="Y81" s="22"/>
      <c r="Z81" s="22"/>
      <c r="AA81" s="22"/>
      <c r="AB81" s="22"/>
      <c r="AC81" s="22"/>
      <c r="AD81" s="22"/>
      <c r="AE81" s="22"/>
      <c r="AF81" s="22"/>
      <c r="AG81" s="22"/>
      <c r="AH81" s="22"/>
      <c r="AI81" s="22"/>
      <c r="AJ81" s="22"/>
      <c r="AK81" s="22"/>
      <c r="AL81" s="22"/>
      <c r="AM81" s="22"/>
      <c r="AN81" s="22"/>
      <c r="AO81" s="22"/>
    </row>
    <row r="82" spans="1:41" hidden="1" outlineLevel="2" x14ac:dyDescent="0.25">
      <c r="A82" s="22"/>
      <c r="B82" s="22"/>
      <c r="C82" s="22"/>
      <c r="D82" s="22"/>
      <c r="E82" s="22"/>
      <c r="F82" s="22"/>
      <c r="G82" s="22"/>
      <c r="H82" s="22"/>
      <c r="I82" s="22"/>
      <c r="J82" s="22"/>
      <c r="K82" s="22"/>
      <c r="L82" s="22"/>
      <c r="M82" s="22"/>
      <c r="N82" s="22"/>
      <c r="O82" s="22"/>
      <c r="P82" s="22"/>
      <c r="Q82" s="22"/>
      <c r="R82" s="22"/>
      <c r="S82" s="22"/>
      <c r="T82" s="22"/>
      <c r="U82" s="22"/>
      <c r="V82" s="22"/>
      <c r="W82" s="22"/>
      <c r="X82" s="22"/>
      <c r="Y82" s="22"/>
      <c r="Z82" s="22"/>
      <c r="AA82" s="22"/>
      <c r="AB82" s="22"/>
      <c r="AC82" s="22"/>
      <c r="AD82" s="22"/>
      <c r="AE82" s="22"/>
      <c r="AF82" s="22"/>
      <c r="AG82" s="22"/>
      <c r="AH82" s="22"/>
      <c r="AI82" s="22"/>
      <c r="AJ82" s="22"/>
      <c r="AK82" s="22"/>
      <c r="AL82" s="22"/>
      <c r="AM82" s="22"/>
      <c r="AN82" s="22"/>
      <c r="AO82" s="22"/>
    </row>
    <row r="83" spans="1:41" hidden="1" outlineLevel="2" x14ac:dyDescent="0.25">
      <c r="A83" s="22"/>
      <c r="B83" s="22"/>
      <c r="C83" s="22"/>
      <c r="D83" s="22"/>
      <c r="E83" s="22"/>
      <c r="F83" s="22"/>
      <c r="G83" s="22"/>
      <c r="H83" s="22"/>
      <c r="I83" s="22"/>
      <c r="J83" s="22"/>
      <c r="K83" s="22"/>
      <c r="L83" s="22"/>
      <c r="M83" s="22"/>
      <c r="N83" s="22"/>
      <c r="O83" s="22"/>
      <c r="P83" s="22"/>
      <c r="Q83" s="22"/>
      <c r="R83" s="22"/>
      <c r="S83" s="22"/>
      <c r="T83" s="22"/>
      <c r="U83" s="22"/>
      <c r="V83" s="22"/>
      <c r="W83" s="22"/>
      <c r="X83" s="22"/>
      <c r="Y83" s="22"/>
      <c r="Z83" s="22"/>
      <c r="AA83" s="22"/>
      <c r="AB83" s="22"/>
      <c r="AC83" s="22"/>
      <c r="AD83" s="22"/>
      <c r="AE83" s="22"/>
      <c r="AF83" s="22"/>
      <c r="AG83" s="22"/>
      <c r="AH83" s="22"/>
      <c r="AI83" s="22"/>
      <c r="AJ83" s="22"/>
      <c r="AK83" s="22"/>
      <c r="AL83" s="22"/>
      <c r="AM83" s="22"/>
      <c r="AN83" s="22"/>
      <c r="AO83" s="22"/>
    </row>
    <row r="84" spans="1:41" ht="0.95" hidden="1" customHeight="1" outlineLevel="2" x14ac:dyDescent="0.25">
      <c r="A84" s="22"/>
      <c r="B84" s="22"/>
      <c r="C84" s="22"/>
      <c r="D84" s="22"/>
      <c r="E84" s="22"/>
      <c r="F84" s="22"/>
      <c r="G84" s="22"/>
      <c r="H84" s="22"/>
      <c r="I84" s="22"/>
      <c r="J84" s="22"/>
      <c r="K84" s="22"/>
      <c r="L84" s="22"/>
      <c r="M84" s="22"/>
      <c r="N84" s="22"/>
      <c r="O84" s="22"/>
      <c r="P84" s="22"/>
      <c r="Q84" s="22"/>
      <c r="R84" s="22"/>
      <c r="S84" s="22"/>
      <c r="T84" s="22"/>
      <c r="U84" s="22"/>
      <c r="V84" s="22"/>
      <c r="W84" s="22"/>
      <c r="X84" s="22"/>
      <c r="Y84" s="22"/>
      <c r="Z84" s="22"/>
      <c r="AA84" s="22"/>
      <c r="AB84" s="22"/>
      <c r="AC84" s="22"/>
      <c r="AD84" s="22"/>
      <c r="AE84" s="22"/>
      <c r="AF84" s="22"/>
      <c r="AG84" s="22"/>
      <c r="AH84" s="22"/>
      <c r="AI84" s="22"/>
      <c r="AJ84" s="22"/>
      <c r="AK84" s="22"/>
      <c r="AL84" s="22"/>
      <c r="AM84" s="22"/>
      <c r="AN84" s="22"/>
      <c r="AO84" s="22"/>
    </row>
    <row r="85" spans="1:41" hidden="1" outlineLevel="2" x14ac:dyDescent="0.25">
      <c r="A85" s="22"/>
      <c r="B85" s="22"/>
      <c r="C85" s="22"/>
      <c r="D85" s="22"/>
      <c r="E85" s="22"/>
      <c r="F85" s="22"/>
      <c r="G85" s="22"/>
      <c r="H85" s="22"/>
      <c r="I85" s="22"/>
      <c r="J85" s="22"/>
      <c r="K85" s="22"/>
      <c r="L85" s="22"/>
      <c r="M85" s="22"/>
      <c r="N85" s="22"/>
      <c r="O85" s="22"/>
      <c r="P85" s="22"/>
      <c r="Q85" s="22"/>
      <c r="R85" s="22"/>
      <c r="S85" s="22"/>
      <c r="T85" s="22"/>
      <c r="U85" s="22"/>
      <c r="V85" s="22"/>
      <c r="W85" s="22"/>
      <c r="X85" s="22"/>
      <c r="Y85" s="22"/>
      <c r="Z85" s="22"/>
      <c r="AA85" s="22"/>
      <c r="AB85" s="22"/>
      <c r="AC85" s="22"/>
      <c r="AD85" s="22"/>
      <c r="AE85" s="22"/>
      <c r="AF85" s="22"/>
      <c r="AG85" s="22"/>
      <c r="AH85" s="22"/>
      <c r="AI85" s="22"/>
      <c r="AJ85" s="22"/>
      <c r="AK85" s="22"/>
      <c r="AL85" s="22"/>
      <c r="AM85" s="22"/>
      <c r="AN85" s="22"/>
      <c r="AO85" s="22"/>
    </row>
    <row r="86" spans="1:41" hidden="1" outlineLevel="2" x14ac:dyDescent="0.25">
      <c r="A86" s="22"/>
      <c r="B86" s="22"/>
      <c r="C86" s="22"/>
      <c r="D86" s="22"/>
      <c r="E86" s="22"/>
      <c r="F86" s="22"/>
      <c r="G86" s="22"/>
      <c r="H86" s="22"/>
      <c r="I86" s="22"/>
      <c r="J86" s="22"/>
      <c r="K86" s="22"/>
      <c r="L86" s="22"/>
      <c r="M86" s="22"/>
      <c r="N86" s="22"/>
      <c r="O86" s="22"/>
      <c r="P86" s="22"/>
      <c r="Q86" s="22"/>
      <c r="R86" s="22"/>
      <c r="S86" s="22"/>
      <c r="T86" s="22"/>
      <c r="U86" s="22"/>
      <c r="V86" s="22"/>
      <c r="W86" s="22"/>
      <c r="X86" s="22"/>
      <c r="Y86" s="22"/>
      <c r="Z86" s="22"/>
      <c r="AA86" s="22"/>
      <c r="AB86" s="22"/>
      <c r="AC86" s="22"/>
      <c r="AD86" s="22"/>
      <c r="AE86" s="22"/>
      <c r="AF86" s="22"/>
      <c r="AG86" s="22"/>
      <c r="AH86" s="22"/>
      <c r="AI86" s="22"/>
      <c r="AJ86" s="22"/>
      <c r="AK86" s="22"/>
      <c r="AL86" s="22"/>
      <c r="AM86" s="22"/>
      <c r="AN86" s="22"/>
      <c r="AO86" s="22"/>
    </row>
    <row r="87" spans="1:41" hidden="1" outlineLevel="2" x14ac:dyDescent="0.25">
      <c r="A87" s="22"/>
      <c r="B87" s="22"/>
      <c r="C87" s="22"/>
      <c r="D87" s="22"/>
      <c r="E87" s="22"/>
      <c r="F87" s="22"/>
      <c r="G87" s="22"/>
      <c r="H87" s="22"/>
      <c r="I87" s="22"/>
      <c r="J87" s="22"/>
      <c r="K87" s="22"/>
      <c r="L87" s="22"/>
      <c r="M87" s="22"/>
      <c r="N87" s="22"/>
      <c r="O87" s="22"/>
      <c r="P87" s="22"/>
      <c r="Q87" s="22"/>
      <c r="R87" s="22"/>
      <c r="S87" s="22"/>
      <c r="T87" s="22"/>
      <c r="U87" s="22"/>
      <c r="V87" s="22"/>
      <c r="W87" s="22"/>
      <c r="X87" s="22"/>
      <c r="Y87" s="22"/>
      <c r="Z87" s="22"/>
      <c r="AA87" s="22"/>
      <c r="AB87" s="22"/>
      <c r="AC87" s="22"/>
      <c r="AD87" s="22"/>
      <c r="AE87" s="22"/>
      <c r="AF87" s="22"/>
      <c r="AG87" s="22"/>
      <c r="AH87" s="22"/>
      <c r="AI87" s="22"/>
      <c r="AJ87" s="22"/>
      <c r="AK87" s="22"/>
      <c r="AL87" s="22"/>
      <c r="AM87" s="22"/>
      <c r="AN87" s="22"/>
      <c r="AO87" s="22"/>
    </row>
    <row r="88" spans="1:41" hidden="1" outlineLevel="2" x14ac:dyDescent="0.25">
      <c r="A88" s="22"/>
      <c r="B88" s="22"/>
      <c r="C88" s="22"/>
      <c r="D88" s="22"/>
      <c r="E88" s="22"/>
      <c r="F88" s="22"/>
      <c r="G88" s="22"/>
      <c r="H88" s="22"/>
      <c r="I88" s="22"/>
      <c r="J88" s="22"/>
      <c r="K88" s="22"/>
      <c r="L88" s="22"/>
      <c r="M88" s="22"/>
      <c r="N88" s="22"/>
      <c r="O88" s="22"/>
      <c r="P88" s="22"/>
      <c r="Q88" s="22"/>
      <c r="R88" s="22"/>
      <c r="S88" s="22"/>
      <c r="T88" s="22"/>
      <c r="U88" s="22"/>
      <c r="V88" s="22"/>
      <c r="W88" s="22"/>
      <c r="X88" s="22"/>
      <c r="Y88" s="22"/>
      <c r="Z88" s="22"/>
      <c r="AA88" s="22"/>
      <c r="AB88" s="22"/>
      <c r="AC88" s="22"/>
      <c r="AD88" s="22"/>
      <c r="AE88" s="22"/>
      <c r="AF88" s="22"/>
      <c r="AG88" s="22"/>
      <c r="AH88" s="22"/>
      <c r="AI88" s="22"/>
      <c r="AJ88" s="22"/>
      <c r="AK88" s="22"/>
      <c r="AL88" s="22"/>
      <c r="AM88" s="22"/>
      <c r="AN88" s="22"/>
      <c r="AO88" s="22"/>
    </row>
    <row r="89" spans="1:41" hidden="1" outlineLevel="2" x14ac:dyDescent="0.25">
      <c r="A89" s="22"/>
      <c r="B89" s="22"/>
      <c r="C89" s="22"/>
      <c r="D89" s="22"/>
      <c r="E89" s="22"/>
      <c r="F89" s="22"/>
      <c r="G89" s="22"/>
      <c r="H89" s="22"/>
      <c r="I89" s="22"/>
      <c r="J89" s="22"/>
      <c r="K89" s="22"/>
      <c r="L89" s="22"/>
      <c r="M89" s="22"/>
      <c r="N89" s="22"/>
      <c r="O89" s="22"/>
      <c r="P89" s="22"/>
      <c r="Q89" s="22"/>
      <c r="R89" s="22"/>
      <c r="S89" s="22"/>
      <c r="T89" s="22"/>
      <c r="U89" s="22"/>
      <c r="V89" s="22"/>
      <c r="W89" s="22"/>
      <c r="X89" s="22"/>
      <c r="Y89" s="22"/>
      <c r="Z89" s="22"/>
      <c r="AA89" s="22"/>
      <c r="AB89" s="22"/>
      <c r="AC89" s="22"/>
      <c r="AD89" s="22"/>
      <c r="AE89" s="22"/>
      <c r="AF89" s="22"/>
      <c r="AG89" s="22"/>
      <c r="AH89" s="22"/>
      <c r="AI89" s="22"/>
      <c r="AJ89" s="22"/>
      <c r="AK89" s="22"/>
      <c r="AL89" s="22"/>
      <c r="AM89" s="22"/>
      <c r="AN89" s="22"/>
      <c r="AO89" s="22"/>
    </row>
    <row r="90" spans="1:41" hidden="1" outlineLevel="2" x14ac:dyDescent="0.25">
      <c r="A90" s="22"/>
      <c r="B90" s="22"/>
      <c r="C90" s="22"/>
      <c r="D90" s="22"/>
      <c r="E90" s="22"/>
      <c r="F90" s="22"/>
      <c r="G90" s="22"/>
      <c r="H90" s="22"/>
      <c r="I90" s="22"/>
      <c r="J90" s="22"/>
      <c r="K90" s="22"/>
      <c r="L90" s="22"/>
      <c r="M90" s="22"/>
      <c r="N90" s="22"/>
      <c r="O90" s="22"/>
      <c r="P90" s="22"/>
      <c r="Q90" s="22"/>
      <c r="R90" s="22"/>
      <c r="S90" s="22"/>
      <c r="T90" s="22"/>
      <c r="U90" s="22"/>
      <c r="V90" s="22"/>
      <c r="W90" s="22"/>
      <c r="X90" s="22"/>
      <c r="Y90" s="22"/>
      <c r="Z90" s="22"/>
      <c r="AA90" s="22"/>
      <c r="AB90" s="22"/>
      <c r="AC90" s="22"/>
      <c r="AD90" s="22"/>
      <c r="AE90" s="22"/>
      <c r="AF90" s="22"/>
      <c r="AG90" s="22"/>
      <c r="AH90" s="22"/>
      <c r="AI90" s="22"/>
      <c r="AJ90" s="22"/>
      <c r="AK90" s="22"/>
      <c r="AL90" s="22"/>
      <c r="AM90" s="22"/>
      <c r="AN90" s="22"/>
      <c r="AO90" s="22"/>
    </row>
    <row r="91" spans="1:41" hidden="1" outlineLevel="2" x14ac:dyDescent="0.25">
      <c r="A91" s="22"/>
      <c r="B91" s="22"/>
      <c r="C91" s="22"/>
      <c r="D91" s="22"/>
      <c r="E91" s="22"/>
      <c r="F91" s="22"/>
      <c r="G91" s="22"/>
      <c r="H91" s="22"/>
      <c r="I91" s="22"/>
      <c r="J91" s="22"/>
      <c r="K91" s="22"/>
      <c r="L91" s="22"/>
      <c r="M91" s="22"/>
      <c r="N91" s="22"/>
      <c r="O91" s="22"/>
      <c r="P91" s="22"/>
      <c r="Q91" s="22"/>
      <c r="R91" s="22"/>
      <c r="S91" s="22"/>
      <c r="T91" s="22"/>
      <c r="U91" s="22"/>
      <c r="V91" s="22"/>
      <c r="W91" s="22"/>
      <c r="X91" s="22"/>
      <c r="Y91" s="22"/>
      <c r="Z91" s="22"/>
      <c r="AA91" s="22"/>
      <c r="AB91" s="22"/>
      <c r="AC91" s="22"/>
      <c r="AD91" s="22"/>
      <c r="AE91" s="22"/>
      <c r="AF91" s="22"/>
      <c r="AG91" s="22"/>
      <c r="AH91" s="22"/>
      <c r="AI91" s="22"/>
      <c r="AJ91" s="22"/>
      <c r="AK91" s="22"/>
      <c r="AL91" s="22"/>
      <c r="AM91" s="22"/>
      <c r="AN91" s="22"/>
      <c r="AO91" s="22"/>
    </row>
    <row r="92" spans="1:41" hidden="1" outlineLevel="2" x14ac:dyDescent="0.25">
      <c r="A92" s="22"/>
      <c r="B92" s="22"/>
      <c r="C92" s="22"/>
      <c r="D92" s="22"/>
      <c r="E92" s="22"/>
      <c r="F92" s="22"/>
      <c r="G92" s="22"/>
      <c r="H92" s="22"/>
      <c r="I92" s="22"/>
      <c r="J92" s="22"/>
      <c r="K92" s="22"/>
      <c r="L92" s="22"/>
      <c r="M92" s="22"/>
      <c r="N92" s="22"/>
      <c r="O92" s="22"/>
      <c r="P92" s="22"/>
      <c r="Q92" s="22"/>
      <c r="R92" s="22"/>
      <c r="S92" s="22"/>
      <c r="T92" s="22"/>
      <c r="U92" s="22"/>
      <c r="V92" s="22"/>
      <c r="W92" s="22"/>
      <c r="X92" s="22"/>
      <c r="Y92" s="22"/>
      <c r="Z92" s="22"/>
      <c r="AA92" s="22"/>
      <c r="AB92" s="22"/>
      <c r="AC92" s="22"/>
      <c r="AD92" s="22"/>
      <c r="AE92" s="22"/>
      <c r="AF92" s="22"/>
      <c r="AG92" s="22"/>
      <c r="AH92" s="22"/>
      <c r="AI92" s="22"/>
      <c r="AJ92" s="22"/>
      <c r="AK92" s="22"/>
      <c r="AL92" s="22"/>
      <c r="AM92" s="22"/>
      <c r="AN92" s="22"/>
      <c r="AO92" s="22"/>
    </row>
    <row r="93" spans="1:41" hidden="1" outlineLevel="2" x14ac:dyDescent="0.25">
      <c r="A93" s="22"/>
      <c r="B93" s="22"/>
      <c r="C93" s="22"/>
      <c r="D93" s="22"/>
      <c r="E93" s="22"/>
      <c r="F93" s="22"/>
      <c r="G93" s="22"/>
      <c r="H93" s="22"/>
      <c r="I93" s="22"/>
      <c r="J93" s="22"/>
      <c r="K93" s="22"/>
      <c r="L93" s="22"/>
      <c r="M93" s="22"/>
      <c r="N93" s="22"/>
      <c r="O93" s="22"/>
      <c r="P93" s="22"/>
      <c r="Q93" s="22"/>
      <c r="R93" s="22"/>
      <c r="S93" s="22"/>
      <c r="T93" s="22"/>
      <c r="U93" s="22"/>
      <c r="V93" s="22"/>
      <c r="W93" s="22"/>
      <c r="X93" s="22"/>
      <c r="Y93" s="22"/>
      <c r="Z93" s="22"/>
      <c r="AA93" s="22"/>
      <c r="AB93" s="22"/>
      <c r="AC93" s="22"/>
      <c r="AD93" s="22"/>
      <c r="AE93" s="22"/>
      <c r="AF93" s="22"/>
      <c r="AG93" s="22"/>
      <c r="AH93" s="22"/>
      <c r="AI93" s="22"/>
      <c r="AJ93" s="22"/>
      <c r="AK93" s="22"/>
      <c r="AL93" s="22"/>
      <c r="AM93" s="22"/>
      <c r="AN93" s="22"/>
      <c r="AO93" s="22"/>
    </row>
    <row r="94" spans="1:41" hidden="1" outlineLevel="2" x14ac:dyDescent="0.25">
      <c r="A94" s="22"/>
      <c r="B94" s="22"/>
      <c r="C94" s="22"/>
      <c r="D94" s="22"/>
      <c r="E94" s="22"/>
      <c r="F94" s="22"/>
      <c r="G94" s="22"/>
      <c r="H94" s="22"/>
      <c r="I94" s="22"/>
      <c r="J94" s="22"/>
      <c r="K94" s="22"/>
      <c r="L94" s="22"/>
      <c r="M94" s="22"/>
      <c r="N94" s="22"/>
      <c r="O94" s="22"/>
      <c r="P94" s="22"/>
      <c r="Q94" s="22"/>
      <c r="R94" s="22"/>
      <c r="S94" s="22"/>
      <c r="T94" s="22"/>
      <c r="U94" s="22"/>
      <c r="V94" s="22"/>
      <c r="W94" s="22"/>
      <c r="X94" s="22"/>
      <c r="Y94" s="22"/>
      <c r="Z94" s="22"/>
      <c r="AA94" s="22"/>
      <c r="AB94" s="22"/>
      <c r="AC94" s="22"/>
      <c r="AD94" s="22"/>
      <c r="AE94" s="22"/>
      <c r="AF94" s="22"/>
      <c r="AG94" s="22"/>
      <c r="AH94" s="22"/>
      <c r="AI94" s="22"/>
      <c r="AJ94" s="22"/>
      <c r="AK94" s="22"/>
      <c r="AL94" s="22"/>
      <c r="AM94" s="22"/>
      <c r="AN94" s="22"/>
      <c r="AO94" s="22"/>
    </row>
    <row r="95" spans="1:41" hidden="1" outlineLevel="2" x14ac:dyDescent="0.25">
      <c r="A95" s="22"/>
      <c r="B95" s="22"/>
      <c r="C95" s="22"/>
      <c r="D95" s="22"/>
      <c r="E95" s="22"/>
      <c r="F95" s="22"/>
      <c r="G95" s="22"/>
      <c r="H95" s="22"/>
      <c r="I95" s="22"/>
      <c r="J95" s="22"/>
      <c r="K95" s="22"/>
      <c r="L95" s="22"/>
      <c r="M95" s="22"/>
      <c r="N95" s="22"/>
      <c r="O95" s="22"/>
      <c r="P95" s="22"/>
      <c r="Q95" s="22"/>
      <c r="R95" s="22"/>
      <c r="S95" s="22"/>
      <c r="T95" s="22"/>
      <c r="U95" s="22"/>
      <c r="V95" s="22"/>
      <c r="W95" s="22"/>
      <c r="X95" s="22"/>
      <c r="Y95" s="22"/>
      <c r="Z95" s="22"/>
      <c r="AA95" s="22"/>
      <c r="AB95" s="22"/>
      <c r="AC95" s="22"/>
      <c r="AD95" s="22"/>
      <c r="AE95" s="22"/>
      <c r="AF95" s="22"/>
      <c r="AG95" s="22"/>
      <c r="AH95" s="22"/>
      <c r="AI95" s="22"/>
      <c r="AJ95" s="22"/>
      <c r="AK95" s="22"/>
      <c r="AL95" s="22"/>
      <c r="AM95" s="22"/>
      <c r="AN95" s="22"/>
      <c r="AO95" s="22"/>
    </row>
    <row r="96" spans="1:41" hidden="1" outlineLevel="2" x14ac:dyDescent="0.25">
      <c r="A96" s="22"/>
      <c r="B96" s="22"/>
      <c r="C96" s="22"/>
      <c r="D96" s="22"/>
      <c r="E96" s="22"/>
      <c r="F96" s="22"/>
      <c r="G96" s="22"/>
      <c r="H96" s="22"/>
      <c r="I96" s="22"/>
      <c r="J96" s="22"/>
      <c r="K96" s="22"/>
      <c r="L96" s="22"/>
      <c r="M96" s="22"/>
      <c r="N96" s="22"/>
      <c r="O96" s="22"/>
      <c r="P96" s="22"/>
      <c r="Q96" s="22"/>
      <c r="R96" s="22"/>
      <c r="S96" s="22"/>
      <c r="T96" s="22"/>
      <c r="U96" s="22"/>
      <c r="V96" s="22"/>
      <c r="W96" s="22"/>
      <c r="X96" s="22"/>
      <c r="Y96" s="22"/>
      <c r="Z96" s="22"/>
      <c r="AA96" s="22"/>
      <c r="AB96" s="22"/>
      <c r="AC96" s="22"/>
      <c r="AD96" s="22"/>
      <c r="AE96" s="22"/>
      <c r="AF96" s="22"/>
      <c r="AG96" s="22"/>
      <c r="AH96" s="22"/>
      <c r="AI96" s="22"/>
      <c r="AJ96" s="22"/>
      <c r="AK96" s="22"/>
      <c r="AL96" s="22"/>
      <c r="AM96" s="22"/>
      <c r="AN96" s="22"/>
      <c r="AO96" s="22"/>
    </row>
    <row r="97" spans="1:41" hidden="1" outlineLevel="2" x14ac:dyDescent="0.25">
      <c r="A97" s="22"/>
      <c r="B97" s="22"/>
      <c r="C97" s="22"/>
      <c r="D97" s="22"/>
      <c r="E97" s="22"/>
      <c r="F97" s="22"/>
      <c r="G97" s="22"/>
      <c r="H97" s="22"/>
      <c r="I97" s="22"/>
      <c r="J97" s="22"/>
      <c r="K97" s="22"/>
      <c r="L97" s="22"/>
      <c r="M97" s="22"/>
      <c r="N97" s="22"/>
      <c r="O97" s="22"/>
      <c r="P97" s="22"/>
      <c r="Q97" s="22"/>
      <c r="R97" s="22"/>
      <c r="S97" s="22"/>
      <c r="T97" s="22"/>
      <c r="U97" s="22"/>
      <c r="V97" s="22"/>
      <c r="W97" s="22"/>
      <c r="X97" s="22"/>
      <c r="Y97" s="22"/>
      <c r="Z97" s="22"/>
      <c r="AA97" s="22"/>
      <c r="AB97" s="22"/>
      <c r="AC97" s="22"/>
      <c r="AD97" s="22"/>
      <c r="AE97" s="22"/>
      <c r="AF97" s="22"/>
      <c r="AG97" s="22"/>
      <c r="AH97" s="22"/>
      <c r="AI97" s="22"/>
      <c r="AJ97" s="22"/>
      <c r="AK97" s="22"/>
      <c r="AL97" s="22"/>
      <c r="AM97" s="22"/>
      <c r="AN97" s="22"/>
      <c r="AO97" s="22"/>
    </row>
    <row r="98" spans="1:41" hidden="1" outlineLevel="2" x14ac:dyDescent="0.25">
      <c r="A98" s="22"/>
      <c r="B98" s="22"/>
      <c r="C98" s="22"/>
      <c r="D98" s="22"/>
      <c r="E98" s="22"/>
      <c r="F98" s="22"/>
      <c r="G98" s="22"/>
      <c r="H98" s="22"/>
      <c r="I98" s="22"/>
      <c r="J98" s="22"/>
      <c r="K98" s="22"/>
      <c r="L98" s="22"/>
      <c r="M98" s="22"/>
      <c r="N98" s="22"/>
      <c r="O98" s="22"/>
      <c r="P98" s="22"/>
      <c r="Q98" s="22"/>
      <c r="R98" s="22"/>
      <c r="S98" s="22"/>
      <c r="T98" s="22"/>
      <c r="U98" s="22"/>
      <c r="V98" s="22"/>
      <c r="W98" s="22"/>
      <c r="X98" s="22"/>
      <c r="Y98" s="22"/>
      <c r="Z98" s="22"/>
      <c r="AA98" s="22"/>
      <c r="AB98" s="22"/>
      <c r="AC98" s="22"/>
      <c r="AD98" s="22"/>
      <c r="AE98" s="22"/>
      <c r="AF98" s="22"/>
      <c r="AG98" s="22"/>
      <c r="AH98" s="22"/>
      <c r="AI98" s="22"/>
      <c r="AJ98" s="22"/>
      <c r="AK98" s="22"/>
      <c r="AL98" s="22"/>
      <c r="AM98" s="22"/>
      <c r="AN98" s="22"/>
      <c r="AO98" s="22"/>
    </row>
    <row r="99" spans="1:41" hidden="1" outlineLevel="2" x14ac:dyDescent="0.25">
      <c r="A99" s="22"/>
      <c r="B99" s="22"/>
      <c r="C99" s="22"/>
      <c r="D99" s="22"/>
      <c r="E99" s="22"/>
      <c r="F99" s="22"/>
      <c r="G99" s="22"/>
      <c r="H99" s="22"/>
      <c r="I99" s="22"/>
      <c r="J99" s="22"/>
      <c r="K99" s="22"/>
      <c r="L99" s="22"/>
      <c r="M99" s="22"/>
      <c r="N99" s="22"/>
      <c r="O99" s="22"/>
      <c r="P99" s="22"/>
      <c r="Q99" s="22"/>
      <c r="R99" s="22"/>
      <c r="S99" s="22"/>
      <c r="T99" s="22"/>
      <c r="U99" s="22"/>
      <c r="V99" s="22"/>
      <c r="W99" s="22"/>
      <c r="X99" s="22"/>
      <c r="Y99" s="22"/>
      <c r="Z99" s="22"/>
      <c r="AA99" s="22"/>
      <c r="AB99" s="22"/>
      <c r="AC99" s="22"/>
      <c r="AD99" s="22"/>
      <c r="AE99" s="22"/>
      <c r="AF99" s="22"/>
      <c r="AG99" s="22"/>
      <c r="AH99" s="22"/>
      <c r="AI99" s="22"/>
      <c r="AJ99" s="22"/>
      <c r="AK99" s="22"/>
      <c r="AL99" s="22"/>
      <c r="AM99" s="22"/>
      <c r="AN99" s="22"/>
      <c r="AO99" s="22"/>
    </row>
    <row r="100" spans="1:41" hidden="1" outlineLevel="2" x14ac:dyDescent="0.25">
      <c r="A100" s="22"/>
      <c r="B100" s="22"/>
      <c r="C100" s="22"/>
      <c r="D100" s="22"/>
      <c r="E100" s="22"/>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c r="AD100" s="22"/>
      <c r="AE100" s="22"/>
      <c r="AF100" s="22"/>
      <c r="AG100" s="22"/>
      <c r="AH100" s="22"/>
      <c r="AI100" s="22"/>
      <c r="AJ100" s="22"/>
      <c r="AK100" s="22"/>
      <c r="AL100" s="22"/>
      <c r="AM100" s="22"/>
      <c r="AN100" s="22"/>
      <c r="AO100" s="22"/>
    </row>
    <row r="101" spans="1:41" hidden="1" outlineLevel="2" x14ac:dyDescent="0.25">
      <c r="A101" s="22"/>
      <c r="B101" s="22"/>
      <c r="C101" s="22"/>
      <c r="D101" s="22"/>
      <c r="E101" s="22"/>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c r="AD101" s="22"/>
      <c r="AE101" s="22"/>
      <c r="AF101" s="22"/>
      <c r="AG101" s="22"/>
      <c r="AH101" s="22"/>
      <c r="AI101" s="22"/>
      <c r="AJ101" s="22"/>
      <c r="AK101" s="22"/>
      <c r="AL101" s="22"/>
      <c r="AM101" s="22"/>
      <c r="AN101" s="22"/>
      <c r="AO101" s="22"/>
    </row>
    <row r="102" spans="1:41" hidden="1" outlineLevel="2" x14ac:dyDescent="0.25">
      <c r="A102" s="22"/>
      <c r="B102" s="22"/>
      <c r="C102" s="22"/>
      <c r="D102" s="22"/>
      <c r="E102" s="22"/>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c r="AD102" s="22"/>
      <c r="AE102" s="22"/>
      <c r="AF102" s="22"/>
      <c r="AG102" s="22"/>
      <c r="AH102" s="22"/>
      <c r="AI102" s="22"/>
      <c r="AJ102" s="22"/>
      <c r="AK102" s="22"/>
      <c r="AL102" s="22"/>
      <c r="AM102" s="22"/>
      <c r="AN102" s="22"/>
      <c r="AO102" s="22"/>
    </row>
    <row r="103" spans="1:41" hidden="1" outlineLevel="2" x14ac:dyDescent="0.25">
      <c r="A103" s="22"/>
      <c r="B103" s="22"/>
      <c r="C103" s="22"/>
      <c r="D103" s="22"/>
      <c r="E103" s="22"/>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c r="AD103" s="22"/>
      <c r="AE103" s="22"/>
      <c r="AF103" s="22"/>
      <c r="AG103" s="22"/>
      <c r="AH103" s="22"/>
      <c r="AI103" s="22"/>
      <c r="AJ103" s="22"/>
      <c r="AK103" s="22"/>
      <c r="AL103" s="22"/>
      <c r="AM103" s="22"/>
      <c r="AN103" s="22"/>
      <c r="AO103" s="22"/>
    </row>
    <row r="104" spans="1:41" hidden="1" outlineLevel="2" x14ac:dyDescent="0.25">
      <c r="A104" s="26"/>
      <c r="B104" s="26"/>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c r="AA104" s="22"/>
      <c r="AB104" s="22"/>
      <c r="AC104" s="22"/>
      <c r="AD104" s="22"/>
      <c r="AE104" s="22"/>
      <c r="AF104" s="22"/>
      <c r="AG104" s="22"/>
      <c r="AH104" s="22"/>
      <c r="AI104" s="22"/>
      <c r="AJ104" s="22"/>
      <c r="AK104" s="22"/>
      <c r="AL104" s="22"/>
      <c r="AM104" s="22"/>
      <c r="AN104" s="22"/>
      <c r="AO104" s="22"/>
    </row>
    <row r="105" spans="1:41" hidden="1" outlineLevel="2" x14ac:dyDescent="0.25">
      <c r="A105" s="22"/>
      <c r="B105" s="22"/>
      <c r="C105" s="22"/>
      <c r="D105" s="22"/>
      <c r="E105" s="22"/>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c r="AI105" s="22"/>
      <c r="AJ105" s="22"/>
      <c r="AK105" s="22"/>
      <c r="AL105" s="22"/>
      <c r="AM105" s="22"/>
      <c r="AN105" s="22"/>
      <c r="AO105" s="22"/>
    </row>
    <row r="106" spans="1:41" hidden="1" outlineLevel="2" x14ac:dyDescent="0.25">
      <c r="A106" s="22"/>
      <c r="B106" s="22"/>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22"/>
      <c r="AJ106" s="22"/>
      <c r="AK106" s="22"/>
      <c r="AL106" s="22"/>
      <c r="AM106" s="22"/>
      <c r="AN106" s="22"/>
      <c r="AO106" s="22"/>
    </row>
    <row r="107" spans="1:41" hidden="1" outlineLevel="2" x14ac:dyDescent="0.25">
      <c r="A107" s="22"/>
      <c r="B107" s="22"/>
      <c r="C107" s="22"/>
      <c r="D107" s="22"/>
      <c r="E107" s="22"/>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c r="AD107" s="22"/>
      <c r="AE107" s="22"/>
      <c r="AF107" s="22"/>
      <c r="AG107" s="22"/>
      <c r="AH107" s="22"/>
      <c r="AI107" s="22"/>
      <c r="AJ107" s="22"/>
      <c r="AK107" s="22"/>
      <c r="AL107" s="22"/>
      <c r="AM107" s="22"/>
      <c r="AN107" s="22"/>
      <c r="AO107" s="22"/>
    </row>
    <row r="108" spans="1:41" hidden="1" outlineLevel="2" x14ac:dyDescent="0.25">
      <c r="A108" s="22"/>
      <c r="B108" s="22"/>
      <c r="C108" s="22"/>
      <c r="D108" s="22"/>
      <c r="E108" s="22"/>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c r="AD108" s="22"/>
      <c r="AE108" s="22"/>
      <c r="AF108" s="22"/>
      <c r="AG108" s="22"/>
      <c r="AH108" s="22"/>
      <c r="AI108" s="22"/>
      <c r="AJ108" s="22"/>
      <c r="AK108" s="22"/>
      <c r="AL108" s="22"/>
      <c r="AM108" s="22"/>
      <c r="AN108" s="22"/>
      <c r="AO108" s="22"/>
    </row>
    <row r="109" spans="1:41" hidden="1" outlineLevel="2" x14ac:dyDescent="0.25">
      <c r="A109" s="22"/>
      <c r="B109" s="22"/>
      <c r="C109" s="22"/>
      <c r="D109" s="22"/>
      <c r="E109" s="22"/>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c r="AD109" s="22"/>
      <c r="AE109" s="22"/>
      <c r="AF109" s="22"/>
      <c r="AG109" s="22"/>
      <c r="AH109" s="22"/>
      <c r="AI109" s="22"/>
      <c r="AJ109" s="22"/>
      <c r="AK109" s="22"/>
      <c r="AL109" s="22"/>
      <c r="AM109" s="22"/>
      <c r="AN109" s="22"/>
      <c r="AO109" s="22"/>
    </row>
    <row r="110" spans="1:41" hidden="1" outlineLevel="2" x14ac:dyDescent="0.25">
      <c r="A110" s="22"/>
      <c r="B110" s="22"/>
      <c r="C110" s="22"/>
      <c r="D110" s="22"/>
      <c r="E110" s="22"/>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c r="AD110" s="22"/>
      <c r="AE110" s="22"/>
      <c r="AF110" s="22"/>
      <c r="AG110" s="22"/>
      <c r="AH110" s="22"/>
      <c r="AI110" s="22"/>
      <c r="AJ110" s="22"/>
      <c r="AK110" s="22"/>
      <c r="AL110" s="22"/>
      <c r="AM110" s="22"/>
      <c r="AN110" s="22"/>
      <c r="AO110" s="22"/>
    </row>
    <row r="111" spans="1:41" hidden="1" outlineLevel="2" x14ac:dyDescent="0.25">
      <c r="A111" s="22"/>
      <c r="B111" s="22"/>
      <c r="C111" s="22"/>
      <c r="D111" s="22"/>
      <c r="E111" s="22"/>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c r="AD111" s="22"/>
      <c r="AE111" s="22"/>
      <c r="AF111" s="22"/>
      <c r="AG111" s="22"/>
      <c r="AH111" s="22"/>
      <c r="AI111" s="22"/>
      <c r="AJ111" s="22"/>
      <c r="AK111" s="22"/>
      <c r="AL111" s="22"/>
      <c r="AM111" s="22"/>
      <c r="AN111" s="22"/>
      <c r="AO111" s="22"/>
    </row>
    <row r="112" spans="1:41" hidden="1" outlineLevel="2" x14ac:dyDescent="0.25">
      <c r="A112" s="22"/>
      <c r="B112" s="22"/>
      <c r="C112" s="22"/>
      <c r="D112" s="22"/>
      <c r="E112" s="22"/>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c r="AD112" s="22"/>
      <c r="AE112" s="22"/>
      <c r="AF112" s="22"/>
      <c r="AG112" s="22"/>
      <c r="AH112" s="22"/>
      <c r="AI112" s="22"/>
      <c r="AJ112" s="22"/>
      <c r="AK112" s="22"/>
      <c r="AL112" s="22"/>
      <c r="AM112" s="22"/>
      <c r="AN112" s="22"/>
      <c r="AO112" s="22"/>
    </row>
    <row r="113" spans="1:41" hidden="1" outlineLevel="2" x14ac:dyDescent="0.25">
      <c r="A113" s="22"/>
      <c r="B113" s="22"/>
      <c r="C113" s="22"/>
      <c r="D113" s="22"/>
      <c r="E113" s="22"/>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c r="AD113" s="22"/>
      <c r="AE113" s="22"/>
      <c r="AF113" s="22"/>
      <c r="AG113" s="22"/>
      <c r="AH113" s="22"/>
      <c r="AI113" s="22"/>
      <c r="AJ113" s="22"/>
      <c r="AK113" s="22"/>
      <c r="AL113" s="22"/>
      <c r="AM113" s="22"/>
      <c r="AN113" s="22"/>
      <c r="AO113" s="22"/>
    </row>
    <row r="114" spans="1:41" hidden="1" outlineLevel="2" x14ac:dyDescent="0.25">
      <c r="A114" s="22"/>
      <c r="B114" s="22"/>
      <c r="C114" s="22"/>
      <c r="D114" s="22"/>
      <c r="E114" s="22"/>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c r="AD114" s="22"/>
      <c r="AE114" s="22"/>
      <c r="AF114" s="22"/>
      <c r="AG114" s="22"/>
      <c r="AH114" s="22"/>
      <c r="AI114" s="22"/>
      <c r="AJ114" s="22"/>
      <c r="AK114" s="22"/>
      <c r="AL114" s="22"/>
      <c r="AM114" s="22"/>
      <c r="AN114" s="22"/>
      <c r="AO114" s="22"/>
    </row>
    <row r="115" spans="1:41" hidden="1" outlineLevel="2" x14ac:dyDescent="0.25">
      <c r="A115" s="22"/>
      <c r="B115" s="22"/>
      <c r="C115" s="22"/>
      <c r="D115" s="22"/>
      <c r="E115" s="22"/>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c r="AD115" s="22"/>
      <c r="AE115" s="22"/>
      <c r="AF115" s="22"/>
      <c r="AG115" s="22"/>
      <c r="AH115" s="22"/>
      <c r="AI115" s="22"/>
      <c r="AJ115" s="22"/>
      <c r="AK115" s="22"/>
      <c r="AL115" s="22"/>
      <c r="AM115" s="22"/>
      <c r="AN115" s="22"/>
      <c r="AO115" s="22"/>
    </row>
    <row r="116" spans="1:41" hidden="1" outlineLevel="2" x14ac:dyDescent="0.25">
      <c r="A116" s="22"/>
      <c r="B116" s="22"/>
      <c r="C116" s="22"/>
      <c r="D116" s="22"/>
      <c r="E116" s="22"/>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c r="AD116" s="22"/>
      <c r="AE116" s="22"/>
      <c r="AF116" s="22"/>
      <c r="AG116" s="22"/>
      <c r="AH116" s="22"/>
      <c r="AI116" s="22"/>
      <c r="AJ116" s="22"/>
      <c r="AK116" s="22"/>
      <c r="AL116" s="22"/>
      <c r="AM116" s="22"/>
      <c r="AN116" s="22"/>
      <c r="AO116" s="22"/>
    </row>
    <row r="117" spans="1:41" hidden="1" outlineLevel="2" x14ac:dyDescent="0.25">
      <c r="A117" s="22"/>
      <c r="B117" s="22"/>
      <c r="C117" s="22"/>
      <c r="D117" s="22"/>
      <c r="E117" s="22"/>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c r="AD117" s="22"/>
      <c r="AE117" s="22"/>
      <c r="AF117" s="22"/>
      <c r="AG117" s="22"/>
      <c r="AH117" s="22"/>
      <c r="AI117" s="22"/>
      <c r="AJ117" s="22"/>
      <c r="AK117" s="22"/>
      <c r="AL117" s="22"/>
      <c r="AM117" s="22"/>
      <c r="AN117" s="22"/>
      <c r="AO117" s="22"/>
    </row>
    <row r="118" spans="1:41" hidden="1" outlineLevel="2" x14ac:dyDescent="0.25">
      <c r="A118" s="22"/>
      <c r="B118" s="22"/>
      <c r="C118" s="22"/>
      <c r="D118" s="22"/>
      <c r="E118" s="22"/>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c r="AD118" s="22"/>
      <c r="AE118" s="22"/>
      <c r="AF118" s="22"/>
      <c r="AG118" s="22"/>
      <c r="AH118" s="22"/>
      <c r="AI118" s="22"/>
      <c r="AJ118" s="22"/>
      <c r="AK118" s="22"/>
      <c r="AL118" s="22"/>
      <c r="AM118" s="22"/>
      <c r="AN118" s="22"/>
      <c r="AO118" s="22"/>
    </row>
    <row r="119" spans="1:41" hidden="1" outlineLevel="2" x14ac:dyDescent="0.25">
      <c r="A119" s="22"/>
      <c r="B119" s="22"/>
      <c r="C119" s="22"/>
      <c r="D119" s="22"/>
      <c r="E119" s="22"/>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c r="AD119" s="22"/>
      <c r="AE119" s="22"/>
      <c r="AF119" s="22"/>
      <c r="AG119" s="22"/>
      <c r="AH119" s="22"/>
      <c r="AI119" s="22"/>
      <c r="AJ119" s="22"/>
      <c r="AK119" s="22"/>
      <c r="AL119" s="22"/>
      <c r="AM119" s="22"/>
      <c r="AN119" s="22"/>
      <c r="AO119" s="22"/>
    </row>
    <row r="120" spans="1:41" hidden="1" outlineLevel="2" x14ac:dyDescent="0.25">
      <c r="A120" s="22"/>
      <c r="B120" s="22"/>
      <c r="C120" s="22"/>
      <c r="D120" s="22"/>
      <c r="E120" s="22"/>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c r="AD120" s="22"/>
      <c r="AE120" s="22"/>
      <c r="AF120" s="22"/>
      <c r="AG120" s="22"/>
      <c r="AH120" s="22"/>
      <c r="AI120" s="22"/>
      <c r="AJ120" s="22"/>
      <c r="AK120" s="22"/>
      <c r="AL120" s="22"/>
      <c r="AM120" s="22"/>
      <c r="AN120" s="22"/>
      <c r="AO120" s="22"/>
    </row>
    <row r="121" spans="1:41" hidden="1" outlineLevel="2" x14ac:dyDescent="0.25">
      <c r="A121" s="22"/>
      <c r="B121" s="22"/>
      <c r="C121" s="22"/>
      <c r="D121" s="22"/>
      <c r="E121" s="22"/>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c r="AD121" s="22"/>
      <c r="AE121" s="22"/>
      <c r="AF121" s="22"/>
      <c r="AG121" s="22"/>
      <c r="AH121" s="22"/>
      <c r="AI121" s="22"/>
      <c r="AJ121" s="22"/>
      <c r="AK121" s="22"/>
      <c r="AL121" s="22"/>
      <c r="AM121" s="22"/>
      <c r="AN121" s="22"/>
      <c r="AO121" s="22"/>
    </row>
    <row r="122" spans="1:41" hidden="1" outlineLevel="2" x14ac:dyDescent="0.25">
      <c r="A122" s="22"/>
      <c r="B122" s="22"/>
      <c r="C122" s="22"/>
      <c r="D122" s="22"/>
      <c r="E122" s="22"/>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c r="AD122" s="22"/>
      <c r="AE122" s="22"/>
      <c r="AF122" s="22"/>
      <c r="AG122" s="22"/>
      <c r="AH122" s="22"/>
      <c r="AI122" s="22"/>
      <c r="AJ122" s="22"/>
      <c r="AK122" s="22"/>
      <c r="AL122" s="22"/>
      <c r="AM122" s="22"/>
      <c r="AN122" s="22"/>
      <c r="AO122" s="22"/>
    </row>
    <row r="123" spans="1:41" hidden="1" outlineLevel="2" x14ac:dyDescent="0.25">
      <c r="A123" s="22"/>
      <c r="B123" s="22"/>
      <c r="C123" s="22"/>
      <c r="D123" s="22"/>
      <c r="E123" s="22"/>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c r="AD123" s="22"/>
      <c r="AE123" s="22"/>
      <c r="AF123" s="22"/>
      <c r="AG123" s="22"/>
      <c r="AH123" s="22"/>
      <c r="AI123" s="22"/>
      <c r="AJ123" s="22"/>
      <c r="AK123" s="22"/>
      <c r="AL123" s="22"/>
      <c r="AM123" s="22"/>
      <c r="AN123" s="22"/>
      <c r="AO123" s="22"/>
    </row>
    <row r="124" spans="1:41" hidden="1" outlineLevel="2" x14ac:dyDescent="0.25">
      <c r="A124" s="22"/>
      <c r="B124" s="22"/>
      <c r="C124" s="22"/>
      <c r="D124" s="22"/>
      <c r="E124" s="22"/>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c r="AD124" s="22"/>
      <c r="AE124" s="22"/>
      <c r="AF124" s="22"/>
      <c r="AG124" s="22"/>
      <c r="AH124" s="22"/>
      <c r="AI124" s="22"/>
      <c r="AJ124" s="22"/>
      <c r="AK124" s="22"/>
      <c r="AL124" s="22"/>
      <c r="AM124" s="22"/>
      <c r="AN124" s="22"/>
      <c r="AO124" s="22"/>
    </row>
    <row r="125" spans="1:41" hidden="1" outlineLevel="2" x14ac:dyDescent="0.25">
      <c r="A125" s="22"/>
      <c r="B125" s="22"/>
      <c r="C125" s="22"/>
      <c r="D125" s="22"/>
      <c r="E125" s="22"/>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c r="AD125" s="22"/>
      <c r="AE125" s="22"/>
      <c r="AF125" s="22"/>
      <c r="AG125" s="22"/>
      <c r="AH125" s="22"/>
      <c r="AI125" s="22"/>
      <c r="AJ125" s="22"/>
      <c r="AK125" s="22"/>
      <c r="AL125" s="22"/>
      <c r="AM125" s="22"/>
      <c r="AN125" s="22"/>
      <c r="AO125" s="22"/>
    </row>
    <row r="126" spans="1:41" hidden="1" outlineLevel="2" x14ac:dyDescent="0.25">
      <c r="A126" s="22"/>
      <c r="B126" s="22"/>
      <c r="C126" s="22"/>
      <c r="D126" s="22"/>
      <c r="E126" s="22"/>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c r="AD126" s="22"/>
      <c r="AE126" s="22"/>
      <c r="AF126" s="22"/>
      <c r="AG126" s="22"/>
      <c r="AH126" s="22"/>
      <c r="AI126" s="22"/>
      <c r="AJ126" s="22"/>
      <c r="AK126" s="22"/>
      <c r="AL126" s="22"/>
      <c r="AM126" s="22"/>
      <c r="AN126" s="22"/>
      <c r="AO126" s="22"/>
    </row>
    <row r="127" spans="1:41" hidden="1" outlineLevel="1" x14ac:dyDescent="0.25">
      <c r="A127" s="22"/>
      <c r="B127" s="22"/>
      <c r="C127" s="22"/>
      <c r="D127" s="22"/>
      <c r="E127" s="22"/>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c r="AD127" s="22"/>
      <c r="AE127" s="22"/>
      <c r="AF127" s="22"/>
      <c r="AG127" s="22"/>
      <c r="AH127" s="22"/>
      <c r="AI127" s="22"/>
      <c r="AJ127" s="22"/>
      <c r="AK127" s="22"/>
      <c r="AL127" s="22"/>
      <c r="AM127" s="22"/>
      <c r="AN127" s="22"/>
      <c r="AO127" s="22"/>
    </row>
    <row r="128" spans="1:41" collapsed="1" x14ac:dyDescent="0.25">
      <c r="A128" s="22"/>
      <c r="B128" s="22"/>
      <c r="C128" s="22"/>
      <c r="D128" s="22"/>
      <c r="E128" s="22"/>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c r="AD128" s="22"/>
      <c r="AE128" s="22"/>
      <c r="AF128" s="22"/>
      <c r="AG128" s="22"/>
      <c r="AH128" s="22"/>
      <c r="AI128" s="22"/>
      <c r="AJ128" s="22"/>
      <c r="AK128" s="22"/>
      <c r="AL128" s="22"/>
      <c r="AM128" s="22"/>
      <c r="AN128" s="22"/>
      <c r="AO128" s="22"/>
    </row>
    <row r="129" spans="1:41" x14ac:dyDescent="0.25">
      <c r="A129" s="22"/>
      <c r="B129" s="22"/>
      <c r="C129" s="22"/>
      <c r="D129" s="22"/>
      <c r="E129" s="22"/>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c r="AD129" s="22"/>
      <c r="AE129" s="22"/>
      <c r="AF129" s="22"/>
      <c r="AG129" s="22"/>
      <c r="AH129" s="22"/>
      <c r="AI129" s="22"/>
      <c r="AJ129" s="22"/>
      <c r="AK129" s="22"/>
      <c r="AL129" s="22"/>
      <c r="AM129" s="22"/>
      <c r="AN129" s="22"/>
      <c r="AO129" s="22"/>
    </row>
    <row r="130" spans="1:41" x14ac:dyDescent="0.25">
      <c r="A130" s="22"/>
      <c r="B130" s="22"/>
      <c r="C130" s="22"/>
      <c r="D130" s="22"/>
      <c r="E130" s="22"/>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c r="AD130" s="22"/>
      <c r="AE130" s="22"/>
      <c r="AF130" s="22"/>
      <c r="AG130" s="22"/>
      <c r="AH130" s="22"/>
      <c r="AI130" s="22"/>
      <c r="AJ130" s="22"/>
      <c r="AK130" s="22"/>
      <c r="AL130" s="22"/>
      <c r="AM130" s="22"/>
      <c r="AN130" s="22"/>
      <c r="AO130" s="22"/>
    </row>
    <row r="131" spans="1:41" x14ac:dyDescent="0.25">
      <c r="A131" s="22"/>
      <c r="B131" s="22"/>
      <c r="C131" s="22"/>
      <c r="D131" s="22"/>
      <c r="E131" s="22"/>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c r="AD131" s="22"/>
      <c r="AE131" s="22"/>
      <c r="AF131" s="22"/>
      <c r="AG131" s="22"/>
      <c r="AH131" s="22"/>
      <c r="AI131" s="22"/>
      <c r="AJ131" s="22"/>
      <c r="AK131" s="22"/>
      <c r="AL131" s="22"/>
      <c r="AM131" s="22"/>
      <c r="AN131" s="22"/>
      <c r="AO131" s="22"/>
    </row>
    <row r="132" spans="1:41" x14ac:dyDescent="0.25">
      <c r="A132" s="22"/>
      <c r="B132" s="22"/>
      <c r="C132" s="22"/>
      <c r="D132" s="22"/>
      <c r="E132" s="22"/>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c r="AD132" s="22"/>
      <c r="AE132" s="22"/>
      <c r="AF132" s="22"/>
      <c r="AG132" s="22"/>
      <c r="AH132" s="22"/>
      <c r="AI132" s="22"/>
      <c r="AJ132" s="22"/>
      <c r="AK132" s="22"/>
      <c r="AL132" s="22"/>
      <c r="AM132" s="22"/>
      <c r="AN132" s="22"/>
      <c r="AO132" s="22"/>
    </row>
    <row r="133" spans="1:41" x14ac:dyDescent="0.25">
      <c r="A133" s="22"/>
      <c r="B133" s="22"/>
      <c r="C133" s="22"/>
      <c r="D133" s="22"/>
      <c r="E133" s="22"/>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c r="AD133" s="22"/>
      <c r="AE133" s="22"/>
      <c r="AF133" s="22"/>
      <c r="AG133" s="22"/>
      <c r="AH133" s="22"/>
      <c r="AI133" s="22"/>
      <c r="AJ133" s="22"/>
      <c r="AK133" s="22"/>
      <c r="AL133" s="22"/>
      <c r="AM133" s="22"/>
      <c r="AN133" s="22"/>
      <c r="AO133" s="22"/>
    </row>
    <row r="134" spans="1:41" x14ac:dyDescent="0.25">
      <c r="A134" s="22"/>
      <c r="B134" s="22"/>
      <c r="C134" s="22"/>
      <c r="D134" s="22"/>
      <c r="E134" s="22"/>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c r="AD134" s="22"/>
      <c r="AE134" s="22"/>
      <c r="AF134" s="22"/>
      <c r="AG134" s="22"/>
      <c r="AH134" s="22"/>
      <c r="AI134" s="22"/>
      <c r="AJ134" s="22"/>
      <c r="AK134" s="22"/>
      <c r="AL134" s="22"/>
      <c r="AM134" s="22"/>
      <c r="AN134" s="22"/>
      <c r="AO134" s="22"/>
    </row>
    <row r="135" spans="1:41" x14ac:dyDescent="0.25">
      <c r="A135" s="22"/>
      <c r="B135" s="22"/>
      <c r="C135" s="22"/>
      <c r="D135" s="22"/>
      <c r="E135" s="22"/>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c r="AD135" s="22"/>
      <c r="AE135" s="22"/>
      <c r="AF135" s="22"/>
      <c r="AG135" s="22"/>
      <c r="AH135" s="22"/>
      <c r="AI135" s="22"/>
      <c r="AJ135" s="22"/>
      <c r="AK135" s="22"/>
      <c r="AL135" s="22"/>
      <c r="AM135" s="22"/>
      <c r="AN135" s="22"/>
      <c r="AO135" s="22"/>
    </row>
    <row r="136" spans="1:41" x14ac:dyDescent="0.25">
      <c r="A136" s="22"/>
      <c r="B136" s="22"/>
      <c r="C136" s="22"/>
      <c r="D136" s="22"/>
      <c r="E136" s="22"/>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c r="AD136" s="22"/>
      <c r="AE136" s="22"/>
      <c r="AF136" s="22"/>
      <c r="AG136" s="22"/>
      <c r="AH136" s="22"/>
      <c r="AI136" s="22"/>
      <c r="AJ136" s="22"/>
      <c r="AK136" s="22"/>
      <c r="AL136" s="22"/>
      <c r="AM136" s="22"/>
      <c r="AN136" s="22"/>
      <c r="AO136" s="22"/>
    </row>
    <row r="137" spans="1:41" x14ac:dyDescent="0.25">
      <c r="A137" s="22"/>
      <c r="B137" s="22"/>
      <c r="C137" s="22"/>
      <c r="D137" s="22"/>
      <c r="E137" s="22"/>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c r="AD137" s="22"/>
      <c r="AE137" s="22"/>
      <c r="AF137" s="22"/>
      <c r="AG137" s="22"/>
      <c r="AH137" s="22"/>
      <c r="AI137" s="22"/>
      <c r="AJ137" s="22"/>
      <c r="AK137" s="22"/>
      <c r="AL137" s="22"/>
      <c r="AM137" s="22"/>
      <c r="AN137" s="22"/>
      <c r="AO137" s="22"/>
    </row>
    <row r="138" spans="1:41" x14ac:dyDescent="0.25">
      <c r="A138" s="22"/>
      <c r="B138" s="22"/>
      <c r="C138" s="22"/>
      <c r="D138" s="22"/>
      <c r="E138" s="22"/>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c r="AD138" s="22"/>
      <c r="AE138" s="22"/>
      <c r="AF138" s="22"/>
      <c r="AG138" s="22"/>
      <c r="AH138" s="22"/>
      <c r="AI138" s="22"/>
      <c r="AJ138" s="22"/>
      <c r="AK138" s="22"/>
      <c r="AL138" s="22"/>
      <c r="AM138" s="22"/>
      <c r="AN138" s="22"/>
      <c r="AO138" s="22"/>
    </row>
    <row r="139" spans="1:41" x14ac:dyDescent="0.25">
      <c r="A139" s="22"/>
      <c r="B139" s="22"/>
      <c r="C139" s="22"/>
      <c r="D139" s="22"/>
      <c r="E139" s="22"/>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c r="AD139" s="22"/>
      <c r="AE139" s="22"/>
      <c r="AF139" s="22"/>
      <c r="AG139" s="22"/>
      <c r="AH139" s="22"/>
      <c r="AI139" s="22"/>
      <c r="AJ139" s="22"/>
      <c r="AK139" s="22"/>
      <c r="AL139" s="22"/>
      <c r="AM139" s="22"/>
      <c r="AN139" s="22"/>
      <c r="AO139" s="22"/>
    </row>
    <row r="140" spans="1:41" x14ac:dyDescent="0.25">
      <c r="A140" s="22"/>
      <c r="B140" s="22"/>
      <c r="C140" s="22"/>
      <c r="D140" s="22"/>
      <c r="E140" s="22"/>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c r="AD140" s="22"/>
      <c r="AE140" s="22"/>
      <c r="AF140" s="22"/>
      <c r="AG140" s="22"/>
      <c r="AH140" s="22"/>
      <c r="AI140" s="22"/>
      <c r="AJ140" s="22"/>
      <c r="AK140" s="22"/>
      <c r="AL140" s="22"/>
      <c r="AM140" s="22"/>
      <c r="AN140" s="22"/>
      <c r="AO140" s="22"/>
    </row>
    <row r="141" spans="1:41" x14ac:dyDescent="0.25">
      <c r="A141" s="22"/>
      <c r="B141" s="22"/>
      <c r="C141" s="22"/>
      <c r="D141" s="22"/>
      <c r="E141" s="22"/>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c r="AD141" s="22"/>
      <c r="AE141" s="22"/>
      <c r="AF141" s="22"/>
      <c r="AG141" s="22"/>
      <c r="AH141" s="22"/>
      <c r="AI141" s="22"/>
      <c r="AJ141" s="22"/>
      <c r="AK141" s="22"/>
      <c r="AL141" s="22"/>
      <c r="AM141" s="22"/>
      <c r="AN141" s="22"/>
      <c r="AO141" s="22"/>
    </row>
    <row r="142" spans="1:41" x14ac:dyDescent="0.25">
      <c r="A142" s="22"/>
      <c r="B142" s="22"/>
      <c r="C142" s="22"/>
      <c r="D142" s="22"/>
      <c r="E142" s="22"/>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c r="AD142" s="22"/>
      <c r="AE142" s="22"/>
      <c r="AF142" s="22"/>
      <c r="AG142" s="22"/>
      <c r="AH142" s="22"/>
      <c r="AI142" s="22"/>
      <c r="AJ142" s="22"/>
      <c r="AK142" s="22"/>
      <c r="AL142" s="22"/>
      <c r="AM142" s="22"/>
      <c r="AN142" s="22"/>
      <c r="AO142" s="22"/>
    </row>
    <row r="143" spans="1:41" x14ac:dyDescent="0.25">
      <c r="A143" s="22"/>
      <c r="B143" s="22"/>
      <c r="C143" s="22"/>
      <c r="D143" s="22"/>
      <c r="E143" s="22"/>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c r="AD143" s="22"/>
      <c r="AE143" s="22"/>
      <c r="AF143" s="22"/>
      <c r="AG143" s="22"/>
      <c r="AH143" s="22"/>
      <c r="AI143" s="22"/>
      <c r="AJ143" s="22"/>
      <c r="AK143" s="22"/>
      <c r="AL143" s="22"/>
      <c r="AM143" s="22"/>
      <c r="AN143" s="22"/>
      <c r="AO143" s="22"/>
    </row>
    <row r="144" spans="1:41" x14ac:dyDescent="0.25">
      <c r="A144" s="22"/>
      <c r="B144" s="22"/>
      <c r="C144" s="22"/>
      <c r="D144" s="22"/>
      <c r="E144" s="22"/>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c r="AD144" s="22"/>
      <c r="AE144" s="22"/>
      <c r="AF144" s="22"/>
      <c r="AG144" s="22"/>
      <c r="AH144" s="22"/>
      <c r="AI144" s="22"/>
      <c r="AJ144" s="22"/>
      <c r="AK144" s="22"/>
      <c r="AL144" s="22"/>
      <c r="AM144" s="22"/>
      <c r="AN144" s="22"/>
      <c r="AO144" s="22"/>
    </row>
    <row r="145" spans="1:41" x14ac:dyDescent="0.25">
      <c r="A145" s="22"/>
      <c r="B145" s="22"/>
      <c r="C145" s="22"/>
      <c r="D145" s="22"/>
      <c r="E145" s="22"/>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c r="AD145" s="22"/>
      <c r="AE145" s="22"/>
      <c r="AF145" s="22"/>
      <c r="AG145" s="22"/>
      <c r="AH145" s="22"/>
      <c r="AI145" s="22"/>
      <c r="AJ145" s="22"/>
      <c r="AK145" s="22"/>
      <c r="AL145" s="22"/>
      <c r="AM145" s="22"/>
      <c r="AN145" s="22"/>
      <c r="AO145" s="22"/>
    </row>
    <row r="146" spans="1:41" x14ac:dyDescent="0.25">
      <c r="A146" s="22"/>
      <c r="B146" s="22"/>
      <c r="C146" s="22"/>
      <c r="D146" s="22"/>
      <c r="E146" s="22"/>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c r="AD146" s="22"/>
      <c r="AE146" s="22"/>
      <c r="AF146" s="22"/>
      <c r="AG146" s="22"/>
      <c r="AH146" s="22"/>
      <c r="AI146" s="22"/>
      <c r="AJ146" s="22"/>
      <c r="AK146" s="22"/>
      <c r="AL146" s="22"/>
      <c r="AM146" s="22"/>
      <c r="AN146" s="22"/>
      <c r="AO146" s="22"/>
    </row>
    <row r="147" spans="1:41" x14ac:dyDescent="0.25">
      <c r="A147" s="22"/>
      <c r="B147" s="22"/>
      <c r="C147" s="22"/>
      <c r="D147" s="22"/>
      <c r="E147" s="22"/>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c r="AD147" s="22"/>
      <c r="AE147" s="22"/>
      <c r="AF147" s="22"/>
      <c r="AG147" s="22"/>
      <c r="AH147" s="22"/>
      <c r="AI147" s="22"/>
      <c r="AJ147" s="22"/>
      <c r="AK147" s="22"/>
      <c r="AL147" s="22"/>
      <c r="AM147" s="22"/>
      <c r="AN147" s="22"/>
      <c r="AO147" s="22"/>
    </row>
    <row r="148" spans="1:41" x14ac:dyDescent="0.25">
      <c r="A148" s="22"/>
      <c r="B148" s="22"/>
      <c r="C148" s="22"/>
      <c r="D148" s="22"/>
      <c r="E148" s="22"/>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c r="AD148" s="22"/>
      <c r="AE148" s="22"/>
      <c r="AF148" s="22"/>
      <c r="AG148" s="22"/>
      <c r="AH148" s="22"/>
      <c r="AI148" s="22"/>
      <c r="AJ148" s="22"/>
      <c r="AK148" s="22"/>
      <c r="AL148" s="22"/>
      <c r="AM148" s="22"/>
      <c r="AN148" s="22"/>
      <c r="AO148" s="22"/>
    </row>
    <row r="149" spans="1:41" x14ac:dyDescent="0.25">
      <c r="A149" s="22"/>
      <c r="B149" s="22"/>
      <c r="C149" s="22"/>
      <c r="D149" s="22"/>
      <c r="E149" s="22"/>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c r="AD149" s="22"/>
      <c r="AE149" s="22"/>
      <c r="AF149" s="22"/>
      <c r="AG149" s="22"/>
      <c r="AH149" s="22"/>
      <c r="AI149" s="22"/>
      <c r="AJ149" s="22"/>
      <c r="AK149" s="22"/>
      <c r="AL149" s="22"/>
      <c r="AM149" s="22"/>
      <c r="AN149" s="22"/>
      <c r="AO149" s="22"/>
    </row>
    <row r="150" spans="1:41" x14ac:dyDescent="0.25">
      <c r="A150" s="22"/>
      <c r="B150" s="22"/>
      <c r="C150" s="22"/>
      <c r="D150" s="22"/>
      <c r="E150" s="22"/>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c r="AD150" s="22"/>
      <c r="AE150" s="22"/>
      <c r="AF150" s="22"/>
      <c r="AG150" s="22"/>
      <c r="AH150" s="22"/>
      <c r="AI150" s="22"/>
      <c r="AJ150" s="22"/>
      <c r="AK150" s="22"/>
      <c r="AL150" s="22"/>
      <c r="AM150" s="22"/>
      <c r="AN150" s="22"/>
      <c r="AO150" s="22"/>
    </row>
    <row r="151" spans="1:41" x14ac:dyDescent="0.25">
      <c r="A151" s="22"/>
      <c r="B151" s="22"/>
      <c r="C151" s="22"/>
      <c r="D151" s="22"/>
      <c r="E151" s="22"/>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c r="AD151" s="22"/>
      <c r="AE151" s="22"/>
      <c r="AF151" s="22"/>
      <c r="AG151" s="22"/>
      <c r="AH151" s="22"/>
      <c r="AI151" s="22"/>
      <c r="AJ151" s="22"/>
      <c r="AK151" s="22"/>
      <c r="AL151" s="22"/>
      <c r="AM151" s="22"/>
      <c r="AN151" s="22"/>
      <c r="AO151" s="22"/>
    </row>
    <row r="152" spans="1:41" x14ac:dyDescent="0.25">
      <c r="A152" s="22"/>
      <c r="B152" s="22"/>
      <c r="C152" s="22"/>
      <c r="D152" s="22"/>
      <c r="E152" s="22"/>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c r="AD152" s="22"/>
      <c r="AE152" s="22"/>
      <c r="AF152" s="22"/>
      <c r="AG152" s="22"/>
      <c r="AH152" s="22"/>
      <c r="AI152" s="22"/>
      <c r="AJ152" s="22"/>
      <c r="AK152" s="22"/>
      <c r="AL152" s="22"/>
      <c r="AM152" s="22"/>
      <c r="AN152" s="22"/>
      <c r="AO152" s="22"/>
    </row>
    <row r="153" spans="1:41" x14ac:dyDescent="0.25">
      <c r="A153" s="22"/>
      <c r="B153" s="22"/>
      <c r="C153" s="22"/>
      <c r="D153" s="22"/>
      <c r="E153" s="22"/>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c r="AD153" s="22"/>
      <c r="AE153" s="22"/>
      <c r="AF153" s="22"/>
      <c r="AG153" s="22"/>
      <c r="AH153" s="22"/>
      <c r="AI153" s="22"/>
      <c r="AJ153" s="22"/>
      <c r="AK153" s="22"/>
      <c r="AL153" s="22"/>
      <c r="AM153" s="22"/>
      <c r="AN153" s="22"/>
      <c r="AO153" s="22"/>
    </row>
    <row r="154" spans="1:41" x14ac:dyDescent="0.25">
      <c r="A154" s="22"/>
      <c r="B154" s="22"/>
      <c r="C154" s="22"/>
      <c r="D154" s="22"/>
      <c r="E154" s="22"/>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c r="AD154" s="22"/>
      <c r="AE154" s="22"/>
      <c r="AF154" s="22"/>
      <c r="AG154" s="22"/>
      <c r="AH154" s="22"/>
      <c r="AI154" s="22"/>
      <c r="AJ154" s="22"/>
      <c r="AK154" s="22"/>
      <c r="AL154" s="22"/>
      <c r="AM154" s="22"/>
      <c r="AN154" s="22"/>
      <c r="AO154" s="22"/>
    </row>
    <row r="155" spans="1:41" x14ac:dyDescent="0.25">
      <c r="A155" s="22"/>
      <c r="B155" s="22"/>
      <c r="C155" s="22"/>
      <c r="D155" s="22"/>
      <c r="E155" s="22"/>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c r="AD155" s="22"/>
      <c r="AE155" s="22"/>
      <c r="AF155" s="22"/>
      <c r="AG155" s="22"/>
      <c r="AH155" s="22"/>
      <c r="AI155" s="22"/>
      <c r="AJ155" s="22"/>
      <c r="AK155" s="22"/>
      <c r="AL155" s="22"/>
      <c r="AM155" s="22"/>
      <c r="AN155" s="22"/>
      <c r="AO155" s="22"/>
    </row>
    <row r="156" spans="1:41" x14ac:dyDescent="0.25">
      <c r="A156" s="22"/>
      <c r="B156" s="22"/>
      <c r="C156" s="22"/>
      <c r="D156" s="22"/>
      <c r="E156" s="22"/>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c r="AD156" s="22"/>
      <c r="AE156" s="22"/>
      <c r="AF156" s="22"/>
      <c r="AG156" s="22"/>
      <c r="AH156" s="22"/>
      <c r="AI156" s="22"/>
      <c r="AJ156" s="22"/>
      <c r="AK156" s="22"/>
      <c r="AL156" s="22"/>
      <c r="AM156" s="22"/>
      <c r="AN156" s="22"/>
      <c r="AO156" s="22"/>
    </row>
    <row r="157" spans="1:41" x14ac:dyDescent="0.25">
      <c r="A157" s="22"/>
      <c r="B157" s="22"/>
      <c r="C157" s="22"/>
      <c r="D157" s="22"/>
      <c r="E157" s="22"/>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c r="AD157" s="22"/>
      <c r="AE157" s="22"/>
      <c r="AF157" s="22"/>
      <c r="AG157" s="22"/>
      <c r="AH157" s="22"/>
      <c r="AI157" s="22"/>
      <c r="AJ157" s="22"/>
      <c r="AK157" s="22"/>
      <c r="AL157" s="22"/>
      <c r="AM157" s="22"/>
      <c r="AN157" s="22"/>
      <c r="AO157" s="22"/>
    </row>
    <row r="158" spans="1:41" x14ac:dyDescent="0.25">
      <c r="A158" s="22"/>
      <c r="B158" s="22"/>
      <c r="C158" s="22"/>
      <c r="D158" s="22"/>
      <c r="E158" s="22"/>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c r="AD158" s="22"/>
      <c r="AE158" s="22"/>
      <c r="AF158" s="22"/>
      <c r="AG158" s="22"/>
      <c r="AH158" s="22"/>
      <c r="AI158" s="22"/>
      <c r="AJ158" s="22"/>
      <c r="AK158" s="22"/>
      <c r="AL158" s="22"/>
      <c r="AM158" s="22"/>
      <c r="AN158" s="22"/>
      <c r="AO158" s="22"/>
    </row>
    <row r="159" spans="1:41" x14ac:dyDescent="0.25">
      <c r="A159" s="22"/>
      <c r="B159" s="22"/>
      <c r="C159" s="22"/>
      <c r="D159" s="22"/>
      <c r="E159" s="22"/>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c r="AD159" s="22"/>
      <c r="AE159" s="22"/>
      <c r="AF159" s="22"/>
      <c r="AG159" s="22"/>
      <c r="AH159" s="22"/>
      <c r="AI159" s="22"/>
      <c r="AJ159" s="22"/>
      <c r="AK159" s="22"/>
      <c r="AL159" s="22"/>
      <c r="AM159" s="22"/>
      <c r="AN159" s="22"/>
      <c r="AO159" s="22"/>
    </row>
    <row r="160" spans="1:41" x14ac:dyDescent="0.25">
      <c r="A160" s="22"/>
      <c r="B160" s="22"/>
      <c r="C160" s="22"/>
      <c r="D160" s="22"/>
      <c r="E160" s="22"/>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c r="AD160" s="22"/>
      <c r="AE160" s="22"/>
      <c r="AF160" s="22"/>
      <c r="AG160" s="22"/>
      <c r="AH160" s="22"/>
      <c r="AI160" s="22"/>
      <c r="AJ160" s="22"/>
      <c r="AK160" s="22"/>
      <c r="AL160" s="22"/>
      <c r="AM160" s="22"/>
      <c r="AN160" s="22"/>
      <c r="AO160" s="22"/>
    </row>
    <row r="161" spans="1:41" x14ac:dyDescent="0.25">
      <c r="A161" s="22"/>
      <c r="B161" s="22"/>
      <c r="C161" s="22"/>
      <c r="D161" s="22"/>
      <c r="E161" s="22"/>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c r="AD161" s="22"/>
      <c r="AE161" s="22"/>
      <c r="AF161" s="22"/>
      <c r="AG161" s="22"/>
      <c r="AH161" s="22"/>
      <c r="AI161" s="22"/>
      <c r="AJ161" s="22"/>
      <c r="AK161" s="22"/>
      <c r="AL161" s="22"/>
      <c r="AM161" s="22"/>
      <c r="AN161" s="22"/>
      <c r="AO161" s="22"/>
    </row>
    <row r="162" spans="1:41" x14ac:dyDescent="0.25">
      <c r="A162" s="22"/>
      <c r="B162" s="22"/>
      <c r="C162" s="22"/>
      <c r="D162" s="22"/>
      <c r="E162" s="22"/>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c r="AD162" s="22"/>
      <c r="AE162" s="22"/>
      <c r="AF162" s="22"/>
      <c r="AG162" s="22"/>
      <c r="AH162" s="22"/>
      <c r="AI162" s="22"/>
      <c r="AJ162" s="22"/>
      <c r="AK162" s="22"/>
      <c r="AL162" s="22"/>
      <c r="AM162" s="22"/>
      <c r="AN162" s="22"/>
      <c r="AO162" s="22"/>
    </row>
    <row r="163" spans="1:41" x14ac:dyDescent="0.25">
      <c r="A163" s="22"/>
      <c r="B163" s="22"/>
      <c r="C163" s="22"/>
      <c r="D163" s="22"/>
      <c r="E163" s="22"/>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c r="AD163" s="22"/>
      <c r="AE163" s="22"/>
      <c r="AF163" s="22"/>
      <c r="AG163" s="22"/>
      <c r="AH163" s="22"/>
      <c r="AI163" s="22"/>
      <c r="AJ163" s="22"/>
      <c r="AK163" s="22"/>
      <c r="AL163" s="22"/>
      <c r="AM163" s="22"/>
      <c r="AN163" s="22"/>
      <c r="AO163" s="22"/>
    </row>
    <row r="164" spans="1:41" x14ac:dyDescent="0.25">
      <c r="A164" s="22"/>
      <c r="B164" s="22"/>
      <c r="C164" s="22"/>
      <c r="D164" s="22"/>
      <c r="E164" s="22"/>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c r="AD164" s="22"/>
      <c r="AE164" s="22"/>
      <c r="AF164" s="22"/>
      <c r="AG164" s="22"/>
      <c r="AH164" s="22"/>
      <c r="AI164" s="22"/>
      <c r="AJ164" s="22"/>
      <c r="AK164" s="22"/>
      <c r="AL164" s="22"/>
      <c r="AM164" s="22"/>
      <c r="AN164" s="22"/>
      <c r="AO164" s="22"/>
    </row>
    <row r="165" spans="1:41" x14ac:dyDescent="0.25">
      <c r="A165" s="22"/>
      <c r="B165" s="22"/>
      <c r="C165" s="22"/>
      <c r="D165" s="22"/>
      <c r="E165" s="22"/>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c r="AD165" s="22"/>
      <c r="AE165" s="22"/>
      <c r="AF165" s="22"/>
      <c r="AG165" s="22"/>
      <c r="AH165" s="22"/>
      <c r="AI165" s="22"/>
      <c r="AJ165" s="22"/>
      <c r="AK165" s="22"/>
      <c r="AL165" s="22"/>
      <c r="AM165" s="22"/>
      <c r="AN165" s="22"/>
      <c r="AO165" s="22"/>
    </row>
    <row r="166" spans="1:41" x14ac:dyDescent="0.25">
      <c r="A166" s="22"/>
      <c r="B166" s="22"/>
      <c r="C166" s="22"/>
      <c r="D166" s="22"/>
      <c r="E166" s="22"/>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c r="AD166" s="22"/>
      <c r="AE166" s="22"/>
      <c r="AF166" s="22"/>
      <c r="AG166" s="22"/>
      <c r="AH166" s="22"/>
      <c r="AI166" s="22"/>
      <c r="AJ166" s="22"/>
      <c r="AK166" s="22"/>
      <c r="AL166" s="22"/>
      <c r="AM166" s="22"/>
      <c r="AN166" s="22"/>
      <c r="AO166" s="22"/>
    </row>
    <row r="167" spans="1:41" x14ac:dyDescent="0.25">
      <c r="A167" s="22"/>
      <c r="B167" s="22"/>
      <c r="C167" s="22"/>
      <c r="D167" s="22"/>
      <c r="E167" s="22"/>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c r="AD167" s="22"/>
      <c r="AE167" s="22"/>
      <c r="AF167" s="22"/>
      <c r="AG167" s="22"/>
      <c r="AH167" s="22"/>
      <c r="AI167" s="22"/>
      <c r="AJ167" s="22"/>
      <c r="AK167" s="22"/>
      <c r="AL167" s="22"/>
      <c r="AM167" s="22"/>
      <c r="AN167" s="22"/>
      <c r="AO167" s="22"/>
    </row>
    <row r="168" spans="1:41" x14ac:dyDescent="0.25">
      <c r="A168" s="22"/>
      <c r="B168" s="22"/>
      <c r="C168" s="22"/>
      <c r="D168" s="22"/>
      <c r="E168" s="22"/>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c r="AD168" s="22"/>
      <c r="AE168" s="22"/>
      <c r="AF168" s="22"/>
      <c r="AG168" s="22"/>
      <c r="AH168" s="22"/>
      <c r="AI168" s="22"/>
      <c r="AJ168" s="22"/>
      <c r="AK168" s="22"/>
      <c r="AL168" s="22"/>
      <c r="AM168" s="22"/>
      <c r="AN168" s="22"/>
      <c r="AO168" s="22"/>
    </row>
    <row r="169" spans="1:41" x14ac:dyDescent="0.25">
      <c r="A169" s="22"/>
      <c r="B169" s="22"/>
      <c r="C169" s="22"/>
      <c r="D169" s="22"/>
      <c r="E169" s="22"/>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c r="AD169" s="22"/>
      <c r="AE169" s="22"/>
      <c r="AF169" s="22"/>
      <c r="AG169" s="22"/>
      <c r="AH169" s="22"/>
      <c r="AI169" s="22"/>
      <c r="AJ169" s="22"/>
      <c r="AK169" s="22"/>
      <c r="AL169" s="22"/>
      <c r="AM169" s="22"/>
      <c r="AN169" s="22"/>
      <c r="AO169" s="22"/>
    </row>
    <row r="170" spans="1:41" x14ac:dyDescent="0.25">
      <c r="A170" s="22"/>
      <c r="B170" s="22"/>
      <c r="C170" s="22"/>
      <c r="D170" s="22"/>
      <c r="E170" s="22"/>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c r="AD170" s="22"/>
      <c r="AE170" s="22"/>
      <c r="AF170" s="22"/>
      <c r="AG170" s="22"/>
      <c r="AH170" s="22"/>
      <c r="AI170" s="22"/>
      <c r="AJ170" s="22"/>
      <c r="AK170" s="22"/>
      <c r="AL170" s="22"/>
      <c r="AM170" s="22"/>
      <c r="AN170" s="22"/>
      <c r="AO170" s="22"/>
    </row>
    <row r="171" spans="1:41" x14ac:dyDescent="0.25">
      <c r="A171" s="22"/>
      <c r="B171" s="22"/>
      <c r="C171" s="22"/>
      <c r="D171" s="22"/>
      <c r="E171" s="22"/>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c r="AD171" s="22"/>
      <c r="AE171" s="22"/>
      <c r="AF171" s="22"/>
      <c r="AG171" s="22"/>
      <c r="AH171" s="22"/>
      <c r="AI171" s="22"/>
      <c r="AJ171" s="22"/>
      <c r="AK171" s="22"/>
      <c r="AL171" s="22"/>
      <c r="AM171" s="22"/>
      <c r="AN171" s="22"/>
      <c r="AO171" s="22"/>
    </row>
    <row r="172" spans="1:41" x14ac:dyDescent="0.25">
      <c r="A172" s="22"/>
      <c r="B172" s="22"/>
      <c r="C172" s="22"/>
      <c r="D172" s="22"/>
      <c r="E172" s="22"/>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c r="AD172" s="22"/>
      <c r="AE172" s="22"/>
      <c r="AF172" s="22"/>
      <c r="AG172" s="22"/>
      <c r="AH172" s="22"/>
      <c r="AI172" s="22"/>
      <c r="AJ172" s="22"/>
      <c r="AK172" s="22"/>
      <c r="AL172" s="22"/>
      <c r="AM172" s="22"/>
      <c r="AN172" s="22"/>
      <c r="AO172" s="22"/>
    </row>
    <row r="173" spans="1:41" x14ac:dyDescent="0.25">
      <c r="A173" s="22"/>
      <c r="B173" s="22"/>
      <c r="C173" s="22"/>
      <c r="D173" s="22"/>
      <c r="E173" s="22"/>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c r="AD173" s="22"/>
      <c r="AE173" s="22"/>
      <c r="AF173" s="22"/>
      <c r="AG173" s="22"/>
      <c r="AH173" s="22"/>
      <c r="AI173" s="22"/>
      <c r="AJ173" s="22"/>
      <c r="AK173" s="22"/>
      <c r="AL173" s="22"/>
      <c r="AM173" s="22"/>
      <c r="AN173" s="22"/>
      <c r="AO173" s="22"/>
    </row>
    <row r="174" spans="1:41" x14ac:dyDescent="0.25">
      <c r="A174" s="22"/>
      <c r="B174" s="22"/>
      <c r="C174" s="22"/>
      <c r="D174" s="22"/>
      <c r="E174" s="22"/>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c r="AD174" s="22"/>
      <c r="AE174" s="22"/>
      <c r="AF174" s="22"/>
      <c r="AG174" s="22"/>
      <c r="AH174" s="22"/>
      <c r="AI174" s="22"/>
      <c r="AJ174" s="22"/>
      <c r="AK174" s="22"/>
      <c r="AL174" s="22"/>
      <c r="AM174" s="22"/>
      <c r="AN174" s="22"/>
      <c r="AO174" s="22"/>
    </row>
    <row r="175" spans="1:41" x14ac:dyDescent="0.25">
      <c r="A175" s="22"/>
      <c r="B175" s="22"/>
      <c r="C175" s="22"/>
      <c r="D175" s="22"/>
      <c r="E175" s="22"/>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c r="AD175" s="22"/>
      <c r="AE175" s="22"/>
      <c r="AF175" s="22"/>
      <c r="AG175" s="22"/>
      <c r="AH175" s="22"/>
      <c r="AI175" s="22"/>
      <c r="AJ175" s="22"/>
      <c r="AK175" s="22"/>
      <c r="AL175" s="22"/>
      <c r="AM175" s="22"/>
      <c r="AN175" s="22"/>
      <c r="AO175" s="22"/>
    </row>
    <row r="176" spans="1:41" x14ac:dyDescent="0.25">
      <c r="A176" s="22"/>
      <c r="B176" s="22"/>
      <c r="C176" s="22"/>
      <c r="D176" s="22"/>
      <c r="E176" s="22"/>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c r="AD176" s="22"/>
      <c r="AE176" s="22"/>
      <c r="AF176" s="22"/>
      <c r="AG176" s="22"/>
      <c r="AH176" s="22"/>
      <c r="AI176" s="22"/>
      <c r="AJ176" s="22"/>
      <c r="AK176" s="22"/>
      <c r="AL176" s="22"/>
      <c r="AM176" s="22"/>
      <c r="AN176" s="22"/>
      <c r="AO176" s="22"/>
    </row>
    <row r="177" spans="1:41" x14ac:dyDescent="0.25">
      <c r="A177" s="22"/>
      <c r="B177" s="22"/>
      <c r="C177" s="22"/>
      <c r="D177" s="22"/>
      <c r="E177" s="22"/>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c r="AD177" s="22"/>
      <c r="AE177" s="22"/>
      <c r="AF177" s="22"/>
      <c r="AG177" s="22"/>
      <c r="AH177" s="22"/>
      <c r="AI177" s="22"/>
      <c r="AJ177" s="22"/>
      <c r="AK177" s="22"/>
      <c r="AL177" s="22"/>
      <c r="AM177" s="22"/>
      <c r="AN177" s="22"/>
      <c r="AO177" s="22"/>
    </row>
    <row r="178" spans="1:41" x14ac:dyDescent="0.25">
      <c r="A178" s="22"/>
      <c r="B178" s="22"/>
      <c r="C178" s="22"/>
      <c r="D178" s="22"/>
      <c r="E178" s="22"/>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c r="AD178" s="22"/>
      <c r="AE178" s="22"/>
      <c r="AF178" s="22"/>
      <c r="AG178" s="22"/>
      <c r="AH178" s="22"/>
      <c r="AI178" s="22"/>
      <c r="AJ178" s="22"/>
      <c r="AK178" s="22"/>
      <c r="AL178" s="22"/>
      <c r="AM178" s="22"/>
      <c r="AN178" s="22"/>
      <c r="AO178" s="22"/>
    </row>
    <row r="179" spans="1:41" x14ac:dyDescent="0.25">
      <c r="A179" s="22"/>
      <c r="B179" s="22"/>
      <c r="C179" s="22"/>
      <c r="D179" s="22"/>
      <c r="E179" s="22"/>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c r="AD179" s="22"/>
      <c r="AE179" s="22"/>
      <c r="AF179" s="22"/>
      <c r="AG179" s="22"/>
      <c r="AH179" s="22"/>
      <c r="AI179" s="22"/>
      <c r="AJ179" s="22"/>
      <c r="AK179" s="22"/>
      <c r="AL179" s="22"/>
      <c r="AM179" s="22"/>
      <c r="AN179" s="22"/>
      <c r="AO179" s="22"/>
    </row>
    <row r="180" spans="1:41" x14ac:dyDescent="0.25">
      <c r="A180" s="22"/>
      <c r="B180" s="22"/>
      <c r="C180" s="22"/>
      <c r="D180" s="22"/>
      <c r="E180" s="22"/>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c r="AD180" s="22"/>
      <c r="AE180" s="22"/>
      <c r="AF180" s="22"/>
      <c r="AG180" s="22"/>
      <c r="AH180" s="22"/>
      <c r="AI180" s="22"/>
      <c r="AJ180" s="22"/>
      <c r="AK180" s="22"/>
      <c r="AL180" s="22"/>
      <c r="AM180" s="22"/>
      <c r="AN180" s="22"/>
      <c r="AO180" s="22"/>
    </row>
    <row r="181" spans="1:41" x14ac:dyDescent="0.25">
      <c r="A181" s="22"/>
      <c r="B181" s="22"/>
      <c r="C181" s="22"/>
      <c r="D181" s="22"/>
      <c r="E181" s="22"/>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c r="AD181" s="22"/>
      <c r="AE181" s="22"/>
      <c r="AF181" s="22"/>
      <c r="AG181" s="22"/>
      <c r="AH181" s="22"/>
      <c r="AI181" s="22"/>
      <c r="AJ181" s="22"/>
      <c r="AK181" s="22"/>
      <c r="AL181" s="22"/>
      <c r="AM181" s="22"/>
      <c r="AN181" s="22"/>
      <c r="AO181" s="22"/>
    </row>
    <row r="182" spans="1:41" x14ac:dyDescent="0.25">
      <c r="A182" s="22"/>
      <c r="B182" s="22"/>
      <c r="C182" s="22"/>
      <c r="D182" s="22"/>
      <c r="E182" s="22"/>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c r="AD182" s="22"/>
      <c r="AE182" s="22"/>
      <c r="AF182" s="22"/>
      <c r="AG182" s="22"/>
      <c r="AH182" s="22"/>
      <c r="AI182" s="22"/>
      <c r="AJ182" s="22"/>
      <c r="AK182" s="22"/>
      <c r="AL182" s="22"/>
      <c r="AM182" s="22"/>
      <c r="AN182" s="22"/>
      <c r="AO182" s="22"/>
    </row>
    <row r="183" spans="1:41" x14ac:dyDescent="0.25">
      <c r="A183" s="22"/>
      <c r="B183" s="22"/>
      <c r="C183" s="22"/>
      <c r="D183" s="22"/>
      <c r="E183" s="22"/>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c r="AD183" s="22"/>
      <c r="AE183" s="22"/>
      <c r="AF183" s="22"/>
      <c r="AG183" s="22"/>
      <c r="AH183" s="22"/>
      <c r="AI183" s="22"/>
      <c r="AJ183" s="22"/>
      <c r="AK183" s="22"/>
      <c r="AL183" s="22"/>
      <c r="AM183" s="22"/>
      <c r="AN183" s="22"/>
      <c r="AO183" s="22"/>
    </row>
    <row r="184" spans="1:41" x14ac:dyDescent="0.25">
      <c r="A184" s="22"/>
      <c r="B184" s="22"/>
      <c r="C184" s="22"/>
      <c r="D184" s="22"/>
      <c r="E184" s="22"/>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c r="AD184" s="22"/>
      <c r="AE184" s="22"/>
      <c r="AF184" s="22"/>
      <c r="AG184" s="22"/>
      <c r="AH184" s="22"/>
      <c r="AI184" s="22"/>
      <c r="AJ184" s="22"/>
      <c r="AK184" s="22"/>
      <c r="AL184" s="22"/>
      <c r="AM184" s="22"/>
      <c r="AN184" s="22"/>
      <c r="AO184" s="22"/>
    </row>
    <row r="185" spans="1:41" x14ac:dyDescent="0.25">
      <c r="A185" s="22"/>
      <c r="B185" s="22"/>
      <c r="C185" s="22"/>
      <c r="D185" s="22"/>
      <c r="E185" s="22"/>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c r="AD185" s="22"/>
      <c r="AE185" s="22"/>
      <c r="AF185" s="22"/>
      <c r="AG185" s="22"/>
      <c r="AH185" s="22"/>
      <c r="AI185" s="22"/>
      <c r="AJ185" s="22"/>
      <c r="AK185" s="22"/>
      <c r="AL185" s="22"/>
      <c r="AM185" s="22"/>
      <c r="AN185" s="22"/>
      <c r="AO185" s="22"/>
    </row>
    <row r="186" spans="1:41" x14ac:dyDescent="0.25">
      <c r="A186" s="22"/>
      <c r="B186" s="22"/>
      <c r="C186" s="22"/>
      <c r="D186" s="22"/>
      <c r="E186" s="22"/>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c r="AI186" s="22"/>
      <c r="AJ186" s="22"/>
      <c r="AK186" s="22"/>
      <c r="AL186" s="22"/>
      <c r="AM186" s="22"/>
      <c r="AN186" s="22"/>
      <c r="AO186" s="22"/>
    </row>
    <row r="187" spans="1:41" x14ac:dyDescent="0.25">
      <c r="A187" s="22"/>
      <c r="B187" s="22"/>
      <c r="C187" s="22"/>
      <c r="D187" s="22"/>
      <c r="E187" s="22"/>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c r="AI187" s="22"/>
      <c r="AJ187" s="22"/>
      <c r="AK187" s="22"/>
      <c r="AL187" s="22"/>
      <c r="AM187" s="22"/>
      <c r="AN187" s="22"/>
      <c r="AO187" s="22"/>
    </row>
    <row r="188" spans="1:41" x14ac:dyDescent="0.25">
      <c r="A188" s="22"/>
      <c r="B188" s="22"/>
      <c r="C188" s="22"/>
      <c r="D188" s="22"/>
      <c r="E188" s="22"/>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c r="AD188" s="22"/>
      <c r="AE188" s="22"/>
      <c r="AF188" s="22"/>
      <c r="AG188" s="22"/>
      <c r="AH188" s="22"/>
      <c r="AI188" s="22"/>
      <c r="AJ188" s="22"/>
      <c r="AK188" s="22"/>
      <c r="AL188" s="22"/>
      <c r="AM188" s="22"/>
      <c r="AN188" s="22"/>
      <c r="AO188" s="22"/>
    </row>
    <row r="189" spans="1:41" x14ac:dyDescent="0.25">
      <c r="A189" s="22"/>
      <c r="B189" s="22"/>
      <c r="C189" s="22"/>
      <c r="D189" s="22"/>
      <c r="E189" s="22"/>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c r="AD189" s="22"/>
      <c r="AE189" s="22"/>
      <c r="AF189" s="22"/>
      <c r="AG189" s="22"/>
      <c r="AH189" s="22"/>
      <c r="AI189" s="22"/>
      <c r="AJ189" s="22"/>
      <c r="AK189" s="22"/>
      <c r="AL189" s="22"/>
      <c r="AM189" s="22"/>
      <c r="AN189" s="22"/>
      <c r="AO189" s="22"/>
    </row>
    <row r="190" spans="1:41" x14ac:dyDescent="0.25">
      <c r="A190" s="22"/>
      <c r="B190" s="22"/>
      <c r="C190" s="22"/>
      <c r="D190" s="22"/>
      <c r="E190" s="22"/>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c r="AD190" s="22"/>
      <c r="AE190" s="22"/>
      <c r="AF190" s="22"/>
      <c r="AG190" s="22"/>
      <c r="AH190" s="22"/>
      <c r="AI190" s="22"/>
      <c r="AJ190" s="22"/>
      <c r="AK190" s="22"/>
      <c r="AL190" s="22"/>
      <c r="AM190" s="22"/>
      <c r="AN190" s="22"/>
      <c r="AO190" s="22"/>
    </row>
    <row r="191" spans="1:41" x14ac:dyDescent="0.25">
      <c r="A191" s="22"/>
      <c r="B191" s="22"/>
      <c r="C191" s="22"/>
      <c r="D191" s="22"/>
      <c r="E191" s="22"/>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c r="AD191" s="22"/>
      <c r="AE191" s="22"/>
      <c r="AF191" s="22"/>
      <c r="AG191" s="22"/>
      <c r="AH191" s="22"/>
      <c r="AI191" s="22"/>
      <c r="AJ191" s="22"/>
      <c r="AK191" s="22"/>
      <c r="AL191" s="22"/>
      <c r="AM191" s="22"/>
      <c r="AN191" s="22"/>
      <c r="AO191" s="22"/>
    </row>
    <row r="192" spans="1:41" x14ac:dyDescent="0.25">
      <c r="A192" s="22"/>
      <c r="B192" s="22"/>
      <c r="C192" s="22"/>
      <c r="D192" s="22"/>
      <c r="E192" s="22"/>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c r="AD192" s="22"/>
      <c r="AE192" s="22"/>
      <c r="AF192" s="22"/>
      <c r="AG192" s="22"/>
      <c r="AH192" s="22"/>
      <c r="AI192" s="22"/>
      <c r="AJ192" s="22"/>
      <c r="AK192" s="22"/>
      <c r="AL192" s="22"/>
      <c r="AM192" s="22"/>
      <c r="AN192" s="22"/>
      <c r="AO192" s="22"/>
    </row>
    <row r="193" spans="1:41" x14ac:dyDescent="0.25">
      <c r="A193" s="22"/>
      <c r="B193" s="22"/>
      <c r="C193" s="22"/>
      <c r="D193" s="22"/>
      <c r="E193" s="22"/>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c r="AD193" s="22"/>
      <c r="AE193" s="22"/>
      <c r="AF193" s="22"/>
      <c r="AG193" s="22"/>
      <c r="AH193" s="22"/>
      <c r="AI193" s="22"/>
      <c r="AJ193" s="22"/>
      <c r="AK193" s="22"/>
      <c r="AL193" s="22"/>
      <c r="AM193" s="22"/>
      <c r="AN193" s="22"/>
      <c r="AO193" s="22"/>
    </row>
    <row r="194" spans="1:41" x14ac:dyDescent="0.25">
      <c r="A194" s="22"/>
      <c r="B194" s="22"/>
      <c r="C194" s="22"/>
      <c r="D194" s="22"/>
      <c r="E194" s="22"/>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c r="AD194" s="22"/>
      <c r="AE194" s="22"/>
      <c r="AF194" s="22"/>
      <c r="AG194" s="22"/>
      <c r="AH194" s="22"/>
      <c r="AI194" s="22"/>
      <c r="AJ194" s="22"/>
      <c r="AK194" s="22"/>
      <c r="AL194" s="22"/>
      <c r="AM194" s="22"/>
      <c r="AN194" s="22"/>
      <c r="AO194" s="22"/>
    </row>
    <row r="195" spans="1:41" x14ac:dyDescent="0.25">
      <c r="A195" s="22"/>
      <c r="B195" s="22"/>
      <c r="C195" s="22"/>
      <c r="D195" s="22"/>
      <c r="E195" s="22"/>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c r="AD195" s="22"/>
      <c r="AE195" s="22"/>
      <c r="AF195" s="22"/>
      <c r="AG195" s="22"/>
      <c r="AH195" s="22"/>
      <c r="AI195" s="22"/>
      <c r="AJ195" s="22"/>
      <c r="AK195" s="22"/>
      <c r="AL195" s="22"/>
      <c r="AM195" s="22"/>
      <c r="AN195" s="22"/>
      <c r="AO195" s="22"/>
    </row>
    <row r="196" spans="1:41" x14ac:dyDescent="0.25">
      <c r="A196" s="22"/>
      <c r="B196" s="22"/>
      <c r="C196" s="22"/>
      <c r="D196" s="22"/>
      <c r="E196" s="22"/>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c r="AD196" s="22"/>
      <c r="AE196" s="22"/>
      <c r="AF196" s="22"/>
      <c r="AG196" s="22"/>
      <c r="AH196" s="22"/>
      <c r="AI196" s="22"/>
      <c r="AJ196" s="22"/>
      <c r="AK196" s="22"/>
      <c r="AL196" s="22"/>
      <c r="AM196" s="22"/>
      <c r="AN196" s="22"/>
      <c r="AO196" s="22"/>
    </row>
    <row r="197" spans="1:41" x14ac:dyDescent="0.25">
      <c r="A197" s="22"/>
      <c r="B197" s="22"/>
      <c r="C197" s="22"/>
      <c r="D197" s="22"/>
      <c r="E197" s="22"/>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c r="AD197" s="22"/>
      <c r="AE197" s="22"/>
      <c r="AF197" s="22"/>
      <c r="AG197" s="22"/>
      <c r="AH197" s="22"/>
      <c r="AI197" s="22"/>
      <c r="AJ197" s="22"/>
      <c r="AK197" s="22"/>
      <c r="AL197" s="22"/>
      <c r="AM197" s="22"/>
      <c r="AN197" s="22"/>
      <c r="AO197" s="22"/>
    </row>
    <row r="198" spans="1:41" x14ac:dyDescent="0.25">
      <c r="A198" s="22"/>
      <c r="B198" s="22"/>
      <c r="C198" s="22"/>
      <c r="D198" s="22"/>
      <c r="E198" s="22"/>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c r="AD198" s="22"/>
      <c r="AE198" s="22"/>
      <c r="AF198" s="22"/>
      <c r="AG198" s="22"/>
      <c r="AH198" s="22"/>
      <c r="AI198" s="22"/>
      <c r="AJ198" s="22"/>
      <c r="AK198" s="22"/>
      <c r="AL198" s="22"/>
      <c r="AM198" s="22"/>
      <c r="AN198" s="22"/>
      <c r="AO198" s="22"/>
    </row>
    <row r="199" spans="1:41" x14ac:dyDescent="0.25">
      <c r="A199" s="22"/>
      <c r="B199" s="22"/>
      <c r="C199" s="22"/>
      <c r="D199" s="22"/>
      <c r="E199" s="22"/>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c r="AD199" s="22"/>
      <c r="AE199" s="22"/>
      <c r="AF199" s="22"/>
      <c r="AG199" s="22"/>
      <c r="AH199" s="22"/>
      <c r="AI199" s="22"/>
      <c r="AJ199" s="22"/>
      <c r="AK199" s="22"/>
      <c r="AL199" s="22"/>
      <c r="AM199" s="22"/>
      <c r="AN199" s="22"/>
      <c r="AO199" s="22"/>
    </row>
    <row r="200" spans="1:41" x14ac:dyDescent="0.25">
      <c r="A200" s="22"/>
      <c r="B200" s="22"/>
      <c r="C200" s="22"/>
      <c r="D200" s="22"/>
      <c r="E200" s="22"/>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c r="AD200" s="22"/>
      <c r="AE200" s="22"/>
      <c r="AF200" s="22"/>
      <c r="AG200" s="22"/>
      <c r="AH200" s="22"/>
      <c r="AI200" s="22"/>
      <c r="AJ200" s="22"/>
      <c r="AK200" s="22"/>
      <c r="AL200" s="22"/>
      <c r="AM200" s="22"/>
      <c r="AN200" s="22"/>
      <c r="AO200" s="22"/>
    </row>
    <row r="201" spans="1:41" x14ac:dyDescent="0.25">
      <c r="A201" s="22"/>
      <c r="B201" s="22"/>
      <c r="C201" s="22"/>
      <c r="D201" s="22"/>
      <c r="E201" s="22"/>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c r="AD201" s="22"/>
      <c r="AE201" s="22"/>
      <c r="AF201" s="22"/>
      <c r="AG201" s="22"/>
      <c r="AH201" s="22"/>
      <c r="AI201" s="22"/>
      <c r="AJ201" s="22"/>
      <c r="AK201" s="22"/>
      <c r="AL201" s="22"/>
      <c r="AM201" s="22"/>
      <c r="AN201" s="22"/>
      <c r="AO201" s="22"/>
    </row>
    <row r="202" spans="1:41" x14ac:dyDescent="0.25">
      <c r="A202" s="22"/>
      <c r="B202" s="22"/>
      <c r="C202" s="22"/>
      <c r="D202" s="22"/>
      <c r="E202" s="22"/>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c r="AD202" s="22"/>
      <c r="AE202" s="22"/>
      <c r="AF202" s="22"/>
      <c r="AG202" s="22"/>
      <c r="AH202" s="22"/>
      <c r="AI202" s="22"/>
      <c r="AJ202" s="22"/>
      <c r="AK202" s="22"/>
      <c r="AL202" s="22"/>
      <c r="AM202" s="22"/>
      <c r="AN202" s="22"/>
      <c r="AO202" s="22"/>
    </row>
    <row r="203" spans="1:41" x14ac:dyDescent="0.25">
      <c r="A203" s="22"/>
      <c r="B203" s="22"/>
      <c r="C203" s="22"/>
      <c r="D203" s="22"/>
      <c r="E203" s="22"/>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c r="AD203" s="22"/>
      <c r="AE203" s="22"/>
      <c r="AF203" s="22"/>
      <c r="AG203" s="22"/>
      <c r="AH203" s="22"/>
      <c r="AI203" s="22"/>
      <c r="AJ203" s="22"/>
      <c r="AK203" s="22"/>
      <c r="AL203" s="22"/>
      <c r="AM203" s="22"/>
      <c r="AN203" s="22"/>
      <c r="AO203" s="22"/>
    </row>
    <row r="204" spans="1:41" x14ac:dyDescent="0.25">
      <c r="A204" s="22"/>
      <c r="B204" s="22"/>
      <c r="C204" s="22"/>
      <c r="D204" s="22"/>
      <c r="E204" s="22"/>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c r="AD204" s="22"/>
      <c r="AE204" s="22"/>
      <c r="AF204" s="22"/>
      <c r="AG204" s="22"/>
      <c r="AH204" s="22"/>
      <c r="AI204" s="22"/>
      <c r="AJ204" s="22"/>
      <c r="AK204" s="22"/>
      <c r="AL204" s="22"/>
      <c r="AM204" s="22"/>
      <c r="AN204" s="22"/>
      <c r="AO204" s="22"/>
    </row>
    <row r="205" spans="1:41" x14ac:dyDescent="0.25">
      <c r="A205" s="22"/>
      <c r="B205" s="22"/>
      <c r="C205" s="22"/>
      <c r="D205" s="22"/>
      <c r="E205" s="22"/>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c r="AD205" s="22"/>
      <c r="AE205" s="22"/>
      <c r="AF205" s="22"/>
      <c r="AG205" s="22"/>
      <c r="AH205" s="22"/>
      <c r="AI205" s="22"/>
      <c r="AJ205" s="22"/>
      <c r="AK205" s="22"/>
      <c r="AL205" s="22"/>
      <c r="AM205" s="22"/>
      <c r="AN205" s="22"/>
      <c r="AO205" s="22"/>
    </row>
    <row r="206" spans="1:41" x14ac:dyDescent="0.25">
      <c r="A206" s="22"/>
      <c r="B206" s="22"/>
      <c r="C206" s="22"/>
      <c r="D206" s="22"/>
      <c r="E206" s="22"/>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c r="AD206" s="22"/>
      <c r="AE206" s="22"/>
      <c r="AF206" s="22"/>
      <c r="AG206" s="22"/>
      <c r="AH206" s="22"/>
      <c r="AI206" s="22"/>
      <c r="AJ206" s="22"/>
      <c r="AK206" s="22"/>
      <c r="AL206" s="22"/>
      <c r="AM206" s="22"/>
      <c r="AN206" s="22"/>
      <c r="AO206" s="22"/>
    </row>
    <row r="207" spans="1:41" x14ac:dyDescent="0.25">
      <c r="A207" s="22"/>
      <c r="B207" s="22"/>
      <c r="C207" s="22"/>
      <c r="D207" s="22"/>
      <c r="E207" s="22"/>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c r="AD207" s="22"/>
      <c r="AE207" s="22"/>
      <c r="AF207" s="22"/>
      <c r="AG207" s="22"/>
      <c r="AH207" s="22"/>
      <c r="AI207" s="22"/>
      <c r="AJ207" s="22"/>
      <c r="AK207" s="22"/>
      <c r="AL207" s="22"/>
      <c r="AM207" s="22"/>
      <c r="AN207" s="22"/>
      <c r="AO207" s="22"/>
    </row>
    <row r="208" spans="1:41" x14ac:dyDescent="0.25">
      <c r="A208" s="22"/>
      <c r="B208" s="22"/>
      <c r="C208" s="22"/>
      <c r="D208" s="22"/>
      <c r="E208" s="22"/>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c r="AD208" s="22"/>
      <c r="AE208" s="22"/>
      <c r="AF208" s="22"/>
      <c r="AG208" s="22"/>
      <c r="AH208" s="22"/>
      <c r="AI208" s="22"/>
      <c r="AJ208" s="22"/>
      <c r="AK208" s="22"/>
      <c r="AL208" s="22"/>
      <c r="AM208" s="22"/>
      <c r="AN208" s="22"/>
      <c r="AO208" s="22"/>
    </row>
    <row r="209" spans="1:41" x14ac:dyDescent="0.25">
      <c r="A209" s="22"/>
      <c r="B209" s="22"/>
      <c r="C209" s="22"/>
      <c r="D209" s="22"/>
      <c r="E209" s="22"/>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c r="AD209" s="22"/>
      <c r="AE209" s="22"/>
      <c r="AF209" s="22"/>
      <c r="AG209" s="22"/>
      <c r="AH209" s="22"/>
      <c r="AI209" s="22"/>
      <c r="AJ209" s="22"/>
      <c r="AK209" s="22"/>
      <c r="AL209" s="22"/>
      <c r="AM209" s="22"/>
      <c r="AN209" s="22"/>
      <c r="AO209" s="22"/>
    </row>
    <row r="210" spans="1:41" x14ac:dyDescent="0.25">
      <c r="A210" s="22"/>
      <c r="B210" s="22"/>
      <c r="C210" s="22"/>
      <c r="D210" s="22"/>
      <c r="E210" s="22"/>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c r="AD210" s="22"/>
      <c r="AE210" s="22"/>
      <c r="AF210" s="22"/>
      <c r="AG210" s="22"/>
      <c r="AH210" s="22"/>
      <c r="AI210" s="22"/>
      <c r="AJ210" s="22"/>
      <c r="AK210" s="22"/>
      <c r="AL210" s="22"/>
      <c r="AM210" s="22"/>
      <c r="AN210" s="22"/>
      <c r="AO210" s="22"/>
    </row>
    <row r="211" spans="1:41" x14ac:dyDescent="0.25">
      <c r="A211" s="22"/>
      <c r="B211" s="22"/>
      <c r="C211" s="22"/>
      <c r="D211" s="22"/>
      <c r="E211" s="22"/>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c r="AD211" s="22"/>
      <c r="AE211" s="22"/>
      <c r="AF211" s="22"/>
      <c r="AG211" s="22"/>
      <c r="AH211" s="22"/>
      <c r="AI211" s="22"/>
      <c r="AJ211" s="22"/>
      <c r="AK211" s="22"/>
      <c r="AL211" s="22"/>
      <c r="AM211" s="22"/>
      <c r="AN211" s="22"/>
      <c r="AO211" s="22"/>
    </row>
    <row r="212" spans="1:41" x14ac:dyDescent="0.25">
      <c r="A212" s="22"/>
      <c r="B212" s="22"/>
      <c r="C212" s="22"/>
      <c r="D212" s="22"/>
      <c r="E212" s="22"/>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c r="AD212" s="22"/>
      <c r="AE212" s="22"/>
      <c r="AF212" s="22"/>
      <c r="AG212" s="22"/>
      <c r="AH212" s="22"/>
      <c r="AI212" s="22"/>
      <c r="AJ212" s="22"/>
      <c r="AK212" s="22"/>
      <c r="AL212" s="22"/>
      <c r="AM212" s="22"/>
      <c r="AN212" s="22"/>
      <c r="AO212" s="22"/>
    </row>
    <row r="213" spans="1:41" x14ac:dyDescent="0.25">
      <c r="A213" s="22"/>
      <c r="B213" s="22"/>
      <c r="C213" s="22"/>
      <c r="D213" s="22"/>
      <c r="E213" s="22"/>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c r="AD213" s="22"/>
      <c r="AE213" s="22"/>
      <c r="AF213" s="22"/>
      <c r="AG213" s="22"/>
      <c r="AH213" s="22"/>
      <c r="AI213" s="22"/>
      <c r="AJ213" s="22"/>
      <c r="AK213" s="22"/>
      <c r="AL213" s="22"/>
      <c r="AM213" s="22"/>
      <c r="AN213" s="22"/>
      <c r="AO213" s="22"/>
    </row>
    <row r="214" spans="1:41" x14ac:dyDescent="0.25">
      <c r="A214" s="22"/>
      <c r="B214" s="22"/>
      <c r="C214" s="22"/>
      <c r="D214" s="22"/>
      <c r="E214" s="22"/>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c r="AD214" s="22"/>
      <c r="AE214" s="22"/>
      <c r="AF214" s="22"/>
      <c r="AG214" s="22"/>
      <c r="AH214" s="22"/>
      <c r="AI214" s="22"/>
      <c r="AJ214" s="22"/>
      <c r="AK214" s="22"/>
      <c r="AL214" s="22"/>
      <c r="AM214" s="22"/>
      <c r="AN214" s="22"/>
      <c r="AO214" s="22"/>
    </row>
    <row r="215" spans="1:41" x14ac:dyDescent="0.25">
      <c r="A215" s="22"/>
      <c r="B215" s="22"/>
      <c r="C215" s="22"/>
      <c r="D215" s="22"/>
      <c r="E215" s="22"/>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c r="AD215" s="22"/>
      <c r="AE215" s="22"/>
      <c r="AF215" s="22"/>
      <c r="AG215" s="22"/>
      <c r="AH215" s="22"/>
      <c r="AI215" s="22"/>
      <c r="AJ215" s="22"/>
      <c r="AK215" s="22"/>
      <c r="AL215" s="22"/>
      <c r="AM215" s="22"/>
      <c r="AN215" s="22"/>
      <c r="AO215" s="22"/>
    </row>
    <row r="216" spans="1:41" x14ac:dyDescent="0.25">
      <c r="A216" s="22"/>
      <c r="B216" s="22"/>
      <c r="C216" s="22"/>
      <c r="D216" s="22"/>
      <c r="E216" s="22"/>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c r="AD216" s="22"/>
      <c r="AE216" s="22"/>
      <c r="AF216" s="22"/>
      <c r="AG216" s="22"/>
      <c r="AH216" s="22"/>
      <c r="AI216" s="22"/>
      <c r="AJ216" s="22"/>
      <c r="AK216" s="22"/>
      <c r="AL216" s="22"/>
      <c r="AM216" s="22"/>
      <c r="AN216" s="22"/>
      <c r="AO216" s="22"/>
    </row>
    <row r="217" spans="1:41" x14ac:dyDescent="0.25">
      <c r="A217" s="22"/>
      <c r="B217" s="22"/>
      <c r="C217" s="22"/>
      <c r="D217" s="22"/>
      <c r="E217" s="22"/>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c r="AD217" s="22"/>
      <c r="AE217" s="22"/>
      <c r="AF217" s="22"/>
      <c r="AG217" s="22"/>
      <c r="AH217" s="22"/>
      <c r="AI217" s="22"/>
      <c r="AJ217" s="22"/>
      <c r="AK217" s="22"/>
      <c r="AL217" s="22"/>
      <c r="AM217" s="22"/>
      <c r="AN217" s="22"/>
      <c r="AO217" s="22"/>
    </row>
    <row r="218" spans="1:41" x14ac:dyDescent="0.25">
      <c r="A218" s="22"/>
      <c r="B218" s="22"/>
      <c r="C218" s="22"/>
      <c r="D218" s="22"/>
      <c r="E218" s="22"/>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c r="AD218" s="22"/>
      <c r="AE218" s="22"/>
      <c r="AF218" s="22"/>
      <c r="AG218" s="22"/>
      <c r="AH218" s="22"/>
      <c r="AI218" s="22"/>
      <c r="AJ218" s="22"/>
      <c r="AK218" s="22"/>
      <c r="AL218" s="22"/>
      <c r="AM218" s="22"/>
      <c r="AN218" s="22"/>
      <c r="AO218" s="22"/>
    </row>
    <row r="219" spans="1:41" x14ac:dyDescent="0.25">
      <c r="A219" s="22"/>
      <c r="B219" s="22"/>
      <c r="C219" s="22"/>
      <c r="D219" s="22"/>
      <c r="E219" s="22"/>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c r="AD219" s="22"/>
      <c r="AE219" s="22"/>
      <c r="AF219" s="22"/>
      <c r="AG219" s="22"/>
      <c r="AH219" s="22"/>
      <c r="AI219" s="22"/>
      <c r="AJ219" s="22"/>
      <c r="AK219" s="22"/>
      <c r="AL219" s="22"/>
      <c r="AM219" s="22"/>
      <c r="AN219" s="22"/>
      <c r="AO219" s="22"/>
    </row>
    <row r="220" spans="1:41" x14ac:dyDescent="0.25">
      <c r="A220" s="22"/>
      <c r="B220" s="22"/>
      <c r="C220" s="22"/>
      <c r="D220" s="22"/>
      <c r="E220" s="22"/>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c r="AD220" s="22"/>
      <c r="AE220" s="22"/>
      <c r="AF220" s="22"/>
      <c r="AG220" s="22"/>
      <c r="AH220" s="22"/>
      <c r="AI220" s="22"/>
      <c r="AJ220" s="22"/>
      <c r="AK220" s="22"/>
      <c r="AL220" s="22"/>
      <c r="AM220" s="22"/>
      <c r="AN220" s="22"/>
      <c r="AO220" s="22"/>
    </row>
    <row r="221" spans="1:41" x14ac:dyDescent="0.25">
      <c r="A221" s="22"/>
      <c r="B221" s="22"/>
      <c r="C221" s="22"/>
      <c r="D221" s="22"/>
      <c r="E221" s="22"/>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c r="AD221" s="22"/>
      <c r="AE221" s="22"/>
      <c r="AF221" s="22"/>
      <c r="AG221" s="22"/>
      <c r="AH221" s="22"/>
      <c r="AI221" s="22"/>
      <c r="AJ221" s="22"/>
      <c r="AK221" s="22"/>
      <c r="AL221" s="22"/>
      <c r="AM221" s="22"/>
      <c r="AN221" s="22"/>
      <c r="AO221" s="22"/>
    </row>
    <row r="222" spans="1:41" x14ac:dyDescent="0.25">
      <c r="A222" s="22"/>
      <c r="B222" s="22"/>
      <c r="C222" s="22"/>
      <c r="D222" s="22"/>
      <c r="E222" s="22"/>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c r="AD222" s="22"/>
      <c r="AE222" s="22"/>
      <c r="AF222" s="22"/>
      <c r="AG222" s="22"/>
      <c r="AH222" s="22"/>
      <c r="AI222" s="22"/>
      <c r="AJ222" s="22"/>
      <c r="AK222" s="22"/>
      <c r="AL222" s="22"/>
      <c r="AM222" s="22"/>
      <c r="AN222" s="22"/>
      <c r="AO222" s="22"/>
    </row>
    <row r="223" spans="1:41" x14ac:dyDescent="0.25">
      <c r="A223" s="22"/>
      <c r="B223" s="22"/>
      <c r="C223" s="22"/>
      <c r="D223" s="22"/>
      <c r="E223" s="22"/>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c r="AD223" s="22"/>
      <c r="AE223" s="22"/>
      <c r="AF223" s="22"/>
      <c r="AG223" s="22"/>
      <c r="AH223" s="22"/>
      <c r="AI223" s="22"/>
      <c r="AJ223" s="22"/>
      <c r="AK223" s="22"/>
      <c r="AL223" s="22"/>
      <c r="AM223" s="22"/>
      <c r="AN223" s="22"/>
      <c r="AO223" s="22"/>
    </row>
    <row r="224" spans="1:41" x14ac:dyDescent="0.25">
      <c r="A224" s="22"/>
      <c r="B224" s="22"/>
      <c r="C224" s="22"/>
      <c r="D224" s="22"/>
      <c r="E224" s="22"/>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c r="AD224" s="22"/>
      <c r="AE224" s="22"/>
      <c r="AF224" s="22"/>
      <c r="AG224" s="22"/>
      <c r="AH224" s="22"/>
      <c r="AI224" s="22"/>
      <c r="AJ224" s="22"/>
      <c r="AK224" s="22"/>
      <c r="AL224" s="22"/>
      <c r="AM224" s="22"/>
      <c r="AN224" s="22"/>
      <c r="AO224" s="22"/>
    </row>
    <row r="225" spans="1:41" x14ac:dyDescent="0.25">
      <c r="A225" s="22"/>
      <c r="B225" s="22"/>
      <c r="C225" s="22"/>
      <c r="D225" s="22"/>
      <c r="E225" s="22"/>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c r="AD225" s="22"/>
      <c r="AE225" s="22"/>
      <c r="AF225" s="22"/>
      <c r="AG225" s="22"/>
      <c r="AH225" s="22"/>
      <c r="AI225" s="22"/>
      <c r="AJ225" s="22"/>
      <c r="AK225" s="22"/>
      <c r="AL225" s="22"/>
      <c r="AM225" s="22"/>
      <c r="AN225" s="22"/>
      <c r="AO225" s="22"/>
    </row>
    <row r="226" spans="1:41" x14ac:dyDescent="0.25">
      <c r="A226" s="22"/>
      <c r="B226" s="22"/>
      <c r="C226" s="22"/>
      <c r="D226" s="22"/>
      <c r="E226" s="22"/>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c r="AD226" s="22"/>
      <c r="AE226" s="22"/>
      <c r="AF226" s="22"/>
      <c r="AG226" s="22"/>
      <c r="AH226" s="22"/>
      <c r="AI226" s="22"/>
      <c r="AJ226" s="22"/>
      <c r="AK226" s="22"/>
      <c r="AL226" s="22"/>
      <c r="AM226" s="22"/>
      <c r="AN226" s="22"/>
      <c r="AO226" s="22"/>
    </row>
    <row r="227" spans="1:41" x14ac:dyDescent="0.25">
      <c r="A227" s="22"/>
      <c r="B227" s="22"/>
      <c r="C227" s="22"/>
      <c r="D227" s="22"/>
      <c r="E227" s="22"/>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c r="AD227" s="22"/>
      <c r="AE227" s="22"/>
      <c r="AF227" s="22"/>
      <c r="AG227" s="22"/>
      <c r="AH227" s="22"/>
      <c r="AI227" s="22"/>
      <c r="AJ227" s="22"/>
      <c r="AK227" s="22"/>
      <c r="AL227" s="22"/>
      <c r="AM227" s="22"/>
      <c r="AN227" s="22"/>
      <c r="AO227" s="22"/>
    </row>
    <row r="228" spans="1:41" x14ac:dyDescent="0.25">
      <c r="A228" s="22"/>
      <c r="B228" s="22"/>
      <c r="C228" s="22"/>
      <c r="D228" s="22"/>
      <c r="E228" s="22"/>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c r="AD228" s="22"/>
      <c r="AE228" s="22"/>
      <c r="AF228" s="22"/>
      <c r="AG228" s="22"/>
      <c r="AH228" s="22"/>
      <c r="AI228" s="22"/>
      <c r="AJ228" s="22"/>
      <c r="AK228" s="22"/>
      <c r="AL228" s="22"/>
      <c r="AM228" s="22"/>
      <c r="AN228" s="22"/>
      <c r="AO228" s="22"/>
    </row>
    <row r="229" spans="1:41" x14ac:dyDescent="0.25">
      <c r="A229" s="22"/>
      <c r="B229" s="22"/>
      <c r="C229" s="22"/>
      <c r="D229" s="22"/>
      <c r="E229" s="22"/>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c r="AD229" s="22"/>
      <c r="AE229" s="22"/>
      <c r="AF229" s="22"/>
      <c r="AG229" s="22"/>
      <c r="AH229" s="22"/>
      <c r="AI229" s="22"/>
      <c r="AJ229" s="22"/>
      <c r="AK229" s="22"/>
      <c r="AL229" s="22"/>
      <c r="AM229" s="22"/>
      <c r="AN229" s="22"/>
      <c r="AO229" s="22"/>
    </row>
    <row r="230" spans="1:41" x14ac:dyDescent="0.25">
      <c r="A230" s="22"/>
      <c r="B230" s="22"/>
      <c r="C230" s="22"/>
      <c r="D230" s="22"/>
      <c r="E230" s="22"/>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c r="AD230" s="22"/>
      <c r="AE230" s="22"/>
      <c r="AF230" s="22"/>
      <c r="AG230" s="22"/>
      <c r="AH230" s="22"/>
      <c r="AI230" s="22"/>
      <c r="AJ230" s="22"/>
      <c r="AK230" s="22"/>
      <c r="AL230" s="22"/>
      <c r="AM230" s="22"/>
      <c r="AN230" s="22"/>
      <c r="AO230" s="22"/>
    </row>
    <row r="231" spans="1:41" x14ac:dyDescent="0.25">
      <c r="A231" s="22"/>
      <c r="B231" s="22"/>
      <c r="C231" s="22"/>
      <c r="D231" s="22"/>
      <c r="E231" s="22"/>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c r="AD231" s="22"/>
      <c r="AE231" s="22"/>
      <c r="AF231" s="22"/>
      <c r="AG231" s="22"/>
      <c r="AH231" s="22"/>
      <c r="AI231" s="22"/>
      <c r="AJ231" s="22"/>
      <c r="AK231" s="22"/>
      <c r="AL231" s="22"/>
      <c r="AM231" s="22"/>
      <c r="AN231" s="22"/>
      <c r="AO231" s="22"/>
    </row>
    <row r="232" spans="1:41" x14ac:dyDescent="0.25">
      <c r="A232" s="22"/>
      <c r="B232" s="22"/>
      <c r="C232" s="22"/>
      <c r="D232" s="22"/>
      <c r="E232" s="22"/>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c r="AD232" s="22"/>
      <c r="AE232" s="22"/>
      <c r="AF232" s="22"/>
      <c r="AG232" s="22"/>
      <c r="AH232" s="22"/>
      <c r="AI232" s="22"/>
      <c r="AJ232" s="22"/>
      <c r="AK232" s="22"/>
      <c r="AL232" s="22"/>
      <c r="AM232" s="22"/>
      <c r="AN232" s="22"/>
      <c r="AO232" s="22"/>
    </row>
    <row r="233" spans="1:41" x14ac:dyDescent="0.25">
      <c r="A233" s="22"/>
      <c r="B233" s="22"/>
      <c r="C233" s="22"/>
      <c r="D233" s="22"/>
      <c r="E233" s="22"/>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c r="AD233" s="22"/>
      <c r="AE233" s="22"/>
      <c r="AF233" s="22"/>
      <c r="AG233" s="22"/>
      <c r="AH233" s="22"/>
      <c r="AI233" s="22"/>
      <c r="AJ233" s="22"/>
      <c r="AK233" s="22"/>
      <c r="AL233" s="22"/>
      <c r="AM233" s="22"/>
      <c r="AN233" s="22"/>
      <c r="AO233" s="22"/>
    </row>
    <row r="234" spans="1:41" x14ac:dyDescent="0.25">
      <c r="A234" s="22"/>
      <c r="B234" s="22"/>
      <c r="C234" s="22"/>
      <c r="D234" s="22"/>
      <c r="E234" s="22"/>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c r="AD234" s="22"/>
      <c r="AE234" s="22"/>
      <c r="AF234" s="22"/>
      <c r="AG234" s="22"/>
      <c r="AH234" s="22"/>
      <c r="AI234" s="22"/>
      <c r="AJ234" s="22"/>
      <c r="AK234" s="22"/>
      <c r="AL234" s="22"/>
      <c r="AM234" s="22"/>
      <c r="AN234" s="22"/>
      <c r="AO234" s="22"/>
    </row>
    <row r="235" spans="1:41" x14ac:dyDescent="0.25">
      <c r="A235" s="22"/>
      <c r="B235" s="22"/>
      <c r="C235" s="22"/>
      <c r="D235" s="22"/>
      <c r="E235" s="22"/>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c r="AD235" s="22"/>
      <c r="AE235" s="22"/>
      <c r="AF235" s="22"/>
      <c r="AG235" s="22"/>
      <c r="AH235" s="22"/>
      <c r="AI235" s="22"/>
      <c r="AJ235" s="22"/>
      <c r="AK235" s="22"/>
      <c r="AL235" s="22"/>
      <c r="AM235" s="22"/>
      <c r="AN235" s="22"/>
      <c r="AO235" s="22"/>
    </row>
    <row r="236" spans="1:41" x14ac:dyDescent="0.25">
      <c r="A236" s="22"/>
      <c r="B236" s="22"/>
      <c r="C236" s="22"/>
      <c r="D236" s="22"/>
      <c r="E236" s="22"/>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c r="AD236" s="22"/>
      <c r="AE236" s="22"/>
      <c r="AF236" s="22"/>
      <c r="AG236" s="22"/>
      <c r="AH236" s="22"/>
      <c r="AI236" s="22"/>
      <c r="AJ236" s="22"/>
      <c r="AK236" s="22"/>
      <c r="AL236" s="22"/>
      <c r="AM236" s="22"/>
      <c r="AN236" s="22"/>
      <c r="AO236" s="22"/>
    </row>
    <row r="237" spans="1:41" x14ac:dyDescent="0.25">
      <c r="A237" s="22"/>
      <c r="B237" s="22"/>
      <c r="C237" s="22"/>
      <c r="D237" s="22"/>
      <c r="E237" s="22"/>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c r="AD237" s="22"/>
      <c r="AE237" s="22"/>
      <c r="AF237" s="22"/>
      <c r="AG237" s="22"/>
      <c r="AH237" s="22"/>
      <c r="AI237" s="22"/>
      <c r="AJ237" s="22"/>
      <c r="AK237" s="22"/>
      <c r="AL237" s="22"/>
      <c r="AM237" s="22"/>
      <c r="AN237" s="22"/>
      <c r="AO237" s="22"/>
    </row>
    <row r="238" spans="1:41" x14ac:dyDescent="0.25">
      <c r="A238" s="22"/>
      <c r="B238" s="22"/>
      <c r="C238" s="22"/>
      <c r="D238" s="22"/>
      <c r="E238" s="22"/>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c r="AD238" s="22"/>
      <c r="AE238" s="22"/>
      <c r="AF238" s="22"/>
      <c r="AG238" s="22"/>
      <c r="AH238" s="22"/>
      <c r="AI238" s="22"/>
      <c r="AJ238" s="22"/>
      <c r="AK238" s="22"/>
      <c r="AL238" s="22"/>
      <c r="AM238" s="22"/>
      <c r="AN238" s="22"/>
      <c r="AO238" s="22"/>
    </row>
    <row r="239" spans="1:41" x14ac:dyDescent="0.25">
      <c r="A239" s="22"/>
      <c r="B239" s="22"/>
      <c r="C239" s="22"/>
      <c r="D239" s="22"/>
      <c r="E239" s="22"/>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c r="AD239" s="22"/>
      <c r="AE239" s="22"/>
      <c r="AF239" s="22"/>
      <c r="AG239" s="22"/>
      <c r="AH239" s="22"/>
      <c r="AI239" s="22"/>
      <c r="AJ239" s="22"/>
      <c r="AK239" s="22"/>
      <c r="AL239" s="22"/>
      <c r="AM239" s="22"/>
      <c r="AN239" s="22"/>
      <c r="AO239" s="22"/>
    </row>
    <row r="240" spans="1:41" x14ac:dyDescent="0.25">
      <c r="A240" s="22"/>
      <c r="B240" s="22"/>
      <c r="C240" s="22"/>
      <c r="D240" s="22"/>
      <c r="E240" s="22"/>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c r="AD240" s="22"/>
      <c r="AE240" s="22"/>
      <c r="AF240" s="22"/>
      <c r="AG240" s="22"/>
      <c r="AH240" s="22"/>
      <c r="AI240" s="22"/>
      <c r="AJ240" s="22"/>
      <c r="AK240" s="22"/>
      <c r="AL240" s="22"/>
      <c r="AM240" s="22"/>
      <c r="AN240" s="22"/>
      <c r="AO240" s="22"/>
    </row>
    <row r="241" spans="1:41" x14ac:dyDescent="0.25">
      <c r="A241" s="22"/>
      <c r="B241" s="22"/>
      <c r="C241" s="22"/>
      <c r="D241" s="22"/>
      <c r="E241" s="22"/>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c r="AD241" s="22"/>
      <c r="AE241" s="22"/>
      <c r="AF241" s="22"/>
      <c r="AG241" s="22"/>
      <c r="AH241" s="22"/>
      <c r="AI241" s="22"/>
      <c r="AJ241" s="22"/>
      <c r="AK241" s="22"/>
      <c r="AL241" s="22"/>
      <c r="AM241" s="22"/>
      <c r="AN241" s="22"/>
      <c r="AO241" s="22"/>
    </row>
    <row r="242" spans="1:41" x14ac:dyDescent="0.25">
      <c r="A242" s="22"/>
      <c r="B242" s="22"/>
      <c r="C242" s="22"/>
      <c r="D242" s="22"/>
      <c r="E242" s="22"/>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c r="AD242" s="22"/>
      <c r="AE242" s="22"/>
      <c r="AF242" s="22"/>
      <c r="AG242" s="22"/>
      <c r="AH242" s="22"/>
      <c r="AI242" s="22"/>
      <c r="AJ242" s="22"/>
      <c r="AK242" s="22"/>
      <c r="AL242" s="22"/>
      <c r="AM242" s="22"/>
      <c r="AN242" s="22"/>
      <c r="AO242" s="22"/>
    </row>
    <row r="243" spans="1:41" x14ac:dyDescent="0.25">
      <c r="A243" s="22"/>
      <c r="B243" s="22"/>
      <c r="C243" s="22"/>
      <c r="D243" s="22"/>
      <c r="E243" s="22"/>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c r="AD243" s="22"/>
      <c r="AE243" s="22"/>
      <c r="AF243" s="22"/>
      <c r="AG243" s="22"/>
      <c r="AH243" s="22"/>
      <c r="AI243" s="22"/>
      <c r="AJ243" s="22"/>
      <c r="AK243" s="22"/>
      <c r="AL243" s="22"/>
      <c r="AM243" s="22"/>
      <c r="AN243" s="22"/>
      <c r="AO243" s="22"/>
    </row>
    <row r="244" spans="1:41" x14ac:dyDescent="0.25">
      <c r="A244" s="22"/>
      <c r="B244" s="22"/>
      <c r="C244" s="22"/>
      <c r="D244" s="22"/>
      <c r="E244" s="22"/>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c r="AD244" s="22"/>
      <c r="AE244" s="22"/>
      <c r="AF244" s="22"/>
      <c r="AG244" s="22"/>
      <c r="AH244" s="22"/>
      <c r="AI244" s="22"/>
      <c r="AJ244" s="22"/>
      <c r="AK244" s="22"/>
      <c r="AL244" s="22"/>
      <c r="AM244" s="22"/>
      <c r="AN244" s="22"/>
      <c r="AO244" s="22"/>
    </row>
    <row r="245" spans="1:41" x14ac:dyDescent="0.25">
      <c r="A245" s="22"/>
      <c r="B245" s="22"/>
      <c r="C245" s="22"/>
      <c r="D245" s="22"/>
      <c r="E245" s="22"/>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c r="AD245" s="22"/>
      <c r="AE245" s="22"/>
      <c r="AF245" s="22"/>
      <c r="AG245" s="22"/>
      <c r="AH245" s="22"/>
      <c r="AI245" s="22"/>
      <c r="AJ245" s="22"/>
      <c r="AK245" s="22"/>
      <c r="AL245" s="22"/>
      <c r="AM245" s="22"/>
      <c r="AN245" s="22"/>
      <c r="AO245" s="22"/>
    </row>
    <row r="246" spans="1:41" x14ac:dyDescent="0.25">
      <c r="A246" s="22"/>
      <c r="B246" s="22"/>
      <c r="C246" s="22"/>
      <c r="D246" s="22"/>
      <c r="E246" s="22"/>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c r="AD246" s="22"/>
      <c r="AE246" s="22"/>
      <c r="AF246" s="22"/>
      <c r="AG246" s="22"/>
      <c r="AH246" s="22"/>
      <c r="AI246" s="22"/>
      <c r="AJ246" s="22"/>
      <c r="AK246" s="22"/>
      <c r="AL246" s="22"/>
      <c r="AM246" s="22"/>
      <c r="AN246" s="22"/>
      <c r="AO246" s="22"/>
    </row>
    <row r="247" spans="1:41" x14ac:dyDescent="0.25">
      <c r="A247" s="22"/>
      <c r="B247" s="22"/>
      <c r="C247" s="22"/>
      <c r="D247" s="22"/>
      <c r="E247" s="22"/>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c r="AD247" s="22"/>
      <c r="AE247" s="22"/>
      <c r="AF247" s="22"/>
      <c r="AG247" s="22"/>
      <c r="AH247" s="22"/>
      <c r="AI247" s="22"/>
      <c r="AJ247" s="22"/>
      <c r="AK247" s="22"/>
      <c r="AL247" s="22"/>
      <c r="AM247" s="22"/>
      <c r="AN247" s="22"/>
      <c r="AO247" s="22"/>
    </row>
    <row r="248" spans="1:41" x14ac:dyDescent="0.25">
      <c r="A248" s="22"/>
      <c r="B248" s="22"/>
      <c r="C248" s="22"/>
      <c r="D248" s="22"/>
      <c r="E248" s="22"/>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c r="AD248" s="22"/>
      <c r="AE248" s="22"/>
      <c r="AF248" s="22"/>
      <c r="AG248" s="22"/>
      <c r="AH248" s="22"/>
      <c r="AI248" s="22"/>
      <c r="AJ248" s="22"/>
      <c r="AK248" s="22"/>
      <c r="AL248" s="22"/>
      <c r="AM248" s="22"/>
      <c r="AN248" s="22"/>
      <c r="AO248" s="22"/>
    </row>
    <row r="249" spans="1:41" x14ac:dyDescent="0.25">
      <c r="A249" s="22"/>
      <c r="B249" s="22"/>
      <c r="C249" s="22"/>
      <c r="D249" s="22"/>
      <c r="E249" s="22"/>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c r="AD249" s="22"/>
      <c r="AE249" s="22"/>
      <c r="AF249" s="22"/>
      <c r="AG249" s="22"/>
      <c r="AH249" s="22"/>
      <c r="AI249" s="22"/>
      <c r="AJ249" s="22"/>
      <c r="AK249" s="22"/>
      <c r="AL249" s="22"/>
      <c r="AM249" s="22"/>
      <c r="AN249" s="22"/>
      <c r="AO249" s="22"/>
    </row>
    <row r="250" spans="1:41" x14ac:dyDescent="0.25">
      <c r="A250" s="22"/>
      <c r="B250" s="22"/>
      <c r="C250" s="22"/>
      <c r="D250" s="22"/>
      <c r="E250" s="22"/>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c r="AD250" s="22"/>
      <c r="AE250" s="22"/>
      <c r="AF250" s="22"/>
      <c r="AG250" s="22"/>
      <c r="AH250" s="22"/>
      <c r="AI250" s="22"/>
      <c r="AJ250" s="22"/>
      <c r="AK250" s="22"/>
      <c r="AL250" s="22"/>
      <c r="AM250" s="22"/>
      <c r="AN250" s="22"/>
      <c r="AO250" s="22"/>
    </row>
    <row r="251" spans="1:41" x14ac:dyDescent="0.25">
      <c r="A251" s="22"/>
      <c r="B251" s="22"/>
      <c r="C251" s="22"/>
      <c r="D251" s="22"/>
      <c r="E251" s="22"/>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c r="AD251" s="22"/>
      <c r="AE251" s="22"/>
      <c r="AF251" s="22"/>
      <c r="AG251" s="22"/>
      <c r="AH251" s="22"/>
      <c r="AI251" s="22"/>
      <c r="AJ251" s="22"/>
      <c r="AK251" s="22"/>
      <c r="AL251" s="22"/>
      <c r="AM251" s="22"/>
      <c r="AN251" s="22"/>
      <c r="AO251" s="22"/>
    </row>
    <row r="252" spans="1:41" x14ac:dyDescent="0.25">
      <c r="A252" s="22"/>
      <c r="B252" s="22"/>
      <c r="C252" s="22"/>
      <c r="D252" s="22"/>
      <c r="E252" s="22"/>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c r="AD252" s="22"/>
      <c r="AE252" s="22"/>
      <c r="AF252" s="22"/>
      <c r="AG252" s="22"/>
      <c r="AH252" s="22"/>
      <c r="AI252" s="22"/>
      <c r="AJ252" s="22"/>
      <c r="AK252" s="22"/>
      <c r="AL252" s="22"/>
      <c r="AM252" s="22"/>
      <c r="AN252" s="22"/>
      <c r="AO252" s="22"/>
    </row>
    <row r="253" spans="1:41" x14ac:dyDescent="0.25">
      <c r="A253" s="22"/>
      <c r="B253" s="22"/>
      <c r="C253" s="22"/>
      <c r="D253" s="22"/>
      <c r="E253" s="22"/>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c r="AD253" s="22"/>
      <c r="AE253" s="22"/>
      <c r="AF253" s="22"/>
      <c r="AG253" s="22"/>
      <c r="AH253" s="22"/>
      <c r="AI253" s="22"/>
      <c r="AJ253" s="22"/>
      <c r="AK253" s="22"/>
      <c r="AL253" s="22"/>
      <c r="AM253" s="22"/>
      <c r="AN253" s="22"/>
      <c r="AO253" s="22"/>
    </row>
    <row r="254" spans="1:41" x14ac:dyDescent="0.25">
      <c r="A254" s="22"/>
      <c r="B254" s="22"/>
      <c r="C254" s="22"/>
      <c r="D254" s="22"/>
      <c r="E254" s="22"/>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c r="AD254" s="22"/>
      <c r="AE254" s="22"/>
      <c r="AF254" s="22"/>
      <c r="AG254" s="22"/>
      <c r="AH254" s="22"/>
      <c r="AI254" s="22"/>
      <c r="AJ254" s="22"/>
      <c r="AK254" s="22"/>
      <c r="AL254" s="22"/>
      <c r="AM254" s="22"/>
      <c r="AN254" s="22"/>
      <c r="AO254" s="22"/>
    </row>
    <row r="255" spans="1:41" x14ac:dyDescent="0.25">
      <c r="A255" s="22"/>
      <c r="B255" s="22"/>
      <c r="C255" s="22"/>
      <c r="D255" s="22"/>
      <c r="E255" s="22"/>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c r="AD255" s="22"/>
      <c r="AE255" s="22"/>
      <c r="AF255" s="22"/>
      <c r="AG255" s="22"/>
      <c r="AH255" s="22"/>
      <c r="AI255" s="22"/>
      <c r="AJ255" s="22"/>
      <c r="AK255" s="22"/>
      <c r="AL255" s="22"/>
      <c r="AM255" s="22"/>
      <c r="AN255" s="22"/>
      <c r="AO255" s="22"/>
    </row>
    <row r="256" spans="1:41" x14ac:dyDescent="0.25">
      <c r="A256" s="22"/>
      <c r="B256" s="22"/>
      <c r="C256" s="22"/>
      <c r="D256" s="22"/>
      <c r="E256" s="22"/>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c r="AD256" s="22"/>
      <c r="AE256" s="22"/>
      <c r="AF256" s="22"/>
      <c r="AG256" s="22"/>
      <c r="AH256" s="22"/>
      <c r="AI256" s="22"/>
      <c r="AJ256" s="22"/>
      <c r="AK256" s="22"/>
      <c r="AL256" s="22"/>
      <c r="AM256" s="22"/>
      <c r="AN256" s="22"/>
      <c r="AO256" s="22"/>
    </row>
    <row r="257" spans="1:41" x14ac:dyDescent="0.25">
      <c r="A257" s="22"/>
      <c r="B257" s="22"/>
      <c r="C257" s="22"/>
      <c r="D257" s="22"/>
      <c r="E257" s="22"/>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c r="AD257" s="22"/>
      <c r="AE257" s="22"/>
      <c r="AF257" s="22"/>
      <c r="AG257" s="22"/>
      <c r="AH257" s="22"/>
      <c r="AI257" s="22"/>
      <c r="AJ257" s="22"/>
      <c r="AK257" s="22"/>
      <c r="AL257" s="22"/>
      <c r="AM257" s="22"/>
      <c r="AN257" s="22"/>
      <c r="AO257" s="22"/>
    </row>
    <row r="258" spans="1:41" x14ac:dyDescent="0.25">
      <c r="A258" s="22"/>
      <c r="B258" s="22"/>
      <c r="C258" s="22"/>
      <c r="D258" s="22"/>
      <c r="E258" s="22"/>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c r="AD258" s="22"/>
      <c r="AE258" s="22"/>
      <c r="AF258" s="22"/>
      <c r="AG258" s="22"/>
      <c r="AH258" s="22"/>
      <c r="AI258" s="22"/>
      <c r="AJ258" s="22"/>
      <c r="AK258" s="22"/>
      <c r="AL258" s="22"/>
      <c r="AM258" s="22"/>
      <c r="AN258" s="22"/>
      <c r="AO258" s="22"/>
    </row>
    <row r="259" spans="1:41" x14ac:dyDescent="0.25">
      <c r="A259" s="22"/>
      <c r="B259" s="22"/>
      <c r="C259" s="22"/>
      <c r="D259" s="22"/>
      <c r="E259" s="22"/>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c r="AD259" s="22"/>
      <c r="AE259" s="22"/>
      <c r="AF259" s="22"/>
      <c r="AG259" s="22"/>
      <c r="AH259" s="22"/>
      <c r="AI259" s="22"/>
      <c r="AJ259" s="22"/>
      <c r="AK259" s="22"/>
      <c r="AL259" s="22"/>
      <c r="AM259" s="22"/>
      <c r="AN259" s="22"/>
      <c r="AO259" s="22"/>
    </row>
    <row r="260" spans="1:41" x14ac:dyDescent="0.25">
      <c r="A260" s="22"/>
      <c r="B260" s="22"/>
      <c r="C260" s="22"/>
      <c r="D260" s="22"/>
      <c r="E260" s="22"/>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c r="AD260" s="22"/>
      <c r="AE260" s="22"/>
      <c r="AF260" s="22"/>
      <c r="AG260" s="22"/>
      <c r="AH260" s="22"/>
      <c r="AI260" s="22"/>
      <c r="AJ260" s="22"/>
      <c r="AK260" s="22"/>
      <c r="AL260" s="22"/>
      <c r="AM260" s="22"/>
      <c r="AN260" s="22"/>
      <c r="AO260" s="22"/>
    </row>
    <row r="261" spans="1:41" x14ac:dyDescent="0.25">
      <c r="A261" s="22"/>
      <c r="B261" s="22"/>
      <c r="C261" s="22"/>
      <c r="D261" s="22"/>
      <c r="E261" s="22"/>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c r="AD261" s="22"/>
      <c r="AE261" s="22"/>
      <c r="AF261" s="22"/>
      <c r="AG261" s="22"/>
      <c r="AH261" s="22"/>
      <c r="AI261" s="22"/>
      <c r="AJ261" s="22"/>
      <c r="AK261" s="22"/>
      <c r="AL261" s="22"/>
      <c r="AM261" s="22"/>
      <c r="AN261" s="22"/>
      <c r="AO261" s="22"/>
    </row>
    <row r="262" spans="1:41" x14ac:dyDescent="0.25">
      <c r="A262" s="22"/>
      <c r="B262" s="22"/>
      <c r="C262" s="22"/>
      <c r="D262" s="22"/>
      <c r="E262" s="22"/>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c r="AD262" s="22"/>
      <c r="AE262" s="22"/>
      <c r="AF262" s="22"/>
      <c r="AG262" s="22"/>
      <c r="AH262" s="22"/>
      <c r="AI262" s="22"/>
      <c r="AJ262" s="22"/>
      <c r="AK262" s="22"/>
      <c r="AL262" s="22"/>
      <c r="AM262" s="22"/>
      <c r="AN262" s="22"/>
      <c r="AO262" s="22"/>
    </row>
  </sheetData>
  <dataConsolidate/>
  <pageMargins left="0.7" right="0.7" top="0.78740157499999996" bottom="0.78740157499999996" header="0.3" footer="0.3"/>
  <pageSetup paperSize="9" orientation="portrait" r:id="rId1"/>
  <customProperties>
    <customPr name="_pios_id" r:id="rId2"/>
  </customProperties>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B4:K10"/>
  <sheetViews>
    <sheetView workbookViewId="0">
      <selection activeCell="D9" sqref="D9"/>
    </sheetView>
  </sheetViews>
  <sheetFormatPr defaultRowHeight="15" x14ac:dyDescent="0.25"/>
  <cols>
    <col min="2" max="3" width="9" customWidth="1"/>
    <col min="4" max="4" width="12.140625" bestFit="1" customWidth="1"/>
    <col min="5" max="5" width="15.85546875" bestFit="1" customWidth="1"/>
    <col min="6" max="6" width="14.7109375" bestFit="1" customWidth="1"/>
    <col min="7" max="7" width="14.7109375" customWidth="1"/>
    <col min="8" max="8" width="15.5703125" bestFit="1" customWidth="1"/>
    <col min="9" max="9" width="15.28515625" bestFit="1" customWidth="1"/>
    <col min="10" max="10" width="16.42578125" customWidth="1"/>
    <col min="11" max="11" width="14" bestFit="1" customWidth="1"/>
  </cols>
  <sheetData>
    <row r="4" spans="2:11" x14ac:dyDescent="0.25">
      <c r="B4" s="6"/>
      <c r="C4" s="6" t="s">
        <v>29</v>
      </c>
      <c r="D4" s="6" t="s">
        <v>30</v>
      </c>
      <c r="E4" s="6" t="s">
        <v>31</v>
      </c>
      <c r="F4" s="6" t="s">
        <v>26</v>
      </c>
      <c r="G4" s="6" t="s">
        <v>32</v>
      </c>
      <c r="H4" s="6" t="s">
        <v>24</v>
      </c>
      <c r="I4" s="6" t="s">
        <v>33</v>
      </c>
      <c r="J4" s="6" t="s">
        <v>27</v>
      </c>
      <c r="K4" s="6" t="s">
        <v>28</v>
      </c>
    </row>
    <row r="5" spans="2:11" x14ac:dyDescent="0.25">
      <c r="B5" s="6" t="s">
        <v>34</v>
      </c>
      <c r="C5" s="6">
        <v>0</v>
      </c>
      <c r="D5" s="6">
        <f>IFERROR((GETPIVOTDATA("Average of Cíl %",pt.inbound_ppot_lvl2!B5,"Budova","A")*100),0)</f>
        <v>0</v>
      </c>
      <c r="E5" s="6">
        <f>F5-(D5)</f>
        <v>100</v>
      </c>
      <c r="F5" s="6">
        <v>100</v>
      </c>
      <c r="G5" s="6">
        <f>IFERROR(IFERROR(GETPIVOTDATA("Skutečnost %",pt.inbound_ppot_lvl2!B5,"Budova","A"),0)*100,0)</f>
        <v>0</v>
      </c>
      <c r="H5" s="6">
        <v>1.2</v>
      </c>
      <c r="I5" s="6">
        <f xml:space="preserve"> 200-(H5+G5)</f>
        <v>198.8</v>
      </c>
      <c r="J5" s="16" t="str">
        <f>CONCATENATE("Skutečnost: ",ROUND(IFERROR(GETPIVOTDATA("Skutečnost %",pt.inbound_ppot_lvl2!B5,"Budova","A"),0)*100,0),"%")</f>
        <v>Skutečnost: 0%</v>
      </c>
      <c r="K5" s="9" t="str">
        <f>CONCATENATE("Cíl: ",ROUND(F5-E5,0),"%")</f>
        <v>Cíl: 0%</v>
      </c>
    </row>
    <row r="6" spans="2:11" x14ac:dyDescent="0.25">
      <c r="B6" s="6" t="s">
        <v>35</v>
      </c>
      <c r="C6" s="6">
        <v>0</v>
      </c>
      <c r="D6" s="6">
        <f>IFERROR((GETPIVOTDATA("Average of Cíl %",pt.inbound_ppot_lvl2!B5,"Budova","B")*100),0)</f>
        <v>0</v>
      </c>
      <c r="E6" s="6">
        <f>F6-(D6)</f>
        <v>100</v>
      </c>
      <c r="F6" s="6">
        <v>100</v>
      </c>
      <c r="G6" s="6">
        <f>IFERROR(IFERROR(GETPIVOTDATA("Skutečnost %",pt.inbound_ppot_lvl2!B5,"Budova","B"),0)*100,0)</f>
        <v>0</v>
      </c>
      <c r="H6" s="6">
        <v>1.2</v>
      </c>
      <c r="I6" s="6">
        <f xml:space="preserve"> 200-(H6+G6)</f>
        <v>198.8</v>
      </c>
      <c r="J6" s="16" t="str">
        <f>CONCATENATE("Skutečnost: ",ROUND(IFERROR(GETPIVOTDATA("Skutečnost %",pt.inbound_ppot_lvl2!B6,"Budova","B"),0)*100,0),"%")</f>
        <v>Skutečnost: 0%</v>
      </c>
      <c r="K6" s="9" t="str">
        <f t="shared" ref="K6:K7" si="0">CONCATENATE("Cíl: ",ROUND(F6-E6,0),"%")</f>
        <v>Cíl: 0%</v>
      </c>
    </row>
    <row r="7" spans="2:11" x14ac:dyDescent="0.25">
      <c r="B7" s="6" t="s">
        <v>36</v>
      </c>
      <c r="C7" s="6">
        <v>0</v>
      </c>
      <c r="D7" s="6">
        <f>IFERROR((GETPIVOTDATA("Average of Cíl %",pt.inbound_ppot_lvl2!B5,"Budova","C")*100),0)</f>
        <v>0</v>
      </c>
      <c r="E7" s="6">
        <f>F7-(D7)</f>
        <v>100</v>
      </c>
      <c r="F7" s="6">
        <v>100</v>
      </c>
      <c r="G7" s="6">
        <f>IFERROR(IFERROR(GETPIVOTDATA("Skutečnost %",pt.inbound_ppot_lvl2!B5,"Budova","C"),0)*100,0)</f>
        <v>0</v>
      </c>
      <c r="H7" s="6">
        <v>1.2</v>
      </c>
      <c r="I7" s="6">
        <f xml:space="preserve"> 200-(H7+G7)</f>
        <v>198.8</v>
      </c>
      <c r="J7" s="16" t="str">
        <f>CONCATENATE("Skutečnost: ",ROUND(IFERROR(GETPIVOTDATA("Skutečnost %",pt.inbound_ppot_lvl2!B7,"Budova","C"),0)*100,0),"%")</f>
        <v>Skutečnost: 0%</v>
      </c>
      <c r="K7" s="9" t="str">
        <f t="shared" si="0"/>
        <v>Cíl: 0%</v>
      </c>
    </row>
    <row r="8" spans="2:11" x14ac:dyDescent="0.25">
      <c r="B8" s="12"/>
      <c r="C8" s="13" t="s">
        <v>20</v>
      </c>
      <c r="D8" s="13" t="s">
        <v>21</v>
      </c>
      <c r="E8" s="13" t="s">
        <v>22</v>
      </c>
      <c r="F8" s="13" t="s">
        <v>23</v>
      </c>
      <c r="G8" s="13" t="s">
        <v>24</v>
      </c>
      <c r="H8" s="13" t="s">
        <v>25</v>
      </c>
      <c r="I8" s="13" t="s">
        <v>26</v>
      </c>
      <c r="J8" s="13" t="s">
        <v>27</v>
      </c>
      <c r="K8" s="13" t="s">
        <v>28</v>
      </c>
    </row>
    <row r="9" spans="2:11" x14ac:dyDescent="0.25">
      <c r="B9" s="6" t="s">
        <v>11</v>
      </c>
      <c r="C9" s="6">
        <f>IFERROR(GETPIVOTDATA("Average of Cíl %",pt.inbound_ppot_lvl1!$A$7,"KPI",B9),0)</f>
        <v>0.84999999999999976</v>
      </c>
      <c r="D9" s="6">
        <f>IFERROR(GETPIVOTDATA("Average of Skutečnost %",pt.inbound_ppot_lvl1!$A$7,"KPI",B9),0)</f>
        <v>0.87083333333333346</v>
      </c>
      <c r="E9" s="6">
        <f>IF(D9&gt;C9,C9,D9)</f>
        <v>0.84999999999999976</v>
      </c>
      <c r="F9" s="6">
        <f>IF(D9&lt;C9,C9-D9,0)</f>
        <v>0</v>
      </c>
      <c r="G9" s="6">
        <v>0.02</v>
      </c>
      <c r="H9" s="6">
        <f>IF(D9&gt;C9,D9-C9,0)</f>
        <v>2.0833333333333703E-2</v>
      </c>
      <c r="I9" s="14">
        <f>1-SUM(E9,F9,G9,H9)</f>
        <v>0.10916666666666652</v>
      </c>
      <c r="J9" s="9">
        <f>ROUNDDOWN(D9,2)</f>
        <v>0.87</v>
      </c>
      <c r="K9" s="6" t="str">
        <f>CONCATENATE("Cíl: ",ROUNDDOWN(C9*100,0),"%")</f>
        <v>Cíl: 85%</v>
      </c>
    </row>
    <row r="10" spans="2:11" x14ac:dyDescent="0.25">
      <c r="B10" s="18" t="s">
        <v>78</v>
      </c>
      <c r="C10" s="6">
        <f>IFERROR(GETPIVOTDATA("Average of Cíl %",pt.inbound_ppot_lvl1!$A$7,"KPI",B10),0)</f>
        <v>0.79999999999999893</v>
      </c>
      <c r="D10" s="6">
        <f>IFERROR(GETPIVOTDATA("Average of Skutečnost %",pt.inbound_ppot_lvl1!$A$7,"KPI",B10),0)</f>
        <v>0.91734844671248161</v>
      </c>
      <c r="E10" s="6">
        <f>IF(D10&gt;C10,C10,D10)</f>
        <v>0.79999999999999893</v>
      </c>
      <c r="F10" s="6">
        <f>IF(D10&lt;C10,C10-D10,0)</f>
        <v>0</v>
      </c>
      <c r="G10" s="6">
        <v>0.02</v>
      </c>
      <c r="H10" s="6">
        <f>IF(D10&gt;C10,D10-C10,0)</f>
        <v>0.11734844671248268</v>
      </c>
      <c r="I10" s="14">
        <f>1-SUM(E10,F10,G10,H10)</f>
        <v>6.2651553287518369E-2</v>
      </c>
      <c r="J10" s="9">
        <f>ROUNDDOWN(D10,2)</f>
        <v>0.91</v>
      </c>
      <c r="K10" s="6" t="str">
        <f>CONCATENATE("Cíl: ",ROUNDDOWN(C10*100,0),"%")</f>
        <v>Cíl: 79%</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9"/>
  <dimension ref="A1:N37"/>
  <sheetViews>
    <sheetView workbookViewId="0">
      <selection activeCell="K25" sqref="K25"/>
    </sheetView>
  </sheetViews>
  <sheetFormatPr defaultRowHeight="15" x14ac:dyDescent="0.25"/>
  <cols>
    <col min="10" max="10" width="13.140625" bestFit="1" customWidth="1"/>
    <col min="11" max="11" width="9.5703125" bestFit="1" customWidth="1"/>
    <col min="12" max="12" width="19.42578125" bestFit="1" customWidth="1"/>
    <col min="13" max="13" width="13.28515625" bestFit="1" customWidth="1"/>
    <col min="14" max="14" width="15.85546875" bestFit="1" customWidth="1"/>
  </cols>
  <sheetData>
    <row r="1" spans="1:13" x14ac:dyDescent="0.25">
      <c r="A1" t="s">
        <v>62</v>
      </c>
      <c r="B1" t="s">
        <v>63</v>
      </c>
      <c r="C1" t="s">
        <v>64</v>
      </c>
      <c r="D1" t="s">
        <v>65</v>
      </c>
      <c r="E1" t="s">
        <v>59</v>
      </c>
      <c r="F1" t="s">
        <v>50</v>
      </c>
      <c r="G1" t="s">
        <v>43</v>
      </c>
      <c r="I1" t="s">
        <v>0</v>
      </c>
      <c r="J1" t="s">
        <v>37</v>
      </c>
      <c r="K1" t="s">
        <v>66</v>
      </c>
      <c r="L1" t="s">
        <v>3</v>
      </c>
      <c r="M1" t="s">
        <v>67</v>
      </c>
    </row>
    <row r="2" spans="1:13" x14ac:dyDescent="0.25">
      <c r="A2" s="17">
        <v>0.29166666666666669</v>
      </c>
      <c r="B2" s="15">
        <v>30</v>
      </c>
      <c r="C2" s="15">
        <v>30</v>
      </c>
      <c r="D2" s="15">
        <v>30</v>
      </c>
      <c r="E2" s="2">
        <v>0.88</v>
      </c>
      <c r="F2" s="2">
        <v>0.9</v>
      </c>
      <c r="G2" s="2">
        <v>0.91</v>
      </c>
      <c r="I2" s="1">
        <v>42961</v>
      </c>
      <c r="J2" s="11">
        <v>7</v>
      </c>
      <c r="K2" s="2">
        <v>0.9</v>
      </c>
      <c r="L2" s="2">
        <v>0.88</v>
      </c>
      <c r="M2" s="2">
        <v>0.9</v>
      </c>
    </row>
    <row r="3" spans="1:13" x14ac:dyDescent="0.25">
      <c r="A3" s="17">
        <v>0.33333333333333298</v>
      </c>
      <c r="B3" s="15">
        <v>20</v>
      </c>
      <c r="C3" s="15">
        <v>20</v>
      </c>
      <c r="D3" s="15">
        <v>20</v>
      </c>
      <c r="E3" s="2">
        <v>0.88</v>
      </c>
      <c r="F3" s="2">
        <v>0.9</v>
      </c>
      <c r="G3" s="2">
        <v>0.85</v>
      </c>
      <c r="I3" s="1">
        <v>42961</v>
      </c>
      <c r="J3" s="11">
        <v>8</v>
      </c>
      <c r="K3" s="2">
        <v>0.9</v>
      </c>
      <c r="L3" s="2">
        <v>0.88</v>
      </c>
      <c r="M3" s="2">
        <v>0.9</v>
      </c>
    </row>
    <row r="4" spans="1:13" x14ac:dyDescent="0.25">
      <c r="A4" s="17">
        <v>0.375</v>
      </c>
      <c r="B4" s="15">
        <v>27</v>
      </c>
      <c r="C4" s="15">
        <v>27</v>
      </c>
      <c r="D4" s="15">
        <v>27</v>
      </c>
      <c r="E4" s="2">
        <v>0.88</v>
      </c>
      <c r="F4" s="2">
        <v>0.92</v>
      </c>
      <c r="G4" s="2">
        <v>0.96</v>
      </c>
      <c r="I4" s="1">
        <v>42961</v>
      </c>
      <c r="J4" s="11">
        <v>9</v>
      </c>
      <c r="K4" s="2">
        <v>0.91</v>
      </c>
      <c r="L4" s="2">
        <v>0.88</v>
      </c>
      <c r="M4" s="2">
        <v>0.92</v>
      </c>
    </row>
    <row r="5" spans="1:13" x14ac:dyDescent="0.25">
      <c r="A5" s="17">
        <v>0.41666666666666702</v>
      </c>
      <c r="B5" s="15">
        <v>52</v>
      </c>
      <c r="C5" s="15">
        <v>52</v>
      </c>
      <c r="D5" s="15">
        <v>52</v>
      </c>
      <c r="E5" s="2">
        <v>0.88</v>
      </c>
      <c r="F5" s="2">
        <v>0.89</v>
      </c>
      <c r="G5" s="2">
        <v>1</v>
      </c>
      <c r="I5" s="1">
        <v>42961</v>
      </c>
      <c r="J5" s="11">
        <v>10</v>
      </c>
      <c r="K5" s="2">
        <v>0.88</v>
      </c>
      <c r="L5" s="2">
        <v>0.88</v>
      </c>
      <c r="M5" s="2">
        <v>0.89</v>
      </c>
    </row>
    <row r="6" spans="1:13" x14ac:dyDescent="0.25">
      <c r="A6" s="17">
        <v>0.45833333333333298</v>
      </c>
      <c r="B6" s="15">
        <v>34</v>
      </c>
      <c r="C6" s="15">
        <v>34</v>
      </c>
      <c r="D6" s="15">
        <v>34</v>
      </c>
      <c r="E6" s="2">
        <v>0.88</v>
      </c>
      <c r="F6" s="2">
        <v>0.67</v>
      </c>
      <c r="G6" s="2">
        <v>0.59</v>
      </c>
      <c r="I6" s="1">
        <v>42961</v>
      </c>
      <c r="J6" s="11">
        <v>11</v>
      </c>
      <c r="K6" s="2">
        <v>0.5</v>
      </c>
      <c r="L6" s="2">
        <v>0.88</v>
      </c>
      <c r="M6" s="2">
        <v>0.25</v>
      </c>
    </row>
    <row r="7" spans="1:13" x14ac:dyDescent="0.25">
      <c r="A7" s="17">
        <v>0.5</v>
      </c>
      <c r="B7" s="15">
        <v>46</v>
      </c>
      <c r="C7" s="15">
        <v>46</v>
      </c>
      <c r="D7" s="15">
        <v>46</v>
      </c>
      <c r="E7" s="2">
        <v>0.88</v>
      </c>
      <c r="F7" s="2">
        <v>0.72</v>
      </c>
      <c r="G7" s="2">
        <v>0.83</v>
      </c>
      <c r="I7" s="1">
        <v>42961</v>
      </c>
      <c r="J7" s="11">
        <v>12</v>
      </c>
      <c r="K7" s="2">
        <v>0.7</v>
      </c>
      <c r="L7" s="2">
        <v>0.88</v>
      </c>
      <c r="M7" s="2">
        <v>0.81</v>
      </c>
    </row>
    <row r="8" spans="1:13" x14ac:dyDescent="0.25">
      <c r="I8" s="1">
        <v>42961</v>
      </c>
      <c r="J8" s="11">
        <v>13</v>
      </c>
      <c r="K8" s="2">
        <v>0.9</v>
      </c>
      <c r="L8" s="2">
        <v>0.88</v>
      </c>
      <c r="M8" s="2">
        <v>1</v>
      </c>
    </row>
    <row r="9" spans="1:13" x14ac:dyDescent="0.25">
      <c r="A9" t="s">
        <v>62</v>
      </c>
      <c r="B9" t="s">
        <v>68</v>
      </c>
      <c r="C9" t="s">
        <v>69</v>
      </c>
      <c r="D9" t="s">
        <v>46</v>
      </c>
      <c r="E9" t="s">
        <v>47</v>
      </c>
      <c r="I9" s="1">
        <v>42961</v>
      </c>
      <c r="J9" s="11">
        <v>14</v>
      </c>
      <c r="K9" s="2">
        <v>0.92</v>
      </c>
      <c r="L9" s="2">
        <v>0.88</v>
      </c>
      <c r="M9" s="2">
        <v>1.1100000000000001</v>
      </c>
    </row>
    <row r="10" spans="1:13" x14ac:dyDescent="0.25">
      <c r="A10" s="17">
        <v>0.29166666666666669</v>
      </c>
      <c r="B10" s="15">
        <v>30</v>
      </c>
      <c r="C10" s="15">
        <v>30</v>
      </c>
      <c r="D10" s="2">
        <v>0.95</v>
      </c>
      <c r="E10" s="2">
        <v>0.9</v>
      </c>
      <c r="I10" s="1">
        <v>42961</v>
      </c>
      <c r="J10" s="11">
        <v>15</v>
      </c>
      <c r="K10" s="2">
        <v>0.89</v>
      </c>
      <c r="L10" s="2">
        <v>0.88</v>
      </c>
      <c r="M10" s="2">
        <v>0.9</v>
      </c>
    </row>
    <row r="11" spans="1:13" x14ac:dyDescent="0.25">
      <c r="A11" s="17">
        <v>0.33333333333333298</v>
      </c>
      <c r="B11" s="15">
        <v>20</v>
      </c>
      <c r="C11" s="15">
        <v>20</v>
      </c>
      <c r="D11" s="2">
        <v>0.95</v>
      </c>
      <c r="E11" s="2">
        <v>0.9</v>
      </c>
      <c r="I11" s="1">
        <v>42961</v>
      </c>
      <c r="J11" s="11">
        <v>16</v>
      </c>
      <c r="K11" s="2">
        <v>0.9</v>
      </c>
      <c r="L11" s="2">
        <v>0.88</v>
      </c>
      <c r="M11" s="2">
        <v>0.93</v>
      </c>
    </row>
    <row r="12" spans="1:13" x14ac:dyDescent="0.25">
      <c r="A12" s="17">
        <v>0.375</v>
      </c>
      <c r="B12" s="15">
        <v>27</v>
      </c>
      <c r="C12" s="15">
        <v>27</v>
      </c>
      <c r="D12" s="2">
        <v>0.95</v>
      </c>
      <c r="E12" s="2">
        <v>0.92</v>
      </c>
      <c r="I12" s="1">
        <v>42961</v>
      </c>
      <c r="J12" s="11">
        <v>17</v>
      </c>
      <c r="K12" s="2">
        <v>0.91</v>
      </c>
      <c r="L12" s="2">
        <v>0.88</v>
      </c>
      <c r="M12" s="2">
        <v>0.92</v>
      </c>
    </row>
    <row r="13" spans="1:13" x14ac:dyDescent="0.25">
      <c r="A13" s="17">
        <v>0.41666666666666702</v>
      </c>
      <c r="B13" s="15">
        <v>52</v>
      </c>
      <c r="C13" s="15">
        <v>52</v>
      </c>
      <c r="D13" s="2">
        <v>0.95</v>
      </c>
      <c r="E13" s="2">
        <v>0.89</v>
      </c>
      <c r="I13" s="1">
        <v>42961</v>
      </c>
      <c r="J13" s="11">
        <v>18</v>
      </c>
      <c r="K13" s="2">
        <v>0.91</v>
      </c>
      <c r="L13" s="2">
        <v>0.88</v>
      </c>
      <c r="M13" s="2">
        <v>0.92</v>
      </c>
    </row>
    <row r="14" spans="1:13" x14ac:dyDescent="0.25">
      <c r="A14" s="17">
        <v>0.45833333333333298</v>
      </c>
      <c r="B14" s="15">
        <v>34</v>
      </c>
      <c r="C14" s="15">
        <v>34</v>
      </c>
      <c r="D14" s="2">
        <v>0.95</v>
      </c>
      <c r="E14" s="2">
        <v>0.67</v>
      </c>
      <c r="I14" s="1">
        <v>42961</v>
      </c>
      <c r="J14" s="11">
        <v>19</v>
      </c>
      <c r="K14" s="2">
        <v>0.95</v>
      </c>
      <c r="L14" s="2">
        <v>0.88</v>
      </c>
      <c r="M14" s="2">
        <v>0.89</v>
      </c>
    </row>
    <row r="15" spans="1:13" x14ac:dyDescent="0.25">
      <c r="A15" s="17">
        <v>0.5</v>
      </c>
      <c r="B15" s="15">
        <v>46</v>
      </c>
      <c r="C15" s="15">
        <v>46</v>
      </c>
      <c r="D15" s="2">
        <v>0.95</v>
      </c>
      <c r="E15" s="2">
        <v>0.72</v>
      </c>
    </row>
    <row r="16" spans="1:13" x14ac:dyDescent="0.25">
      <c r="A16" s="17">
        <v>0.54166666666666696</v>
      </c>
      <c r="B16" s="15">
        <v>29</v>
      </c>
      <c r="C16" s="15">
        <v>29</v>
      </c>
      <c r="D16" s="2">
        <v>0.95</v>
      </c>
      <c r="E16" s="2">
        <v>0.9</v>
      </c>
    </row>
    <row r="17" spans="1:14" x14ac:dyDescent="0.25">
      <c r="A17" s="17">
        <v>0.58333333333333304</v>
      </c>
      <c r="B17" s="15">
        <v>10</v>
      </c>
      <c r="C17" s="15">
        <v>10</v>
      </c>
      <c r="D17" s="2">
        <v>0.95</v>
      </c>
      <c r="E17" s="2">
        <v>1.05</v>
      </c>
    </row>
    <row r="18" spans="1:14" x14ac:dyDescent="0.25">
      <c r="A18" s="17">
        <v>0.625</v>
      </c>
      <c r="B18" s="15">
        <v>65</v>
      </c>
      <c r="C18" s="15">
        <v>65</v>
      </c>
      <c r="D18" s="2">
        <v>0.95</v>
      </c>
      <c r="E18" s="2">
        <v>0.9</v>
      </c>
      <c r="J18" s="3" t="s">
        <v>0</v>
      </c>
      <c r="K18" s="3" t="s">
        <v>37</v>
      </c>
      <c r="L18" t="s">
        <v>75</v>
      </c>
      <c r="M18" t="s">
        <v>76</v>
      </c>
      <c r="N18" t="s">
        <v>77</v>
      </c>
    </row>
    <row r="19" spans="1:14" x14ac:dyDescent="0.25">
      <c r="A19" s="17">
        <v>0.66666666666666696</v>
      </c>
      <c r="B19" s="15">
        <v>38</v>
      </c>
      <c r="C19" s="15">
        <v>38</v>
      </c>
      <c r="D19" s="2">
        <v>0.95</v>
      </c>
      <c r="E19" s="2">
        <v>0.93</v>
      </c>
      <c r="J19" s="1">
        <v>42961</v>
      </c>
      <c r="K19">
        <v>7</v>
      </c>
      <c r="L19" s="11">
        <v>0.9</v>
      </c>
      <c r="M19" s="11">
        <v>0.88</v>
      </c>
      <c r="N19" s="11">
        <v>0.9</v>
      </c>
    </row>
    <row r="20" spans="1:14" x14ac:dyDescent="0.25">
      <c r="A20" s="17">
        <v>0.70833333333333304</v>
      </c>
      <c r="B20" s="15">
        <v>46</v>
      </c>
      <c r="C20" s="15">
        <v>46</v>
      </c>
      <c r="D20" s="2">
        <v>0.95</v>
      </c>
      <c r="E20" s="2">
        <v>0.92</v>
      </c>
      <c r="K20">
        <v>8</v>
      </c>
      <c r="L20" s="11">
        <v>0.9</v>
      </c>
      <c r="M20" s="11">
        <v>0.88</v>
      </c>
      <c r="N20" s="11">
        <v>0.9</v>
      </c>
    </row>
    <row r="21" spans="1:14" x14ac:dyDescent="0.25">
      <c r="A21" s="17">
        <v>0.75</v>
      </c>
      <c r="B21" s="15">
        <v>23</v>
      </c>
      <c r="C21" s="15">
        <v>23</v>
      </c>
      <c r="D21" s="2">
        <v>0.95</v>
      </c>
      <c r="E21" s="2">
        <v>0.92</v>
      </c>
      <c r="K21">
        <v>9</v>
      </c>
      <c r="L21" s="11">
        <v>0.91</v>
      </c>
      <c r="M21" s="11">
        <v>0.88</v>
      </c>
      <c r="N21" s="11">
        <v>0.92</v>
      </c>
    </row>
    <row r="22" spans="1:14" x14ac:dyDescent="0.25">
      <c r="A22" s="17">
        <v>0.79166666666666696</v>
      </c>
      <c r="B22" s="15">
        <v>42</v>
      </c>
      <c r="C22" s="15">
        <v>42</v>
      </c>
      <c r="D22" s="2">
        <v>0.95</v>
      </c>
      <c r="E22" s="2">
        <v>0.89</v>
      </c>
      <c r="K22">
        <v>10</v>
      </c>
      <c r="L22" s="11">
        <v>0.88</v>
      </c>
      <c r="M22" s="11">
        <v>0.88</v>
      </c>
      <c r="N22" s="11">
        <v>0.89</v>
      </c>
    </row>
    <row r="23" spans="1:14" x14ac:dyDescent="0.25">
      <c r="K23">
        <v>11</v>
      </c>
      <c r="L23" s="11">
        <v>0.5</v>
      </c>
      <c r="M23" s="11">
        <v>0.88</v>
      </c>
      <c r="N23" s="11">
        <v>0.25</v>
      </c>
    </row>
    <row r="24" spans="1:14" x14ac:dyDescent="0.25">
      <c r="A24" t="s">
        <v>37</v>
      </c>
      <c r="B24" t="s">
        <v>71</v>
      </c>
      <c r="C24" t="s">
        <v>70</v>
      </c>
      <c r="K24">
        <v>12</v>
      </c>
      <c r="L24" s="11">
        <v>0.7</v>
      </c>
      <c r="M24" s="11">
        <v>0.88</v>
      </c>
      <c r="N24" s="11">
        <v>0.81</v>
      </c>
    </row>
    <row r="25" spans="1:14" x14ac:dyDescent="0.25">
      <c r="A25" s="17">
        <v>0.29166666666666669</v>
      </c>
      <c r="B25" s="15">
        <v>30</v>
      </c>
      <c r="C25" s="15">
        <v>30</v>
      </c>
      <c r="K25">
        <v>13</v>
      </c>
      <c r="L25" s="11">
        <v>0.9</v>
      </c>
      <c r="M25" s="11">
        <v>0.88</v>
      </c>
      <c r="N25" s="11">
        <v>1</v>
      </c>
    </row>
    <row r="26" spans="1:14" x14ac:dyDescent="0.25">
      <c r="A26" s="17">
        <v>0.33333333333333298</v>
      </c>
      <c r="B26" s="15">
        <v>20</v>
      </c>
      <c r="C26" s="15">
        <v>20</v>
      </c>
      <c r="K26">
        <v>14</v>
      </c>
      <c r="L26" s="11">
        <v>0.92</v>
      </c>
      <c r="M26" s="11">
        <v>0.88</v>
      </c>
      <c r="N26" s="11">
        <v>1.1100000000000001</v>
      </c>
    </row>
    <row r="27" spans="1:14" x14ac:dyDescent="0.25">
      <c r="A27" s="17">
        <v>0.375</v>
      </c>
      <c r="B27" s="15">
        <v>27</v>
      </c>
      <c r="C27" s="15">
        <v>27</v>
      </c>
      <c r="K27">
        <v>15</v>
      </c>
      <c r="L27" s="11">
        <v>0.89</v>
      </c>
      <c r="M27" s="11">
        <v>0.88</v>
      </c>
      <c r="N27" s="11">
        <v>0.9</v>
      </c>
    </row>
    <row r="28" spans="1:14" x14ac:dyDescent="0.25">
      <c r="A28" s="17">
        <v>0.41666666666666702</v>
      </c>
      <c r="B28" s="15">
        <v>52</v>
      </c>
      <c r="C28" s="15">
        <v>52</v>
      </c>
      <c r="K28">
        <v>16</v>
      </c>
      <c r="L28" s="11">
        <v>0.9</v>
      </c>
      <c r="M28" s="11">
        <v>0.88</v>
      </c>
      <c r="N28" s="11">
        <v>0.93</v>
      </c>
    </row>
    <row r="29" spans="1:14" x14ac:dyDescent="0.25">
      <c r="A29" s="17">
        <v>0.45833333333333298</v>
      </c>
      <c r="B29" s="15">
        <v>34</v>
      </c>
      <c r="C29" s="15">
        <v>34</v>
      </c>
      <c r="K29">
        <v>17</v>
      </c>
      <c r="L29" s="11">
        <v>0.91</v>
      </c>
      <c r="M29" s="11">
        <v>0.88</v>
      </c>
      <c r="N29" s="11">
        <v>0.92</v>
      </c>
    </row>
    <row r="30" spans="1:14" x14ac:dyDescent="0.25">
      <c r="A30" s="17">
        <v>0.5</v>
      </c>
      <c r="B30" s="15">
        <v>46</v>
      </c>
      <c r="C30" s="15">
        <v>46</v>
      </c>
      <c r="K30">
        <v>18</v>
      </c>
      <c r="L30" s="11">
        <v>0.91</v>
      </c>
      <c r="M30" s="11">
        <v>0.88</v>
      </c>
      <c r="N30" s="11">
        <v>0.92</v>
      </c>
    </row>
    <row r="31" spans="1:14" x14ac:dyDescent="0.25">
      <c r="A31" s="17">
        <v>0.54166666666666696</v>
      </c>
      <c r="B31" s="15">
        <v>29</v>
      </c>
      <c r="C31" s="15">
        <v>29</v>
      </c>
      <c r="K31">
        <v>19</v>
      </c>
      <c r="L31" s="11">
        <v>0.95</v>
      </c>
      <c r="M31" s="11">
        <v>0.88</v>
      </c>
      <c r="N31" s="11">
        <v>0.89</v>
      </c>
    </row>
    <row r="32" spans="1:14" x14ac:dyDescent="0.25">
      <c r="A32" s="17">
        <v>0.58333333333333304</v>
      </c>
      <c r="B32" s="15">
        <v>10</v>
      </c>
      <c r="C32" s="15">
        <v>10</v>
      </c>
      <c r="J32" s="1" t="s">
        <v>18</v>
      </c>
      <c r="L32" s="11">
        <v>11.17</v>
      </c>
      <c r="M32" s="11">
        <v>11.440000000000003</v>
      </c>
      <c r="N32" s="11">
        <v>11.340000000000002</v>
      </c>
    </row>
    <row r="33" spans="1:14" x14ac:dyDescent="0.25">
      <c r="A33" s="17">
        <v>0.625</v>
      </c>
      <c r="B33" s="15">
        <v>65</v>
      </c>
      <c r="C33" s="15">
        <v>65</v>
      </c>
    </row>
    <row r="34" spans="1:14" x14ac:dyDescent="0.25">
      <c r="A34" s="17">
        <v>0.66666666666666696</v>
      </c>
      <c r="B34" s="15">
        <v>38</v>
      </c>
      <c r="C34" s="15">
        <v>38</v>
      </c>
      <c r="M34" s="11"/>
      <c r="N34" s="11"/>
    </row>
    <row r="35" spans="1:14" x14ac:dyDescent="0.25">
      <c r="A35" s="17">
        <v>0.70833333333333304</v>
      </c>
      <c r="B35" s="15">
        <v>46</v>
      </c>
      <c r="C35" s="15">
        <v>46</v>
      </c>
      <c r="M35" s="11"/>
      <c r="N35" s="11"/>
    </row>
    <row r="36" spans="1:14" x14ac:dyDescent="0.25">
      <c r="A36" s="17">
        <v>0.75</v>
      </c>
      <c r="B36" s="15">
        <v>23</v>
      </c>
      <c r="C36" s="15">
        <v>23</v>
      </c>
      <c r="K36" s="17"/>
      <c r="L36" s="11"/>
      <c r="M36" s="11"/>
      <c r="N36" s="11"/>
    </row>
    <row r="37" spans="1:14" x14ac:dyDescent="0.25">
      <c r="A37" s="17">
        <v>0.79166666666666696</v>
      </c>
      <c r="B37" s="15">
        <v>42</v>
      </c>
      <c r="C37" s="15">
        <v>42</v>
      </c>
      <c r="J37" s="1"/>
      <c r="L37" s="11"/>
      <c r="M37" s="11"/>
      <c r="N37" s="1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8"/>
  <dimension ref="A1:B7"/>
  <sheetViews>
    <sheetView workbookViewId="0"/>
  </sheetViews>
  <sheetFormatPr defaultRowHeight="15" x14ac:dyDescent="0.25"/>
  <cols>
    <col min="1" max="1" width="18.28515625" bestFit="1" customWidth="1"/>
    <col min="2" max="2" width="17.85546875" bestFit="1" customWidth="1"/>
    <col min="3" max="3" width="28" bestFit="1" customWidth="1"/>
    <col min="4" max="4" width="25.7109375" bestFit="1" customWidth="1"/>
    <col min="5" max="5" width="11.28515625" bestFit="1" customWidth="1"/>
    <col min="6" max="6" width="7" bestFit="1" customWidth="1"/>
    <col min="7" max="7" width="9.140625" bestFit="1" customWidth="1"/>
    <col min="8" max="8" width="9.7109375" bestFit="1" customWidth="1"/>
    <col min="9" max="9" width="9.85546875" bestFit="1" customWidth="1"/>
    <col min="10" max="10" width="11.28515625" bestFit="1" customWidth="1"/>
    <col min="11" max="11" width="25.7109375" bestFit="1" customWidth="1"/>
    <col min="12" max="12" width="11.28515625" bestFit="1" customWidth="1"/>
  </cols>
  <sheetData>
    <row r="1" spans="1:2" x14ac:dyDescent="0.25">
      <c r="A1" s="3" t="s">
        <v>6</v>
      </c>
      <c r="B1" t="s">
        <v>53</v>
      </c>
    </row>
    <row r="2" spans="1:2" x14ac:dyDescent="0.25">
      <c r="A2" s="3" t="s">
        <v>4</v>
      </c>
      <c r="B2" t="s">
        <v>53</v>
      </c>
    </row>
    <row r="3" spans="1:2" x14ac:dyDescent="0.25">
      <c r="A3" s="3" t="s">
        <v>8</v>
      </c>
      <c r="B3" t="s">
        <v>12</v>
      </c>
    </row>
    <row r="5" spans="1:2" x14ac:dyDescent="0.25">
      <c r="B5" s="3" t="s">
        <v>5</v>
      </c>
    </row>
    <row r="6" spans="1:2" x14ac:dyDescent="0.25">
      <c r="B6" t="s">
        <v>18</v>
      </c>
    </row>
    <row r="7" spans="1:2" x14ac:dyDescent="0.25">
      <c r="A7" t="s">
        <v>58</v>
      </c>
      <c r="B7" s="1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H11"/>
  <sheetViews>
    <sheetView workbookViewId="0">
      <selection activeCell="B5" sqref="B5"/>
    </sheetView>
  </sheetViews>
  <sheetFormatPr defaultRowHeight="15" x14ac:dyDescent="0.25"/>
  <cols>
    <col min="1" max="1" width="13.140625" bestFit="1" customWidth="1"/>
    <col min="2" max="2" width="23.140625" bestFit="1" customWidth="1"/>
    <col min="3" max="3" width="15.42578125" bestFit="1" customWidth="1"/>
    <col min="4" max="4" width="23.140625" bestFit="1" customWidth="1"/>
    <col min="5" max="5" width="15.42578125" bestFit="1" customWidth="1"/>
    <col min="6" max="6" width="23.140625" bestFit="1" customWidth="1"/>
    <col min="7" max="7" width="15.42578125" bestFit="1" customWidth="1"/>
    <col min="8" max="8" width="28.140625" bestFit="1" customWidth="1"/>
    <col min="9" max="9" width="20.42578125" bestFit="1" customWidth="1"/>
  </cols>
  <sheetData>
    <row r="1" spans="1:8" ht="15.75" thickBot="1" x14ac:dyDescent="0.3">
      <c r="A1" s="3" t="s">
        <v>1</v>
      </c>
      <c r="B1" t="s">
        <v>55</v>
      </c>
    </row>
    <row r="2" spans="1:8" x14ac:dyDescent="0.25">
      <c r="A2" s="3" t="s">
        <v>73</v>
      </c>
      <c r="B2" t="s">
        <v>55</v>
      </c>
      <c r="E2" s="4" t="s">
        <v>13</v>
      </c>
      <c r="F2" s="5" t="s">
        <v>14</v>
      </c>
      <c r="G2" s="6" t="s">
        <v>3</v>
      </c>
      <c r="H2" s="6" t="s">
        <v>15</v>
      </c>
    </row>
    <row r="3" spans="1:8" ht="15.75" thickBot="1" x14ac:dyDescent="0.3">
      <c r="A3" s="3" t="s">
        <v>7</v>
      </c>
      <c r="B3" t="s">
        <v>10</v>
      </c>
      <c r="E3" s="7" t="e">
        <f>GETPIVOTDATA("Skutečnost %",$A$7)</f>
        <v>#REF!</v>
      </c>
      <c r="F3" s="8" t="e">
        <f>1-$E$3</f>
        <v>#REF!</v>
      </c>
      <c r="G3" s="9" t="e">
        <f>GETPIVOTDATA("Average of Cíl %",$A$7)</f>
        <v>#REF!</v>
      </c>
      <c r="H3" s="10" t="e">
        <f>1-G3</f>
        <v>#REF!</v>
      </c>
    </row>
    <row r="5" spans="1:8" x14ac:dyDescent="0.25">
      <c r="B5" s="3" t="s">
        <v>5</v>
      </c>
    </row>
    <row r="6" spans="1:8" x14ac:dyDescent="0.25">
      <c r="B6" t="s">
        <v>11</v>
      </c>
      <c r="D6" t="s">
        <v>78</v>
      </c>
    </row>
    <row r="7" spans="1:8" x14ac:dyDescent="0.25">
      <c r="A7" s="3" t="s">
        <v>79</v>
      </c>
      <c r="B7" t="s">
        <v>16</v>
      </c>
      <c r="C7" t="s">
        <v>17</v>
      </c>
      <c r="D7" t="s">
        <v>16</v>
      </c>
      <c r="E7" t="s">
        <v>17</v>
      </c>
    </row>
    <row r="8" spans="1:8" x14ac:dyDescent="0.25">
      <c r="A8" s="19">
        <v>42808</v>
      </c>
      <c r="B8" s="11">
        <v>0.85833333333333339</v>
      </c>
      <c r="C8" s="11">
        <v>0.85</v>
      </c>
      <c r="D8" s="11"/>
      <c r="E8" s="11"/>
    </row>
    <row r="9" spans="1:8" x14ac:dyDescent="0.25">
      <c r="A9" s="19">
        <v>42809</v>
      </c>
      <c r="B9" s="11">
        <v>0.88333333333333341</v>
      </c>
      <c r="C9" s="11">
        <v>0.85</v>
      </c>
      <c r="D9" s="11"/>
      <c r="E9" s="11"/>
    </row>
    <row r="10" spans="1:8" x14ac:dyDescent="0.25">
      <c r="A10" s="19">
        <v>42968</v>
      </c>
      <c r="B10" s="11"/>
      <c r="C10" s="11"/>
      <c r="D10" s="11">
        <v>0.91734844671248161</v>
      </c>
      <c r="E10" s="11">
        <v>0.79999999999999893</v>
      </c>
    </row>
    <row r="11" spans="1:8" x14ac:dyDescent="0.25">
      <c r="A11" s="20" t="s">
        <v>18</v>
      </c>
      <c r="B11" s="11">
        <v>0.87083333333333346</v>
      </c>
      <c r="C11" s="11">
        <v>0.84999999999999976</v>
      </c>
      <c r="D11" s="11">
        <v>0.91734844671248161</v>
      </c>
      <c r="E11" s="11">
        <v>0.79999999999999893</v>
      </c>
    </row>
  </sheetData>
  <dataConsolidate/>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B1:D9"/>
  <sheetViews>
    <sheetView workbookViewId="0">
      <selection activeCell="C1" sqref="C1"/>
    </sheetView>
  </sheetViews>
  <sheetFormatPr defaultRowHeight="15" x14ac:dyDescent="0.25"/>
  <cols>
    <col min="2" max="2" width="12.42578125" bestFit="1" customWidth="1"/>
    <col min="3" max="3" width="18" bestFit="1" customWidth="1"/>
    <col min="4" max="4" width="9.28515625" bestFit="1" customWidth="1"/>
    <col min="5" max="8" width="23.140625" bestFit="1" customWidth="1"/>
    <col min="9" max="9" width="28.140625" customWidth="1"/>
    <col min="10" max="10" width="20.42578125" customWidth="1"/>
  </cols>
  <sheetData>
    <row r="1" spans="2:4" x14ac:dyDescent="0.25">
      <c r="B1" s="3" t="s">
        <v>6</v>
      </c>
      <c r="C1" t="s">
        <v>81</v>
      </c>
    </row>
    <row r="2" spans="2:4" x14ac:dyDescent="0.25">
      <c r="B2" s="3" t="s">
        <v>4</v>
      </c>
      <c r="C2" t="s">
        <v>60</v>
      </c>
    </row>
    <row r="3" spans="2:4" x14ac:dyDescent="0.25">
      <c r="B3" s="3" t="s">
        <v>7</v>
      </c>
      <c r="C3" t="s">
        <v>10</v>
      </c>
    </row>
    <row r="4" spans="2:4" x14ac:dyDescent="0.25">
      <c r="B4" s="3" t="s">
        <v>73</v>
      </c>
      <c r="C4" t="s">
        <v>55</v>
      </c>
    </row>
    <row r="6" spans="2:4" x14ac:dyDescent="0.25">
      <c r="C6" s="3" t="s">
        <v>8</v>
      </c>
      <c r="D6" s="3" t="s">
        <v>74</v>
      </c>
    </row>
    <row r="8" spans="2:4" x14ac:dyDescent="0.25">
      <c r="B8" s="3" t="s">
        <v>0</v>
      </c>
    </row>
    <row r="9" spans="2:4" x14ac:dyDescent="0.25">
      <c r="B9" t="s">
        <v>18</v>
      </c>
    </row>
  </sheetData>
  <pageMargins left="0.7" right="0.7" top="0.75" bottom="0.75" header="0.3" footer="0.3"/>
  <pageSetup paperSize="9"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B1:F8"/>
  <sheetViews>
    <sheetView workbookViewId="0">
      <selection activeCell="B8" sqref="B8"/>
    </sheetView>
  </sheetViews>
  <sheetFormatPr defaultRowHeight="15" x14ac:dyDescent="0.25"/>
  <cols>
    <col min="1" max="1" width="13.140625" customWidth="1"/>
    <col min="2" max="2" width="15.85546875" bestFit="1" customWidth="1"/>
    <col min="3" max="3" width="18" bestFit="1" customWidth="1"/>
    <col min="4" max="4" width="23.140625" bestFit="1" customWidth="1"/>
    <col min="5" max="5" width="15.42578125" bestFit="1" customWidth="1"/>
    <col min="6" max="7" width="32.85546875" bestFit="1" customWidth="1"/>
  </cols>
  <sheetData>
    <row r="1" spans="2:6" x14ac:dyDescent="0.25">
      <c r="B1" s="3" t="s">
        <v>6</v>
      </c>
      <c r="C1" t="s">
        <v>81</v>
      </c>
    </row>
    <row r="2" spans="2:6" x14ac:dyDescent="0.25">
      <c r="B2" s="3" t="s">
        <v>4</v>
      </c>
      <c r="C2" t="s">
        <v>60</v>
      </c>
    </row>
    <row r="3" spans="2:6" x14ac:dyDescent="0.25">
      <c r="B3" s="3" t="s">
        <v>7</v>
      </c>
      <c r="C3" t="s">
        <v>60</v>
      </c>
    </row>
    <row r="4" spans="2:6" x14ac:dyDescent="0.25">
      <c r="B4" s="3" t="s">
        <v>8</v>
      </c>
      <c r="C4" t="s">
        <v>55</v>
      </c>
    </row>
    <row r="5" spans="2:6" x14ac:dyDescent="0.25">
      <c r="B5" s="3" t="s">
        <v>73</v>
      </c>
      <c r="C5" t="s">
        <v>55</v>
      </c>
    </row>
    <row r="7" spans="2:6" x14ac:dyDescent="0.25">
      <c r="B7" s="3" t="s">
        <v>0</v>
      </c>
      <c r="C7" s="3" t="s">
        <v>2</v>
      </c>
      <c r="D7" t="s">
        <v>16</v>
      </c>
      <c r="E7" t="s">
        <v>17</v>
      </c>
      <c r="F7" t="s">
        <v>19</v>
      </c>
    </row>
    <row r="8" spans="2:6" x14ac:dyDescent="0.25">
      <c r="B8" t="s">
        <v>18</v>
      </c>
      <c r="D8" s="11"/>
      <c r="E8" s="11"/>
      <c r="F8" s="11"/>
    </row>
  </sheetData>
  <dataConsolidate/>
  <pageMargins left="0.7" right="0.7" top="0.75" bottom="0.75" header="0.3" footer="0.3"/>
  <pageSetup paperSize="9"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B1:F8"/>
  <sheetViews>
    <sheetView workbookViewId="0">
      <selection activeCell="B4" sqref="B4"/>
    </sheetView>
  </sheetViews>
  <sheetFormatPr defaultRowHeight="15" x14ac:dyDescent="0.25"/>
  <cols>
    <col min="1" max="1" width="13.140625" customWidth="1"/>
    <col min="2" max="2" width="15.85546875" bestFit="1" customWidth="1"/>
    <col min="3" max="3" width="18" bestFit="1" customWidth="1"/>
    <col min="4" max="4" width="23.140625" bestFit="1" customWidth="1"/>
    <col min="5" max="5" width="15.42578125" bestFit="1" customWidth="1"/>
    <col min="6" max="6" width="32.85546875" bestFit="1" customWidth="1"/>
  </cols>
  <sheetData>
    <row r="1" spans="2:6" x14ac:dyDescent="0.25">
      <c r="B1" s="3" t="s">
        <v>6</v>
      </c>
      <c r="C1" t="s">
        <v>81</v>
      </c>
    </row>
    <row r="2" spans="2:6" x14ac:dyDescent="0.25">
      <c r="B2" s="3" t="s">
        <v>4</v>
      </c>
      <c r="C2" t="s">
        <v>60</v>
      </c>
    </row>
    <row r="3" spans="2:6" x14ac:dyDescent="0.25">
      <c r="B3" s="3" t="s">
        <v>7</v>
      </c>
      <c r="C3" t="s">
        <v>60</v>
      </c>
    </row>
    <row r="4" spans="2:6" x14ac:dyDescent="0.25">
      <c r="B4" s="3" t="s">
        <v>8</v>
      </c>
      <c r="C4" t="s">
        <v>55</v>
      </c>
    </row>
    <row r="5" spans="2:6" x14ac:dyDescent="0.25">
      <c r="B5" s="3" t="s">
        <v>73</v>
      </c>
      <c r="C5" t="s">
        <v>55</v>
      </c>
    </row>
    <row r="7" spans="2:6" x14ac:dyDescent="0.25">
      <c r="B7" s="3" t="s">
        <v>0</v>
      </c>
      <c r="C7" s="3" t="s">
        <v>2</v>
      </c>
      <c r="D7" t="s">
        <v>16</v>
      </c>
      <c r="E7" t="s">
        <v>17</v>
      </c>
      <c r="F7" t="s">
        <v>19</v>
      </c>
    </row>
    <row r="8" spans="2:6" x14ac:dyDescent="0.25">
      <c r="B8" t="s">
        <v>18</v>
      </c>
      <c r="D8" s="11"/>
      <c r="E8" s="11"/>
      <c r="F8" s="11"/>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0"/>
  <dimension ref="B1:F8"/>
  <sheetViews>
    <sheetView workbookViewId="0">
      <selection activeCell="C2" sqref="C2"/>
    </sheetView>
  </sheetViews>
  <sheetFormatPr defaultRowHeight="15" x14ac:dyDescent="0.25"/>
  <cols>
    <col min="1" max="1" width="13.140625" customWidth="1"/>
    <col min="2" max="2" width="15.85546875" bestFit="1" customWidth="1"/>
    <col min="3" max="3" width="18" bestFit="1" customWidth="1"/>
    <col min="4" max="4" width="23.140625" bestFit="1" customWidth="1"/>
    <col min="5" max="5" width="15.42578125" bestFit="1" customWidth="1"/>
    <col min="6" max="6" width="32.85546875" bestFit="1" customWidth="1"/>
  </cols>
  <sheetData>
    <row r="1" spans="2:6" x14ac:dyDescent="0.25">
      <c r="B1" s="3" t="s">
        <v>6</v>
      </c>
      <c r="C1" t="s">
        <v>81</v>
      </c>
    </row>
    <row r="2" spans="2:6" x14ac:dyDescent="0.25">
      <c r="B2" s="3" t="s">
        <v>4</v>
      </c>
      <c r="C2" t="s">
        <v>60</v>
      </c>
    </row>
    <row r="3" spans="2:6" x14ac:dyDescent="0.25">
      <c r="B3" s="3" t="s">
        <v>7</v>
      </c>
      <c r="C3" t="s">
        <v>60</v>
      </c>
    </row>
    <row r="4" spans="2:6" x14ac:dyDescent="0.25">
      <c r="B4" s="3" t="s">
        <v>8</v>
      </c>
      <c r="C4" t="s">
        <v>55</v>
      </c>
    </row>
    <row r="5" spans="2:6" x14ac:dyDescent="0.25">
      <c r="B5" s="3" t="s">
        <v>73</v>
      </c>
      <c r="C5" t="s">
        <v>55</v>
      </c>
    </row>
    <row r="7" spans="2:6" x14ac:dyDescent="0.25">
      <c r="B7" s="3" t="s">
        <v>0</v>
      </c>
      <c r="C7" s="3" t="s">
        <v>2</v>
      </c>
      <c r="D7" t="s">
        <v>16</v>
      </c>
      <c r="E7" t="s">
        <v>17</v>
      </c>
      <c r="F7" t="s">
        <v>19</v>
      </c>
    </row>
    <row r="8" spans="2:6" x14ac:dyDescent="0.25">
      <c r="B8" t="s">
        <v>18</v>
      </c>
      <c r="D8" s="11"/>
      <c r="E8" s="11"/>
      <c r="F8"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1"/>
  <dimension ref="B1:F8"/>
  <sheetViews>
    <sheetView workbookViewId="0">
      <selection activeCell="D8" sqref="D8"/>
    </sheetView>
  </sheetViews>
  <sheetFormatPr defaultRowHeight="15" x14ac:dyDescent="0.25"/>
  <cols>
    <col min="1" max="1" width="13.140625" customWidth="1"/>
    <col min="2" max="2" width="15.85546875" bestFit="1" customWidth="1"/>
    <col min="3" max="3" width="18" bestFit="1" customWidth="1"/>
    <col min="4" max="4" width="23.140625" bestFit="1" customWidth="1"/>
    <col min="5" max="5" width="15.42578125" bestFit="1" customWidth="1"/>
    <col min="6" max="6" width="32.85546875" bestFit="1" customWidth="1"/>
    <col min="7" max="10" width="5" bestFit="1" customWidth="1"/>
    <col min="11" max="11" width="4" bestFit="1" customWidth="1"/>
    <col min="12" max="14" width="5" bestFit="1" customWidth="1"/>
    <col min="15" max="15" width="2" bestFit="1" customWidth="1"/>
    <col min="16" max="16" width="7.28515625" bestFit="1" customWidth="1"/>
    <col min="17" max="17" width="11.28515625" bestFit="1" customWidth="1"/>
  </cols>
  <sheetData>
    <row r="1" spans="2:6" x14ac:dyDescent="0.25">
      <c r="B1" s="3" t="s">
        <v>6</v>
      </c>
      <c r="C1" t="s">
        <v>81</v>
      </c>
    </row>
    <row r="2" spans="2:6" x14ac:dyDescent="0.25">
      <c r="B2" s="3" t="s">
        <v>4</v>
      </c>
      <c r="C2" t="s">
        <v>78</v>
      </c>
    </row>
    <row r="3" spans="2:6" x14ac:dyDescent="0.25">
      <c r="B3" s="3" t="s">
        <v>7</v>
      </c>
      <c r="C3" t="s">
        <v>60</v>
      </c>
    </row>
    <row r="4" spans="2:6" x14ac:dyDescent="0.25">
      <c r="B4" s="3" t="s">
        <v>8</v>
      </c>
      <c r="C4" t="s">
        <v>55</v>
      </c>
    </row>
    <row r="5" spans="2:6" x14ac:dyDescent="0.25">
      <c r="B5" s="3" t="s">
        <v>73</v>
      </c>
      <c r="C5" t="s">
        <v>55</v>
      </c>
    </row>
    <row r="7" spans="2:6" x14ac:dyDescent="0.25">
      <c r="B7" s="3" t="s">
        <v>0</v>
      </c>
      <c r="C7" s="3" t="s">
        <v>2</v>
      </c>
      <c r="D7" t="s">
        <v>16</v>
      </c>
      <c r="E7" t="s">
        <v>17</v>
      </c>
      <c r="F7" t="s">
        <v>19</v>
      </c>
    </row>
    <row r="8" spans="2:6" x14ac:dyDescent="0.25">
      <c r="B8" t="s">
        <v>18</v>
      </c>
      <c r="D8" s="11"/>
      <c r="E8" s="11"/>
      <c r="F8" s="1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2"/>
  <dimension ref="B1:F10"/>
  <sheetViews>
    <sheetView workbookViewId="0">
      <selection activeCell="B28" sqref="B28"/>
    </sheetView>
  </sheetViews>
  <sheetFormatPr defaultRowHeight="15" x14ac:dyDescent="0.25"/>
  <cols>
    <col min="1" max="1" width="13.140625" customWidth="1"/>
    <col min="2" max="2" width="15.85546875" bestFit="1" customWidth="1"/>
    <col min="3" max="3" width="11.42578125" bestFit="1" customWidth="1"/>
    <col min="4" max="4" width="23.140625" bestFit="1" customWidth="1"/>
    <col min="5" max="5" width="15.42578125" bestFit="1" customWidth="1"/>
    <col min="6" max="6" width="32.85546875" bestFit="1" customWidth="1"/>
  </cols>
  <sheetData>
    <row r="1" spans="2:6" x14ac:dyDescent="0.25">
      <c r="B1" s="3" t="s">
        <v>6</v>
      </c>
      <c r="C1" t="s">
        <v>9</v>
      </c>
    </row>
    <row r="2" spans="2:6" x14ac:dyDescent="0.25">
      <c r="B2" s="3" t="s">
        <v>4</v>
      </c>
      <c r="C2" t="s">
        <v>11</v>
      </c>
    </row>
    <row r="3" spans="2:6" x14ac:dyDescent="0.25">
      <c r="B3" s="3" t="s">
        <v>7</v>
      </c>
      <c r="C3" t="s">
        <v>56</v>
      </c>
    </row>
    <row r="4" spans="2:6" x14ac:dyDescent="0.25">
      <c r="B4" s="3" t="s">
        <v>8</v>
      </c>
      <c r="C4" t="s">
        <v>55</v>
      </c>
    </row>
    <row r="5" spans="2:6" x14ac:dyDescent="0.25">
      <c r="B5" s="3" t="s">
        <v>73</v>
      </c>
      <c r="C5" t="s">
        <v>55</v>
      </c>
    </row>
    <row r="7" spans="2:6" x14ac:dyDescent="0.25">
      <c r="B7" s="3" t="s">
        <v>0</v>
      </c>
      <c r="C7" s="3" t="s">
        <v>2</v>
      </c>
      <c r="D7" t="s">
        <v>16</v>
      </c>
      <c r="E7" t="s">
        <v>17</v>
      </c>
      <c r="F7" t="s">
        <v>19</v>
      </c>
    </row>
    <row r="8" spans="2:6" x14ac:dyDescent="0.25">
      <c r="B8" s="1">
        <v>42808</v>
      </c>
      <c r="C8">
        <v>8</v>
      </c>
      <c r="D8" s="11">
        <v>0.96666666666666667</v>
      </c>
      <c r="E8" s="11">
        <v>0.85</v>
      </c>
      <c r="F8" s="11">
        <v>0.9</v>
      </c>
    </row>
    <row r="9" spans="2:6" x14ac:dyDescent="0.25">
      <c r="C9">
        <v>13</v>
      </c>
      <c r="D9" s="11">
        <v>0.96666666666666667</v>
      </c>
      <c r="E9" s="11">
        <v>0.85</v>
      </c>
      <c r="F9" s="11">
        <v>0.9</v>
      </c>
    </row>
    <row r="10" spans="2:6" x14ac:dyDescent="0.25">
      <c r="B10" t="s">
        <v>18</v>
      </c>
      <c r="D10" s="11">
        <v>0.96666666666666667</v>
      </c>
      <c r="E10" s="11">
        <v>0.85</v>
      </c>
      <c r="F10" s="11">
        <v>0.9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3"/>
  <dimension ref="B1:F25"/>
  <sheetViews>
    <sheetView workbookViewId="0">
      <selection activeCell="B13" sqref="B13"/>
    </sheetView>
  </sheetViews>
  <sheetFormatPr defaultRowHeight="15" x14ac:dyDescent="0.25"/>
  <cols>
    <col min="1" max="1" width="13.140625" customWidth="1"/>
    <col min="2" max="2" width="15.85546875" bestFit="1" customWidth="1"/>
    <col min="3" max="3" width="13.7109375" bestFit="1" customWidth="1"/>
    <col min="4" max="4" width="23.140625" bestFit="1" customWidth="1"/>
    <col min="5" max="5" width="15.42578125" bestFit="1" customWidth="1"/>
    <col min="6" max="6" width="32.85546875" bestFit="1" customWidth="1"/>
  </cols>
  <sheetData>
    <row r="1" spans="2:6" x14ac:dyDescent="0.25">
      <c r="B1" s="3" t="s">
        <v>6</v>
      </c>
      <c r="C1" t="s">
        <v>9</v>
      </c>
    </row>
    <row r="2" spans="2:6" x14ac:dyDescent="0.25">
      <c r="B2" s="3" t="s">
        <v>4</v>
      </c>
      <c r="C2" t="s">
        <v>11</v>
      </c>
    </row>
    <row r="3" spans="2:6" x14ac:dyDescent="0.25">
      <c r="B3" s="3" t="s">
        <v>7</v>
      </c>
      <c r="C3" t="s">
        <v>57</v>
      </c>
    </row>
    <row r="4" spans="2:6" x14ac:dyDescent="0.25">
      <c r="B4" s="3" t="s">
        <v>8</v>
      </c>
      <c r="C4" t="s">
        <v>55</v>
      </c>
    </row>
    <row r="5" spans="2:6" x14ac:dyDescent="0.25">
      <c r="B5" s="3" t="s">
        <v>73</v>
      </c>
      <c r="C5" t="s">
        <v>55</v>
      </c>
    </row>
    <row r="7" spans="2:6" x14ac:dyDescent="0.25">
      <c r="B7" s="3" t="s">
        <v>0</v>
      </c>
      <c r="C7" s="3" t="s">
        <v>2</v>
      </c>
      <c r="D7" t="s">
        <v>16</v>
      </c>
      <c r="E7" t="s">
        <v>17</v>
      </c>
      <c r="F7" t="s">
        <v>19</v>
      </c>
    </row>
    <row r="8" spans="2:6" x14ac:dyDescent="0.25">
      <c r="B8" s="1">
        <v>42808</v>
      </c>
      <c r="C8">
        <v>7</v>
      </c>
      <c r="D8" s="11">
        <v>0.96666666666666667</v>
      </c>
      <c r="E8" s="11">
        <v>0.85</v>
      </c>
      <c r="F8" s="11">
        <v>0.9</v>
      </c>
    </row>
    <row r="9" spans="2:6" x14ac:dyDescent="0.25">
      <c r="C9">
        <v>8</v>
      </c>
      <c r="D9" s="11">
        <v>0.96666666666666667</v>
      </c>
      <c r="E9" s="11">
        <v>0.85</v>
      </c>
      <c r="F9" s="11">
        <v>0.9</v>
      </c>
    </row>
    <row r="10" spans="2:6" x14ac:dyDescent="0.25">
      <c r="C10">
        <v>9</v>
      </c>
      <c r="D10" s="11">
        <v>0.96666666666666667</v>
      </c>
      <c r="E10" s="11">
        <v>0.85</v>
      </c>
      <c r="F10" s="11">
        <v>0.9</v>
      </c>
    </row>
    <row r="11" spans="2:6" x14ac:dyDescent="0.25">
      <c r="C11">
        <v>10</v>
      </c>
      <c r="D11" s="11">
        <v>0.96666666666666667</v>
      </c>
      <c r="E11" s="11">
        <v>0.85</v>
      </c>
      <c r="F11" s="11">
        <v>0.9</v>
      </c>
    </row>
    <row r="12" spans="2:6" x14ac:dyDescent="0.25">
      <c r="C12">
        <v>11</v>
      </c>
      <c r="D12" s="11">
        <v>0.96666666666666667</v>
      </c>
      <c r="E12" s="11">
        <v>0.85</v>
      </c>
      <c r="F12" s="11">
        <v>0.9</v>
      </c>
    </row>
    <row r="13" spans="2:6" x14ac:dyDescent="0.25">
      <c r="C13">
        <v>12</v>
      </c>
      <c r="D13" s="11">
        <v>0.96666666666666667</v>
      </c>
      <c r="E13" s="11">
        <v>0.85</v>
      </c>
      <c r="F13" s="11">
        <v>0.76666666666666661</v>
      </c>
    </row>
    <row r="14" spans="2:6" x14ac:dyDescent="0.25">
      <c r="C14">
        <v>13</v>
      </c>
      <c r="D14" s="11">
        <v>0.82</v>
      </c>
      <c r="E14" s="11">
        <v>0.85</v>
      </c>
      <c r="F14" s="11">
        <v>0.6</v>
      </c>
    </row>
    <row r="15" spans="2:6" x14ac:dyDescent="0.25">
      <c r="C15">
        <v>14</v>
      </c>
      <c r="D15" s="11">
        <v>0.84666666666666668</v>
      </c>
      <c r="E15" s="11">
        <v>0.85</v>
      </c>
      <c r="F15" s="11">
        <v>0.96666666666666667</v>
      </c>
    </row>
    <row r="16" spans="2:6" x14ac:dyDescent="0.25">
      <c r="C16">
        <v>15</v>
      </c>
      <c r="D16" s="11">
        <v>0.90666666666666662</v>
      </c>
      <c r="E16" s="11">
        <v>0.85</v>
      </c>
      <c r="F16" s="11">
        <v>0.96666666666666667</v>
      </c>
    </row>
    <row r="17" spans="2:6" x14ac:dyDescent="0.25">
      <c r="C17">
        <v>16</v>
      </c>
      <c r="D17" s="11">
        <v>0.96666666666666667</v>
      </c>
      <c r="E17" s="11">
        <v>0.85</v>
      </c>
      <c r="F17" s="11">
        <v>0.9</v>
      </c>
    </row>
    <row r="18" spans="2:6" x14ac:dyDescent="0.25">
      <c r="C18">
        <v>17</v>
      </c>
      <c r="D18" s="11">
        <v>0.96666666666666667</v>
      </c>
      <c r="E18" s="11">
        <v>0.85</v>
      </c>
      <c r="F18" s="11">
        <v>0.9</v>
      </c>
    </row>
    <row r="19" spans="2:6" x14ac:dyDescent="0.25">
      <c r="C19">
        <v>18</v>
      </c>
      <c r="D19" s="11">
        <v>0.96666666666666667</v>
      </c>
      <c r="E19" s="11">
        <v>0.85</v>
      </c>
      <c r="F19" s="11">
        <v>0.9</v>
      </c>
    </row>
    <row r="20" spans="2:6" x14ac:dyDescent="0.25">
      <c r="C20">
        <v>19</v>
      </c>
      <c r="D20" s="11">
        <v>0.96666666666666667</v>
      </c>
      <c r="E20" s="11">
        <v>0.85</v>
      </c>
      <c r="F20" s="11">
        <v>0.9</v>
      </c>
    </row>
    <row r="21" spans="2:6" x14ac:dyDescent="0.25">
      <c r="C21">
        <v>20</v>
      </c>
      <c r="D21" s="11">
        <v>0.96666666666666667</v>
      </c>
      <c r="E21" s="11">
        <v>0.85</v>
      </c>
      <c r="F21" s="11">
        <v>0.9</v>
      </c>
    </row>
    <row r="22" spans="2:6" x14ac:dyDescent="0.25">
      <c r="C22">
        <v>21</v>
      </c>
      <c r="D22" s="11">
        <v>0.96666666666666667</v>
      </c>
      <c r="E22" s="11">
        <v>0.85</v>
      </c>
      <c r="F22" s="11">
        <v>0.9</v>
      </c>
    </row>
    <row r="23" spans="2:6" x14ac:dyDescent="0.25">
      <c r="C23">
        <v>22</v>
      </c>
      <c r="D23" s="11">
        <v>0.96666666666666667</v>
      </c>
      <c r="E23" s="11">
        <v>0.85</v>
      </c>
      <c r="F23" s="11">
        <v>0.9</v>
      </c>
    </row>
    <row r="24" spans="2:6" x14ac:dyDescent="0.25">
      <c r="C24">
        <v>23</v>
      </c>
      <c r="D24" s="11">
        <v>0.96666666666666667</v>
      </c>
      <c r="E24" s="11">
        <v>0.85</v>
      </c>
      <c r="F24" s="11">
        <v>0.9</v>
      </c>
    </row>
    <row r="25" spans="2:6" x14ac:dyDescent="0.25">
      <c r="B25" t="s">
        <v>18</v>
      </c>
      <c r="D25" s="11">
        <v>0.94745098039215658</v>
      </c>
      <c r="E25" s="11">
        <v>0.85000000000000075</v>
      </c>
      <c r="F25" s="11">
        <v>0.8823529411764699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44"/>
  <dimension ref="B1:F54"/>
  <sheetViews>
    <sheetView workbookViewId="0">
      <selection activeCell="B23" sqref="B23"/>
    </sheetView>
  </sheetViews>
  <sheetFormatPr defaultRowHeight="15" x14ac:dyDescent="0.25"/>
  <cols>
    <col min="1" max="1" width="13.140625" customWidth="1"/>
    <col min="2" max="2" width="15.7109375" bestFit="1" customWidth="1"/>
    <col min="3" max="3" width="12" bestFit="1" customWidth="1"/>
    <col min="4" max="4" width="23.140625" bestFit="1" customWidth="1"/>
    <col min="5" max="5" width="15.42578125" bestFit="1" customWidth="1"/>
    <col min="6" max="6" width="32.85546875" bestFit="1" customWidth="1"/>
  </cols>
  <sheetData>
    <row r="1" spans="2:6" x14ac:dyDescent="0.25">
      <c r="B1" s="3" t="s">
        <v>6</v>
      </c>
      <c r="C1" t="s">
        <v>55</v>
      </c>
    </row>
    <row r="2" spans="2:6" x14ac:dyDescent="0.25">
      <c r="B2" s="3" t="s">
        <v>4</v>
      </c>
      <c r="C2" t="s">
        <v>55</v>
      </c>
    </row>
    <row r="3" spans="2:6" x14ac:dyDescent="0.25">
      <c r="B3" s="3" t="s">
        <v>7</v>
      </c>
      <c r="C3" t="s">
        <v>55</v>
      </c>
    </row>
    <row r="4" spans="2:6" x14ac:dyDescent="0.25">
      <c r="B4" s="3" t="s">
        <v>8</v>
      </c>
      <c r="C4" t="s">
        <v>55</v>
      </c>
    </row>
    <row r="5" spans="2:6" x14ac:dyDescent="0.25">
      <c r="B5" s="3" t="s">
        <v>73</v>
      </c>
      <c r="C5" t="s">
        <v>55</v>
      </c>
    </row>
    <row r="7" spans="2:6" x14ac:dyDescent="0.25">
      <c r="B7" s="3" t="s">
        <v>0</v>
      </c>
      <c r="C7" s="3" t="s">
        <v>2</v>
      </c>
      <c r="D7" t="s">
        <v>16</v>
      </c>
      <c r="E7" t="s">
        <v>17</v>
      </c>
      <c r="F7" t="s">
        <v>19</v>
      </c>
    </row>
    <row r="8" spans="2:6" x14ac:dyDescent="0.25">
      <c r="B8" s="1">
        <v>42808</v>
      </c>
      <c r="C8">
        <v>0.41666666666666669</v>
      </c>
      <c r="D8" s="11">
        <v>0.86999999999999988</v>
      </c>
      <c r="E8" s="11">
        <v>0.85</v>
      </c>
      <c r="F8" s="11">
        <v>0.91000000000000014</v>
      </c>
    </row>
    <row r="9" spans="2:6" x14ac:dyDescent="0.25">
      <c r="C9">
        <v>0.45833333333333331</v>
      </c>
      <c r="D9" s="11">
        <v>0.8</v>
      </c>
      <c r="E9" s="11">
        <v>0.85</v>
      </c>
      <c r="F9" s="11">
        <v>0.87</v>
      </c>
    </row>
    <row r="10" spans="2:6" x14ac:dyDescent="0.25">
      <c r="C10">
        <v>7</v>
      </c>
      <c r="D10" s="11">
        <v>0.96666666666666679</v>
      </c>
      <c r="E10" s="11">
        <v>0.84999999999999976</v>
      </c>
      <c r="F10" s="11">
        <v>0.90000000000000024</v>
      </c>
    </row>
    <row r="11" spans="2:6" x14ac:dyDescent="0.25">
      <c r="C11">
        <v>8</v>
      </c>
      <c r="D11" s="11">
        <v>0.96666666666666656</v>
      </c>
      <c r="E11" s="11">
        <v>0.84999999999999976</v>
      </c>
      <c r="F11" s="11">
        <v>0.90000000000000013</v>
      </c>
    </row>
    <row r="12" spans="2:6" x14ac:dyDescent="0.25">
      <c r="C12">
        <v>9</v>
      </c>
      <c r="D12" s="11">
        <v>0.96666666666666679</v>
      </c>
      <c r="E12" s="11">
        <v>0.84999999999999987</v>
      </c>
      <c r="F12" s="11">
        <v>0.90000000000000013</v>
      </c>
    </row>
    <row r="13" spans="2:6" x14ac:dyDescent="0.25">
      <c r="C13">
        <v>10</v>
      </c>
      <c r="D13" s="11">
        <v>0.96666666666666679</v>
      </c>
      <c r="E13" s="11">
        <v>0.84999999999999987</v>
      </c>
      <c r="F13" s="11">
        <v>0.90000000000000013</v>
      </c>
    </row>
    <row r="14" spans="2:6" x14ac:dyDescent="0.25">
      <c r="C14">
        <v>11</v>
      </c>
      <c r="D14" s="11">
        <v>0.96666666666666679</v>
      </c>
      <c r="E14" s="11">
        <v>0.84999999999999987</v>
      </c>
      <c r="F14" s="11">
        <v>0.90000000000000013</v>
      </c>
    </row>
    <row r="15" spans="2:6" x14ac:dyDescent="0.25">
      <c r="C15">
        <v>12</v>
      </c>
      <c r="D15" s="11">
        <v>0.96666666666666679</v>
      </c>
      <c r="E15" s="11">
        <v>0.84999999999999976</v>
      </c>
      <c r="F15" s="11">
        <v>0.86666666666666681</v>
      </c>
    </row>
    <row r="16" spans="2:6" x14ac:dyDescent="0.25">
      <c r="C16">
        <v>13</v>
      </c>
      <c r="D16" s="11">
        <v>0.94222222222222229</v>
      </c>
      <c r="E16" s="11">
        <v>0.84999999999999976</v>
      </c>
      <c r="F16" s="11">
        <v>0.82777777777777795</v>
      </c>
    </row>
    <row r="17" spans="2:6" x14ac:dyDescent="0.25">
      <c r="C17">
        <v>14</v>
      </c>
      <c r="D17" s="11">
        <v>0.84222222222222232</v>
      </c>
      <c r="E17" s="11">
        <v>0.84999999999999987</v>
      </c>
      <c r="F17" s="11">
        <v>0.84444444444444455</v>
      </c>
    </row>
    <row r="18" spans="2:6" x14ac:dyDescent="0.25">
      <c r="C18">
        <v>15</v>
      </c>
      <c r="D18" s="11">
        <v>0.88222222222222235</v>
      </c>
      <c r="E18" s="11">
        <v>0.84999999999999987</v>
      </c>
      <c r="F18" s="11">
        <v>0.94444444444444464</v>
      </c>
    </row>
    <row r="19" spans="2:6" x14ac:dyDescent="0.25">
      <c r="C19">
        <v>16</v>
      </c>
      <c r="D19" s="11">
        <v>0.92222222222222228</v>
      </c>
      <c r="E19" s="11">
        <v>0.84999999999999987</v>
      </c>
      <c r="F19" s="11">
        <v>0.90000000000000013</v>
      </c>
    </row>
    <row r="20" spans="2:6" x14ac:dyDescent="0.25">
      <c r="C20">
        <v>17</v>
      </c>
      <c r="D20" s="11">
        <v>0.92222222222222228</v>
      </c>
      <c r="E20" s="11">
        <v>0.84999999999999987</v>
      </c>
      <c r="F20" s="11">
        <v>0.90000000000000013</v>
      </c>
    </row>
    <row r="21" spans="2:6" x14ac:dyDescent="0.25">
      <c r="C21">
        <v>18</v>
      </c>
      <c r="D21" s="11">
        <v>0.92222222222222228</v>
      </c>
      <c r="E21" s="11">
        <v>0.84999999999999987</v>
      </c>
      <c r="F21" s="11">
        <v>0.90000000000000013</v>
      </c>
    </row>
    <row r="22" spans="2:6" x14ac:dyDescent="0.25">
      <c r="C22">
        <v>19</v>
      </c>
      <c r="D22" s="11">
        <v>0.87777777777777788</v>
      </c>
      <c r="E22" s="11">
        <v>0.84999999999999987</v>
      </c>
      <c r="F22" s="11">
        <v>0.90000000000000013</v>
      </c>
    </row>
    <row r="23" spans="2:6" x14ac:dyDescent="0.25">
      <c r="C23">
        <v>20</v>
      </c>
      <c r="D23" s="11">
        <v>0.96666666666666679</v>
      </c>
      <c r="E23" s="11">
        <v>0.84999999999999987</v>
      </c>
      <c r="F23" s="11">
        <v>0.90000000000000013</v>
      </c>
    </row>
    <row r="24" spans="2:6" x14ac:dyDescent="0.25">
      <c r="C24">
        <v>21</v>
      </c>
      <c r="D24" s="11">
        <v>0.96666666666666679</v>
      </c>
      <c r="E24" s="11">
        <v>0.84999999999999987</v>
      </c>
      <c r="F24" s="11">
        <v>0.90000000000000013</v>
      </c>
    </row>
    <row r="25" spans="2:6" x14ac:dyDescent="0.25">
      <c r="C25">
        <v>22</v>
      </c>
      <c r="D25" s="11">
        <v>0.96666666666666679</v>
      </c>
      <c r="E25" s="11">
        <v>0.84999999999999987</v>
      </c>
      <c r="F25" s="11">
        <v>0.90000000000000013</v>
      </c>
    </row>
    <row r="26" spans="2:6" x14ac:dyDescent="0.25">
      <c r="C26">
        <v>23</v>
      </c>
      <c r="D26" s="11">
        <v>0.96666666666666679</v>
      </c>
      <c r="E26" s="11">
        <v>0.84999999999999987</v>
      </c>
      <c r="F26" s="11">
        <v>0.90000000000000013</v>
      </c>
    </row>
    <row r="27" spans="2:6" x14ac:dyDescent="0.25">
      <c r="B27" s="1">
        <v>42809</v>
      </c>
      <c r="C27">
        <v>0.41666666666666669</v>
      </c>
      <c r="D27" s="11">
        <v>0.84666666666666668</v>
      </c>
      <c r="E27" s="11">
        <v>0.85</v>
      </c>
      <c r="F27" s="11">
        <v>0.91666666666666663</v>
      </c>
    </row>
    <row r="28" spans="2:6" x14ac:dyDescent="0.25">
      <c r="C28">
        <v>0.875</v>
      </c>
      <c r="D28" s="11">
        <v>0.92</v>
      </c>
      <c r="E28" s="11">
        <v>0.85</v>
      </c>
      <c r="F28" s="11">
        <v>0.91666666666666663</v>
      </c>
    </row>
    <row r="29" spans="2:6" x14ac:dyDescent="0.25">
      <c r="B29" t="s">
        <v>60</v>
      </c>
      <c r="C29" t="s">
        <v>60</v>
      </c>
      <c r="D29" s="11"/>
      <c r="E29" s="11"/>
      <c r="F29" s="11"/>
    </row>
    <row r="30" spans="2:6" x14ac:dyDescent="0.25">
      <c r="B30" s="1">
        <v>42968</v>
      </c>
      <c r="C30">
        <v>7</v>
      </c>
      <c r="D30" s="11">
        <v>0.88296296296296306</v>
      </c>
      <c r="E30" s="11">
        <v>0.79999999999999993</v>
      </c>
      <c r="F30" s="11">
        <v>0</v>
      </c>
    </row>
    <row r="31" spans="2:6" x14ac:dyDescent="0.25">
      <c r="C31">
        <v>8</v>
      </c>
      <c r="D31" s="11">
        <v>0.92562603088918871</v>
      </c>
      <c r="E31" s="11">
        <v>0.79999999999999993</v>
      </c>
      <c r="F31" s="11">
        <v>0</v>
      </c>
    </row>
    <row r="32" spans="2:6" x14ac:dyDescent="0.25">
      <c r="C32">
        <v>9</v>
      </c>
      <c r="D32" s="11">
        <v>0.86154429283084244</v>
      </c>
      <c r="E32" s="11">
        <v>0.79999999999999993</v>
      </c>
      <c r="F32" s="11">
        <v>0</v>
      </c>
    </row>
    <row r="33" spans="3:6" x14ac:dyDescent="0.25">
      <c r="C33">
        <v>10</v>
      </c>
      <c r="D33" s="11">
        <v>0.81481481481481477</v>
      </c>
      <c r="E33" s="11">
        <v>0.79999999999999993</v>
      </c>
      <c r="F33" s="11">
        <v>0</v>
      </c>
    </row>
    <row r="34" spans="3:6" x14ac:dyDescent="0.25">
      <c r="C34">
        <v>11</v>
      </c>
      <c r="D34" s="11">
        <v>0.93307800224466897</v>
      </c>
      <c r="E34" s="11">
        <v>0.79999999999999993</v>
      </c>
      <c r="F34" s="11">
        <v>0</v>
      </c>
    </row>
    <row r="35" spans="3:6" x14ac:dyDescent="0.25">
      <c r="C35">
        <v>12</v>
      </c>
      <c r="D35" s="11">
        <v>0.93852880658436222</v>
      </c>
      <c r="E35" s="11">
        <v>0.79999999999999993</v>
      </c>
      <c r="F35" s="11">
        <v>0</v>
      </c>
    </row>
    <row r="36" spans="3:6" x14ac:dyDescent="0.25">
      <c r="C36">
        <v>13</v>
      </c>
      <c r="D36" s="11">
        <v>0.91574852163087472</v>
      </c>
      <c r="E36" s="11">
        <v>0.79999999999999993</v>
      </c>
      <c r="F36" s="11">
        <v>0</v>
      </c>
    </row>
    <row r="37" spans="3:6" x14ac:dyDescent="0.25">
      <c r="C37">
        <v>14</v>
      </c>
      <c r="D37" s="11">
        <v>0.94444444444444442</v>
      </c>
      <c r="E37" s="11">
        <v>0.79999999999999993</v>
      </c>
      <c r="F37" s="11">
        <v>0</v>
      </c>
    </row>
    <row r="38" spans="3:6" x14ac:dyDescent="0.25">
      <c r="C38">
        <v>15</v>
      </c>
      <c r="D38" s="11">
        <v>0.98559670781893005</v>
      </c>
      <c r="E38" s="11">
        <v>0.79999999999999993</v>
      </c>
      <c r="F38" s="11">
        <v>0</v>
      </c>
    </row>
    <row r="39" spans="3:6" x14ac:dyDescent="0.25">
      <c r="C39">
        <v>16</v>
      </c>
      <c r="D39" s="11">
        <v>0.92443246480982333</v>
      </c>
      <c r="E39" s="11">
        <v>0.79999999999999993</v>
      </c>
      <c r="F39" s="11">
        <v>0</v>
      </c>
    </row>
    <row r="40" spans="3:6" x14ac:dyDescent="0.25">
      <c r="C40">
        <v>17</v>
      </c>
      <c r="D40" s="11">
        <v>0.93754538852578073</v>
      </c>
      <c r="E40" s="11">
        <v>0.79999999999999993</v>
      </c>
      <c r="F40" s="11">
        <v>0</v>
      </c>
    </row>
    <row r="41" spans="3:6" x14ac:dyDescent="0.25">
      <c r="C41">
        <v>18</v>
      </c>
      <c r="D41" s="11">
        <v>0.77530864197530869</v>
      </c>
      <c r="E41" s="11">
        <v>0.79999999999999993</v>
      </c>
      <c r="F41" s="11">
        <v>0</v>
      </c>
    </row>
    <row r="42" spans="3:6" x14ac:dyDescent="0.25">
      <c r="C42">
        <v>19</v>
      </c>
      <c r="D42" s="11">
        <v>0.85058275058275057</v>
      </c>
      <c r="E42" s="11">
        <v>0.79999999999999993</v>
      </c>
      <c r="F42" s="11">
        <v>0</v>
      </c>
    </row>
    <row r="43" spans="3:6" x14ac:dyDescent="0.25">
      <c r="C43">
        <v>20</v>
      </c>
      <c r="D43" s="11">
        <v>0.94340455840455839</v>
      </c>
      <c r="E43" s="11">
        <v>0.79999999999999993</v>
      </c>
      <c r="F43" s="11">
        <v>0</v>
      </c>
    </row>
    <row r="44" spans="3:6" x14ac:dyDescent="0.25">
      <c r="C44">
        <v>21</v>
      </c>
      <c r="D44" s="11">
        <v>0.89907407407407391</v>
      </c>
      <c r="E44" s="11">
        <v>0.79999999999999993</v>
      </c>
      <c r="F44" s="11">
        <v>0</v>
      </c>
    </row>
    <row r="45" spans="3:6" x14ac:dyDescent="0.25">
      <c r="C45">
        <v>22</v>
      </c>
      <c r="D45" s="11">
        <v>1</v>
      </c>
      <c r="E45" s="11">
        <v>0.79999999999999993</v>
      </c>
      <c r="F45" s="11">
        <v>0</v>
      </c>
    </row>
    <row r="46" spans="3:6" x14ac:dyDescent="0.25">
      <c r="C46">
        <v>23</v>
      </c>
      <c r="D46" s="11">
        <v>0.90649701176016961</v>
      </c>
      <c r="E46" s="11">
        <v>0.79999999999999993</v>
      </c>
      <c r="F46" s="11">
        <v>0</v>
      </c>
    </row>
    <row r="47" spans="3:6" x14ac:dyDescent="0.25">
      <c r="C47">
        <v>0</v>
      </c>
      <c r="D47" s="11">
        <v>0.87192982456140355</v>
      </c>
      <c r="E47" s="11">
        <v>0.79999999999999993</v>
      </c>
      <c r="F47" s="11">
        <v>0</v>
      </c>
    </row>
    <row r="48" spans="3:6" x14ac:dyDescent="0.25">
      <c r="C48">
        <v>1</v>
      </c>
      <c r="D48" s="11">
        <v>0.80920314253647585</v>
      </c>
      <c r="E48" s="11">
        <v>0.79999999999999993</v>
      </c>
      <c r="F48" s="11">
        <v>0</v>
      </c>
    </row>
    <row r="49" spans="2:6" x14ac:dyDescent="0.25">
      <c r="C49">
        <v>2</v>
      </c>
      <c r="D49" s="11">
        <v>0.97964651581672868</v>
      </c>
      <c r="E49" s="11">
        <v>0.79999999999999993</v>
      </c>
      <c r="F49" s="11">
        <v>0</v>
      </c>
    </row>
    <row r="50" spans="2:6" x14ac:dyDescent="0.25">
      <c r="C50">
        <v>3</v>
      </c>
      <c r="D50" s="11">
        <v>0.75088025073577191</v>
      </c>
      <c r="E50" s="11">
        <v>0.79999999999999993</v>
      </c>
      <c r="F50" s="11">
        <v>0</v>
      </c>
    </row>
    <row r="51" spans="2:6" x14ac:dyDescent="0.25">
      <c r="C51">
        <v>4</v>
      </c>
      <c r="D51" s="11">
        <v>0.81666666666666665</v>
      </c>
      <c r="E51" s="11">
        <v>0.79999999999999993</v>
      </c>
      <c r="F51" s="11">
        <v>0</v>
      </c>
    </row>
    <row r="52" spans="2:6" x14ac:dyDescent="0.25">
      <c r="C52">
        <v>5</v>
      </c>
      <c r="D52" s="11">
        <v>0.99629629629629635</v>
      </c>
      <c r="E52" s="11">
        <v>0.79999999999999993</v>
      </c>
      <c r="F52" s="11">
        <v>0</v>
      </c>
    </row>
    <row r="53" spans="2:6" x14ac:dyDescent="0.25">
      <c r="C53">
        <v>6</v>
      </c>
      <c r="D53" s="11">
        <v>0.94685990338164239</v>
      </c>
      <c r="E53" s="11">
        <v>0.79999999999999993</v>
      </c>
      <c r="F53" s="11">
        <v>0</v>
      </c>
    </row>
    <row r="54" spans="2:6" x14ac:dyDescent="0.25">
      <c r="B54" t="s">
        <v>18</v>
      </c>
      <c r="D54" s="11">
        <v>0.91784209547935047</v>
      </c>
      <c r="E54" s="11">
        <v>0.82333333333333791</v>
      </c>
      <c r="F54" s="11">
        <v>0.41585185185185303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5"/>
  <dimension ref="B1:F54"/>
  <sheetViews>
    <sheetView workbookViewId="0">
      <selection activeCell="B20" sqref="B20"/>
    </sheetView>
  </sheetViews>
  <sheetFormatPr defaultRowHeight="15" x14ac:dyDescent="0.25"/>
  <cols>
    <col min="1" max="1" width="13.140625" customWidth="1"/>
    <col min="2" max="2" width="15.7109375" bestFit="1" customWidth="1"/>
    <col min="3" max="3" width="12" bestFit="1" customWidth="1"/>
    <col min="4" max="4" width="23.140625" bestFit="1" customWidth="1"/>
    <col min="5" max="5" width="15.42578125" bestFit="1" customWidth="1"/>
    <col min="6" max="6" width="32.85546875" bestFit="1" customWidth="1"/>
  </cols>
  <sheetData>
    <row r="1" spans="2:6" x14ac:dyDescent="0.25">
      <c r="B1" s="3" t="s">
        <v>6</v>
      </c>
      <c r="C1" t="s">
        <v>55</v>
      </c>
    </row>
    <row r="2" spans="2:6" x14ac:dyDescent="0.25">
      <c r="B2" s="3" t="s">
        <v>4</v>
      </c>
      <c r="C2" t="s">
        <v>55</v>
      </c>
    </row>
    <row r="3" spans="2:6" x14ac:dyDescent="0.25">
      <c r="B3" s="3" t="s">
        <v>7</v>
      </c>
      <c r="C3" t="s">
        <v>55</v>
      </c>
    </row>
    <row r="4" spans="2:6" x14ac:dyDescent="0.25">
      <c r="B4" s="3" t="s">
        <v>8</v>
      </c>
      <c r="C4" t="s">
        <v>55</v>
      </c>
    </row>
    <row r="5" spans="2:6" x14ac:dyDescent="0.25">
      <c r="B5" s="3" t="s">
        <v>73</v>
      </c>
      <c r="C5" t="s">
        <v>55</v>
      </c>
    </row>
    <row r="7" spans="2:6" x14ac:dyDescent="0.25">
      <c r="B7" s="3" t="s">
        <v>0</v>
      </c>
      <c r="C7" s="3" t="s">
        <v>2</v>
      </c>
      <c r="D7" t="s">
        <v>16</v>
      </c>
      <c r="E7" t="s">
        <v>17</v>
      </c>
      <c r="F7" t="s">
        <v>19</v>
      </c>
    </row>
    <row r="8" spans="2:6" x14ac:dyDescent="0.25">
      <c r="B8" s="1">
        <v>42808</v>
      </c>
      <c r="C8">
        <v>0.41666666666666669</v>
      </c>
      <c r="D8" s="11">
        <v>0.86999999999999988</v>
      </c>
      <c r="E8" s="11">
        <v>0.85</v>
      </c>
      <c r="F8" s="11">
        <v>0.91000000000000014</v>
      </c>
    </row>
    <row r="9" spans="2:6" x14ac:dyDescent="0.25">
      <c r="C9">
        <v>0.45833333333333331</v>
      </c>
      <c r="D9" s="11">
        <v>0.8</v>
      </c>
      <c r="E9" s="11">
        <v>0.85</v>
      </c>
      <c r="F9" s="11">
        <v>0.87</v>
      </c>
    </row>
    <row r="10" spans="2:6" x14ac:dyDescent="0.25">
      <c r="C10">
        <v>7</v>
      </c>
      <c r="D10" s="11">
        <v>0.96666666666666679</v>
      </c>
      <c r="E10" s="11">
        <v>0.84999999999999976</v>
      </c>
      <c r="F10" s="11">
        <v>0.90000000000000024</v>
      </c>
    </row>
    <row r="11" spans="2:6" x14ac:dyDescent="0.25">
      <c r="C11">
        <v>8</v>
      </c>
      <c r="D11" s="11">
        <v>0.96666666666666656</v>
      </c>
      <c r="E11" s="11">
        <v>0.84999999999999976</v>
      </c>
      <c r="F11" s="11">
        <v>0.90000000000000013</v>
      </c>
    </row>
    <row r="12" spans="2:6" x14ac:dyDescent="0.25">
      <c r="C12">
        <v>9</v>
      </c>
      <c r="D12" s="11">
        <v>0.96666666666666679</v>
      </c>
      <c r="E12" s="11">
        <v>0.84999999999999987</v>
      </c>
      <c r="F12" s="11">
        <v>0.90000000000000013</v>
      </c>
    </row>
    <row r="13" spans="2:6" x14ac:dyDescent="0.25">
      <c r="C13">
        <v>10</v>
      </c>
      <c r="D13" s="11">
        <v>0.96666666666666679</v>
      </c>
      <c r="E13" s="11">
        <v>0.84999999999999987</v>
      </c>
      <c r="F13" s="11">
        <v>0.90000000000000013</v>
      </c>
    </row>
    <row r="14" spans="2:6" x14ac:dyDescent="0.25">
      <c r="C14">
        <v>11</v>
      </c>
      <c r="D14" s="11">
        <v>0.96666666666666679</v>
      </c>
      <c r="E14" s="11">
        <v>0.84999999999999987</v>
      </c>
      <c r="F14" s="11">
        <v>0.90000000000000013</v>
      </c>
    </row>
    <row r="15" spans="2:6" x14ac:dyDescent="0.25">
      <c r="C15">
        <v>12</v>
      </c>
      <c r="D15" s="11">
        <v>0.96666666666666679</v>
      </c>
      <c r="E15" s="11">
        <v>0.84999999999999976</v>
      </c>
      <c r="F15" s="11">
        <v>0.86666666666666681</v>
      </c>
    </row>
    <row r="16" spans="2:6" x14ac:dyDescent="0.25">
      <c r="C16">
        <v>13</v>
      </c>
      <c r="D16" s="11">
        <v>0.94222222222222229</v>
      </c>
      <c r="E16" s="11">
        <v>0.84999999999999976</v>
      </c>
      <c r="F16" s="11">
        <v>0.82777777777777795</v>
      </c>
    </row>
    <row r="17" spans="2:6" x14ac:dyDescent="0.25">
      <c r="C17">
        <v>14</v>
      </c>
      <c r="D17" s="11">
        <v>0.84222222222222232</v>
      </c>
      <c r="E17" s="11">
        <v>0.84999999999999987</v>
      </c>
      <c r="F17" s="11">
        <v>0.84444444444444455</v>
      </c>
    </row>
    <row r="18" spans="2:6" x14ac:dyDescent="0.25">
      <c r="C18">
        <v>15</v>
      </c>
      <c r="D18" s="11">
        <v>0.88222222222222235</v>
      </c>
      <c r="E18" s="11">
        <v>0.84999999999999987</v>
      </c>
      <c r="F18" s="11">
        <v>0.94444444444444464</v>
      </c>
    </row>
    <row r="19" spans="2:6" x14ac:dyDescent="0.25">
      <c r="C19">
        <v>16</v>
      </c>
      <c r="D19" s="11">
        <v>0.92222222222222228</v>
      </c>
      <c r="E19" s="11">
        <v>0.84999999999999987</v>
      </c>
      <c r="F19" s="11">
        <v>0.90000000000000013</v>
      </c>
    </row>
    <row r="20" spans="2:6" x14ac:dyDescent="0.25">
      <c r="C20">
        <v>17</v>
      </c>
      <c r="D20" s="11">
        <v>0.92222222222222228</v>
      </c>
      <c r="E20" s="11">
        <v>0.84999999999999987</v>
      </c>
      <c r="F20" s="11">
        <v>0.90000000000000013</v>
      </c>
    </row>
    <row r="21" spans="2:6" x14ac:dyDescent="0.25">
      <c r="C21">
        <v>18</v>
      </c>
      <c r="D21" s="11">
        <v>0.92222222222222228</v>
      </c>
      <c r="E21" s="11">
        <v>0.84999999999999987</v>
      </c>
      <c r="F21" s="11">
        <v>0.90000000000000013</v>
      </c>
    </row>
    <row r="22" spans="2:6" x14ac:dyDescent="0.25">
      <c r="C22">
        <v>19</v>
      </c>
      <c r="D22" s="11">
        <v>0.87777777777777788</v>
      </c>
      <c r="E22" s="11">
        <v>0.84999999999999987</v>
      </c>
      <c r="F22" s="11">
        <v>0.90000000000000013</v>
      </c>
    </row>
    <row r="23" spans="2:6" x14ac:dyDescent="0.25">
      <c r="C23">
        <v>20</v>
      </c>
      <c r="D23" s="11">
        <v>0.96666666666666679</v>
      </c>
      <c r="E23" s="11">
        <v>0.84999999999999987</v>
      </c>
      <c r="F23" s="11">
        <v>0.90000000000000013</v>
      </c>
    </row>
    <row r="24" spans="2:6" x14ac:dyDescent="0.25">
      <c r="C24">
        <v>21</v>
      </c>
      <c r="D24" s="11">
        <v>0.96666666666666679</v>
      </c>
      <c r="E24" s="11">
        <v>0.84999999999999987</v>
      </c>
      <c r="F24" s="11">
        <v>0.90000000000000013</v>
      </c>
    </row>
    <row r="25" spans="2:6" x14ac:dyDescent="0.25">
      <c r="C25">
        <v>22</v>
      </c>
      <c r="D25" s="11">
        <v>0.96666666666666679</v>
      </c>
      <c r="E25" s="11">
        <v>0.84999999999999987</v>
      </c>
      <c r="F25" s="11">
        <v>0.90000000000000013</v>
      </c>
    </row>
    <row r="26" spans="2:6" x14ac:dyDescent="0.25">
      <c r="C26">
        <v>23</v>
      </c>
      <c r="D26" s="11">
        <v>0.96666666666666679</v>
      </c>
      <c r="E26" s="11">
        <v>0.84999999999999987</v>
      </c>
      <c r="F26" s="11">
        <v>0.90000000000000013</v>
      </c>
    </row>
    <row r="27" spans="2:6" x14ac:dyDescent="0.25">
      <c r="B27" s="1">
        <v>42809</v>
      </c>
      <c r="C27">
        <v>0.41666666666666669</v>
      </c>
      <c r="D27" s="11">
        <v>0.84666666666666668</v>
      </c>
      <c r="E27" s="11">
        <v>0.85</v>
      </c>
      <c r="F27" s="11">
        <v>0.91666666666666663</v>
      </c>
    </row>
    <row r="28" spans="2:6" x14ac:dyDescent="0.25">
      <c r="C28">
        <v>0.875</v>
      </c>
      <c r="D28" s="11">
        <v>0.92</v>
      </c>
      <c r="E28" s="11">
        <v>0.85</v>
      </c>
      <c r="F28" s="11">
        <v>0.91666666666666663</v>
      </c>
    </row>
    <row r="29" spans="2:6" x14ac:dyDescent="0.25">
      <c r="B29" t="s">
        <v>60</v>
      </c>
      <c r="C29" t="s">
        <v>60</v>
      </c>
      <c r="D29" s="11"/>
      <c r="E29" s="11"/>
      <c r="F29" s="11"/>
    </row>
    <row r="30" spans="2:6" x14ac:dyDescent="0.25">
      <c r="B30" s="1">
        <v>42968</v>
      </c>
      <c r="C30">
        <v>7</v>
      </c>
      <c r="D30" s="11">
        <v>0.88296296296296306</v>
      </c>
      <c r="E30" s="11">
        <v>0.79999999999999993</v>
      </c>
      <c r="F30" s="11">
        <v>0</v>
      </c>
    </row>
    <row r="31" spans="2:6" x14ac:dyDescent="0.25">
      <c r="C31">
        <v>8</v>
      </c>
      <c r="D31" s="11">
        <v>0.92562603088918871</v>
      </c>
      <c r="E31" s="11">
        <v>0.79999999999999993</v>
      </c>
      <c r="F31" s="11">
        <v>0</v>
      </c>
    </row>
    <row r="32" spans="2:6" x14ac:dyDescent="0.25">
      <c r="C32">
        <v>9</v>
      </c>
      <c r="D32" s="11">
        <v>0.86154429283084244</v>
      </c>
      <c r="E32" s="11">
        <v>0.79999999999999993</v>
      </c>
      <c r="F32" s="11">
        <v>0</v>
      </c>
    </row>
    <row r="33" spans="3:6" x14ac:dyDescent="0.25">
      <c r="C33">
        <v>10</v>
      </c>
      <c r="D33" s="11">
        <v>0.81481481481481477</v>
      </c>
      <c r="E33" s="11">
        <v>0.79999999999999993</v>
      </c>
      <c r="F33" s="11">
        <v>0</v>
      </c>
    </row>
    <row r="34" spans="3:6" x14ac:dyDescent="0.25">
      <c r="C34">
        <v>11</v>
      </c>
      <c r="D34" s="11">
        <v>0.93307800224466897</v>
      </c>
      <c r="E34" s="11">
        <v>0.79999999999999993</v>
      </c>
      <c r="F34" s="11">
        <v>0</v>
      </c>
    </row>
    <row r="35" spans="3:6" x14ac:dyDescent="0.25">
      <c r="C35">
        <v>12</v>
      </c>
      <c r="D35" s="11">
        <v>0.93852880658436222</v>
      </c>
      <c r="E35" s="11">
        <v>0.79999999999999993</v>
      </c>
      <c r="F35" s="11">
        <v>0</v>
      </c>
    </row>
    <row r="36" spans="3:6" x14ac:dyDescent="0.25">
      <c r="C36">
        <v>13</v>
      </c>
      <c r="D36" s="11">
        <v>0.91574852163087472</v>
      </c>
      <c r="E36" s="11">
        <v>0.79999999999999993</v>
      </c>
      <c r="F36" s="11">
        <v>0</v>
      </c>
    </row>
    <row r="37" spans="3:6" x14ac:dyDescent="0.25">
      <c r="C37">
        <v>14</v>
      </c>
      <c r="D37" s="11">
        <v>0.94444444444444442</v>
      </c>
      <c r="E37" s="11">
        <v>0.79999999999999993</v>
      </c>
      <c r="F37" s="11">
        <v>0</v>
      </c>
    </row>
    <row r="38" spans="3:6" x14ac:dyDescent="0.25">
      <c r="C38">
        <v>15</v>
      </c>
      <c r="D38" s="11">
        <v>0.98559670781893005</v>
      </c>
      <c r="E38" s="11">
        <v>0.79999999999999993</v>
      </c>
      <c r="F38" s="11">
        <v>0</v>
      </c>
    </row>
    <row r="39" spans="3:6" x14ac:dyDescent="0.25">
      <c r="C39">
        <v>16</v>
      </c>
      <c r="D39" s="11">
        <v>0.92443246480982333</v>
      </c>
      <c r="E39" s="11">
        <v>0.79999999999999993</v>
      </c>
      <c r="F39" s="11">
        <v>0</v>
      </c>
    </row>
    <row r="40" spans="3:6" x14ac:dyDescent="0.25">
      <c r="C40">
        <v>17</v>
      </c>
      <c r="D40" s="11">
        <v>0.93754538852578073</v>
      </c>
      <c r="E40" s="11">
        <v>0.79999999999999993</v>
      </c>
      <c r="F40" s="11">
        <v>0</v>
      </c>
    </row>
    <row r="41" spans="3:6" x14ac:dyDescent="0.25">
      <c r="C41">
        <v>18</v>
      </c>
      <c r="D41" s="11">
        <v>0.77530864197530869</v>
      </c>
      <c r="E41" s="11">
        <v>0.79999999999999993</v>
      </c>
      <c r="F41" s="11">
        <v>0</v>
      </c>
    </row>
    <row r="42" spans="3:6" x14ac:dyDescent="0.25">
      <c r="C42">
        <v>19</v>
      </c>
      <c r="D42" s="11">
        <v>0.85058275058275057</v>
      </c>
      <c r="E42" s="11">
        <v>0.79999999999999993</v>
      </c>
      <c r="F42" s="11">
        <v>0</v>
      </c>
    </row>
    <row r="43" spans="3:6" x14ac:dyDescent="0.25">
      <c r="C43">
        <v>20</v>
      </c>
      <c r="D43" s="11">
        <v>0.94340455840455839</v>
      </c>
      <c r="E43" s="11">
        <v>0.79999999999999993</v>
      </c>
      <c r="F43" s="11">
        <v>0</v>
      </c>
    </row>
    <row r="44" spans="3:6" x14ac:dyDescent="0.25">
      <c r="C44">
        <v>21</v>
      </c>
      <c r="D44" s="11">
        <v>0.89907407407407391</v>
      </c>
      <c r="E44" s="11">
        <v>0.79999999999999993</v>
      </c>
      <c r="F44" s="11">
        <v>0</v>
      </c>
    </row>
    <row r="45" spans="3:6" x14ac:dyDescent="0.25">
      <c r="C45">
        <v>22</v>
      </c>
      <c r="D45" s="11">
        <v>1</v>
      </c>
      <c r="E45" s="11">
        <v>0.79999999999999993</v>
      </c>
      <c r="F45" s="11">
        <v>0</v>
      </c>
    </row>
    <row r="46" spans="3:6" x14ac:dyDescent="0.25">
      <c r="C46">
        <v>23</v>
      </c>
      <c r="D46" s="11">
        <v>0.90649701176016961</v>
      </c>
      <c r="E46" s="11">
        <v>0.79999999999999993</v>
      </c>
      <c r="F46" s="11">
        <v>0</v>
      </c>
    </row>
    <row r="47" spans="3:6" x14ac:dyDescent="0.25">
      <c r="C47">
        <v>0</v>
      </c>
      <c r="D47" s="11">
        <v>0.87192982456140355</v>
      </c>
      <c r="E47" s="11">
        <v>0.79999999999999993</v>
      </c>
      <c r="F47" s="11">
        <v>0</v>
      </c>
    </row>
    <row r="48" spans="3:6" x14ac:dyDescent="0.25">
      <c r="C48">
        <v>1</v>
      </c>
      <c r="D48" s="11">
        <v>0.80920314253647585</v>
      </c>
      <c r="E48" s="11">
        <v>0.79999999999999993</v>
      </c>
      <c r="F48" s="11">
        <v>0</v>
      </c>
    </row>
    <row r="49" spans="2:6" x14ac:dyDescent="0.25">
      <c r="C49">
        <v>2</v>
      </c>
      <c r="D49" s="11">
        <v>0.97964651581672868</v>
      </c>
      <c r="E49" s="11">
        <v>0.79999999999999993</v>
      </c>
      <c r="F49" s="11">
        <v>0</v>
      </c>
    </row>
    <row r="50" spans="2:6" x14ac:dyDescent="0.25">
      <c r="C50">
        <v>3</v>
      </c>
      <c r="D50" s="11">
        <v>0.75088025073577191</v>
      </c>
      <c r="E50" s="11">
        <v>0.79999999999999993</v>
      </c>
      <c r="F50" s="11">
        <v>0</v>
      </c>
    </row>
    <row r="51" spans="2:6" x14ac:dyDescent="0.25">
      <c r="C51">
        <v>4</v>
      </c>
      <c r="D51" s="11">
        <v>0.81666666666666665</v>
      </c>
      <c r="E51" s="11">
        <v>0.79999999999999993</v>
      </c>
      <c r="F51" s="11">
        <v>0</v>
      </c>
    </row>
    <row r="52" spans="2:6" x14ac:dyDescent="0.25">
      <c r="C52">
        <v>5</v>
      </c>
      <c r="D52" s="11">
        <v>0.99629629629629635</v>
      </c>
      <c r="E52" s="11">
        <v>0.79999999999999993</v>
      </c>
      <c r="F52" s="11">
        <v>0</v>
      </c>
    </row>
    <row r="53" spans="2:6" x14ac:dyDescent="0.25">
      <c r="C53">
        <v>6</v>
      </c>
      <c r="D53" s="11">
        <v>0.94685990338164239</v>
      </c>
      <c r="E53" s="11">
        <v>0.79999999999999993</v>
      </c>
      <c r="F53" s="11">
        <v>0</v>
      </c>
    </row>
    <row r="54" spans="2:6" x14ac:dyDescent="0.25">
      <c r="B54" t="s">
        <v>18</v>
      </c>
      <c r="D54" s="11">
        <v>0.91784209547935047</v>
      </c>
      <c r="E54" s="11">
        <v>0.82333333333333791</v>
      </c>
      <c r="F54" s="11">
        <v>0.41585185185185303</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6"/>
  <dimension ref="B1:F54"/>
  <sheetViews>
    <sheetView workbookViewId="0">
      <selection activeCell="B19" sqref="B19"/>
    </sheetView>
  </sheetViews>
  <sheetFormatPr defaultRowHeight="15" x14ac:dyDescent="0.25"/>
  <cols>
    <col min="1" max="1" width="13.140625" customWidth="1"/>
    <col min="2" max="2" width="15.7109375" bestFit="1" customWidth="1"/>
    <col min="3" max="3" width="12" bestFit="1" customWidth="1"/>
    <col min="4" max="4" width="23.140625" bestFit="1" customWidth="1"/>
    <col min="5" max="5" width="15.42578125" bestFit="1" customWidth="1"/>
    <col min="6" max="6" width="32.85546875" bestFit="1" customWidth="1"/>
  </cols>
  <sheetData>
    <row r="1" spans="2:6" x14ac:dyDescent="0.25">
      <c r="B1" s="3" t="s">
        <v>6</v>
      </c>
      <c r="C1" t="s">
        <v>55</v>
      </c>
    </row>
    <row r="2" spans="2:6" x14ac:dyDescent="0.25">
      <c r="B2" s="3" t="s">
        <v>4</v>
      </c>
      <c r="C2" t="s">
        <v>55</v>
      </c>
    </row>
    <row r="3" spans="2:6" x14ac:dyDescent="0.25">
      <c r="B3" s="3" t="s">
        <v>7</v>
      </c>
      <c r="C3" t="s">
        <v>55</v>
      </c>
    </row>
    <row r="4" spans="2:6" x14ac:dyDescent="0.25">
      <c r="B4" s="3" t="s">
        <v>8</v>
      </c>
      <c r="C4" t="s">
        <v>55</v>
      </c>
    </row>
    <row r="5" spans="2:6" x14ac:dyDescent="0.25">
      <c r="B5" s="3" t="s">
        <v>73</v>
      </c>
      <c r="C5" t="s">
        <v>55</v>
      </c>
    </row>
    <row r="7" spans="2:6" x14ac:dyDescent="0.25">
      <c r="B7" s="3" t="s">
        <v>0</v>
      </c>
      <c r="C7" s="3" t="s">
        <v>2</v>
      </c>
      <c r="D7" t="s">
        <v>16</v>
      </c>
      <c r="E7" t="s">
        <v>17</v>
      </c>
      <c r="F7" t="s">
        <v>19</v>
      </c>
    </row>
    <row r="8" spans="2:6" x14ac:dyDescent="0.25">
      <c r="B8" s="1">
        <v>42808</v>
      </c>
      <c r="C8">
        <v>0.41666666666666669</v>
      </c>
      <c r="D8" s="11">
        <v>0.86999999999999988</v>
      </c>
      <c r="E8" s="11">
        <v>0.85</v>
      </c>
      <c r="F8" s="11">
        <v>0.91000000000000014</v>
      </c>
    </row>
    <row r="9" spans="2:6" x14ac:dyDescent="0.25">
      <c r="C9">
        <v>0.45833333333333331</v>
      </c>
      <c r="D9" s="11">
        <v>0.8</v>
      </c>
      <c r="E9" s="11">
        <v>0.85</v>
      </c>
      <c r="F9" s="11">
        <v>0.87</v>
      </c>
    </row>
    <row r="10" spans="2:6" x14ac:dyDescent="0.25">
      <c r="C10">
        <v>7</v>
      </c>
      <c r="D10" s="11">
        <v>0.96666666666666679</v>
      </c>
      <c r="E10" s="11">
        <v>0.84999999999999976</v>
      </c>
      <c r="F10" s="11">
        <v>0.90000000000000024</v>
      </c>
    </row>
    <row r="11" spans="2:6" x14ac:dyDescent="0.25">
      <c r="C11">
        <v>8</v>
      </c>
      <c r="D11" s="11">
        <v>0.96666666666666656</v>
      </c>
      <c r="E11" s="11">
        <v>0.84999999999999976</v>
      </c>
      <c r="F11" s="11">
        <v>0.90000000000000013</v>
      </c>
    </row>
    <row r="12" spans="2:6" x14ac:dyDescent="0.25">
      <c r="C12">
        <v>9</v>
      </c>
      <c r="D12" s="11">
        <v>0.96666666666666679</v>
      </c>
      <c r="E12" s="11">
        <v>0.84999999999999987</v>
      </c>
      <c r="F12" s="11">
        <v>0.90000000000000013</v>
      </c>
    </row>
    <row r="13" spans="2:6" x14ac:dyDescent="0.25">
      <c r="C13">
        <v>10</v>
      </c>
      <c r="D13" s="11">
        <v>0.96666666666666679</v>
      </c>
      <c r="E13" s="11">
        <v>0.84999999999999987</v>
      </c>
      <c r="F13" s="11">
        <v>0.90000000000000013</v>
      </c>
    </row>
    <row r="14" spans="2:6" x14ac:dyDescent="0.25">
      <c r="C14">
        <v>11</v>
      </c>
      <c r="D14" s="11">
        <v>0.96666666666666679</v>
      </c>
      <c r="E14" s="11">
        <v>0.84999999999999987</v>
      </c>
      <c r="F14" s="11">
        <v>0.90000000000000013</v>
      </c>
    </row>
    <row r="15" spans="2:6" x14ac:dyDescent="0.25">
      <c r="C15">
        <v>12</v>
      </c>
      <c r="D15" s="11">
        <v>0.96666666666666679</v>
      </c>
      <c r="E15" s="11">
        <v>0.84999999999999976</v>
      </c>
      <c r="F15" s="11">
        <v>0.86666666666666681</v>
      </c>
    </row>
    <row r="16" spans="2:6" x14ac:dyDescent="0.25">
      <c r="C16">
        <v>13</v>
      </c>
      <c r="D16" s="11">
        <v>0.94222222222222229</v>
      </c>
      <c r="E16" s="11">
        <v>0.84999999999999976</v>
      </c>
      <c r="F16" s="11">
        <v>0.82777777777777795</v>
      </c>
    </row>
    <row r="17" spans="2:6" x14ac:dyDescent="0.25">
      <c r="C17">
        <v>14</v>
      </c>
      <c r="D17" s="11">
        <v>0.84222222222222232</v>
      </c>
      <c r="E17" s="11">
        <v>0.84999999999999987</v>
      </c>
      <c r="F17" s="11">
        <v>0.84444444444444455</v>
      </c>
    </row>
    <row r="18" spans="2:6" x14ac:dyDescent="0.25">
      <c r="C18">
        <v>15</v>
      </c>
      <c r="D18" s="11">
        <v>0.88222222222222235</v>
      </c>
      <c r="E18" s="11">
        <v>0.84999999999999987</v>
      </c>
      <c r="F18" s="11">
        <v>0.94444444444444464</v>
      </c>
    </row>
    <row r="19" spans="2:6" x14ac:dyDescent="0.25">
      <c r="C19">
        <v>16</v>
      </c>
      <c r="D19" s="11">
        <v>0.92222222222222228</v>
      </c>
      <c r="E19" s="11">
        <v>0.84999999999999987</v>
      </c>
      <c r="F19" s="11">
        <v>0.90000000000000013</v>
      </c>
    </row>
    <row r="20" spans="2:6" x14ac:dyDescent="0.25">
      <c r="C20">
        <v>17</v>
      </c>
      <c r="D20" s="11">
        <v>0.92222222222222228</v>
      </c>
      <c r="E20" s="11">
        <v>0.84999999999999987</v>
      </c>
      <c r="F20" s="11">
        <v>0.90000000000000013</v>
      </c>
    </row>
    <row r="21" spans="2:6" x14ac:dyDescent="0.25">
      <c r="C21">
        <v>18</v>
      </c>
      <c r="D21" s="11">
        <v>0.92222222222222228</v>
      </c>
      <c r="E21" s="11">
        <v>0.84999999999999987</v>
      </c>
      <c r="F21" s="11">
        <v>0.90000000000000013</v>
      </c>
    </row>
    <row r="22" spans="2:6" x14ac:dyDescent="0.25">
      <c r="C22">
        <v>19</v>
      </c>
      <c r="D22" s="11">
        <v>0.87777777777777788</v>
      </c>
      <c r="E22" s="11">
        <v>0.84999999999999987</v>
      </c>
      <c r="F22" s="11">
        <v>0.90000000000000013</v>
      </c>
    </row>
    <row r="23" spans="2:6" x14ac:dyDescent="0.25">
      <c r="C23">
        <v>20</v>
      </c>
      <c r="D23" s="11">
        <v>0.96666666666666679</v>
      </c>
      <c r="E23" s="11">
        <v>0.84999999999999987</v>
      </c>
      <c r="F23" s="11">
        <v>0.90000000000000013</v>
      </c>
    </row>
    <row r="24" spans="2:6" x14ac:dyDescent="0.25">
      <c r="C24">
        <v>21</v>
      </c>
      <c r="D24" s="11">
        <v>0.96666666666666679</v>
      </c>
      <c r="E24" s="11">
        <v>0.84999999999999987</v>
      </c>
      <c r="F24" s="11">
        <v>0.90000000000000013</v>
      </c>
    </row>
    <row r="25" spans="2:6" x14ac:dyDescent="0.25">
      <c r="C25">
        <v>22</v>
      </c>
      <c r="D25" s="11">
        <v>0.96666666666666679</v>
      </c>
      <c r="E25" s="11">
        <v>0.84999999999999987</v>
      </c>
      <c r="F25" s="11">
        <v>0.90000000000000013</v>
      </c>
    </row>
    <row r="26" spans="2:6" x14ac:dyDescent="0.25">
      <c r="C26">
        <v>23</v>
      </c>
      <c r="D26" s="11">
        <v>0.96666666666666679</v>
      </c>
      <c r="E26" s="11">
        <v>0.84999999999999987</v>
      </c>
      <c r="F26" s="11">
        <v>0.90000000000000013</v>
      </c>
    </row>
    <row r="27" spans="2:6" x14ac:dyDescent="0.25">
      <c r="B27" s="1">
        <v>42809</v>
      </c>
      <c r="C27">
        <v>0.41666666666666669</v>
      </c>
      <c r="D27" s="11">
        <v>0.84666666666666668</v>
      </c>
      <c r="E27" s="11">
        <v>0.85</v>
      </c>
      <c r="F27" s="11">
        <v>0.91666666666666663</v>
      </c>
    </row>
    <row r="28" spans="2:6" x14ac:dyDescent="0.25">
      <c r="C28">
        <v>0.875</v>
      </c>
      <c r="D28" s="11">
        <v>0.92</v>
      </c>
      <c r="E28" s="11">
        <v>0.85</v>
      </c>
      <c r="F28" s="11">
        <v>0.91666666666666663</v>
      </c>
    </row>
    <row r="29" spans="2:6" x14ac:dyDescent="0.25">
      <c r="B29" t="s">
        <v>60</v>
      </c>
      <c r="C29" t="s">
        <v>60</v>
      </c>
      <c r="D29" s="11"/>
      <c r="E29" s="11"/>
      <c r="F29" s="11"/>
    </row>
    <row r="30" spans="2:6" x14ac:dyDescent="0.25">
      <c r="B30" s="1">
        <v>42968</v>
      </c>
      <c r="C30">
        <v>7</v>
      </c>
      <c r="D30" s="11">
        <v>0.88296296296296306</v>
      </c>
      <c r="E30" s="11">
        <v>0.79999999999999993</v>
      </c>
      <c r="F30" s="11">
        <v>0</v>
      </c>
    </row>
    <row r="31" spans="2:6" x14ac:dyDescent="0.25">
      <c r="C31">
        <v>8</v>
      </c>
      <c r="D31" s="11">
        <v>0.92562603088918871</v>
      </c>
      <c r="E31" s="11">
        <v>0.79999999999999993</v>
      </c>
      <c r="F31" s="11">
        <v>0</v>
      </c>
    </row>
    <row r="32" spans="2:6" x14ac:dyDescent="0.25">
      <c r="C32">
        <v>9</v>
      </c>
      <c r="D32" s="11">
        <v>0.86154429283084244</v>
      </c>
      <c r="E32" s="11">
        <v>0.79999999999999993</v>
      </c>
      <c r="F32" s="11">
        <v>0</v>
      </c>
    </row>
    <row r="33" spans="3:6" x14ac:dyDescent="0.25">
      <c r="C33">
        <v>10</v>
      </c>
      <c r="D33" s="11">
        <v>0.81481481481481477</v>
      </c>
      <c r="E33" s="11">
        <v>0.79999999999999993</v>
      </c>
      <c r="F33" s="11">
        <v>0</v>
      </c>
    </row>
    <row r="34" spans="3:6" x14ac:dyDescent="0.25">
      <c r="C34">
        <v>11</v>
      </c>
      <c r="D34" s="11">
        <v>0.93307800224466897</v>
      </c>
      <c r="E34" s="11">
        <v>0.79999999999999993</v>
      </c>
      <c r="F34" s="11">
        <v>0</v>
      </c>
    </row>
    <row r="35" spans="3:6" x14ac:dyDescent="0.25">
      <c r="C35">
        <v>12</v>
      </c>
      <c r="D35" s="11">
        <v>0.93852880658436222</v>
      </c>
      <c r="E35" s="11">
        <v>0.79999999999999993</v>
      </c>
      <c r="F35" s="11">
        <v>0</v>
      </c>
    </row>
    <row r="36" spans="3:6" x14ac:dyDescent="0.25">
      <c r="C36">
        <v>13</v>
      </c>
      <c r="D36" s="11">
        <v>0.91574852163087472</v>
      </c>
      <c r="E36" s="11">
        <v>0.79999999999999993</v>
      </c>
      <c r="F36" s="11">
        <v>0</v>
      </c>
    </row>
    <row r="37" spans="3:6" x14ac:dyDescent="0.25">
      <c r="C37">
        <v>14</v>
      </c>
      <c r="D37" s="11">
        <v>0.94444444444444442</v>
      </c>
      <c r="E37" s="11">
        <v>0.79999999999999993</v>
      </c>
      <c r="F37" s="11">
        <v>0</v>
      </c>
    </row>
    <row r="38" spans="3:6" x14ac:dyDescent="0.25">
      <c r="C38">
        <v>15</v>
      </c>
      <c r="D38" s="11">
        <v>0.98559670781893005</v>
      </c>
      <c r="E38" s="11">
        <v>0.79999999999999993</v>
      </c>
      <c r="F38" s="11">
        <v>0</v>
      </c>
    </row>
    <row r="39" spans="3:6" x14ac:dyDescent="0.25">
      <c r="C39">
        <v>16</v>
      </c>
      <c r="D39" s="11">
        <v>0.92443246480982333</v>
      </c>
      <c r="E39" s="11">
        <v>0.79999999999999993</v>
      </c>
      <c r="F39" s="11">
        <v>0</v>
      </c>
    </row>
    <row r="40" spans="3:6" x14ac:dyDescent="0.25">
      <c r="C40">
        <v>17</v>
      </c>
      <c r="D40" s="11">
        <v>0.93754538852578073</v>
      </c>
      <c r="E40" s="11">
        <v>0.79999999999999993</v>
      </c>
      <c r="F40" s="11">
        <v>0</v>
      </c>
    </row>
    <row r="41" spans="3:6" x14ac:dyDescent="0.25">
      <c r="C41">
        <v>18</v>
      </c>
      <c r="D41" s="11">
        <v>0.77530864197530869</v>
      </c>
      <c r="E41" s="11">
        <v>0.79999999999999993</v>
      </c>
      <c r="F41" s="11">
        <v>0</v>
      </c>
    </row>
    <row r="42" spans="3:6" x14ac:dyDescent="0.25">
      <c r="C42">
        <v>19</v>
      </c>
      <c r="D42" s="11">
        <v>0.85058275058275057</v>
      </c>
      <c r="E42" s="11">
        <v>0.79999999999999993</v>
      </c>
      <c r="F42" s="11">
        <v>0</v>
      </c>
    </row>
    <row r="43" spans="3:6" x14ac:dyDescent="0.25">
      <c r="C43">
        <v>20</v>
      </c>
      <c r="D43" s="11">
        <v>0.94340455840455839</v>
      </c>
      <c r="E43" s="11">
        <v>0.79999999999999993</v>
      </c>
      <c r="F43" s="11">
        <v>0</v>
      </c>
    </row>
    <row r="44" spans="3:6" x14ac:dyDescent="0.25">
      <c r="C44">
        <v>21</v>
      </c>
      <c r="D44" s="11">
        <v>0.89907407407407391</v>
      </c>
      <c r="E44" s="11">
        <v>0.79999999999999993</v>
      </c>
      <c r="F44" s="11">
        <v>0</v>
      </c>
    </row>
    <row r="45" spans="3:6" x14ac:dyDescent="0.25">
      <c r="C45">
        <v>22</v>
      </c>
      <c r="D45" s="11">
        <v>1</v>
      </c>
      <c r="E45" s="11">
        <v>0.79999999999999993</v>
      </c>
      <c r="F45" s="11">
        <v>0</v>
      </c>
    </row>
    <row r="46" spans="3:6" x14ac:dyDescent="0.25">
      <c r="C46">
        <v>23</v>
      </c>
      <c r="D46" s="11">
        <v>0.90649701176016961</v>
      </c>
      <c r="E46" s="11">
        <v>0.79999999999999993</v>
      </c>
      <c r="F46" s="11">
        <v>0</v>
      </c>
    </row>
    <row r="47" spans="3:6" x14ac:dyDescent="0.25">
      <c r="C47">
        <v>0</v>
      </c>
      <c r="D47" s="11">
        <v>0.87192982456140355</v>
      </c>
      <c r="E47" s="11">
        <v>0.79999999999999993</v>
      </c>
      <c r="F47" s="11">
        <v>0</v>
      </c>
    </row>
    <row r="48" spans="3:6" x14ac:dyDescent="0.25">
      <c r="C48">
        <v>1</v>
      </c>
      <c r="D48" s="11">
        <v>0.80920314253647585</v>
      </c>
      <c r="E48" s="11">
        <v>0.79999999999999993</v>
      </c>
      <c r="F48" s="11">
        <v>0</v>
      </c>
    </row>
    <row r="49" spans="2:6" x14ac:dyDescent="0.25">
      <c r="C49">
        <v>2</v>
      </c>
      <c r="D49" s="11">
        <v>0.97964651581672868</v>
      </c>
      <c r="E49" s="11">
        <v>0.79999999999999993</v>
      </c>
      <c r="F49" s="11">
        <v>0</v>
      </c>
    </row>
    <row r="50" spans="2:6" x14ac:dyDescent="0.25">
      <c r="C50">
        <v>3</v>
      </c>
      <c r="D50" s="11">
        <v>0.75088025073577191</v>
      </c>
      <c r="E50" s="11">
        <v>0.79999999999999993</v>
      </c>
      <c r="F50" s="11">
        <v>0</v>
      </c>
    </row>
    <row r="51" spans="2:6" x14ac:dyDescent="0.25">
      <c r="C51">
        <v>4</v>
      </c>
      <c r="D51" s="11">
        <v>0.81666666666666665</v>
      </c>
      <c r="E51" s="11">
        <v>0.79999999999999993</v>
      </c>
      <c r="F51" s="11">
        <v>0</v>
      </c>
    </row>
    <row r="52" spans="2:6" x14ac:dyDescent="0.25">
      <c r="C52">
        <v>5</v>
      </c>
      <c r="D52" s="11">
        <v>0.99629629629629635</v>
      </c>
      <c r="E52" s="11">
        <v>0.79999999999999993</v>
      </c>
      <c r="F52" s="11">
        <v>0</v>
      </c>
    </row>
    <row r="53" spans="2:6" x14ac:dyDescent="0.25">
      <c r="C53">
        <v>6</v>
      </c>
      <c r="D53" s="11">
        <v>0.94685990338164239</v>
      </c>
      <c r="E53" s="11">
        <v>0.79999999999999993</v>
      </c>
      <c r="F53" s="11">
        <v>0</v>
      </c>
    </row>
    <row r="54" spans="2:6" x14ac:dyDescent="0.25">
      <c r="B54" t="s">
        <v>18</v>
      </c>
      <c r="D54" s="11">
        <v>0.91784209547935047</v>
      </c>
      <c r="E54" s="11">
        <v>0.82333333333333791</v>
      </c>
      <c r="F54" s="11">
        <v>0.41585185185185303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7"/>
  <dimension ref="B1:F54"/>
  <sheetViews>
    <sheetView workbookViewId="0">
      <selection activeCell="L37" sqref="L37"/>
    </sheetView>
  </sheetViews>
  <sheetFormatPr defaultRowHeight="15" x14ac:dyDescent="0.25"/>
  <cols>
    <col min="1" max="1" width="13.140625" customWidth="1"/>
    <col min="2" max="2" width="15.7109375" bestFit="1" customWidth="1"/>
    <col min="3" max="3" width="12" bestFit="1" customWidth="1"/>
    <col min="4" max="4" width="23.140625" bestFit="1" customWidth="1"/>
    <col min="5" max="5" width="15.42578125" bestFit="1" customWidth="1"/>
    <col min="6" max="6" width="25.140625" bestFit="1" customWidth="1"/>
  </cols>
  <sheetData>
    <row r="1" spans="2:6" x14ac:dyDescent="0.25">
      <c r="B1" s="3" t="s">
        <v>6</v>
      </c>
      <c r="C1" t="s">
        <v>55</v>
      </c>
    </row>
    <row r="2" spans="2:6" x14ac:dyDescent="0.25">
      <c r="B2" s="3" t="s">
        <v>4</v>
      </c>
      <c r="C2" t="s">
        <v>55</v>
      </c>
    </row>
    <row r="3" spans="2:6" x14ac:dyDescent="0.25">
      <c r="B3" s="3" t="s">
        <v>7</v>
      </c>
      <c r="C3" t="s">
        <v>55</v>
      </c>
    </row>
    <row r="4" spans="2:6" x14ac:dyDescent="0.25">
      <c r="B4" s="3" t="s">
        <v>8</v>
      </c>
      <c r="C4" t="s">
        <v>55</v>
      </c>
    </row>
    <row r="5" spans="2:6" x14ac:dyDescent="0.25">
      <c r="B5" s="3" t="s">
        <v>73</v>
      </c>
      <c r="C5" t="s">
        <v>55</v>
      </c>
    </row>
    <row r="7" spans="2:6" x14ac:dyDescent="0.25">
      <c r="B7" s="3" t="s">
        <v>0</v>
      </c>
      <c r="C7" s="3" t="s">
        <v>2</v>
      </c>
      <c r="D7" t="s">
        <v>16</v>
      </c>
      <c r="E7" t="s">
        <v>17</v>
      </c>
      <c r="F7" t="s">
        <v>80</v>
      </c>
    </row>
    <row r="8" spans="2:6" x14ac:dyDescent="0.25">
      <c r="B8" s="1">
        <v>42808</v>
      </c>
      <c r="C8">
        <v>0.41666666666666669</v>
      </c>
      <c r="D8" s="11">
        <v>0.86999999999999988</v>
      </c>
      <c r="E8" s="11">
        <v>0.85</v>
      </c>
      <c r="F8" s="11">
        <v>0.90999999999999992</v>
      </c>
    </row>
    <row r="9" spans="2:6" x14ac:dyDescent="0.25">
      <c r="C9">
        <v>0.45833333333333331</v>
      </c>
      <c r="D9" s="11">
        <v>0.8</v>
      </c>
      <c r="E9" s="11">
        <v>0.85</v>
      </c>
      <c r="F9" s="11">
        <v>1</v>
      </c>
    </row>
    <row r="10" spans="2:6" x14ac:dyDescent="0.25">
      <c r="C10">
        <v>7</v>
      </c>
      <c r="D10" s="11">
        <v>0.96666666666666679</v>
      </c>
      <c r="E10" s="11">
        <v>0.84999999999999976</v>
      </c>
      <c r="F10" s="11">
        <v>0.84999999999999976</v>
      </c>
    </row>
    <row r="11" spans="2:6" x14ac:dyDescent="0.25">
      <c r="C11">
        <v>8</v>
      </c>
      <c r="D11" s="11">
        <v>0.96666666666666656</v>
      </c>
      <c r="E11" s="11">
        <v>0.84999999999999976</v>
      </c>
      <c r="F11" s="11">
        <v>0.84999999999999976</v>
      </c>
    </row>
    <row r="12" spans="2:6" x14ac:dyDescent="0.25">
      <c r="C12">
        <v>9</v>
      </c>
      <c r="D12" s="11">
        <v>0.96666666666666679</v>
      </c>
      <c r="E12" s="11">
        <v>0.84999999999999987</v>
      </c>
      <c r="F12" s="11">
        <v>0.84999999999999987</v>
      </c>
    </row>
    <row r="13" spans="2:6" x14ac:dyDescent="0.25">
      <c r="C13">
        <v>10</v>
      </c>
      <c r="D13" s="11">
        <v>0.96666666666666679</v>
      </c>
      <c r="E13" s="11">
        <v>0.84999999999999987</v>
      </c>
      <c r="F13" s="11">
        <v>0.84999999999999987</v>
      </c>
    </row>
    <row r="14" spans="2:6" x14ac:dyDescent="0.25">
      <c r="C14">
        <v>11</v>
      </c>
      <c r="D14" s="11">
        <v>0.96666666666666679</v>
      </c>
      <c r="E14" s="11">
        <v>0.84999999999999987</v>
      </c>
      <c r="F14" s="11">
        <v>0.84999999999999987</v>
      </c>
    </row>
    <row r="15" spans="2:6" x14ac:dyDescent="0.25">
      <c r="C15">
        <v>12</v>
      </c>
      <c r="D15" s="11">
        <v>0.96666666666666679</v>
      </c>
      <c r="E15" s="11">
        <v>0.84999999999999976</v>
      </c>
      <c r="F15" s="11">
        <v>0.84999999999999976</v>
      </c>
    </row>
    <row r="16" spans="2:6" x14ac:dyDescent="0.25">
      <c r="C16">
        <v>13</v>
      </c>
      <c r="D16" s="11">
        <v>0.94222222222222229</v>
      </c>
      <c r="E16" s="11">
        <v>0.84999999999999976</v>
      </c>
      <c r="F16" s="11">
        <v>0.84999999999999976</v>
      </c>
    </row>
    <row r="17" spans="2:6" x14ac:dyDescent="0.25">
      <c r="C17">
        <v>14</v>
      </c>
      <c r="D17" s="11">
        <v>0.84222222222222232</v>
      </c>
      <c r="E17" s="11">
        <v>0.84999999999999987</v>
      </c>
      <c r="F17" s="11">
        <v>0.84999999999999987</v>
      </c>
    </row>
    <row r="18" spans="2:6" x14ac:dyDescent="0.25">
      <c r="C18">
        <v>15</v>
      </c>
      <c r="D18" s="11">
        <v>0.88222222222222235</v>
      </c>
      <c r="E18" s="11">
        <v>0.84999999999999987</v>
      </c>
      <c r="F18" s="11">
        <v>0.84999999999999987</v>
      </c>
    </row>
    <row r="19" spans="2:6" x14ac:dyDescent="0.25">
      <c r="C19">
        <v>16</v>
      </c>
      <c r="D19" s="11">
        <v>0.92222222222222228</v>
      </c>
      <c r="E19" s="11">
        <v>0.84999999999999987</v>
      </c>
      <c r="F19" s="11">
        <v>0.84999999999999987</v>
      </c>
    </row>
    <row r="20" spans="2:6" x14ac:dyDescent="0.25">
      <c r="C20">
        <v>17</v>
      </c>
      <c r="D20" s="11">
        <v>0.92222222222222228</v>
      </c>
      <c r="E20" s="11">
        <v>0.84999999999999987</v>
      </c>
      <c r="F20" s="11">
        <v>0.84999999999999987</v>
      </c>
    </row>
    <row r="21" spans="2:6" x14ac:dyDescent="0.25">
      <c r="C21">
        <v>18</v>
      </c>
      <c r="D21" s="11">
        <v>0.92222222222222228</v>
      </c>
      <c r="E21" s="11">
        <v>0.84999999999999987</v>
      </c>
      <c r="F21" s="11">
        <v>0.84999999999999987</v>
      </c>
    </row>
    <row r="22" spans="2:6" x14ac:dyDescent="0.25">
      <c r="C22">
        <v>19</v>
      </c>
      <c r="D22" s="11">
        <v>0.87777777777777788</v>
      </c>
      <c r="E22" s="11">
        <v>0.84999999999999987</v>
      </c>
      <c r="F22" s="11">
        <v>0.84999999999999987</v>
      </c>
    </row>
    <row r="23" spans="2:6" x14ac:dyDescent="0.25">
      <c r="C23">
        <v>20</v>
      </c>
      <c r="D23" s="11">
        <v>0.96666666666666679</v>
      </c>
      <c r="E23" s="11">
        <v>0.84999999999999987</v>
      </c>
      <c r="F23" s="11">
        <v>0.84999999999999987</v>
      </c>
    </row>
    <row r="24" spans="2:6" x14ac:dyDescent="0.25">
      <c r="C24">
        <v>21</v>
      </c>
      <c r="D24" s="11">
        <v>0.96666666666666679</v>
      </c>
      <c r="E24" s="11">
        <v>0.84999999999999987</v>
      </c>
      <c r="F24" s="11">
        <v>0.84999999999999987</v>
      </c>
    </row>
    <row r="25" spans="2:6" x14ac:dyDescent="0.25">
      <c r="C25">
        <v>22</v>
      </c>
      <c r="D25" s="11">
        <v>0.96666666666666679</v>
      </c>
      <c r="E25" s="11">
        <v>0.84999999999999987</v>
      </c>
      <c r="F25" s="11">
        <v>0.84999999999999987</v>
      </c>
    </row>
    <row r="26" spans="2:6" x14ac:dyDescent="0.25">
      <c r="C26">
        <v>23</v>
      </c>
      <c r="D26" s="11">
        <v>0.96666666666666679</v>
      </c>
      <c r="E26" s="11">
        <v>0.84999999999999987</v>
      </c>
      <c r="F26" s="11">
        <v>0.84999999999999987</v>
      </c>
    </row>
    <row r="27" spans="2:6" x14ac:dyDescent="0.25">
      <c r="B27" s="1">
        <v>42809</v>
      </c>
      <c r="C27">
        <v>0.41666666666666669</v>
      </c>
      <c r="D27" s="11">
        <v>0.84666666666666668</v>
      </c>
      <c r="E27" s="11">
        <v>0.85</v>
      </c>
      <c r="F27" s="11">
        <v>0.85</v>
      </c>
    </row>
    <row r="28" spans="2:6" x14ac:dyDescent="0.25">
      <c r="C28">
        <v>0.875</v>
      </c>
      <c r="D28" s="11">
        <v>0.92</v>
      </c>
      <c r="E28" s="11">
        <v>0.85</v>
      </c>
      <c r="F28" s="11">
        <v>0.85</v>
      </c>
    </row>
    <row r="29" spans="2:6" x14ac:dyDescent="0.25">
      <c r="B29" t="s">
        <v>60</v>
      </c>
      <c r="C29" t="s">
        <v>60</v>
      </c>
      <c r="D29" s="11"/>
      <c r="E29" s="11"/>
      <c r="F29" s="11"/>
    </row>
    <row r="30" spans="2:6" x14ac:dyDescent="0.25">
      <c r="B30" s="1">
        <v>42968</v>
      </c>
      <c r="C30">
        <v>7</v>
      </c>
      <c r="D30" s="11">
        <v>0.88296296296296306</v>
      </c>
      <c r="E30" s="11">
        <v>0.79999999999999993</v>
      </c>
      <c r="F30" s="11">
        <v>0.79999999999999993</v>
      </c>
    </row>
    <row r="31" spans="2:6" x14ac:dyDescent="0.25">
      <c r="C31">
        <v>8</v>
      </c>
      <c r="D31" s="11">
        <v>0.92562603088918871</v>
      </c>
      <c r="E31" s="11">
        <v>0.79999999999999993</v>
      </c>
      <c r="F31" s="11">
        <v>0.79999999999999993</v>
      </c>
    </row>
    <row r="32" spans="2:6" x14ac:dyDescent="0.25">
      <c r="C32">
        <v>9</v>
      </c>
      <c r="D32" s="11">
        <v>0.86154429283084244</v>
      </c>
      <c r="E32" s="11">
        <v>0.79999999999999993</v>
      </c>
      <c r="F32" s="11">
        <v>0.79999999999999993</v>
      </c>
    </row>
    <row r="33" spans="3:6" x14ac:dyDescent="0.25">
      <c r="C33">
        <v>10</v>
      </c>
      <c r="D33" s="11">
        <v>0.81481481481481477</v>
      </c>
      <c r="E33" s="11">
        <v>0.79999999999999993</v>
      </c>
      <c r="F33" s="11">
        <v>0.79999999999999993</v>
      </c>
    </row>
    <row r="34" spans="3:6" x14ac:dyDescent="0.25">
      <c r="C34">
        <v>11</v>
      </c>
      <c r="D34" s="11">
        <v>0.93307800224466897</v>
      </c>
      <c r="E34" s="11">
        <v>0.79999999999999993</v>
      </c>
      <c r="F34" s="11">
        <v>0.79999999999999993</v>
      </c>
    </row>
    <row r="35" spans="3:6" x14ac:dyDescent="0.25">
      <c r="C35">
        <v>12</v>
      </c>
      <c r="D35" s="11">
        <v>0.93852880658436222</v>
      </c>
      <c r="E35" s="11">
        <v>0.79999999999999993</v>
      </c>
      <c r="F35" s="11">
        <v>0.79999999999999993</v>
      </c>
    </row>
    <row r="36" spans="3:6" x14ac:dyDescent="0.25">
      <c r="C36">
        <v>13</v>
      </c>
      <c r="D36" s="11">
        <v>0.91574852163087472</v>
      </c>
      <c r="E36" s="11">
        <v>0.79999999999999993</v>
      </c>
      <c r="F36" s="11">
        <v>0.79999999999999993</v>
      </c>
    </row>
    <row r="37" spans="3:6" x14ac:dyDescent="0.25">
      <c r="C37">
        <v>14</v>
      </c>
      <c r="D37" s="11">
        <v>0.94444444444444442</v>
      </c>
      <c r="E37" s="11">
        <v>0.79999999999999993</v>
      </c>
      <c r="F37" s="11">
        <v>0.79999999999999993</v>
      </c>
    </row>
    <row r="38" spans="3:6" x14ac:dyDescent="0.25">
      <c r="C38">
        <v>15</v>
      </c>
      <c r="D38" s="11">
        <v>0.98559670781893005</v>
      </c>
      <c r="E38" s="11">
        <v>0.79999999999999993</v>
      </c>
      <c r="F38" s="11">
        <v>0.79999999999999993</v>
      </c>
    </row>
    <row r="39" spans="3:6" x14ac:dyDescent="0.25">
      <c r="C39">
        <v>16</v>
      </c>
      <c r="D39" s="11">
        <v>0.92443246480982333</v>
      </c>
      <c r="E39" s="11">
        <v>0.79999999999999993</v>
      </c>
      <c r="F39" s="11">
        <v>0.79999999999999993</v>
      </c>
    </row>
    <row r="40" spans="3:6" x14ac:dyDescent="0.25">
      <c r="C40">
        <v>17</v>
      </c>
      <c r="D40" s="11">
        <v>0.93754538852578073</v>
      </c>
      <c r="E40" s="11">
        <v>0.79999999999999993</v>
      </c>
      <c r="F40" s="11">
        <v>0.79999999999999993</v>
      </c>
    </row>
    <row r="41" spans="3:6" x14ac:dyDescent="0.25">
      <c r="C41">
        <v>18</v>
      </c>
      <c r="D41" s="11">
        <v>0.77530864197530869</v>
      </c>
      <c r="E41" s="11">
        <v>0.79999999999999993</v>
      </c>
      <c r="F41" s="11">
        <v>0.79999999999999993</v>
      </c>
    </row>
    <row r="42" spans="3:6" x14ac:dyDescent="0.25">
      <c r="C42">
        <v>19</v>
      </c>
      <c r="D42" s="11">
        <v>0.85058275058275057</v>
      </c>
      <c r="E42" s="11">
        <v>0.79999999999999993</v>
      </c>
      <c r="F42" s="11">
        <v>0.79999999999999993</v>
      </c>
    </row>
    <row r="43" spans="3:6" x14ac:dyDescent="0.25">
      <c r="C43">
        <v>20</v>
      </c>
      <c r="D43" s="11">
        <v>0.94340455840455839</v>
      </c>
      <c r="E43" s="11">
        <v>0.79999999999999993</v>
      </c>
      <c r="F43" s="11">
        <v>0.79999999999999993</v>
      </c>
    </row>
    <row r="44" spans="3:6" x14ac:dyDescent="0.25">
      <c r="C44">
        <v>21</v>
      </c>
      <c r="D44" s="11">
        <v>0.89907407407407391</v>
      </c>
      <c r="E44" s="11">
        <v>0.79999999999999993</v>
      </c>
      <c r="F44" s="11">
        <v>0.79999999999999993</v>
      </c>
    </row>
    <row r="45" spans="3:6" x14ac:dyDescent="0.25">
      <c r="C45">
        <v>22</v>
      </c>
      <c r="D45" s="11">
        <v>1</v>
      </c>
      <c r="E45" s="11">
        <v>0.79999999999999993</v>
      </c>
      <c r="F45" s="11">
        <v>0.79999999999999993</v>
      </c>
    </row>
    <row r="46" spans="3:6" x14ac:dyDescent="0.25">
      <c r="C46">
        <v>23</v>
      </c>
      <c r="D46" s="11">
        <v>0.90649701176016961</v>
      </c>
      <c r="E46" s="11">
        <v>0.79999999999999993</v>
      </c>
      <c r="F46" s="11">
        <v>0.79999999999999993</v>
      </c>
    </row>
    <row r="47" spans="3:6" x14ac:dyDescent="0.25">
      <c r="C47">
        <v>0</v>
      </c>
      <c r="D47" s="11">
        <v>0.87192982456140355</v>
      </c>
      <c r="E47" s="11">
        <v>0.79999999999999993</v>
      </c>
      <c r="F47" s="11">
        <v>0.79999999999999993</v>
      </c>
    </row>
    <row r="48" spans="3:6" x14ac:dyDescent="0.25">
      <c r="C48">
        <v>1</v>
      </c>
      <c r="D48" s="11">
        <v>0.80920314253647585</v>
      </c>
      <c r="E48" s="11">
        <v>0.79999999999999993</v>
      </c>
      <c r="F48" s="11">
        <v>0.79999999999999993</v>
      </c>
    </row>
    <row r="49" spans="2:6" x14ac:dyDescent="0.25">
      <c r="C49">
        <v>2</v>
      </c>
      <c r="D49" s="11">
        <v>0.97964651581672868</v>
      </c>
      <c r="E49" s="11">
        <v>0.79999999999999993</v>
      </c>
      <c r="F49" s="11">
        <v>0.79999999999999993</v>
      </c>
    </row>
    <row r="50" spans="2:6" x14ac:dyDescent="0.25">
      <c r="C50">
        <v>3</v>
      </c>
      <c r="D50" s="11">
        <v>0.75088025073577191</v>
      </c>
      <c r="E50" s="11">
        <v>0.79999999999999993</v>
      </c>
      <c r="F50" s="11">
        <v>0.79999999999999993</v>
      </c>
    </row>
    <row r="51" spans="2:6" x14ac:dyDescent="0.25">
      <c r="C51">
        <v>4</v>
      </c>
      <c r="D51" s="11">
        <v>0.81666666666666665</v>
      </c>
      <c r="E51" s="11">
        <v>0.79999999999999993</v>
      </c>
      <c r="F51" s="11">
        <v>0.79999999999999993</v>
      </c>
    </row>
    <row r="52" spans="2:6" x14ac:dyDescent="0.25">
      <c r="C52">
        <v>5</v>
      </c>
      <c r="D52" s="11">
        <v>0.99629629629629635</v>
      </c>
      <c r="E52" s="11">
        <v>0.79999999999999993</v>
      </c>
      <c r="F52" s="11">
        <v>0.79999999999999993</v>
      </c>
    </row>
    <row r="53" spans="2:6" x14ac:dyDescent="0.25">
      <c r="C53">
        <v>6</v>
      </c>
      <c r="D53" s="11">
        <v>0.94685990338164239</v>
      </c>
      <c r="E53" s="11">
        <v>0.79999999999999993</v>
      </c>
      <c r="F53" s="11">
        <v>0.79999999999999993</v>
      </c>
    </row>
    <row r="54" spans="2:6" x14ac:dyDescent="0.25">
      <c r="B54" t="s">
        <v>18</v>
      </c>
      <c r="D54" s="11">
        <v>0.91784209547935047</v>
      </c>
      <c r="E54" s="11">
        <v>0.82333333333333791</v>
      </c>
      <c r="F54" s="11">
        <v>0.82444444444444898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dimension ref="B2:D23"/>
  <sheetViews>
    <sheetView workbookViewId="0">
      <selection activeCell="G10" sqref="G10"/>
    </sheetView>
  </sheetViews>
  <sheetFormatPr defaultRowHeight="15" x14ac:dyDescent="0.25"/>
  <cols>
    <col min="1" max="1" width="15.28515625" customWidth="1"/>
    <col min="2" max="2" width="15.28515625" bestFit="1" customWidth="1"/>
    <col min="3" max="3" width="17.85546875" bestFit="1" customWidth="1"/>
    <col min="4" max="6" width="15.85546875" bestFit="1" customWidth="1"/>
    <col min="7" max="7" width="11.28515625" bestFit="1" customWidth="1"/>
    <col min="8" max="8" width="15.85546875" bestFit="1" customWidth="1"/>
    <col min="9" max="9" width="11.28515625" bestFit="1" customWidth="1"/>
    <col min="10" max="10" width="15.85546875" bestFit="1" customWidth="1"/>
    <col min="11" max="11" width="11.28515625" bestFit="1"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2" spans="2:4" x14ac:dyDescent="0.25">
      <c r="B2" s="3" t="s">
        <v>1</v>
      </c>
      <c r="C2" t="s">
        <v>72</v>
      </c>
    </row>
    <row r="3" spans="2:4" x14ac:dyDescent="0.25">
      <c r="B3" s="3" t="s">
        <v>38</v>
      </c>
      <c r="C3" t="s">
        <v>60</v>
      </c>
    </row>
    <row r="4" spans="2:4" x14ac:dyDescent="0.25">
      <c r="B4" s="3" t="s">
        <v>8</v>
      </c>
      <c r="C4" t="s">
        <v>12</v>
      </c>
    </row>
    <row r="5" spans="2:4" x14ac:dyDescent="0.25">
      <c r="B5" s="3" t="s">
        <v>41</v>
      </c>
      <c r="C5" t="s">
        <v>53</v>
      </c>
    </row>
    <row r="6" spans="2:4" x14ac:dyDescent="0.25">
      <c r="B6" s="3" t="s">
        <v>73</v>
      </c>
      <c r="C6" t="s">
        <v>82</v>
      </c>
    </row>
    <row r="8" spans="2:4" x14ac:dyDescent="0.25">
      <c r="B8" s="3" t="s">
        <v>54</v>
      </c>
      <c r="D8" s="3" t="s">
        <v>39</v>
      </c>
    </row>
    <row r="9" spans="2:4" x14ac:dyDescent="0.25">
      <c r="B9" s="3" t="s">
        <v>0</v>
      </c>
      <c r="C9" s="3" t="s">
        <v>37</v>
      </c>
      <c r="D9" t="s">
        <v>18</v>
      </c>
    </row>
    <row r="10" spans="2:4" x14ac:dyDescent="0.25">
      <c r="B10" t="s">
        <v>18</v>
      </c>
      <c r="D10" s="11"/>
    </row>
    <row r="23" ht="17.25" customHeight="1" x14ac:dyDescent="0.25"/>
  </sheetData>
  <dataConsolidate/>
  <pageMargins left="0.7" right="0.7" top="0.75" bottom="0.75" header="0.3" footer="0.3"/>
  <pageSetup paperSize="9" orientation="portrait"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
  <dimension ref="A1:C23"/>
  <sheetViews>
    <sheetView workbookViewId="0">
      <selection activeCell="A22" sqref="A22"/>
    </sheetView>
  </sheetViews>
  <sheetFormatPr defaultRowHeight="15" x14ac:dyDescent="0.25"/>
  <cols>
    <col min="1" max="1" width="15.28515625" bestFit="1" customWidth="1"/>
    <col min="2" max="2" width="17.85546875" bestFit="1" customWidth="1"/>
    <col min="3" max="5" width="15.85546875" bestFit="1" customWidth="1"/>
    <col min="6" max="6" width="11.28515625" bestFit="1" customWidth="1"/>
    <col min="7" max="7" width="15.85546875" bestFit="1" customWidth="1"/>
    <col min="8" max="8" width="11.28515625" bestFit="1" customWidth="1"/>
    <col min="9" max="9" width="15.85546875" bestFit="1" customWidth="1"/>
    <col min="10" max="10" width="11.28515625" bestFit="1"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3" x14ac:dyDescent="0.25">
      <c r="A1" s="3" t="s">
        <v>1</v>
      </c>
      <c r="B1" t="s">
        <v>72</v>
      </c>
    </row>
    <row r="2" spans="1:3" x14ac:dyDescent="0.25">
      <c r="A2" s="3" t="s">
        <v>38</v>
      </c>
      <c r="B2" t="s">
        <v>60</v>
      </c>
    </row>
    <row r="3" spans="1:3" x14ac:dyDescent="0.25">
      <c r="A3" s="3" t="s">
        <v>8</v>
      </c>
      <c r="B3" t="s">
        <v>12</v>
      </c>
    </row>
    <row r="4" spans="1:3" x14ac:dyDescent="0.25">
      <c r="A4" s="3" t="s">
        <v>41</v>
      </c>
      <c r="B4" t="s">
        <v>53</v>
      </c>
    </row>
    <row r="5" spans="1:3" x14ac:dyDescent="0.25">
      <c r="A5" s="3" t="s">
        <v>73</v>
      </c>
      <c r="B5" t="s">
        <v>82</v>
      </c>
    </row>
    <row r="7" spans="1:3" x14ac:dyDescent="0.25">
      <c r="A7" s="3" t="s">
        <v>54</v>
      </c>
      <c r="C7" s="3" t="s">
        <v>39</v>
      </c>
    </row>
    <row r="8" spans="1:3" x14ac:dyDescent="0.25">
      <c r="A8" s="3" t="s">
        <v>0</v>
      </c>
      <c r="B8" s="3" t="s">
        <v>37</v>
      </c>
      <c r="C8" t="s">
        <v>18</v>
      </c>
    </row>
    <row r="9" spans="1:3" x14ac:dyDescent="0.25">
      <c r="A9" t="s">
        <v>18</v>
      </c>
      <c r="C9" s="11"/>
    </row>
    <row r="23" ht="17.25" customHeight="1" x14ac:dyDescent="0.25"/>
  </sheetData>
  <dataConsolidate/>
  <pageMargins left="0.7" right="0.7" top="0.75" bottom="0.75" header="0.3" footer="0.3"/>
  <pageSetup paperSize="9" orientation="portrait"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dimension ref="A1:C23"/>
  <sheetViews>
    <sheetView workbookViewId="0">
      <selection activeCell="B13" sqref="B13"/>
    </sheetView>
  </sheetViews>
  <sheetFormatPr defaultRowHeight="15" x14ac:dyDescent="0.25"/>
  <cols>
    <col min="1" max="1" width="15.28515625" bestFit="1" customWidth="1"/>
    <col min="2" max="2" width="17.85546875" bestFit="1" customWidth="1"/>
    <col min="3" max="5" width="15.85546875" bestFit="1" customWidth="1"/>
    <col min="6" max="6" width="11.28515625" bestFit="1" customWidth="1"/>
    <col min="7" max="7" width="15.85546875" bestFit="1" customWidth="1"/>
    <col min="8" max="8" width="11.28515625" bestFit="1" customWidth="1"/>
    <col min="9" max="9" width="15.85546875" bestFit="1" customWidth="1"/>
    <col min="10" max="10" width="11.28515625" bestFit="1"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3" x14ac:dyDescent="0.25">
      <c r="A1" s="3" t="s">
        <v>1</v>
      </c>
      <c r="B1" t="s">
        <v>72</v>
      </c>
    </row>
    <row r="2" spans="1:3" x14ac:dyDescent="0.25">
      <c r="A2" s="3" t="s">
        <v>38</v>
      </c>
      <c r="B2" t="s">
        <v>60</v>
      </c>
    </row>
    <row r="3" spans="1:3" x14ac:dyDescent="0.25">
      <c r="A3" s="3" t="s">
        <v>8</v>
      </c>
      <c r="B3" t="s">
        <v>12</v>
      </c>
    </row>
    <row r="4" spans="1:3" x14ac:dyDescent="0.25">
      <c r="A4" s="3" t="s">
        <v>41</v>
      </c>
      <c r="B4" t="s">
        <v>53</v>
      </c>
    </row>
    <row r="5" spans="1:3" x14ac:dyDescent="0.25">
      <c r="A5" s="3" t="s">
        <v>73</v>
      </c>
      <c r="B5" t="s">
        <v>82</v>
      </c>
    </row>
    <row r="7" spans="1:3" x14ac:dyDescent="0.25">
      <c r="A7" s="3" t="s">
        <v>54</v>
      </c>
      <c r="C7" s="3" t="s">
        <v>39</v>
      </c>
    </row>
    <row r="8" spans="1:3" x14ac:dyDescent="0.25">
      <c r="A8" s="3" t="s">
        <v>0</v>
      </c>
      <c r="B8" s="3" t="s">
        <v>37</v>
      </c>
      <c r="C8" t="s">
        <v>18</v>
      </c>
    </row>
    <row r="9" spans="1:3" x14ac:dyDescent="0.25">
      <c r="A9" t="s">
        <v>18</v>
      </c>
      <c r="C9" s="11"/>
    </row>
    <row r="23" ht="17.25" customHeight="1" x14ac:dyDescent="0.25"/>
  </sheetData>
  <dataConsolidate/>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C23"/>
  <sheetViews>
    <sheetView workbookViewId="0">
      <selection activeCell="G32" sqref="G32"/>
    </sheetView>
  </sheetViews>
  <sheetFormatPr defaultRowHeight="15" x14ac:dyDescent="0.25"/>
  <cols>
    <col min="1" max="1" width="15.28515625" bestFit="1" customWidth="1"/>
    <col min="2" max="2" width="17.85546875" bestFit="1" customWidth="1"/>
    <col min="3" max="5" width="15.85546875" bestFit="1" customWidth="1"/>
    <col min="6" max="6" width="11.28515625" bestFit="1" customWidth="1"/>
    <col min="7" max="7" width="15.85546875" bestFit="1" customWidth="1"/>
    <col min="8" max="8" width="11.28515625" bestFit="1" customWidth="1"/>
    <col min="9" max="9" width="15.85546875" bestFit="1" customWidth="1"/>
    <col min="10" max="10" width="11.28515625" bestFit="1"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3" x14ac:dyDescent="0.25">
      <c r="A1" s="3" t="s">
        <v>1</v>
      </c>
      <c r="B1" t="s">
        <v>72</v>
      </c>
    </row>
    <row r="2" spans="1:3" x14ac:dyDescent="0.25">
      <c r="A2" s="3" t="s">
        <v>38</v>
      </c>
      <c r="B2" t="s">
        <v>60</v>
      </c>
    </row>
    <row r="3" spans="1:3" x14ac:dyDescent="0.25">
      <c r="A3" s="3" t="s">
        <v>8</v>
      </c>
      <c r="B3" t="s">
        <v>55</v>
      </c>
    </row>
    <row r="4" spans="1:3" x14ac:dyDescent="0.25">
      <c r="A4" s="3" t="s">
        <v>41</v>
      </c>
      <c r="B4" t="s">
        <v>53</v>
      </c>
    </row>
    <row r="5" spans="1:3" x14ac:dyDescent="0.25">
      <c r="A5" s="3" t="s">
        <v>73</v>
      </c>
      <c r="B5" t="s">
        <v>82</v>
      </c>
    </row>
    <row r="7" spans="1:3" x14ac:dyDescent="0.25">
      <c r="A7" s="3" t="s">
        <v>54</v>
      </c>
      <c r="C7" s="3" t="s">
        <v>39</v>
      </c>
    </row>
    <row r="8" spans="1:3" x14ac:dyDescent="0.25">
      <c r="A8" s="3" t="s">
        <v>0</v>
      </c>
      <c r="B8" s="3" t="s">
        <v>37</v>
      </c>
      <c r="C8" t="s">
        <v>18</v>
      </c>
    </row>
    <row r="9" spans="1:3" x14ac:dyDescent="0.25">
      <c r="A9" t="s">
        <v>18</v>
      </c>
      <c r="C9" s="11"/>
    </row>
    <row r="23" ht="17.25" customHeight="1" x14ac:dyDescent="0.25"/>
  </sheetData>
  <dataConsolidate/>
  <pageMargins left="0.7" right="0.7" top="0.75" bottom="0.75" header="0.3" footer="0.3"/>
  <pageSetup paperSize="9" orientation="portrait"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5"/>
  <dimension ref="A1:I23"/>
  <sheetViews>
    <sheetView workbookViewId="0">
      <selection activeCell="I10" sqref="I10"/>
    </sheetView>
  </sheetViews>
  <sheetFormatPr defaultRowHeight="15" x14ac:dyDescent="0.25"/>
  <cols>
    <col min="1" max="1" width="15.28515625" bestFit="1" customWidth="1"/>
    <col min="2" max="2" width="17.85546875" bestFit="1" customWidth="1"/>
    <col min="3" max="3" width="7.140625" bestFit="1" customWidth="1"/>
    <col min="4" max="4" width="8.42578125" bestFit="1" customWidth="1"/>
    <col min="5" max="5" width="10.42578125" bestFit="1" customWidth="1"/>
    <col min="6" max="6" width="12.42578125" bestFit="1" customWidth="1"/>
    <col min="7" max="7" width="6" bestFit="1" customWidth="1"/>
    <col min="8" max="8" width="8.140625" bestFit="1" customWidth="1"/>
    <col min="9" max="9" width="11.28515625" bestFit="1" customWidth="1"/>
    <col min="10" max="10" width="10.7109375" bestFit="1"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9" x14ac:dyDescent="0.25">
      <c r="A1" s="3" t="s">
        <v>1</v>
      </c>
      <c r="B1" t="s">
        <v>72</v>
      </c>
    </row>
    <row r="2" spans="1:9" x14ac:dyDescent="0.25">
      <c r="A2" s="3" t="s">
        <v>38</v>
      </c>
      <c r="B2" t="s">
        <v>55</v>
      </c>
    </row>
    <row r="3" spans="1:9" x14ac:dyDescent="0.25">
      <c r="A3" s="3" t="s">
        <v>8</v>
      </c>
      <c r="B3" t="s">
        <v>55</v>
      </c>
    </row>
    <row r="4" spans="1:9" x14ac:dyDescent="0.25">
      <c r="A4" s="3" t="s">
        <v>41</v>
      </c>
      <c r="B4" t="s">
        <v>53</v>
      </c>
    </row>
    <row r="5" spans="1:9" x14ac:dyDescent="0.25">
      <c r="A5" s="3" t="s">
        <v>73</v>
      </c>
      <c r="B5" t="s">
        <v>82</v>
      </c>
    </row>
    <row r="7" spans="1:9" x14ac:dyDescent="0.25">
      <c r="A7" s="3" t="s">
        <v>54</v>
      </c>
      <c r="B7" s="3" t="s">
        <v>5</v>
      </c>
    </row>
    <row r="8" spans="1:9" x14ac:dyDescent="0.25">
      <c r="A8" s="3" t="s">
        <v>79</v>
      </c>
      <c r="B8" t="s">
        <v>61</v>
      </c>
      <c r="C8" t="s">
        <v>42</v>
      </c>
      <c r="D8" t="s">
        <v>49</v>
      </c>
      <c r="E8" t="s">
        <v>45</v>
      </c>
      <c r="F8" t="s">
        <v>48</v>
      </c>
      <c r="G8" t="s">
        <v>47</v>
      </c>
      <c r="H8" t="s">
        <v>46</v>
      </c>
      <c r="I8" t="s">
        <v>18</v>
      </c>
    </row>
    <row r="9" spans="1:9" x14ac:dyDescent="0.25">
      <c r="A9" s="19">
        <v>42808</v>
      </c>
      <c r="B9" s="11"/>
      <c r="C9" s="11"/>
      <c r="D9" s="11"/>
      <c r="E9" s="11"/>
      <c r="F9" s="11"/>
      <c r="G9" s="11"/>
      <c r="H9" s="11"/>
      <c r="I9" s="11"/>
    </row>
    <row r="10" spans="1:9" x14ac:dyDescent="0.25">
      <c r="A10" s="21">
        <v>7</v>
      </c>
      <c r="B10" s="11">
        <v>135</v>
      </c>
      <c r="C10" s="11">
        <v>135</v>
      </c>
      <c r="D10" s="11">
        <v>135</v>
      </c>
      <c r="E10" s="11">
        <v>135</v>
      </c>
      <c r="F10" s="11">
        <v>135</v>
      </c>
      <c r="G10" s="11">
        <v>4.7</v>
      </c>
      <c r="H10" s="11">
        <v>5.5</v>
      </c>
      <c r="I10" s="11">
        <v>685.2</v>
      </c>
    </row>
    <row r="11" spans="1:9" x14ac:dyDescent="0.25">
      <c r="A11" s="21">
        <v>8</v>
      </c>
      <c r="B11" s="11">
        <v>135</v>
      </c>
      <c r="C11" s="11">
        <v>135</v>
      </c>
      <c r="D11" s="11">
        <v>135</v>
      </c>
      <c r="E11" s="11">
        <v>135</v>
      </c>
      <c r="F11" s="11">
        <v>135</v>
      </c>
      <c r="G11" s="11">
        <v>4.7</v>
      </c>
      <c r="H11" s="11">
        <v>5.5</v>
      </c>
      <c r="I11" s="11">
        <v>685.2</v>
      </c>
    </row>
    <row r="12" spans="1:9" x14ac:dyDescent="0.25">
      <c r="A12" s="21">
        <v>9</v>
      </c>
      <c r="B12" s="11">
        <v>135</v>
      </c>
      <c r="C12" s="11">
        <v>135</v>
      </c>
      <c r="D12" s="11">
        <v>135</v>
      </c>
      <c r="E12" s="11">
        <v>135</v>
      </c>
      <c r="F12" s="11">
        <v>135</v>
      </c>
      <c r="G12" s="11">
        <v>4.7</v>
      </c>
      <c r="H12" s="11">
        <v>5.5</v>
      </c>
      <c r="I12" s="11">
        <v>685.2</v>
      </c>
    </row>
    <row r="13" spans="1:9" x14ac:dyDescent="0.25">
      <c r="A13" s="21">
        <v>10</v>
      </c>
      <c r="B13" s="11">
        <v>135</v>
      </c>
      <c r="C13" s="11">
        <v>135</v>
      </c>
      <c r="D13" s="11">
        <v>135</v>
      </c>
      <c r="E13" s="11">
        <v>135</v>
      </c>
      <c r="F13" s="11">
        <v>135</v>
      </c>
      <c r="G13" s="11">
        <v>4.7</v>
      </c>
      <c r="H13" s="11">
        <v>5.5</v>
      </c>
      <c r="I13" s="11">
        <v>685.2</v>
      </c>
    </row>
    <row r="14" spans="1:9" x14ac:dyDescent="0.25">
      <c r="A14" s="21">
        <v>11</v>
      </c>
      <c r="B14" s="11">
        <v>135</v>
      </c>
      <c r="C14" s="11">
        <v>135</v>
      </c>
      <c r="D14" s="11">
        <v>135</v>
      </c>
      <c r="E14" s="11">
        <v>135</v>
      </c>
      <c r="F14" s="11">
        <v>135</v>
      </c>
      <c r="G14" s="11">
        <v>4.7</v>
      </c>
      <c r="H14" s="11">
        <v>5.5</v>
      </c>
      <c r="I14" s="11">
        <v>685.2</v>
      </c>
    </row>
    <row r="15" spans="1:9" x14ac:dyDescent="0.25">
      <c r="A15" s="21">
        <v>12</v>
      </c>
      <c r="B15" s="11">
        <v>135</v>
      </c>
      <c r="C15" s="11">
        <v>135</v>
      </c>
      <c r="D15" s="11">
        <v>115</v>
      </c>
      <c r="E15" s="11">
        <v>135</v>
      </c>
      <c r="F15" s="11">
        <v>155</v>
      </c>
      <c r="G15" s="11">
        <v>4.7</v>
      </c>
      <c r="H15" s="11">
        <v>5.5</v>
      </c>
      <c r="I15" s="11">
        <v>685.2</v>
      </c>
    </row>
    <row r="16" spans="1:9" x14ac:dyDescent="0.25">
      <c r="A16" s="21">
        <v>13</v>
      </c>
      <c r="B16" s="11">
        <v>70</v>
      </c>
      <c r="C16" s="11">
        <v>180</v>
      </c>
      <c r="D16" s="11">
        <v>90</v>
      </c>
      <c r="E16" s="11">
        <v>180</v>
      </c>
      <c r="F16" s="11">
        <v>135</v>
      </c>
      <c r="G16" s="11">
        <v>4.54</v>
      </c>
      <c r="H16" s="11">
        <v>5.5</v>
      </c>
      <c r="I16" s="11">
        <v>665.04</v>
      </c>
    </row>
    <row r="17" spans="1:9" x14ac:dyDescent="0.25">
      <c r="A17" s="21">
        <v>14</v>
      </c>
      <c r="B17" s="11">
        <v>145</v>
      </c>
      <c r="C17" s="11">
        <v>90</v>
      </c>
      <c r="D17" s="11">
        <v>145</v>
      </c>
      <c r="E17" s="11">
        <v>90</v>
      </c>
      <c r="F17" s="11">
        <v>125</v>
      </c>
      <c r="G17" s="11">
        <v>4.59</v>
      </c>
      <c r="H17" s="11">
        <v>5.5</v>
      </c>
      <c r="I17" s="11">
        <v>605.09</v>
      </c>
    </row>
    <row r="18" spans="1:9" x14ac:dyDescent="0.25">
      <c r="A18" s="21">
        <v>15</v>
      </c>
      <c r="B18" s="11">
        <v>145</v>
      </c>
      <c r="C18" s="11">
        <v>135</v>
      </c>
      <c r="D18" s="11">
        <v>145</v>
      </c>
      <c r="E18" s="11">
        <v>135</v>
      </c>
      <c r="F18" s="11">
        <v>125</v>
      </c>
      <c r="G18" s="11">
        <v>4.84</v>
      </c>
      <c r="H18" s="11">
        <v>5.5</v>
      </c>
      <c r="I18" s="11">
        <v>695.34</v>
      </c>
    </row>
    <row r="19" spans="1:9" x14ac:dyDescent="0.25">
      <c r="A19" s="21">
        <v>16</v>
      </c>
      <c r="B19" s="11">
        <v>135</v>
      </c>
      <c r="C19" s="11">
        <v>135</v>
      </c>
      <c r="D19" s="11">
        <v>135</v>
      </c>
      <c r="E19" s="11">
        <v>135</v>
      </c>
      <c r="F19" s="11">
        <v>135</v>
      </c>
      <c r="G19" s="11">
        <v>4.7</v>
      </c>
      <c r="H19" s="11">
        <v>5.5</v>
      </c>
      <c r="I19" s="11">
        <v>685.2</v>
      </c>
    </row>
    <row r="20" spans="1:9" x14ac:dyDescent="0.25">
      <c r="A20" s="21">
        <v>17</v>
      </c>
      <c r="B20" s="11">
        <v>135</v>
      </c>
      <c r="C20" s="11">
        <v>135</v>
      </c>
      <c r="D20" s="11">
        <v>135</v>
      </c>
      <c r="E20" s="11">
        <v>135</v>
      </c>
      <c r="F20" s="11">
        <v>135</v>
      </c>
      <c r="G20" s="11">
        <v>4.7</v>
      </c>
      <c r="H20" s="11">
        <v>5.5</v>
      </c>
      <c r="I20" s="11">
        <v>685.2</v>
      </c>
    </row>
    <row r="21" spans="1:9" x14ac:dyDescent="0.25">
      <c r="A21" s="21">
        <v>18</v>
      </c>
      <c r="B21" s="11">
        <v>135</v>
      </c>
      <c r="C21" s="11">
        <v>135</v>
      </c>
      <c r="D21" s="11">
        <v>135</v>
      </c>
      <c r="E21" s="11">
        <v>135</v>
      </c>
      <c r="F21" s="11">
        <v>135</v>
      </c>
      <c r="G21" s="11">
        <v>4.7</v>
      </c>
      <c r="H21" s="11">
        <v>5.5</v>
      </c>
      <c r="I21" s="11">
        <v>685.2</v>
      </c>
    </row>
    <row r="22" spans="1:9" x14ac:dyDescent="0.25">
      <c r="A22" s="21">
        <v>19</v>
      </c>
      <c r="B22" s="11">
        <v>135</v>
      </c>
      <c r="C22" s="11">
        <v>135</v>
      </c>
      <c r="D22" s="11">
        <v>135</v>
      </c>
      <c r="E22" s="11">
        <v>135</v>
      </c>
      <c r="F22" s="11">
        <v>135</v>
      </c>
      <c r="G22" s="11">
        <v>4.7</v>
      </c>
      <c r="H22" s="11">
        <v>5.5</v>
      </c>
      <c r="I22" s="11">
        <v>685.2</v>
      </c>
    </row>
    <row r="23" spans="1:9" ht="17.25" customHeight="1" x14ac:dyDescent="0.25">
      <c r="A23" s="20" t="s">
        <v>18</v>
      </c>
      <c r="B23" s="11">
        <v>1710</v>
      </c>
      <c r="C23" s="11">
        <v>1755</v>
      </c>
      <c r="D23" s="11">
        <v>1710</v>
      </c>
      <c r="E23" s="11">
        <v>1755</v>
      </c>
      <c r="F23" s="11">
        <v>1755</v>
      </c>
      <c r="G23" s="11">
        <v>60.970000000000013</v>
      </c>
      <c r="H23" s="11">
        <v>71.5</v>
      </c>
      <c r="I23" s="11">
        <v>8817.4699999999993</v>
      </c>
    </row>
  </sheetData>
  <dataConsolidate/>
  <pageMargins left="0.7" right="0.7" top="0.75" bottom="0.75" header="0.3" footer="0.3"/>
  <pageSetup paperSize="9" orientation="portrait"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J23"/>
  <sheetViews>
    <sheetView workbookViewId="0">
      <selection activeCell="A7" sqref="A7"/>
    </sheetView>
  </sheetViews>
  <sheetFormatPr defaultRowHeight="15" x14ac:dyDescent="0.25"/>
  <cols>
    <col min="1" max="1" width="15.28515625" bestFit="1" customWidth="1"/>
    <col min="2" max="2" width="17.85546875" bestFit="1" customWidth="1"/>
    <col min="3" max="9" width="15.85546875" bestFit="1" customWidth="1"/>
    <col min="10" max="10" width="11.28515625" bestFit="1"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10" x14ac:dyDescent="0.25">
      <c r="A1" s="3" t="s">
        <v>1</v>
      </c>
      <c r="B1" t="s">
        <v>72</v>
      </c>
    </row>
    <row r="2" spans="1:10" x14ac:dyDescent="0.25">
      <c r="A2" s="3" t="s">
        <v>38</v>
      </c>
      <c r="B2" t="s">
        <v>55</v>
      </c>
    </row>
    <row r="3" spans="1:10" x14ac:dyDescent="0.25">
      <c r="A3" s="3" t="s">
        <v>8</v>
      </c>
      <c r="B3" t="s">
        <v>55</v>
      </c>
    </row>
    <row r="4" spans="1:10" x14ac:dyDescent="0.25">
      <c r="A4" s="3" t="s">
        <v>41</v>
      </c>
      <c r="B4" t="s">
        <v>53</v>
      </c>
    </row>
    <row r="5" spans="1:10" x14ac:dyDescent="0.25">
      <c r="A5" s="3" t="s">
        <v>73</v>
      </c>
      <c r="B5" t="s">
        <v>82</v>
      </c>
    </row>
    <row r="7" spans="1:10" x14ac:dyDescent="0.25">
      <c r="A7" s="3" t="s">
        <v>54</v>
      </c>
      <c r="C7" s="3" t="s">
        <v>39</v>
      </c>
    </row>
    <row r="8" spans="1:10" x14ac:dyDescent="0.25">
      <c r="A8" s="3" t="s">
        <v>0</v>
      </c>
      <c r="B8" s="3" t="s">
        <v>37</v>
      </c>
      <c r="C8" t="s">
        <v>61</v>
      </c>
      <c r="D8" t="s">
        <v>42</v>
      </c>
      <c r="E8" t="s">
        <v>49</v>
      </c>
      <c r="F8" t="s">
        <v>45</v>
      </c>
      <c r="G8" t="s">
        <v>48</v>
      </c>
      <c r="H8" t="s">
        <v>47</v>
      </c>
      <c r="I8" t="s">
        <v>46</v>
      </c>
      <c r="J8" t="s">
        <v>18</v>
      </c>
    </row>
    <row r="9" spans="1:10" x14ac:dyDescent="0.25">
      <c r="A9" s="1">
        <v>42808</v>
      </c>
      <c r="B9">
        <v>7</v>
      </c>
      <c r="C9" s="11">
        <v>135</v>
      </c>
      <c r="D9" s="11">
        <v>135</v>
      </c>
      <c r="E9" s="11">
        <v>135</v>
      </c>
      <c r="F9" s="11">
        <v>135</v>
      </c>
      <c r="G9" s="11">
        <v>135</v>
      </c>
      <c r="H9" s="11">
        <v>4.7</v>
      </c>
      <c r="I9" s="11">
        <v>5.5</v>
      </c>
      <c r="J9" s="11">
        <v>685.2</v>
      </c>
    </row>
    <row r="10" spans="1:10" x14ac:dyDescent="0.25">
      <c r="B10">
        <v>8</v>
      </c>
      <c r="C10" s="11">
        <v>135</v>
      </c>
      <c r="D10" s="11">
        <v>135</v>
      </c>
      <c r="E10" s="11">
        <v>135</v>
      </c>
      <c r="F10" s="11">
        <v>135</v>
      </c>
      <c r="G10" s="11">
        <v>135</v>
      </c>
      <c r="H10" s="11">
        <v>4.7</v>
      </c>
      <c r="I10" s="11">
        <v>5.5</v>
      </c>
      <c r="J10" s="11">
        <v>685.2</v>
      </c>
    </row>
    <row r="11" spans="1:10" x14ac:dyDescent="0.25">
      <c r="B11">
        <v>9</v>
      </c>
      <c r="C11" s="11">
        <v>135</v>
      </c>
      <c r="D11" s="11">
        <v>135</v>
      </c>
      <c r="E11" s="11">
        <v>135</v>
      </c>
      <c r="F11" s="11">
        <v>135</v>
      </c>
      <c r="G11" s="11">
        <v>135</v>
      </c>
      <c r="H11" s="11">
        <v>4.7</v>
      </c>
      <c r="I11" s="11">
        <v>5.5</v>
      </c>
      <c r="J11" s="11">
        <v>685.2</v>
      </c>
    </row>
    <row r="12" spans="1:10" x14ac:dyDescent="0.25">
      <c r="B12">
        <v>10</v>
      </c>
      <c r="C12" s="11">
        <v>135</v>
      </c>
      <c r="D12" s="11">
        <v>135</v>
      </c>
      <c r="E12" s="11">
        <v>135</v>
      </c>
      <c r="F12" s="11">
        <v>135</v>
      </c>
      <c r="G12" s="11">
        <v>135</v>
      </c>
      <c r="H12" s="11">
        <v>4.7</v>
      </c>
      <c r="I12" s="11">
        <v>5.5</v>
      </c>
      <c r="J12" s="11">
        <v>685.2</v>
      </c>
    </row>
    <row r="13" spans="1:10" x14ac:dyDescent="0.25">
      <c r="B13">
        <v>11</v>
      </c>
      <c r="C13" s="11">
        <v>135</v>
      </c>
      <c r="D13" s="11">
        <v>135</v>
      </c>
      <c r="E13" s="11">
        <v>135</v>
      </c>
      <c r="F13" s="11">
        <v>135</v>
      </c>
      <c r="G13" s="11">
        <v>135</v>
      </c>
      <c r="H13" s="11">
        <v>4.7</v>
      </c>
      <c r="I13" s="11">
        <v>5.5</v>
      </c>
      <c r="J13" s="11">
        <v>685.2</v>
      </c>
    </row>
    <row r="14" spans="1:10" x14ac:dyDescent="0.25">
      <c r="B14">
        <v>12</v>
      </c>
      <c r="C14" s="11">
        <v>135</v>
      </c>
      <c r="D14" s="11">
        <v>135</v>
      </c>
      <c r="E14" s="11">
        <v>115</v>
      </c>
      <c r="F14" s="11">
        <v>135</v>
      </c>
      <c r="G14" s="11">
        <v>155</v>
      </c>
      <c r="H14" s="11">
        <v>4.7</v>
      </c>
      <c r="I14" s="11">
        <v>5.5</v>
      </c>
      <c r="J14" s="11">
        <v>685.2</v>
      </c>
    </row>
    <row r="15" spans="1:10" x14ac:dyDescent="0.25">
      <c r="B15">
        <v>13</v>
      </c>
      <c r="C15" s="11">
        <v>70</v>
      </c>
      <c r="D15" s="11">
        <v>180</v>
      </c>
      <c r="E15" s="11">
        <v>90</v>
      </c>
      <c r="F15" s="11">
        <v>180</v>
      </c>
      <c r="G15" s="11">
        <v>135</v>
      </c>
      <c r="H15" s="11">
        <v>4.54</v>
      </c>
      <c r="I15" s="11">
        <v>5.5</v>
      </c>
      <c r="J15" s="11">
        <v>665.04</v>
      </c>
    </row>
    <row r="16" spans="1:10" x14ac:dyDescent="0.25">
      <c r="B16">
        <v>14</v>
      </c>
      <c r="C16" s="11">
        <v>145</v>
      </c>
      <c r="D16" s="11">
        <v>90</v>
      </c>
      <c r="E16" s="11">
        <v>145</v>
      </c>
      <c r="F16" s="11">
        <v>90</v>
      </c>
      <c r="G16" s="11">
        <v>125</v>
      </c>
      <c r="H16" s="11">
        <v>4.59</v>
      </c>
      <c r="I16" s="11">
        <v>5.5</v>
      </c>
      <c r="J16" s="11">
        <v>605.09</v>
      </c>
    </row>
    <row r="17" spans="1:10" x14ac:dyDescent="0.25">
      <c r="B17">
        <v>15</v>
      </c>
      <c r="C17" s="11">
        <v>145</v>
      </c>
      <c r="D17" s="11">
        <v>135</v>
      </c>
      <c r="E17" s="11">
        <v>145</v>
      </c>
      <c r="F17" s="11">
        <v>135</v>
      </c>
      <c r="G17" s="11">
        <v>125</v>
      </c>
      <c r="H17" s="11">
        <v>4.84</v>
      </c>
      <c r="I17" s="11">
        <v>5.5</v>
      </c>
      <c r="J17" s="11">
        <v>695.34</v>
      </c>
    </row>
    <row r="18" spans="1:10" x14ac:dyDescent="0.25">
      <c r="B18">
        <v>16</v>
      </c>
      <c r="C18" s="11">
        <v>135</v>
      </c>
      <c r="D18" s="11">
        <v>135</v>
      </c>
      <c r="E18" s="11">
        <v>135</v>
      </c>
      <c r="F18" s="11">
        <v>135</v>
      </c>
      <c r="G18" s="11">
        <v>135</v>
      </c>
      <c r="H18" s="11">
        <v>4.7</v>
      </c>
      <c r="I18" s="11">
        <v>5.5</v>
      </c>
      <c r="J18" s="11">
        <v>685.2</v>
      </c>
    </row>
    <row r="19" spans="1:10" x14ac:dyDescent="0.25">
      <c r="B19">
        <v>17</v>
      </c>
      <c r="C19" s="11">
        <v>135</v>
      </c>
      <c r="D19" s="11">
        <v>135</v>
      </c>
      <c r="E19" s="11">
        <v>135</v>
      </c>
      <c r="F19" s="11">
        <v>135</v>
      </c>
      <c r="G19" s="11">
        <v>135</v>
      </c>
      <c r="H19" s="11">
        <v>4.7</v>
      </c>
      <c r="I19" s="11">
        <v>5.5</v>
      </c>
      <c r="J19" s="11">
        <v>685.2</v>
      </c>
    </row>
    <row r="20" spans="1:10" x14ac:dyDescent="0.25">
      <c r="B20">
        <v>18</v>
      </c>
      <c r="C20" s="11">
        <v>135</v>
      </c>
      <c r="D20" s="11">
        <v>135</v>
      </c>
      <c r="E20" s="11">
        <v>135</v>
      </c>
      <c r="F20" s="11">
        <v>135</v>
      </c>
      <c r="G20" s="11">
        <v>135</v>
      </c>
      <c r="H20" s="11">
        <v>4.7</v>
      </c>
      <c r="I20" s="11">
        <v>5.5</v>
      </c>
      <c r="J20" s="11">
        <v>685.2</v>
      </c>
    </row>
    <row r="21" spans="1:10" x14ac:dyDescent="0.25">
      <c r="B21">
        <v>19</v>
      </c>
      <c r="C21" s="11">
        <v>135</v>
      </c>
      <c r="D21" s="11">
        <v>135</v>
      </c>
      <c r="E21" s="11">
        <v>135</v>
      </c>
      <c r="F21" s="11">
        <v>135</v>
      </c>
      <c r="G21" s="11">
        <v>135</v>
      </c>
      <c r="H21" s="11">
        <v>4.7</v>
      </c>
      <c r="I21" s="11">
        <v>5.5</v>
      </c>
      <c r="J21" s="11">
        <v>685.2</v>
      </c>
    </row>
    <row r="22" spans="1:10" x14ac:dyDescent="0.25">
      <c r="A22" t="s">
        <v>18</v>
      </c>
      <c r="C22" s="11">
        <v>1710</v>
      </c>
      <c r="D22" s="11">
        <v>1755</v>
      </c>
      <c r="E22" s="11">
        <v>1710</v>
      </c>
      <c r="F22" s="11">
        <v>1755</v>
      </c>
      <c r="G22" s="11">
        <v>1755</v>
      </c>
      <c r="H22" s="11">
        <v>60.970000000000013</v>
      </c>
      <c r="I22" s="11">
        <v>71.5</v>
      </c>
      <c r="J22" s="11">
        <v>8817.4699999999993</v>
      </c>
    </row>
    <row r="23" spans="1:10" ht="17.25" customHeight="1" x14ac:dyDescent="0.25"/>
  </sheetData>
  <dataConsolidate/>
  <pageMargins left="0.7" right="0.7" top="0.75" bottom="0.75" header="0.3" footer="0.3"/>
  <pageSetup paperSize="9" orientation="portrait"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7"/>
  <dimension ref="A1:J23"/>
  <sheetViews>
    <sheetView workbookViewId="0">
      <selection activeCell="F15" sqref="F15"/>
    </sheetView>
  </sheetViews>
  <sheetFormatPr defaultRowHeight="15" x14ac:dyDescent="0.25"/>
  <cols>
    <col min="1" max="1" width="16.7109375" bestFit="1" customWidth="1"/>
    <col min="2" max="2" width="17.85546875" bestFit="1" customWidth="1"/>
    <col min="3" max="9" width="15.85546875" bestFit="1" customWidth="1"/>
    <col min="10" max="10" width="11.28515625"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10" x14ac:dyDescent="0.25">
      <c r="A1" s="3" t="s">
        <v>1</v>
      </c>
      <c r="B1" t="s">
        <v>72</v>
      </c>
    </row>
    <row r="2" spans="1:10" x14ac:dyDescent="0.25">
      <c r="A2" s="3" t="s">
        <v>38</v>
      </c>
      <c r="B2" t="s">
        <v>55</v>
      </c>
    </row>
    <row r="3" spans="1:10" x14ac:dyDescent="0.25">
      <c r="A3" s="3" t="s">
        <v>8</v>
      </c>
      <c r="B3" t="s">
        <v>55</v>
      </c>
    </row>
    <row r="4" spans="1:10" x14ac:dyDescent="0.25">
      <c r="A4" s="3" t="s">
        <v>41</v>
      </c>
      <c r="B4" t="s">
        <v>53</v>
      </c>
    </row>
    <row r="5" spans="1:10" x14ac:dyDescent="0.25">
      <c r="A5" s="3" t="s">
        <v>73</v>
      </c>
      <c r="B5" t="s">
        <v>82</v>
      </c>
    </row>
    <row r="7" spans="1:10" x14ac:dyDescent="0.25">
      <c r="A7" s="3" t="s">
        <v>54</v>
      </c>
      <c r="C7" s="3" t="s">
        <v>39</v>
      </c>
    </row>
    <row r="8" spans="1:10" x14ac:dyDescent="0.25">
      <c r="A8" s="3" t="s">
        <v>0</v>
      </c>
      <c r="B8" s="3" t="s">
        <v>37</v>
      </c>
      <c r="C8" t="s">
        <v>61</v>
      </c>
      <c r="D8" t="s">
        <v>42</v>
      </c>
      <c r="E8" t="s">
        <v>49</v>
      </c>
      <c r="F8" t="s">
        <v>45</v>
      </c>
      <c r="G8" t="s">
        <v>48</v>
      </c>
      <c r="H8" t="s">
        <v>47</v>
      </c>
      <c r="I8" t="s">
        <v>46</v>
      </c>
      <c r="J8" t="s">
        <v>18</v>
      </c>
    </row>
    <row r="9" spans="1:10" x14ac:dyDescent="0.25">
      <c r="A9" s="1">
        <v>42808</v>
      </c>
      <c r="B9">
        <v>7</v>
      </c>
      <c r="C9" s="11">
        <v>135</v>
      </c>
      <c r="D9" s="11">
        <v>135</v>
      </c>
      <c r="E9" s="11">
        <v>135</v>
      </c>
      <c r="F9" s="11">
        <v>135</v>
      </c>
      <c r="G9" s="11">
        <v>135</v>
      </c>
      <c r="H9" s="11">
        <v>4.7</v>
      </c>
      <c r="I9" s="11">
        <v>5.5</v>
      </c>
      <c r="J9" s="11">
        <v>685.2</v>
      </c>
    </row>
    <row r="10" spans="1:10" x14ac:dyDescent="0.25">
      <c r="B10">
        <v>8</v>
      </c>
      <c r="C10" s="11">
        <v>135</v>
      </c>
      <c r="D10" s="11">
        <v>135</v>
      </c>
      <c r="E10" s="11">
        <v>135</v>
      </c>
      <c r="F10" s="11">
        <v>135</v>
      </c>
      <c r="G10" s="11">
        <v>135</v>
      </c>
      <c r="H10" s="11">
        <v>4.7</v>
      </c>
      <c r="I10" s="11">
        <v>5.5</v>
      </c>
      <c r="J10" s="11">
        <v>685.2</v>
      </c>
    </row>
    <row r="11" spans="1:10" x14ac:dyDescent="0.25">
      <c r="B11">
        <v>9</v>
      </c>
      <c r="C11" s="11">
        <v>135</v>
      </c>
      <c r="D11" s="11">
        <v>135</v>
      </c>
      <c r="E11" s="11">
        <v>135</v>
      </c>
      <c r="F11" s="11">
        <v>135</v>
      </c>
      <c r="G11" s="11">
        <v>135</v>
      </c>
      <c r="H11" s="11">
        <v>4.7</v>
      </c>
      <c r="I11" s="11">
        <v>5.5</v>
      </c>
      <c r="J11" s="11">
        <v>685.2</v>
      </c>
    </row>
    <row r="12" spans="1:10" x14ac:dyDescent="0.25">
      <c r="B12">
        <v>10</v>
      </c>
      <c r="C12" s="11">
        <v>135</v>
      </c>
      <c r="D12" s="11">
        <v>135</v>
      </c>
      <c r="E12" s="11">
        <v>135</v>
      </c>
      <c r="F12" s="11">
        <v>135</v>
      </c>
      <c r="G12" s="11">
        <v>135</v>
      </c>
      <c r="H12" s="11">
        <v>4.7</v>
      </c>
      <c r="I12" s="11">
        <v>5.5</v>
      </c>
      <c r="J12" s="11">
        <v>685.2</v>
      </c>
    </row>
    <row r="13" spans="1:10" x14ac:dyDescent="0.25">
      <c r="B13">
        <v>11</v>
      </c>
      <c r="C13" s="11">
        <v>135</v>
      </c>
      <c r="D13" s="11">
        <v>135</v>
      </c>
      <c r="E13" s="11">
        <v>135</v>
      </c>
      <c r="F13" s="11">
        <v>135</v>
      </c>
      <c r="G13" s="11">
        <v>135</v>
      </c>
      <c r="H13" s="11">
        <v>4.7</v>
      </c>
      <c r="I13" s="11">
        <v>5.5</v>
      </c>
      <c r="J13" s="11">
        <v>685.2</v>
      </c>
    </row>
    <row r="14" spans="1:10" x14ac:dyDescent="0.25">
      <c r="B14">
        <v>12</v>
      </c>
      <c r="C14" s="11">
        <v>135</v>
      </c>
      <c r="D14" s="11">
        <v>135</v>
      </c>
      <c r="E14" s="11">
        <v>115</v>
      </c>
      <c r="F14" s="11">
        <v>135</v>
      </c>
      <c r="G14" s="11">
        <v>155</v>
      </c>
      <c r="H14" s="11">
        <v>4.7</v>
      </c>
      <c r="I14" s="11">
        <v>5.5</v>
      </c>
      <c r="J14" s="11">
        <v>685.2</v>
      </c>
    </row>
    <row r="15" spans="1:10" x14ac:dyDescent="0.25">
      <c r="B15">
        <v>13</v>
      </c>
      <c r="C15" s="11">
        <v>70</v>
      </c>
      <c r="D15" s="11">
        <v>180</v>
      </c>
      <c r="E15" s="11">
        <v>90</v>
      </c>
      <c r="F15" s="11">
        <v>180</v>
      </c>
      <c r="G15" s="11">
        <v>135</v>
      </c>
      <c r="H15" s="11">
        <v>4.54</v>
      </c>
      <c r="I15" s="11">
        <v>5.5</v>
      </c>
      <c r="J15" s="11">
        <v>665.04</v>
      </c>
    </row>
    <row r="16" spans="1:10" x14ac:dyDescent="0.25">
      <c r="B16">
        <v>14</v>
      </c>
      <c r="C16" s="11">
        <v>145</v>
      </c>
      <c r="D16" s="11">
        <v>90</v>
      </c>
      <c r="E16" s="11">
        <v>145</v>
      </c>
      <c r="F16" s="11">
        <v>90</v>
      </c>
      <c r="G16" s="11">
        <v>125</v>
      </c>
      <c r="H16" s="11">
        <v>4.59</v>
      </c>
      <c r="I16" s="11">
        <v>5.5</v>
      </c>
      <c r="J16" s="11">
        <v>605.09</v>
      </c>
    </row>
    <row r="17" spans="1:10" x14ac:dyDescent="0.25">
      <c r="B17">
        <v>15</v>
      </c>
      <c r="C17" s="11">
        <v>145</v>
      </c>
      <c r="D17" s="11">
        <v>135</v>
      </c>
      <c r="E17" s="11">
        <v>145</v>
      </c>
      <c r="F17" s="11">
        <v>135</v>
      </c>
      <c r="G17" s="11">
        <v>125</v>
      </c>
      <c r="H17" s="11">
        <v>4.84</v>
      </c>
      <c r="I17" s="11">
        <v>5.5</v>
      </c>
      <c r="J17" s="11">
        <v>695.34</v>
      </c>
    </row>
    <row r="18" spans="1:10" x14ac:dyDescent="0.25">
      <c r="B18">
        <v>16</v>
      </c>
      <c r="C18" s="11">
        <v>135</v>
      </c>
      <c r="D18" s="11">
        <v>135</v>
      </c>
      <c r="E18" s="11">
        <v>135</v>
      </c>
      <c r="F18" s="11">
        <v>135</v>
      </c>
      <c r="G18" s="11">
        <v>135</v>
      </c>
      <c r="H18" s="11">
        <v>4.7</v>
      </c>
      <c r="I18" s="11">
        <v>5.5</v>
      </c>
      <c r="J18" s="11">
        <v>685.2</v>
      </c>
    </row>
    <row r="19" spans="1:10" x14ac:dyDescent="0.25">
      <c r="B19">
        <v>17</v>
      </c>
      <c r="C19" s="11">
        <v>135</v>
      </c>
      <c r="D19" s="11">
        <v>135</v>
      </c>
      <c r="E19" s="11">
        <v>135</v>
      </c>
      <c r="F19" s="11">
        <v>135</v>
      </c>
      <c r="G19" s="11">
        <v>135</v>
      </c>
      <c r="H19" s="11">
        <v>4.7</v>
      </c>
      <c r="I19" s="11">
        <v>5.5</v>
      </c>
      <c r="J19" s="11">
        <v>685.2</v>
      </c>
    </row>
    <row r="20" spans="1:10" x14ac:dyDescent="0.25">
      <c r="B20">
        <v>18</v>
      </c>
      <c r="C20" s="11">
        <v>135</v>
      </c>
      <c r="D20" s="11">
        <v>135</v>
      </c>
      <c r="E20" s="11">
        <v>135</v>
      </c>
      <c r="F20" s="11">
        <v>135</v>
      </c>
      <c r="G20" s="11">
        <v>135</v>
      </c>
      <c r="H20" s="11">
        <v>4.7</v>
      </c>
      <c r="I20" s="11">
        <v>5.5</v>
      </c>
      <c r="J20" s="11">
        <v>685.2</v>
      </c>
    </row>
    <row r="21" spans="1:10" x14ac:dyDescent="0.25">
      <c r="B21">
        <v>19</v>
      </c>
      <c r="C21" s="11">
        <v>135</v>
      </c>
      <c r="D21" s="11">
        <v>135</v>
      </c>
      <c r="E21" s="11">
        <v>135</v>
      </c>
      <c r="F21" s="11">
        <v>135</v>
      </c>
      <c r="G21" s="11">
        <v>135</v>
      </c>
      <c r="H21" s="11">
        <v>4.7</v>
      </c>
      <c r="I21" s="11">
        <v>5.5</v>
      </c>
      <c r="J21" s="11">
        <v>685.2</v>
      </c>
    </row>
    <row r="22" spans="1:10" x14ac:dyDescent="0.25">
      <c r="A22" t="s">
        <v>18</v>
      </c>
      <c r="C22" s="11">
        <v>1710</v>
      </c>
      <c r="D22" s="11">
        <v>1755</v>
      </c>
      <c r="E22" s="11">
        <v>1710</v>
      </c>
      <c r="F22" s="11">
        <v>1755</v>
      </c>
      <c r="G22" s="11">
        <v>1755</v>
      </c>
      <c r="H22" s="11">
        <v>60.970000000000013</v>
      </c>
      <c r="I22" s="11">
        <v>71.5</v>
      </c>
      <c r="J22" s="11">
        <v>8817.4699999999993</v>
      </c>
    </row>
    <row r="23" spans="1:10" ht="17.25" customHeight="1" x14ac:dyDescent="0.25"/>
  </sheetData>
  <dataConsolidate/>
  <pageMargins left="0.7" right="0.7" top="0.75" bottom="0.75" header="0.3" footer="0.3"/>
  <pageSetup paperSize="9" orientation="portrait"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8"/>
  <dimension ref="A1:J23"/>
  <sheetViews>
    <sheetView workbookViewId="0">
      <selection activeCell="C14" sqref="C14"/>
    </sheetView>
  </sheetViews>
  <sheetFormatPr defaultRowHeight="15" x14ac:dyDescent="0.25"/>
  <cols>
    <col min="1" max="1" width="15.28515625" bestFit="1" customWidth="1"/>
    <col min="2" max="2" width="17.85546875" bestFit="1" customWidth="1"/>
    <col min="3" max="9" width="15.85546875" bestFit="1" customWidth="1"/>
    <col min="10" max="10" width="11.28515625" bestFit="1"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10" x14ac:dyDescent="0.25">
      <c r="A1" s="3" t="s">
        <v>1</v>
      </c>
      <c r="B1" t="s">
        <v>72</v>
      </c>
    </row>
    <row r="2" spans="1:10" x14ac:dyDescent="0.25">
      <c r="A2" s="3" t="s">
        <v>38</v>
      </c>
      <c r="B2" t="s">
        <v>55</v>
      </c>
    </row>
    <row r="3" spans="1:10" x14ac:dyDescent="0.25">
      <c r="A3" s="3" t="s">
        <v>8</v>
      </c>
      <c r="B3" t="s">
        <v>55</v>
      </c>
    </row>
    <row r="4" spans="1:10" x14ac:dyDescent="0.25">
      <c r="A4" s="3" t="s">
        <v>41</v>
      </c>
      <c r="B4" t="s">
        <v>53</v>
      </c>
    </row>
    <row r="5" spans="1:10" x14ac:dyDescent="0.25">
      <c r="A5" s="3" t="s">
        <v>73</v>
      </c>
      <c r="B5" t="s">
        <v>82</v>
      </c>
    </row>
    <row r="7" spans="1:10" x14ac:dyDescent="0.25">
      <c r="A7" s="3" t="s">
        <v>54</v>
      </c>
      <c r="C7" s="3" t="s">
        <v>39</v>
      </c>
    </row>
    <row r="8" spans="1:10" x14ac:dyDescent="0.25">
      <c r="A8" s="3" t="s">
        <v>0</v>
      </c>
      <c r="B8" s="3" t="s">
        <v>37</v>
      </c>
      <c r="C8" t="s">
        <v>61</v>
      </c>
      <c r="D8" t="s">
        <v>42</v>
      </c>
      <c r="E8" t="s">
        <v>49</v>
      </c>
      <c r="F8" t="s">
        <v>45</v>
      </c>
      <c r="G8" t="s">
        <v>48</v>
      </c>
      <c r="H8" t="s">
        <v>47</v>
      </c>
      <c r="I8" t="s">
        <v>46</v>
      </c>
      <c r="J8" t="s">
        <v>18</v>
      </c>
    </row>
    <row r="9" spans="1:10" x14ac:dyDescent="0.25">
      <c r="A9" s="1">
        <v>42808</v>
      </c>
      <c r="B9">
        <v>7</v>
      </c>
      <c r="C9" s="11">
        <v>135</v>
      </c>
      <c r="D9" s="11">
        <v>135</v>
      </c>
      <c r="E9" s="11">
        <v>135</v>
      </c>
      <c r="F9" s="11">
        <v>135</v>
      </c>
      <c r="G9" s="11">
        <v>135</v>
      </c>
      <c r="H9" s="11">
        <v>4.7</v>
      </c>
      <c r="I9" s="11">
        <v>5.5</v>
      </c>
      <c r="J9" s="11">
        <v>685.2</v>
      </c>
    </row>
    <row r="10" spans="1:10" x14ac:dyDescent="0.25">
      <c r="B10">
        <v>8</v>
      </c>
      <c r="C10" s="11">
        <v>135</v>
      </c>
      <c r="D10" s="11">
        <v>135</v>
      </c>
      <c r="E10" s="11">
        <v>135</v>
      </c>
      <c r="F10" s="11">
        <v>135</v>
      </c>
      <c r="G10" s="11">
        <v>135</v>
      </c>
      <c r="H10" s="11">
        <v>4.7</v>
      </c>
      <c r="I10" s="11">
        <v>5.5</v>
      </c>
      <c r="J10" s="11">
        <v>685.2</v>
      </c>
    </row>
    <row r="11" spans="1:10" x14ac:dyDescent="0.25">
      <c r="B11">
        <v>9</v>
      </c>
      <c r="C11" s="11">
        <v>135</v>
      </c>
      <c r="D11" s="11">
        <v>135</v>
      </c>
      <c r="E11" s="11">
        <v>135</v>
      </c>
      <c r="F11" s="11">
        <v>135</v>
      </c>
      <c r="G11" s="11">
        <v>135</v>
      </c>
      <c r="H11" s="11">
        <v>4.7</v>
      </c>
      <c r="I11" s="11">
        <v>5.5</v>
      </c>
      <c r="J11" s="11">
        <v>685.2</v>
      </c>
    </row>
    <row r="12" spans="1:10" x14ac:dyDescent="0.25">
      <c r="B12">
        <v>10</v>
      </c>
      <c r="C12" s="11">
        <v>135</v>
      </c>
      <c r="D12" s="11">
        <v>135</v>
      </c>
      <c r="E12" s="11">
        <v>135</v>
      </c>
      <c r="F12" s="11">
        <v>135</v>
      </c>
      <c r="G12" s="11">
        <v>135</v>
      </c>
      <c r="H12" s="11">
        <v>4.7</v>
      </c>
      <c r="I12" s="11">
        <v>5.5</v>
      </c>
      <c r="J12" s="11">
        <v>685.2</v>
      </c>
    </row>
    <row r="13" spans="1:10" x14ac:dyDescent="0.25">
      <c r="B13">
        <v>11</v>
      </c>
      <c r="C13" s="11">
        <v>135</v>
      </c>
      <c r="D13" s="11">
        <v>135</v>
      </c>
      <c r="E13" s="11">
        <v>135</v>
      </c>
      <c r="F13" s="11">
        <v>135</v>
      </c>
      <c r="G13" s="11">
        <v>135</v>
      </c>
      <c r="H13" s="11">
        <v>4.7</v>
      </c>
      <c r="I13" s="11">
        <v>5.5</v>
      </c>
      <c r="J13" s="11">
        <v>685.2</v>
      </c>
    </row>
    <row r="14" spans="1:10" x14ac:dyDescent="0.25">
      <c r="B14">
        <v>12</v>
      </c>
      <c r="C14" s="11">
        <v>135</v>
      </c>
      <c r="D14" s="11">
        <v>135</v>
      </c>
      <c r="E14" s="11">
        <v>115</v>
      </c>
      <c r="F14" s="11">
        <v>135</v>
      </c>
      <c r="G14" s="11">
        <v>155</v>
      </c>
      <c r="H14" s="11">
        <v>4.7</v>
      </c>
      <c r="I14" s="11">
        <v>5.5</v>
      </c>
      <c r="J14" s="11">
        <v>685.2</v>
      </c>
    </row>
    <row r="15" spans="1:10" x14ac:dyDescent="0.25">
      <c r="B15">
        <v>13</v>
      </c>
      <c r="C15" s="11">
        <v>70</v>
      </c>
      <c r="D15" s="11">
        <v>180</v>
      </c>
      <c r="E15" s="11">
        <v>90</v>
      </c>
      <c r="F15" s="11">
        <v>180</v>
      </c>
      <c r="G15" s="11">
        <v>135</v>
      </c>
      <c r="H15" s="11">
        <v>4.54</v>
      </c>
      <c r="I15" s="11">
        <v>5.5</v>
      </c>
      <c r="J15" s="11">
        <v>665.04</v>
      </c>
    </row>
    <row r="16" spans="1:10" x14ac:dyDescent="0.25">
      <c r="B16">
        <v>14</v>
      </c>
      <c r="C16" s="11">
        <v>145</v>
      </c>
      <c r="D16" s="11">
        <v>90</v>
      </c>
      <c r="E16" s="11">
        <v>145</v>
      </c>
      <c r="F16" s="11">
        <v>90</v>
      </c>
      <c r="G16" s="11">
        <v>125</v>
      </c>
      <c r="H16" s="11">
        <v>4.59</v>
      </c>
      <c r="I16" s="11">
        <v>5.5</v>
      </c>
      <c r="J16" s="11">
        <v>605.09</v>
      </c>
    </row>
    <row r="17" spans="1:10" x14ac:dyDescent="0.25">
      <c r="B17">
        <v>15</v>
      </c>
      <c r="C17" s="11">
        <v>145</v>
      </c>
      <c r="D17" s="11">
        <v>135</v>
      </c>
      <c r="E17" s="11">
        <v>145</v>
      </c>
      <c r="F17" s="11">
        <v>135</v>
      </c>
      <c r="G17" s="11">
        <v>125</v>
      </c>
      <c r="H17" s="11">
        <v>4.84</v>
      </c>
      <c r="I17" s="11">
        <v>5.5</v>
      </c>
      <c r="J17" s="11">
        <v>695.34</v>
      </c>
    </row>
    <row r="18" spans="1:10" x14ac:dyDescent="0.25">
      <c r="B18">
        <v>16</v>
      </c>
      <c r="C18" s="11">
        <v>135</v>
      </c>
      <c r="D18" s="11">
        <v>135</v>
      </c>
      <c r="E18" s="11">
        <v>135</v>
      </c>
      <c r="F18" s="11">
        <v>135</v>
      </c>
      <c r="G18" s="11">
        <v>135</v>
      </c>
      <c r="H18" s="11">
        <v>4.7</v>
      </c>
      <c r="I18" s="11">
        <v>5.5</v>
      </c>
      <c r="J18" s="11">
        <v>685.2</v>
      </c>
    </row>
    <row r="19" spans="1:10" x14ac:dyDescent="0.25">
      <c r="B19">
        <v>17</v>
      </c>
      <c r="C19" s="11">
        <v>135</v>
      </c>
      <c r="D19" s="11">
        <v>135</v>
      </c>
      <c r="E19" s="11">
        <v>135</v>
      </c>
      <c r="F19" s="11">
        <v>135</v>
      </c>
      <c r="G19" s="11">
        <v>135</v>
      </c>
      <c r="H19" s="11">
        <v>4.7</v>
      </c>
      <c r="I19" s="11">
        <v>5.5</v>
      </c>
      <c r="J19" s="11">
        <v>685.2</v>
      </c>
    </row>
    <row r="20" spans="1:10" x14ac:dyDescent="0.25">
      <c r="B20">
        <v>18</v>
      </c>
      <c r="C20" s="11">
        <v>135</v>
      </c>
      <c r="D20" s="11">
        <v>135</v>
      </c>
      <c r="E20" s="11">
        <v>135</v>
      </c>
      <c r="F20" s="11">
        <v>135</v>
      </c>
      <c r="G20" s="11">
        <v>135</v>
      </c>
      <c r="H20" s="11">
        <v>4.7</v>
      </c>
      <c r="I20" s="11">
        <v>5.5</v>
      </c>
      <c r="J20" s="11">
        <v>685.2</v>
      </c>
    </row>
    <row r="21" spans="1:10" x14ac:dyDescent="0.25">
      <c r="B21">
        <v>19</v>
      </c>
      <c r="C21" s="11">
        <v>135</v>
      </c>
      <c r="D21" s="11">
        <v>135</v>
      </c>
      <c r="E21" s="11">
        <v>135</v>
      </c>
      <c r="F21" s="11">
        <v>135</v>
      </c>
      <c r="G21" s="11">
        <v>135</v>
      </c>
      <c r="H21" s="11">
        <v>4.7</v>
      </c>
      <c r="I21" s="11">
        <v>5.5</v>
      </c>
      <c r="J21" s="11">
        <v>685.2</v>
      </c>
    </row>
    <row r="22" spans="1:10" x14ac:dyDescent="0.25">
      <c r="A22" t="s">
        <v>18</v>
      </c>
      <c r="C22" s="11">
        <v>1710</v>
      </c>
      <c r="D22" s="11">
        <v>1755</v>
      </c>
      <c r="E22" s="11">
        <v>1710</v>
      </c>
      <c r="F22" s="11">
        <v>1755</v>
      </c>
      <c r="G22" s="11">
        <v>1755</v>
      </c>
      <c r="H22" s="11">
        <v>60.970000000000013</v>
      </c>
      <c r="I22" s="11">
        <v>71.5</v>
      </c>
      <c r="J22" s="11">
        <v>8817.4699999999993</v>
      </c>
    </row>
    <row r="23" spans="1:10" ht="17.25" customHeight="1" x14ac:dyDescent="0.25"/>
  </sheetData>
  <dataConsolidate/>
  <pageMargins left="0.7" right="0.7" top="0.75" bottom="0.75" header="0.3" footer="0.3"/>
  <pageSetup paperSize="9" orientation="portrait"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9"/>
  <dimension ref="A1:J23"/>
  <sheetViews>
    <sheetView workbookViewId="0">
      <selection activeCell="A22" sqref="A22"/>
    </sheetView>
  </sheetViews>
  <sheetFormatPr defaultRowHeight="15" x14ac:dyDescent="0.25"/>
  <cols>
    <col min="1" max="1" width="15.28515625" bestFit="1" customWidth="1"/>
    <col min="2" max="2" width="17.85546875" bestFit="1" customWidth="1"/>
    <col min="3" max="9" width="15.85546875" bestFit="1" customWidth="1"/>
    <col min="10" max="10" width="11.28515625" bestFit="1"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10" x14ac:dyDescent="0.25">
      <c r="A1" s="3" t="s">
        <v>1</v>
      </c>
      <c r="B1" t="s">
        <v>72</v>
      </c>
    </row>
    <row r="2" spans="1:10" x14ac:dyDescent="0.25">
      <c r="A2" s="3" t="s">
        <v>38</v>
      </c>
      <c r="B2" t="s">
        <v>55</v>
      </c>
    </row>
    <row r="3" spans="1:10" x14ac:dyDescent="0.25">
      <c r="A3" s="3" t="s">
        <v>8</v>
      </c>
      <c r="B3" t="s">
        <v>55</v>
      </c>
    </row>
    <row r="4" spans="1:10" x14ac:dyDescent="0.25">
      <c r="A4" s="3" t="s">
        <v>41</v>
      </c>
      <c r="B4" t="s">
        <v>53</v>
      </c>
    </row>
    <row r="5" spans="1:10" x14ac:dyDescent="0.25">
      <c r="A5" s="3" t="s">
        <v>73</v>
      </c>
      <c r="B5" t="s">
        <v>82</v>
      </c>
    </row>
    <row r="7" spans="1:10" x14ac:dyDescent="0.25">
      <c r="A7" s="3" t="s">
        <v>54</v>
      </c>
      <c r="C7" s="3" t="s">
        <v>39</v>
      </c>
    </row>
    <row r="8" spans="1:10" x14ac:dyDescent="0.25">
      <c r="A8" s="3" t="s">
        <v>0</v>
      </c>
      <c r="B8" s="3" t="s">
        <v>37</v>
      </c>
      <c r="C8" t="s">
        <v>61</v>
      </c>
      <c r="D8" t="s">
        <v>42</v>
      </c>
      <c r="E8" t="s">
        <v>49</v>
      </c>
      <c r="F8" t="s">
        <v>45</v>
      </c>
      <c r="G8" t="s">
        <v>48</v>
      </c>
      <c r="H8" t="s">
        <v>47</v>
      </c>
      <c r="I8" t="s">
        <v>46</v>
      </c>
      <c r="J8" t="s">
        <v>18</v>
      </c>
    </row>
    <row r="9" spans="1:10" x14ac:dyDescent="0.25">
      <c r="A9" s="1">
        <v>42808</v>
      </c>
      <c r="B9">
        <v>7</v>
      </c>
      <c r="C9" s="11">
        <v>135</v>
      </c>
      <c r="D9" s="11">
        <v>135</v>
      </c>
      <c r="E9" s="11">
        <v>135</v>
      </c>
      <c r="F9" s="11">
        <v>135</v>
      </c>
      <c r="G9" s="11">
        <v>135</v>
      </c>
      <c r="H9" s="11">
        <v>4.7</v>
      </c>
      <c r="I9" s="11">
        <v>5.5</v>
      </c>
      <c r="J9" s="11">
        <v>685.2</v>
      </c>
    </row>
    <row r="10" spans="1:10" x14ac:dyDescent="0.25">
      <c r="B10">
        <v>8</v>
      </c>
      <c r="C10" s="11">
        <v>135</v>
      </c>
      <c r="D10" s="11">
        <v>135</v>
      </c>
      <c r="E10" s="11">
        <v>135</v>
      </c>
      <c r="F10" s="11">
        <v>135</v>
      </c>
      <c r="G10" s="11">
        <v>135</v>
      </c>
      <c r="H10" s="11">
        <v>4.7</v>
      </c>
      <c r="I10" s="11">
        <v>5.5</v>
      </c>
      <c r="J10" s="11">
        <v>685.2</v>
      </c>
    </row>
    <row r="11" spans="1:10" x14ac:dyDescent="0.25">
      <c r="B11">
        <v>9</v>
      </c>
      <c r="C11" s="11">
        <v>135</v>
      </c>
      <c r="D11" s="11">
        <v>135</v>
      </c>
      <c r="E11" s="11">
        <v>135</v>
      </c>
      <c r="F11" s="11">
        <v>135</v>
      </c>
      <c r="G11" s="11">
        <v>135</v>
      </c>
      <c r="H11" s="11">
        <v>4.7</v>
      </c>
      <c r="I11" s="11">
        <v>5.5</v>
      </c>
      <c r="J11" s="11">
        <v>685.2</v>
      </c>
    </row>
    <row r="12" spans="1:10" x14ac:dyDescent="0.25">
      <c r="B12">
        <v>10</v>
      </c>
      <c r="C12" s="11">
        <v>135</v>
      </c>
      <c r="D12" s="11">
        <v>135</v>
      </c>
      <c r="E12" s="11">
        <v>135</v>
      </c>
      <c r="F12" s="11">
        <v>135</v>
      </c>
      <c r="G12" s="11">
        <v>135</v>
      </c>
      <c r="H12" s="11">
        <v>4.7</v>
      </c>
      <c r="I12" s="11">
        <v>5.5</v>
      </c>
      <c r="J12" s="11">
        <v>685.2</v>
      </c>
    </row>
    <row r="13" spans="1:10" x14ac:dyDescent="0.25">
      <c r="B13">
        <v>11</v>
      </c>
      <c r="C13" s="11">
        <v>135</v>
      </c>
      <c r="D13" s="11">
        <v>135</v>
      </c>
      <c r="E13" s="11">
        <v>135</v>
      </c>
      <c r="F13" s="11">
        <v>135</v>
      </c>
      <c r="G13" s="11">
        <v>135</v>
      </c>
      <c r="H13" s="11">
        <v>4.7</v>
      </c>
      <c r="I13" s="11">
        <v>5.5</v>
      </c>
      <c r="J13" s="11">
        <v>685.2</v>
      </c>
    </row>
    <row r="14" spans="1:10" x14ac:dyDescent="0.25">
      <c r="B14">
        <v>12</v>
      </c>
      <c r="C14" s="11">
        <v>135</v>
      </c>
      <c r="D14" s="11">
        <v>135</v>
      </c>
      <c r="E14" s="11">
        <v>115</v>
      </c>
      <c r="F14" s="11">
        <v>135</v>
      </c>
      <c r="G14" s="11">
        <v>155</v>
      </c>
      <c r="H14" s="11">
        <v>4.7</v>
      </c>
      <c r="I14" s="11">
        <v>5.5</v>
      </c>
      <c r="J14" s="11">
        <v>685.2</v>
      </c>
    </row>
    <row r="15" spans="1:10" x14ac:dyDescent="0.25">
      <c r="B15">
        <v>13</v>
      </c>
      <c r="C15" s="11">
        <v>70</v>
      </c>
      <c r="D15" s="11">
        <v>180</v>
      </c>
      <c r="E15" s="11">
        <v>90</v>
      </c>
      <c r="F15" s="11">
        <v>180</v>
      </c>
      <c r="G15" s="11">
        <v>135</v>
      </c>
      <c r="H15" s="11">
        <v>4.54</v>
      </c>
      <c r="I15" s="11">
        <v>5.5</v>
      </c>
      <c r="J15" s="11">
        <v>665.04</v>
      </c>
    </row>
    <row r="16" spans="1:10" x14ac:dyDescent="0.25">
      <c r="B16">
        <v>14</v>
      </c>
      <c r="C16" s="11">
        <v>145</v>
      </c>
      <c r="D16" s="11">
        <v>90</v>
      </c>
      <c r="E16" s="11">
        <v>145</v>
      </c>
      <c r="F16" s="11">
        <v>90</v>
      </c>
      <c r="G16" s="11">
        <v>125</v>
      </c>
      <c r="H16" s="11">
        <v>4.59</v>
      </c>
      <c r="I16" s="11">
        <v>5.5</v>
      </c>
      <c r="J16" s="11">
        <v>605.09</v>
      </c>
    </row>
    <row r="17" spans="1:10" x14ac:dyDescent="0.25">
      <c r="B17">
        <v>15</v>
      </c>
      <c r="C17" s="11">
        <v>145</v>
      </c>
      <c r="D17" s="11">
        <v>135</v>
      </c>
      <c r="E17" s="11">
        <v>145</v>
      </c>
      <c r="F17" s="11">
        <v>135</v>
      </c>
      <c r="G17" s="11">
        <v>125</v>
      </c>
      <c r="H17" s="11">
        <v>4.84</v>
      </c>
      <c r="I17" s="11">
        <v>5.5</v>
      </c>
      <c r="J17" s="11">
        <v>695.34</v>
      </c>
    </row>
    <row r="18" spans="1:10" x14ac:dyDescent="0.25">
      <c r="B18">
        <v>16</v>
      </c>
      <c r="C18" s="11">
        <v>135</v>
      </c>
      <c r="D18" s="11">
        <v>135</v>
      </c>
      <c r="E18" s="11">
        <v>135</v>
      </c>
      <c r="F18" s="11">
        <v>135</v>
      </c>
      <c r="G18" s="11">
        <v>135</v>
      </c>
      <c r="H18" s="11">
        <v>4.7</v>
      </c>
      <c r="I18" s="11">
        <v>5.5</v>
      </c>
      <c r="J18" s="11">
        <v>685.2</v>
      </c>
    </row>
    <row r="19" spans="1:10" x14ac:dyDescent="0.25">
      <c r="B19">
        <v>17</v>
      </c>
      <c r="C19" s="11">
        <v>135</v>
      </c>
      <c r="D19" s="11">
        <v>135</v>
      </c>
      <c r="E19" s="11">
        <v>135</v>
      </c>
      <c r="F19" s="11">
        <v>135</v>
      </c>
      <c r="G19" s="11">
        <v>135</v>
      </c>
      <c r="H19" s="11">
        <v>4.7</v>
      </c>
      <c r="I19" s="11">
        <v>5.5</v>
      </c>
      <c r="J19" s="11">
        <v>685.2</v>
      </c>
    </row>
    <row r="20" spans="1:10" x14ac:dyDescent="0.25">
      <c r="B20">
        <v>18</v>
      </c>
      <c r="C20" s="11">
        <v>135</v>
      </c>
      <c r="D20" s="11">
        <v>135</v>
      </c>
      <c r="E20" s="11">
        <v>135</v>
      </c>
      <c r="F20" s="11">
        <v>135</v>
      </c>
      <c r="G20" s="11">
        <v>135</v>
      </c>
      <c r="H20" s="11">
        <v>4.7</v>
      </c>
      <c r="I20" s="11">
        <v>5.5</v>
      </c>
      <c r="J20" s="11">
        <v>685.2</v>
      </c>
    </row>
    <row r="21" spans="1:10" x14ac:dyDescent="0.25">
      <c r="B21">
        <v>19</v>
      </c>
      <c r="C21" s="11">
        <v>135</v>
      </c>
      <c r="D21" s="11">
        <v>135</v>
      </c>
      <c r="E21" s="11">
        <v>135</v>
      </c>
      <c r="F21" s="11">
        <v>135</v>
      </c>
      <c r="G21" s="11">
        <v>135</v>
      </c>
      <c r="H21" s="11">
        <v>4.7</v>
      </c>
      <c r="I21" s="11">
        <v>5.5</v>
      </c>
      <c r="J21" s="11">
        <v>685.2</v>
      </c>
    </row>
    <row r="22" spans="1:10" x14ac:dyDescent="0.25">
      <c r="A22" t="s">
        <v>18</v>
      </c>
      <c r="C22" s="11">
        <v>1710</v>
      </c>
      <c r="D22" s="11">
        <v>1755</v>
      </c>
      <c r="E22" s="11">
        <v>1710</v>
      </c>
      <c r="F22" s="11">
        <v>1755</v>
      </c>
      <c r="G22" s="11">
        <v>1755</v>
      </c>
      <c r="H22" s="11">
        <v>60.970000000000013</v>
      </c>
      <c r="I22" s="11">
        <v>71.5</v>
      </c>
      <c r="J22" s="11">
        <v>8817.4699999999993</v>
      </c>
    </row>
    <row r="23" spans="1:10" ht="17.25" customHeight="1" x14ac:dyDescent="0.25"/>
  </sheetData>
  <dataConsolidate/>
  <pageMargins left="0.7" right="0.7" top="0.75" bottom="0.75" header="0.3" footer="0.3"/>
  <pageSetup paperSize="9" orientation="portrait"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0"/>
  <dimension ref="A1:J23"/>
  <sheetViews>
    <sheetView workbookViewId="0">
      <selection activeCell="H35" sqref="H35"/>
    </sheetView>
  </sheetViews>
  <sheetFormatPr defaultRowHeight="15" x14ac:dyDescent="0.25"/>
  <cols>
    <col min="1" max="1" width="15.28515625" bestFit="1" customWidth="1"/>
    <col min="2" max="2" width="17.85546875" bestFit="1" customWidth="1"/>
    <col min="3" max="9" width="15.85546875" bestFit="1" customWidth="1"/>
    <col min="10" max="10" width="11.28515625" bestFit="1"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10" x14ac:dyDescent="0.25">
      <c r="A1" s="3" t="s">
        <v>1</v>
      </c>
      <c r="B1" t="s">
        <v>72</v>
      </c>
    </row>
    <row r="2" spans="1:10" x14ac:dyDescent="0.25">
      <c r="A2" s="3" t="s">
        <v>38</v>
      </c>
      <c r="B2" t="s">
        <v>55</v>
      </c>
    </row>
    <row r="3" spans="1:10" x14ac:dyDescent="0.25">
      <c r="A3" s="3" t="s">
        <v>8</v>
      </c>
      <c r="B3" t="s">
        <v>55</v>
      </c>
    </row>
    <row r="4" spans="1:10" x14ac:dyDescent="0.25">
      <c r="A4" s="3" t="s">
        <v>41</v>
      </c>
      <c r="B4" t="s">
        <v>53</v>
      </c>
    </row>
    <row r="5" spans="1:10" x14ac:dyDescent="0.25">
      <c r="A5" s="3" t="s">
        <v>73</v>
      </c>
      <c r="B5" t="s">
        <v>82</v>
      </c>
    </row>
    <row r="7" spans="1:10" x14ac:dyDescent="0.25">
      <c r="A7" s="3" t="s">
        <v>54</v>
      </c>
      <c r="C7" s="3" t="s">
        <v>39</v>
      </c>
    </row>
    <row r="8" spans="1:10" x14ac:dyDescent="0.25">
      <c r="A8" s="3" t="s">
        <v>0</v>
      </c>
      <c r="B8" s="3" t="s">
        <v>37</v>
      </c>
      <c r="C8" t="s">
        <v>61</v>
      </c>
      <c r="D8" t="s">
        <v>42</v>
      </c>
      <c r="E8" t="s">
        <v>49</v>
      </c>
      <c r="F8" t="s">
        <v>45</v>
      </c>
      <c r="G8" t="s">
        <v>48</v>
      </c>
      <c r="H8" t="s">
        <v>47</v>
      </c>
      <c r="I8" t="s">
        <v>46</v>
      </c>
      <c r="J8" t="s">
        <v>18</v>
      </c>
    </row>
    <row r="9" spans="1:10" x14ac:dyDescent="0.25">
      <c r="A9" s="1">
        <v>42808</v>
      </c>
      <c r="B9">
        <v>7</v>
      </c>
      <c r="C9" s="11">
        <v>135</v>
      </c>
      <c r="D9" s="11">
        <v>135</v>
      </c>
      <c r="E9" s="11">
        <v>135</v>
      </c>
      <c r="F9" s="11">
        <v>135</v>
      </c>
      <c r="G9" s="11">
        <v>135</v>
      </c>
      <c r="H9" s="11">
        <v>4.7</v>
      </c>
      <c r="I9" s="11">
        <v>5.5</v>
      </c>
      <c r="J9" s="11">
        <v>685.2</v>
      </c>
    </row>
    <row r="10" spans="1:10" x14ac:dyDescent="0.25">
      <c r="B10">
        <v>8</v>
      </c>
      <c r="C10" s="11">
        <v>135</v>
      </c>
      <c r="D10" s="11">
        <v>135</v>
      </c>
      <c r="E10" s="11">
        <v>135</v>
      </c>
      <c r="F10" s="11">
        <v>135</v>
      </c>
      <c r="G10" s="11">
        <v>135</v>
      </c>
      <c r="H10" s="11">
        <v>4.7</v>
      </c>
      <c r="I10" s="11">
        <v>5.5</v>
      </c>
      <c r="J10" s="11">
        <v>685.2</v>
      </c>
    </row>
    <row r="11" spans="1:10" x14ac:dyDescent="0.25">
      <c r="B11">
        <v>9</v>
      </c>
      <c r="C11" s="11">
        <v>135</v>
      </c>
      <c r="D11" s="11">
        <v>135</v>
      </c>
      <c r="E11" s="11">
        <v>135</v>
      </c>
      <c r="F11" s="11">
        <v>135</v>
      </c>
      <c r="G11" s="11">
        <v>135</v>
      </c>
      <c r="H11" s="11">
        <v>4.7</v>
      </c>
      <c r="I11" s="11">
        <v>5.5</v>
      </c>
      <c r="J11" s="11">
        <v>685.2</v>
      </c>
    </row>
    <row r="12" spans="1:10" x14ac:dyDescent="0.25">
      <c r="B12">
        <v>10</v>
      </c>
      <c r="C12" s="11">
        <v>135</v>
      </c>
      <c r="D12" s="11">
        <v>135</v>
      </c>
      <c r="E12" s="11">
        <v>135</v>
      </c>
      <c r="F12" s="11">
        <v>135</v>
      </c>
      <c r="G12" s="11">
        <v>135</v>
      </c>
      <c r="H12" s="11">
        <v>4.7</v>
      </c>
      <c r="I12" s="11">
        <v>5.5</v>
      </c>
      <c r="J12" s="11">
        <v>685.2</v>
      </c>
    </row>
    <row r="13" spans="1:10" x14ac:dyDescent="0.25">
      <c r="B13">
        <v>11</v>
      </c>
      <c r="C13" s="11">
        <v>135</v>
      </c>
      <c r="D13" s="11">
        <v>135</v>
      </c>
      <c r="E13" s="11">
        <v>135</v>
      </c>
      <c r="F13" s="11">
        <v>135</v>
      </c>
      <c r="G13" s="11">
        <v>135</v>
      </c>
      <c r="H13" s="11">
        <v>4.7</v>
      </c>
      <c r="I13" s="11">
        <v>5.5</v>
      </c>
      <c r="J13" s="11">
        <v>685.2</v>
      </c>
    </row>
    <row r="14" spans="1:10" x14ac:dyDescent="0.25">
      <c r="B14">
        <v>12</v>
      </c>
      <c r="C14" s="11">
        <v>135</v>
      </c>
      <c r="D14" s="11">
        <v>135</v>
      </c>
      <c r="E14" s="11">
        <v>115</v>
      </c>
      <c r="F14" s="11">
        <v>135</v>
      </c>
      <c r="G14" s="11">
        <v>155</v>
      </c>
      <c r="H14" s="11">
        <v>4.7</v>
      </c>
      <c r="I14" s="11">
        <v>5.5</v>
      </c>
      <c r="J14" s="11">
        <v>685.2</v>
      </c>
    </row>
    <row r="15" spans="1:10" x14ac:dyDescent="0.25">
      <c r="B15">
        <v>13</v>
      </c>
      <c r="C15" s="11">
        <v>70</v>
      </c>
      <c r="D15" s="11">
        <v>180</v>
      </c>
      <c r="E15" s="11">
        <v>90</v>
      </c>
      <c r="F15" s="11">
        <v>180</v>
      </c>
      <c r="G15" s="11">
        <v>135</v>
      </c>
      <c r="H15" s="11">
        <v>4.54</v>
      </c>
      <c r="I15" s="11">
        <v>5.5</v>
      </c>
      <c r="J15" s="11">
        <v>665.04</v>
      </c>
    </row>
    <row r="16" spans="1:10" x14ac:dyDescent="0.25">
      <c r="B16">
        <v>14</v>
      </c>
      <c r="C16" s="11">
        <v>145</v>
      </c>
      <c r="D16" s="11">
        <v>90</v>
      </c>
      <c r="E16" s="11">
        <v>145</v>
      </c>
      <c r="F16" s="11">
        <v>90</v>
      </c>
      <c r="G16" s="11">
        <v>125</v>
      </c>
      <c r="H16" s="11">
        <v>4.59</v>
      </c>
      <c r="I16" s="11">
        <v>5.5</v>
      </c>
      <c r="J16" s="11">
        <v>605.09</v>
      </c>
    </row>
    <row r="17" spans="1:10" x14ac:dyDescent="0.25">
      <c r="B17">
        <v>15</v>
      </c>
      <c r="C17" s="11">
        <v>145</v>
      </c>
      <c r="D17" s="11">
        <v>135</v>
      </c>
      <c r="E17" s="11">
        <v>145</v>
      </c>
      <c r="F17" s="11">
        <v>135</v>
      </c>
      <c r="G17" s="11">
        <v>125</v>
      </c>
      <c r="H17" s="11">
        <v>4.84</v>
      </c>
      <c r="I17" s="11">
        <v>5.5</v>
      </c>
      <c r="J17" s="11">
        <v>695.34</v>
      </c>
    </row>
    <row r="18" spans="1:10" x14ac:dyDescent="0.25">
      <c r="B18">
        <v>16</v>
      </c>
      <c r="C18" s="11">
        <v>135</v>
      </c>
      <c r="D18" s="11">
        <v>135</v>
      </c>
      <c r="E18" s="11">
        <v>135</v>
      </c>
      <c r="F18" s="11">
        <v>135</v>
      </c>
      <c r="G18" s="11">
        <v>135</v>
      </c>
      <c r="H18" s="11">
        <v>4.7</v>
      </c>
      <c r="I18" s="11">
        <v>5.5</v>
      </c>
      <c r="J18" s="11">
        <v>685.2</v>
      </c>
    </row>
    <row r="19" spans="1:10" x14ac:dyDescent="0.25">
      <c r="B19">
        <v>17</v>
      </c>
      <c r="C19" s="11">
        <v>135</v>
      </c>
      <c r="D19" s="11">
        <v>135</v>
      </c>
      <c r="E19" s="11">
        <v>135</v>
      </c>
      <c r="F19" s="11">
        <v>135</v>
      </c>
      <c r="G19" s="11">
        <v>135</v>
      </c>
      <c r="H19" s="11">
        <v>4.7</v>
      </c>
      <c r="I19" s="11">
        <v>5.5</v>
      </c>
      <c r="J19" s="11">
        <v>685.2</v>
      </c>
    </row>
    <row r="20" spans="1:10" x14ac:dyDescent="0.25">
      <c r="B20">
        <v>18</v>
      </c>
      <c r="C20" s="11">
        <v>135</v>
      </c>
      <c r="D20" s="11">
        <v>135</v>
      </c>
      <c r="E20" s="11">
        <v>135</v>
      </c>
      <c r="F20" s="11">
        <v>135</v>
      </c>
      <c r="G20" s="11">
        <v>135</v>
      </c>
      <c r="H20" s="11">
        <v>4.7</v>
      </c>
      <c r="I20" s="11">
        <v>5.5</v>
      </c>
      <c r="J20" s="11">
        <v>685.2</v>
      </c>
    </row>
    <row r="21" spans="1:10" x14ac:dyDescent="0.25">
      <c r="B21">
        <v>19</v>
      </c>
      <c r="C21" s="11">
        <v>135</v>
      </c>
      <c r="D21" s="11">
        <v>135</v>
      </c>
      <c r="E21" s="11">
        <v>135</v>
      </c>
      <c r="F21" s="11">
        <v>135</v>
      </c>
      <c r="G21" s="11">
        <v>135</v>
      </c>
      <c r="H21" s="11">
        <v>4.7</v>
      </c>
      <c r="I21" s="11">
        <v>5.5</v>
      </c>
      <c r="J21" s="11">
        <v>685.2</v>
      </c>
    </row>
    <row r="22" spans="1:10" x14ac:dyDescent="0.25">
      <c r="A22" t="s">
        <v>18</v>
      </c>
      <c r="C22" s="11">
        <v>1710</v>
      </c>
      <c r="D22" s="11">
        <v>1755</v>
      </c>
      <c r="E22" s="11">
        <v>1710</v>
      </c>
      <c r="F22" s="11">
        <v>1755</v>
      </c>
      <c r="G22" s="11">
        <v>1755</v>
      </c>
      <c r="H22" s="11">
        <v>60.970000000000013</v>
      </c>
      <c r="I22" s="11">
        <v>71.5</v>
      </c>
      <c r="J22" s="11">
        <v>8817.4699999999993</v>
      </c>
    </row>
    <row r="23" spans="1:10" ht="17.25" customHeight="1" x14ac:dyDescent="0.25"/>
  </sheetData>
  <dataConsolidate/>
  <pageMargins left="0.7" right="0.7" top="0.75" bottom="0.75" header="0.3" footer="0.3"/>
  <pageSetup paperSize="9" orientation="portrait"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1"/>
  <dimension ref="A1:D23"/>
  <sheetViews>
    <sheetView workbookViewId="0">
      <selection activeCell="B7" sqref="B7"/>
    </sheetView>
  </sheetViews>
  <sheetFormatPr defaultRowHeight="15" x14ac:dyDescent="0.25"/>
  <cols>
    <col min="1" max="1" width="15.28515625" bestFit="1" customWidth="1"/>
    <col min="2" max="2" width="14.28515625" bestFit="1" customWidth="1"/>
    <col min="3" max="3" width="13.42578125" bestFit="1" customWidth="1"/>
    <col min="4" max="4" width="12.85546875" bestFit="1" customWidth="1"/>
    <col min="5" max="5" width="13.42578125" bestFit="1" customWidth="1"/>
    <col min="6" max="6" width="11.28515625" bestFit="1" customWidth="1"/>
    <col min="7" max="8" width="13.42578125" bestFit="1" customWidth="1"/>
    <col min="9" max="9" width="11.28515625" bestFit="1" customWidth="1"/>
    <col min="10" max="14" width="13.42578125" bestFit="1" customWidth="1"/>
    <col min="15" max="15" width="11.28515625" bestFit="1" customWidth="1"/>
    <col min="16" max="16" width="13.42578125" bestFit="1" customWidth="1"/>
    <col min="17" max="17" width="11.28515625" bestFit="1" customWidth="1"/>
    <col min="18" max="20" width="13.42578125" bestFit="1" customWidth="1"/>
    <col min="21" max="21" width="15.85546875" bestFit="1" customWidth="1"/>
    <col min="22" max="22" width="11.28515625" bestFit="1" customWidth="1"/>
    <col min="23" max="27" width="3" bestFit="1" customWidth="1"/>
    <col min="28" max="28" width="7.28515625" bestFit="1" customWidth="1"/>
    <col min="29" max="29" width="11.28515625" bestFit="1" customWidth="1"/>
  </cols>
  <sheetData>
    <row r="1" spans="1:4" x14ac:dyDescent="0.25">
      <c r="A1" s="3" t="s">
        <v>1</v>
      </c>
      <c r="B1" t="s">
        <v>72</v>
      </c>
    </row>
    <row r="2" spans="1:4" x14ac:dyDescent="0.25">
      <c r="A2" s="3" t="s">
        <v>8</v>
      </c>
      <c r="B2" t="s">
        <v>12</v>
      </c>
    </row>
    <row r="3" spans="1:4" x14ac:dyDescent="0.25">
      <c r="A3" s="3" t="s">
        <v>6</v>
      </c>
      <c r="B3" t="s">
        <v>60</v>
      </c>
    </row>
    <row r="4" spans="1:4" x14ac:dyDescent="0.25">
      <c r="A4" s="3" t="s">
        <v>7</v>
      </c>
      <c r="B4" t="s">
        <v>60</v>
      </c>
    </row>
    <row r="5" spans="1:4" x14ac:dyDescent="0.25">
      <c r="A5" s="3" t="s">
        <v>73</v>
      </c>
      <c r="B5" t="s">
        <v>82</v>
      </c>
    </row>
    <row r="7" spans="1:4" x14ac:dyDescent="0.25">
      <c r="A7" s="3" t="s">
        <v>54</v>
      </c>
      <c r="C7" s="3" t="s">
        <v>40</v>
      </c>
      <c r="D7" s="3" t="s">
        <v>41</v>
      </c>
    </row>
    <row r="8" spans="1:4" x14ac:dyDescent="0.25">
      <c r="C8" t="s">
        <v>18</v>
      </c>
    </row>
    <row r="9" spans="1:4" x14ac:dyDescent="0.25">
      <c r="A9" s="3" t="s">
        <v>0</v>
      </c>
      <c r="B9" s="3" t="s">
        <v>37</v>
      </c>
    </row>
    <row r="10" spans="1:4" x14ac:dyDescent="0.25">
      <c r="A10" t="s">
        <v>18</v>
      </c>
      <c r="C10" s="11"/>
    </row>
    <row r="23" ht="17.25" customHeight="1" x14ac:dyDescent="0.25"/>
  </sheetData>
  <dataConsolidate/>
  <pageMargins left="0.7" right="0.7" top="0.75" bottom="0.75" header="0.3" footer="0.3"/>
  <pageSetup paperSize="9" orientation="portrait"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2"/>
  <dimension ref="A1:D23"/>
  <sheetViews>
    <sheetView workbookViewId="0">
      <selection activeCell="F18" sqref="F18"/>
    </sheetView>
  </sheetViews>
  <sheetFormatPr defaultRowHeight="15" x14ac:dyDescent="0.25"/>
  <cols>
    <col min="1" max="1" width="15.28515625" bestFit="1" customWidth="1"/>
    <col min="2" max="2" width="14.28515625" bestFit="1" customWidth="1"/>
    <col min="3" max="3" width="13.42578125" bestFit="1" customWidth="1"/>
    <col min="4" max="4" width="12.85546875" bestFit="1" customWidth="1"/>
    <col min="5" max="7" width="13.42578125" bestFit="1" customWidth="1"/>
    <col min="8" max="9" width="11.28515625" bestFit="1" customWidth="1"/>
    <col min="10" max="14" width="13.42578125" bestFit="1" customWidth="1"/>
    <col min="15" max="15" width="11.28515625" bestFit="1" customWidth="1"/>
    <col min="16" max="16" width="13.42578125" bestFit="1" customWidth="1"/>
    <col min="17" max="17" width="15.85546875" bestFit="1" customWidth="1"/>
    <col min="18" max="18" width="11.28515625" bestFit="1" customWidth="1"/>
    <col min="19" max="19" width="5.42578125" bestFit="1" customWidth="1"/>
    <col min="20" max="20" width="15.85546875" bestFit="1" customWidth="1"/>
    <col min="21" max="21" width="11.28515625" bestFit="1" customWidth="1"/>
    <col min="22" max="27" width="3" bestFit="1" customWidth="1"/>
    <col min="28" max="28" width="7.28515625" bestFit="1" customWidth="1"/>
    <col min="29" max="29" width="11.28515625" bestFit="1" customWidth="1"/>
  </cols>
  <sheetData>
    <row r="1" spans="1:4" x14ac:dyDescent="0.25">
      <c r="A1" s="3" t="s">
        <v>1</v>
      </c>
      <c r="B1" t="s">
        <v>72</v>
      </c>
    </row>
    <row r="2" spans="1:4" x14ac:dyDescent="0.25">
      <c r="A2" s="3" t="s">
        <v>8</v>
      </c>
      <c r="B2" t="s">
        <v>12</v>
      </c>
    </row>
    <row r="3" spans="1:4" x14ac:dyDescent="0.25">
      <c r="A3" s="3" t="s">
        <v>6</v>
      </c>
      <c r="B3" t="s">
        <v>60</v>
      </c>
    </row>
    <row r="4" spans="1:4" x14ac:dyDescent="0.25">
      <c r="A4" s="3" t="s">
        <v>7</v>
      </c>
      <c r="B4" t="s">
        <v>60</v>
      </c>
    </row>
    <row r="5" spans="1:4" x14ac:dyDescent="0.25">
      <c r="A5" s="3" t="s">
        <v>73</v>
      </c>
      <c r="B5" t="s">
        <v>82</v>
      </c>
    </row>
    <row r="7" spans="1:4" x14ac:dyDescent="0.25">
      <c r="A7" s="3" t="s">
        <v>54</v>
      </c>
      <c r="C7" s="3" t="s">
        <v>40</v>
      </c>
      <c r="D7" s="3" t="s">
        <v>41</v>
      </c>
    </row>
    <row r="8" spans="1:4" x14ac:dyDescent="0.25">
      <c r="C8" t="s">
        <v>18</v>
      </c>
    </row>
    <row r="9" spans="1:4" x14ac:dyDescent="0.25">
      <c r="A9" s="3" t="s">
        <v>0</v>
      </c>
      <c r="B9" s="3" t="s">
        <v>37</v>
      </c>
    </row>
    <row r="10" spans="1:4" x14ac:dyDescent="0.25">
      <c r="A10" t="s">
        <v>18</v>
      </c>
      <c r="C10" s="11"/>
    </row>
    <row r="23" ht="17.25" customHeight="1" x14ac:dyDescent="0.25"/>
  </sheetData>
  <dataConsolidate/>
  <pageMargins left="0.7" right="0.7" top="0.75" bottom="0.75" header="0.3" footer="0.3"/>
  <pageSetup paperSize="9" orientation="portrait"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3"/>
  <dimension ref="A1:D23"/>
  <sheetViews>
    <sheetView workbookViewId="0">
      <selection activeCell="D9" sqref="D9"/>
    </sheetView>
  </sheetViews>
  <sheetFormatPr defaultRowHeight="15" x14ac:dyDescent="0.25"/>
  <cols>
    <col min="1" max="1" width="15.28515625" bestFit="1" customWidth="1"/>
    <col min="2" max="2" width="14.28515625" bestFit="1" customWidth="1"/>
    <col min="3" max="3" width="13.42578125" bestFit="1" customWidth="1"/>
    <col min="4" max="4" width="12.85546875" bestFit="1" customWidth="1"/>
    <col min="5" max="7" width="13.42578125" bestFit="1" customWidth="1"/>
    <col min="8" max="9" width="11.28515625" bestFit="1" customWidth="1"/>
    <col min="10" max="14" width="13.42578125" bestFit="1" customWidth="1"/>
    <col min="15" max="15" width="11.28515625" bestFit="1" customWidth="1"/>
    <col min="16" max="16" width="13.42578125" bestFit="1" customWidth="1"/>
    <col min="17" max="17" width="11.28515625" bestFit="1" customWidth="1"/>
    <col min="18" max="20" width="13.42578125" bestFit="1" customWidth="1"/>
    <col min="21" max="21" width="15.85546875" bestFit="1" customWidth="1"/>
    <col min="22" max="22" width="11.28515625" bestFit="1" customWidth="1"/>
    <col min="23" max="27" width="3" bestFit="1" customWidth="1"/>
    <col min="28" max="28" width="7.28515625" bestFit="1" customWidth="1"/>
    <col min="29" max="29" width="11.28515625" bestFit="1" customWidth="1"/>
  </cols>
  <sheetData>
    <row r="1" spans="1:4" x14ac:dyDescent="0.25">
      <c r="A1" s="3" t="s">
        <v>1</v>
      </c>
      <c r="B1" t="s">
        <v>72</v>
      </c>
    </row>
    <row r="2" spans="1:4" x14ac:dyDescent="0.25">
      <c r="A2" s="3" t="s">
        <v>8</v>
      </c>
      <c r="B2" t="s">
        <v>12</v>
      </c>
    </row>
    <row r="3" spans="1:4" x14ac:dyDescent="0.25">
      <c r="A3" s="3" t="s">
        <v>6</v>
      </c>
      <c r="B3" t="s">
        <v>60</v>
      </c>
    </row>
    <row r="4" spans="1:4" x14ac:dyDescent="0.25">
      <c r="A4" s="3" t="s">
        <v>7</v>
      </c>
      <c r="B4" t="s">
        <v>60</v>
      </c>
    </row>
    <row r="5" spans="1:4" x14ac:dyDescent="0.25">
      <c r="A5" s="3" t="s">
        <v>73</v>
      </c>
      <c r="B5" t="s">
        <v>82</v>
      </c>
    </row>
    <row r="7" spans="1:4" x14ac:dyDescent="0.25">
      <c r="A7" s="3" t="s">
        <v>54</v>
      </c>
      <c r="C7" s="3" t="s">
        <v>40</v>
      </c>
      <c r="D7" s="3" t="s">
        <v>41</v>
      </c>
    </row>
    <row r="8" spans="1:4" x14ac:dyDescent="0.25">
      <c r="C8" t="s">
        <v>18</v>
      </c>
    </row>
    <row r="9" spans="1:4" x14ac:dyDescent="0.25">
      <c r="A9" s="3" t="s">
        <v>0</v>
      </c>
      <c r="B9" s="3" t="s">
        <v>37</v>
      </c>
    </row>
    <row r="10" spans="1:4" x14ac:dyDescent="0.25">
      <c r="A10" t="s">
        <v>18</v>
      </c>
      <c r="C10" s="11"/>
    </row>
    <row r="23" ht="17.25" customHeight="1" x14ac:dyDescent="0.25"/>
  </sheetData>
  <dataConsolidate/>
  <pageMargins left="0.7" right="0.7" top="0.75" bottom="0.75" header="0.3" footer="0.3"/>
  <pageSetup paperSize="9" orientation="portrait"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4"/>
  <dimension ref="A1:D23"/>
  <sheetViews>
    <sheetView workbookViewId="0">
      <selection activeCell="J33" sqref="J33"/>
    </sheetView>
  </sheetViews>
  <sheetFormatPr defaultRowHeight="15" x14ac:dyDescent="0.25"/>
  <cols>
    <col min="1" max="1" width="15.28515625" bestFit="1" customWidth="1"/>
    <col min="2" max="2" width="14.28515625" bestFit="1" customWidth="1"/>
    <col min="3" max="3" width="13.42578125" bestFit="1" customWidth="1"/>
    <col min="4" max="4" width="12.85546875" bestFit="1" customWidth="1"/>
    <col min="5" max="8" width="13.42578125" bestFit="1" customWidth="1"/>
    <col min="9" max="9" width="11.28515625" bestFit="1" customWidth="1"/>
    <col min="10" max="14" width="13.42578125" bestFit="1" customWidth="1"/>
    <col min="15" max="15" width="11.28515625" bestFit="1" customWidth="1"/>
    <col min="16" max="16" width="13.42578125" bestFit="1" customWidth="1"/>
    <col min="17" max="17" width="11.28515625" bestFit="1" customWidth="1"/>
    <col min="18" max="20" width="13.42578125" bestFit="1" customWidth="1"/>
    <col min="21" max="21" width="15.85546875" bestFit="1" customWidth="1"/>
    <col min="22" max="22" width="11.28515625" bestFit="1" customWidth="1"/>
    <col min="23" max="27" width="3" bestFit="1" customWidth="1"/>
    <col min="28" max="28" width="7.28515625" bestFit="1" customWidth="1"/>
    <col min="29" max="29" width="11.28515625" bestFit="1" customWidth="1"/>
  </cols>
  <sheetData>
    <row r="1" spans="1:4" x14ac:dyDescent="0.25">
      <c r="A1" s="3" t="s">
        <v>1</v>
      </c>
      <c r="B1" t="s">
        <v>72</v>
      </c>
    </row>
    <row r="2" spans="1:4" x14ac:dyDescent="0.25">
      <c r="A2" s="3" t="s">
        <v>8</v>
      </c>
      <c r="B2" t="s">
        <v>55</v>
      </c>
    </row>
    <row r="3" spans="1:4" x14ac:dyDescent="0.25">
      <c r="A3" s="3" t="s">
        <v>6</v>
      </c>
      <c r="B3" t="s">
        <v>60</v>
      </c>
    </row>
    <row r="4" spans="1:4" x14ac:dyDescent="0.25">
      <c r="A4" s="3" t="s">
        <v>7</v>
      </c>
      <c r="B4" t="s">
        <v>60</v>
      </c>
    </row>
    <row r="5" spans="1:4" x14ac:dyDescent="0.25">
      <c r="A5" s="3" t="s">
        <v>73</v>
      </c>
      <c r="B5" t="s">
        <v>82</v>
      </c>
    </row>
    <row r="7" spans="1:4" x14ac:dyDescent="0.25">
      <c r="A7" s="3" t="s">
        <v>54</v>
      </c>
      <c r="C7" s="3" t="s">
        <v>40</v>
      </c>
      <c r="D7" s="3" t="s">
        <v>41</v>
      </c>
    </row>
    <row r="8" spans="1:4" x14ac:dyDescent="0.25">
      <c r="C8" t="s">
        <v>18</v>
      </c>
    </row>
    <row r="9" spans="1:4" x14ac:dyDescent="0.25">
      <c r="A9" s="3" t="s">
        <v>0</v>
      </c>
      <c r="B9" s="3" t="s">
        <v>37</v>
      </c>
    </row>
    <row r="10" spans="1:4" x14ac:dyDescent="0.25">
      <c r="A10" t="s">
        <v>18</v>
      </c>
      <c r="C10" s="11"/>
    </row>
    <row r="23" ht="17.25" customHeight="1" x14ac:dyDescent="0.25"/>
  </sheetData>
  <dataConsolidate/>
  <pageMargins left="0.7" right="0.7" top="0.75" bottom="0.75" header="0.3" footer="0.3"/>
  <pageSetup paperSize="9" orientation="portrait"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5"/>
  <dimension ref="A1:I23"/>
  <sheetViews>
    <sheetView workbookViewId="0">
      <selection activeCell="J30" sqref="J30"/>
    </sheetView>
  </sheetViews>
  <sheetFormatPr defaultRowHeight="15" x14ac:dyDescent="0.25"/>
  <cols>
    <col min="1" max="1" width="15.28515625" bestFit="1" customWidth="1"/>
    <col min="2" max="2" width="14.28515625" bestFit="1" customWidth="1"/>
    <col min="3" max="8" width="13.42578125" bestFit="1" customWidth="1"/>
    <col min="9" max="9" width="11.28515625" bestFit="1" customWidth="1"/>
    <col min="10" max="14" width="13.42578125" bestFit="1" customWidth="1"/>
    <col min="15" max="15" width="11.28515625" bestFit="1" customWidth="1"/>
    <col min="16" max="16" width="13.42578125" bestFit="1" customWidth="1"/>
    <col min="17" max="17" width="11.28515625" bestFit="1" customWidth="1"/>
    <col min="18" max="20" width="13.42578125" bestFit="1" customWidth="1"/>
    <col min="21" max="21" width="15.85546875" bestFit="1" customWidth="1"/>
    <col min="22" max="22" width="11.28515625" bestFit="1" customWidth="1"/>
    <col min="23" max="27" width="3" bestFit="1" customWidth="1"/>
    <col min="28" max="28" width="7.28515625" bestFit="1" customWidth="1"/>
    <col min="29" max="29" width="11.28515625" bestFit="1" customWidth="1"/>
  </cols>
  <sheetData>
    <row r="1" spans="1:9" x14ac:dyDescent="0.25">
      <c r="A1" s="3" t="s">
        <v>1</v>
      </c>
      <c r="B1" t="s">
        <v>72</v>
      </c>
    </row>
    <row r="2" spans="1:9" x14ac:dyDescent="0.25">
      <c r="A2" s="3" t="s">
        <v>8</v>
      </c>
      <c r="B2" t="s">
        <v>55</v>
      </c>
    </row>
    <row r="3" spans="1:9" x14ac:dyDescent="0.25">
      <c r="A3" s="3" t="s">
        <v>6</v>
      </c>
      <c r="B3" t="s">
        <v>55</v>
      </c>
    </row>
    <row r="4" spans="1:9" x14ac:dyDescent="0.25">
      <c r="A4" s="3" t="s">
        <v>7</v>
      </c>
      <c r="B4" t="s">
        <v>55</v>
      </c>
    </row>
    <row r="5" spans="1:9" x14ac:dyDescent="0.25">
      <c r="A5" s="3" t="s">
        <v>73</v>
      </c>
      <c r="B5" t="s">
        <v>82</v>
      </c>
    </row>
    <row r="7" spans="1:9" x14ac:dyDescent="0.25">
      <c r="A7" s="3" t="s">
        <v>54</v>
      </c>
      <c r="C7" s="3" t="s">
        <v>40</v>
      </c>
      <c r="D7" s="3" t="s">
        <v>41</v>
      </c>
    </row>
    <row r="8" spans="1:9" x14ac:dyDescent="0.25">
      <c r="C8" t="s">
        <v>43</v>
      </c>
      <c r="E8" t="s">
        <v>50</v>
      </c>
      <c r="G8" t="s">
        <v>59</v>
      </c>
      <c r="I8" t="s">
        <v>18</v>
      </c>
    </row>
    <row r="9" spans="1:9" x14ac:dyDescent="0.25">
      <c r="A9" s="3" t="s">
        <v>0</v>
      </c>
      <c r="B9" s="3" t="s">
        <v>37</v>
      </c>
      <c r="C9" t="s">
        <v>51</v>
      </c>
      <c r="D9" t="s">
        <v>52</v>
      </c>
      <c r="E9" t="s">
        <v>51</v>
      </c>
      <c r="F9" t="s">
        <v>52</v>
      </c>
      <c r="G9" t="s">
        <v>51</v>
      </c>
      <c r="H9" t="s">
        <v>52</v>
      </c>
    </row>
    <row r="10" spans="1:9" x14ac:dyDescent="0.25">
      <c r="A10" s="1">
        <v>42808</v>
      </c>
      <c r="B10">
        <v>7</v>
      </c>
      <c r="C10" s="11">
        <v>0</v>
      </c>
      <c r="D10" s="11">
        <v>0</v>
      </c>
      <c r="E10" s="11">
        <v>0</v>
      </c>
      <c r="F10" s="11">
        <v>0</v>
      </c>
      <c r="G10" s="11">
        <v>675</v>
      </c>
      <c r="H10" s="11">
        <v>11</v>
      </c>
      <c r="I10" s="11">
        <v>686</v>
      </c>
    </row>
    <row r="11" spans="1:9" x14ac:dyDescent="0.25">
      <c r="B11">
        <v>8</v>
      </c>
      <c r="C11" s="11">
        <v>0</v>
      </c>
      <c r="D11" s="11">
        <v>0</v>
      </c>
      <c r="E11" s="11">
        <v>0</v>
      </c>
      <c r="F11" s="11">
        <v>0</v>
      </c>
      <c r="G11" s="11">
        <v>675</v>
      </c>
      <c r="H11" s="11">
        <v>11</v>
      </c>
      <c r="I11" s="11">
        <v>686</v>
      </c>
    </row>
    <row r="12" spans="1:9" x14ac:dyDescent="0.25">
      <c r="B12">
        <v>9</v>
      </c>
      <c r="C12" s="11">
        <v>0</v>
      </c>
      <c r="D12" s="11">
        <v>0</v>
      </c>
      <c r="E12" s="11">
        <v>0</v>
      </c>
      <c r="F12" s="11">
        <v>0</v>
      </c>
      <c r="G12" s="11">
        <v>675</v>
      </c>
      <c r="H12" s="11">
        <v>11</v>
      </c>
      <c r="I12" s="11">
        <v>686</v>
      </c>
    </row>
    <row r="13" spans="1:9" x14ac:dyDescent="0.25">
      <c r="B13">
        <v>10</v>
      </c>
      <c r="C13" s="11">
        <v>0</v>
      </c>
      <c r="D13" s="11">
        <v>0</v>
      </c>
      <c r="E13" s="11">
        <v>0</v>
      </c>
      <c r="F13" s="11">
        <v>0</v>
      </c>
      <c r="G13" s="11">
        <v>675</v>
      </c>
      <c r="H13" s="11">
        <v>11</v>
      </c>
      <c r="I13" s="11">
        <v>686</v>
      </c>
    </row>
    <row r="14" spans="1:9" x14ac:dyDescent="0.25">
      <c r="B14">
        <v>11</v>
      </c>
      <c r="C14" s="11">
        <v>0</v>
      </c>
      <c r="D14" s="11">
        <v>0</v>
      </c>
      <c r="E14" s="11">
        <v>0</v>
      </c>
      <c r="F14" s="11">
        <v>0</v>
      </c>
      <c r="G14" s="11">
        <v>675</v>
      </c>
      <c r="H14" s="11">
        <v>11</v>
      </c>
      <c r="I14" s="11">
        <v>686</v>
      </c>
    </row>
    <row r="15" spans="1:9" x14ac:dyDescent="0.25">
      <c r="B15">
        <v>12</v>
      </c>
      <c r="C15" s="11">
        <v>0</v>
      </c>
      <c r="D15" s="11">
        <v>0</v>
      </c>
      <c r="E15" s="11">
        <v>0</v>
      </c>
      <c r="F15" s="11">
        <v>0</v>
      </c>
      <c r="G15" s="11">
        <v>675</v>
      </c>
      <c r="H15" s="11">
        <v>11.06</v>
      </c>
      <c r="I15" s="11">
        <v>686.06</v>
      </c>
    </row>
    <row r="16" spans="1:9" x14ac:dyDescent="0.25">
      <c r="B16">
        <v>13</v>
      </c>
      <c r="C16" s="11">
        <v>0</v>
      </c>
      <c r="D16" s="11">
        <v>0</v>
      </c>
      <c r="E16" s="11">
        <v>20</v>
      </c>
      <c r="F16" s="11">
        <v>1</v>
      </c>
      <c r="G16" s="11">
        <v>635</v>
      </c>
      <c r="H16" s="11">
        <v>8.56</v>
      </c>
      <c r="I16" s="11">
        <v>664.56</v>
      </c>
    </row>
    <row r="17" spans="1:9" x14ac:dyDescent="0.25">
      <c r="B17">
        <v>14</v>
      </c>
      <c r="C17" s="11">
        <v>0</v>
      </c>
      <c r="D17" s="11">
        <v>0</v>
      </c>
      <c r="E17" s="11">
        <v>58</v>
      </c>
      <c r="F17" s="11">
        <v>2</v>
      </c>
      <c r="G17" s="11">
        <v>537</v>
      </c>
      <c r="H17" s="11">
        <v>9.379999999999999</v>
      </c>
      <c r="I17" s="11">
        <v>606.38</v>
      </c>
    </row>
    <row r="18" spans="1:9" x14ac:dyDescent="0.25">
      <c r="B18">
        <v>15</v>
      </c>
      <c r="C18" s="11">
        <v>0</v>
      </c>
      <c r="D18" s="11">
        <v>0</v>
      </c>
      <c r="E18" s="11">
        <v>38</v>
      </c>
      <c r="F18" s="11">
        <v>2</v>
      </c>
      <c r="G18" s="11">
        <v>647</v>
      </c>
      <c r="H18" s="11">
        <v>10.6</v>
      </c>
      <c r="I18" s="11">
        <v>697.6</v>
      </c>
    </row>
    <row r="19" spans="1:9" x14ac:dyDescent="0.25">
      <c r="B19">
        <v>16</v>
      </c>
      <c r="C19" s="11">
        <v>0</v>
      </c>
      <c r="D19" s="11">
        <v>0</v>
      </c>
      <c r="E19" s="11">
        <v>18</v>
      </c>
      <c r="F19" s="11">
        <v>1</v>
      </c>
      <c r="G19" s="11">
        <v>657</v>
      </c>
      <c r="H19" s="11">
        <v>10.6</v>
      </c>
      <c r="I19" s="11">
        <v>686.6</v>
      </c>
    </row>
    <row r="20" spans="1:9" x14ac:dyDescent="0.25">
      <c r="B20">
        <v>17</v>
      </c>
      <c r="C20" s="11">
        <v>0</v>
      </c>
      <c r="D20" s="11">
        <v>0</v>
      </c>
      <c r="E20" s="11">
        <v>18</v>
      </c>
      <c r="F20" s="11">
        <v>1</v>
      </c>
      <c r="G20" s="11">
        <v>657</v>
      </c>
      <c r="H20" s="11">
        <v>10.6</v>
      </c>
      <c r="I20" s="11">
        <v>686.6</v>
      </c>
    </row>
    <row r="21" spans="1:9" x14ac:dyDescent="0.25">
      <c r="B21">
        <v>18</v>
      </c>
      <c r="C21" s="11">
        <v>0</v>
      </c>
      <c r="D21" s="11">
        <v>0</v>
      </c>
      <c r="E21" s="11">
        <v>18</v>
      </c>
      <c r="F21" s="11">
        <v>1</v>
      </c>
      <c r="G21" s="11">
        <v>657</v>
      </c>
      <c r="H21" s="11">
        <v>10.6</v>
      </c>
      <c r="I21" s="11">
        <v>686.6</v>
      </c>
    </row>
    <row r="22" spans="1:9" x14ac:dyDescent="0.25">
      <c r="B22">
        <v>19</v>
      </c>
      <c r="C22" s="11">
        <v>0</v>
      </c>
      <c r="D22" s="11">
        <v>0</v>
      </c>
      <c r="E22" s="11">
        <v>18</v>
      </c>
      <c r="F22" s="11">
        <v>1</v>
      </c>
      <c r="G22" s="11">
        <v>657</v>
      </c>
      <c r="H22" s="11">
        <v>10.6</v>
      </c>
      <c r="I22" s="11">
        <v>686.6</v>
      </c>
    </row>
    <row r="23" spans="1:9" ht="17.25" customHeight="1" x14ac:dyDescent="0.25">
      <c r="A23" t="s">
        <v>18</v>
      </c>
      <c r="C23" s="11">
        <v>0</v>
      </c>
      <c r="D23" s="11">
        <v>0</v>
      </c>
      <c r="E23" s="11">
        <v>188</v>
      </c>
      <c r="F23" s="11">
        <v>9</v>
      </c>
      <c r="G23" s="11">
        <v>8497</v>
      </c>
      <c r="H23" s="11">
        <v>136.99999999999997</v>
      </c>
      <c r="I23" s="11">
        <v>8831</v>
      </c>
    </row>
  </sheetData>
  <dataConsolidate/>
  <pageMargins left="0.7" right="0.7" top="0.75" bottom="0.75" header="0.3" footer="0.3"/>
  <pageSetup paperSize="9" orientation="portrait"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I23"/>
  <sheetViews>
    <sheetView workbookViewId="0">
      <selection activeCell="D8" sqref="D8"/>
    </sheetView>
  </sheetViews>
  <sheetFormatPr defaultRowHeight="15" x14ac:dyDescent="0.25"/>
  <cols>
    <col min="1" max="1" width="15.28515625" bestFit="1" customWidth="1"/>
    <col min="2" max="2" width="14.28515625" bestFit="1" customWidth="1"/>
    <col min="3" max="8" width="13.42578125" bestFit="1" customWidth="1"/>
    <col min="9" max="9" width="11.28515625" bestFit="1" customWidth="1"/>
    <col min="10" max="14" width="13.42578125" bestFit="1" customWidth="1"/>
    <col min="15" max="15" width="11.28515625" bestFit="1" customWidth="1"/>
    <col min="16" max="16" width="13.42578125" bestFit="1" customWidth="1"/>
    <col min="17" max="17" width="11.28515625" bestFit="1" customWidth="1"/>
    <col min="18" max="20" width="13.42578125" bestFit="1" customWidth="1"/>
    <col min="21" max="21" width="15.85546875" bestFit="1" customWidth="1"/>
    <col min="22" max="22" width="11.28515625" bestFit="1" customWidth="1"/>
    <col min="23" max="27" width="3" bestFit="1" customWidth="1"/>
    <col min="28" max="28" width="7.28515625" bestFit="1" customWidth="1"/>
    <col min="29" max="29" width="11.28515625" bestFit="1" customWidth="1"/>
  </cols>
  <sheetData>
    <row r="1" spans="1:9" x14ac:dyDescent="0.25">
      <c r="A1" s="3" t="s">
        <v>1</v>
      </c>
      <c r="B1" t="s">
        <v>72</v>
      </c>
    </row>
    <row r="2" spans="1:9" x14ac:dyDescent="0.25">
      <c r="A2" s="3" t="s">
        <v>8</v>
      </c>
      <c r="B2" t="s">
        <v>55</v>
      </c>
    </row>
    <row r="3" spans="1:9" x14ac:dyDescent="0.25">
      <c r="A3" s="3" t="s">
        <v>6</v>
      </c>
      <c r="B3" t="s">
        <v>55</v>
      </c>
    </row>
    <row r="4" spans="1:9" x14ac:dyDescent="0.25">
      <c r="A4" s="3" t="s">
        <v>7</v>
      </c>
      <c r="B4" t="s">
        <v>55</v>
      </c>
    </row>
    <row r="5" spans="1:9" x14ac:dyDescent="0.25">
      <c r="A5" s="3" t="s">
        <v>73</v>
      </c>
      <c r="B5" t="s">
        <v>82</v>
      </c>
    </row>
    <row r="7" spans="1:9" x14ac:dyDescent="0.25">
      <c r="A7" s="3" t="s">
        <v>54</v>
      </c>
      <c r="C7" s="3" t="s">
        <v>40</v>
      </c>
      <c r="D7" s="3" t="s">
        <v>41</v>
      </c>
    </row>
    <row r="8" spans="1:9" x14ac:dyDescent="0.25">
      <c r="C8" t="s">
        <v>43</v>
      </c>
      <c r="E8" t="s">
        <v>50</v>
      </c>
      <c r="G8" t="s">
        <v>59</v>
      </c>
      <c r="I8" t="s">
        <v>18</v>
      </c>
    </row>
    <row r="9" spans="1:9" x14ac:dyDescent="0.25">
      <c r="A9" s="3" t="s">
        <v>0</v>
      </c>
      <c r="B9" s="3" t="s">
        <v>37</v>
      </c>
      <c r="C9" t="s">
        <v>51</v>
      </c>
      <c r="D9" t="s">
        <v>52</v>
      </c>
      <c r="E9" t="s">
        <v>51</v>
      </c>
      <c r="F9" t="s">
        <v>52</v>
      </c>
      <c r="G9" t="s">
        <v>51</v>
      </c>
      <c r="H9" t="s">
        <v>52</v>
      </c>
    </row>
    <row r="10" spans="1:9" x14ac:dyDescent="0.25">
      <c r="A10" s="1">
        <v>42808</v>
      </c>
      <c r="B10">
        <v>7</v>
      </c>
      <c r="C10" s="11">
        <v>0</v>
      </c>
      <c r="D10" s="11">
        <v>0</v>
      </c>
      <c r="E10" s="11">
        <v>0</v>
      </c>
      <c r="F10" s="11">
        <v>0</v>
      </c>
      <c r="G10" s="11">
        <v>675</v>
      </c>
      <c r="H10" s="11">
        <v>11</v>
      </c>
      <c r="I10" s="11">
        <v>686</v>
      </c>
    </row>
    <row r="11" spans="1:9" x14ac:dyDescent="0.25">
      <c r="B11">
        <v>8</v>
      </c>
      <c r="C11" s="11">
        <v>0</v>
      </c>
      <c r="D11" s="11">
        <v>0</v>
      </c>
      <c r="E11" s="11">
        <v>0</v>
      </c>
      <c r="F11" s="11">
        <v>0</v>
      </c>
      <c r="G11" s="11">
        <v>675</v>
      </c>
      <c r="H11" s="11">
        <v>11</v>
      </c>
      <c r="I11" s="11">
        <v>686</v>
      </c>
    </row>
    <row r="12" spans="1:9" x14ac:dyDescent="0.25">
      <c r="B12">
        <v>9</v>
      </c>
      <c r="C12" s="11">
        <v>0</v>
      </c>
      <c r="D12" s="11">
        <v>0</v>
      </c>
      <c r="E12" s="11">
        <v>0</v>
      </c>
      <c r="F12" s="11">
        <v>0</v>
      </c>
      <c r="G12" s="11">
        <v>675</v>
      </c>
      <c r="H12" s="11">
        <v>11</v>
      </c>
      <c r="I12" s="11">
        <v>686</v>
      </c>
    </row>
    <row r="13" spans="1:9" x14ac:dyDescent="0.25">
      <c r="B13">
        <v>10</v>
      </c>
      <c r="C13" s="11">
        <v>0</v>
      </c>
      <c r="D13" s="11">
        <v>0</v>
      </c>
      <c r="E13" s="11">
        <v>0</v>
      </c>
      <c r="F13" s="11">
        <v>0</v>
      </c>
      <c r="G13" s="11">
        <v>675</v>
      </c>
      <c r="H13" s="11">
        <v>11</v>
      </c>
      <c r="I13" s="11">
        <v>686</v>
      </c>
    </row>
    <row r="14" spans="1:9" x14ac:dyDescent="0.25">
      <c r="B14">
        <v>11</v>
      </c>
      <c r="C14" s="11">
        <v>0</v>
      </c>
      <c r="D14" s="11">
        <v>0</v>
      </c>
      <c r="E14" s="11">
        <v>0</v>
      </c>
      <c r="F14" s="11">
        <v>0</v>
      </c>
      <c r="G14" s="11">
        <v>675</v>
      </c>
      <c r="H14" s="11">
        <v>11</v>
      </c>
      <c r="I14" s="11">
        <v>686</v>
      </c>
    </row>
    <row r="15" spans="1:9" x14ac:dyDescent="0.25">
      <c r="B15">
        <v>12</v>
      </c>
      <c r="C15" s="11">
        <v>0</v>
      </c>
      <c r="D15" s="11">
        <v>0</v>
      </c>
      <c r="E15" s="11">
        <v>0</v>
      </c>
      <c r="F15" s="11">
        <v>0</v>
      </c>
      <c r="G15" s="11">
        <v>675</v>
      </c>
      <c r="H15" s="11">
        <v>11.06</v>
      </c>
      <c r="I15" s="11">
        <v>686.06</v>
      </c>
    </row>
    <row r="16" spans="1:9" x14ac:dyDescent="0.25">
      <c r="B16">
        <v>13</v>
      </c>
      <c r="C16" s="11">
        <v>0</v>
      </c>
      <c r="D16" s="11">
        <v>0</v>
      </c>
      <c r="E16" s="11">
        <v>20</v>
      </c>
      <c r="F16" s="11">
        <v>1</v>
      </c>
      <c r="G16" s="11">
        <v>635</v>
      </c>
      <c r="H16" s="11">
        <v>8.56</v>
      </c>
      <c r="I16" s="11">
        <v>664.56</v>
      </c>
    </row>
    <row r="17" spans="1:9" x14ac:dyDescent="0.25">
      <c r="B17">
        <v>14</v>
      </c>
      <c r="C17" s="11">
        <v>0</v>
      </c>
      <c r="D17" s="11">
        <v>0</v>
      </c>
      <c r="E17" s="11">
        <v>58</v>
      </c>
      <c r="F17" s="11">
        <v>2</v>
      </c>
      <c r="G17" s="11">
        <v>537</v>
      </c>
      <c r="H17" s="11">
        <v>9.379999999999999</v>
      </c>
      <c r="I17" s="11">
        <v>606.38</v>
      </c>
    </row>
    <row r="18" spans="1:9" x14ac:dyDescent="0.25">
      <c r="B18">
        <v>15</v>
      </c>
      <c r="C18" s="11">
        <v>0</v>
      </c>
      <c r="D18" s="11">
        <v>0</v>
      </c>
      <c r="E18" s="11">
        <v>38</v>
      </c>
      <c r="F18" s="11">
        <v>2</v>
      </c>
      <c r="G18" s="11">
        <v>647</v>
      </c>
      <c r="H18" s="11">
        <v>10.6</v>
      </c>
      <c r="I18" s="11">
        <v>697.6</v>
      </c>
    </row>
    <row r="19" spans="1:9" x14ac:dyDescent="0.25">
      <c r="B19">
        <v>16</v>
      </c>
      <c r="C19" s="11">
        <v>0</v>
      </c>
      <c r="D19" s="11">
        <v>0</v>
      </c>
      <c r="E19" s="11">
        <v>18</v>
      </c>
      <c r="F19" s="11">
        <v>1</v>
      </c>
      <c r="G19" s="11">
        <v>657</v>
      </c>
      <c r="H19" s="11">
        <v>10.6</v>
      </c>
      <c r="I19" s="11">
        <v>686.6</v>
      </c>
    </row>
    <row r="20" spans="1:9" x14ac:dyDescent="0.25">
      <c r="B20">
        <v>17</v>
      </c>
      <c r="C20" s="11">
        <v>0</v>
      </c>
      <c r="D20" s="11">
        <v>0</v>
      </c>
      <c r="E20" s="11">
        <v>18</v>
      </c>
      <c r="F20" s="11">
        <v>1</v>
      </c>
      <c r="G20" s="11">
        <v>657</v>
      </c>
      <c r="H20" s="11">
        <v>10.6</v>
      </c>
      <c r="I20" s="11">
        <v>686.6</v>
      </c>
    </row>
    <row r="21" spans="1:9" x14ac:dyDescent="0.25">
      <c r="B21">
        <v>18</v>
      </c>
      <c r="C21" s="11">
        <v>0</v>
      </c>
      <c r="D21" s="11">
        <v>0</v>
      </c>
      <c r="E21" s="11">
        <v>18</v>
      </c>
      <c r="F21" s="11">
        <v>1</v>
      </c>
      <c r="G21" s="11">
        <v>657</v>
      </c>
      <c r="H21" s="11">
        <v>10.6</v>
      </c>
      <c r="I21" s="11">
        <v>686.6</v>
      </c>
    </row>
    <row r="22" spans="1:9" x14ac:dyDescent="0.25">
      <c r="B22">
        <v>19</v>
      </c>
      <c r="C22" s="11">
        <v>0</v>
      </c>
      <c r="D22" s="11">
        <v>0</v>
      </c>
      <c r="E22" s="11">
        <v>18</v>
      </c>
      <c r="F22" s="11">
        <v>1</v>
      </c>
      <c r="G22" s="11">
        <v>657</v>
      </c>
      <c r="H22" s="11">
        <v>10.6</v>
      </c>
      <c r="I22" s="11">
        <v>686.6</v>
      </c>
    </row>
    <row r="23" spans="1:9" ht="17.25" customHeight="1" x14ac:dyDescent="0.25">
      <c r="A23" t="s">
        <v>18</v>
      </c>
      <c r="C23" s="11">
        <v>0</v>
      </c>
      <c r="D23" s="11">
        <v>0</v>
      </c>
      <c r="E23" s="11">
        <v>188</v>
      </c>
      <c r="F23" s="11">
        <v>9</v>
      </c>
      <c r="G23" s="11">
        <v>8497</v>
      </c>
      <c r="H23" s="11">
        <v>136.99999999999997</v>
      </c>
      <c r="I23" s="11">
        <v>8831</v>
      </c>
    </row>
  </sheetData>
  <dataConsolidate/>
  <pageMargins left="0.7" right="0.7" top="0.75" bottom="0.75" header="0.3" footer="0.3"/>
  <pageSetup paperSize="9" orientation="portrait"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I23"/>
  <sheetViews>
    <sheetView workbookViewId="0">
      <selection activeCell="B9" sqref="B9"/>
    </sheetView>
  </sheetViews>
  <sheetFormatPr defaultRowHeight="15" x14ac:dyDescent="0.25"/>
  <cols>
    <col min="1" max="1" width="15.28515625" bestFit="1" customWidth="1"/>
    <col min="2" max="2" width="14.28515625" bestFit="1" customWidth="1"/>
    <col min="3" max="8" width="13.42578125" bestFit="1" customWidth="1"/>
    <col min="9" max="9" width="11.28515625" bestFit="1" customWidth="1"/>
    <col min="10" max="14" width="13.42578125" bestFit="1" customWidth="1"/>
    <col min="15" max="15" width="11.28515625" bestFit="1" customWidth="1"/>
    <col min="16" max="16" width="13.42578125" bestFit="1" customWidth="1"/>
    <col min="17" max="17" width="11.28515625" bestFit="1" customWidth="1"/>
    <col min="18" max="18" width="13.42578125" bestFit="1" customWidth="1"/>
    <col min="19" max="19" width="5.42578125" bestFit="1" customWidth="1"/>
    <col min="20" max="20" width="15.85546875" bestFit="1" customWidth="1"/>
    <col min="21" max="21" width="11.28515625" bestFit="1" customWidth="1"/>
    <col min="22" max="27" width="3" bestFit="1" customWidth="1"/>
    <col min="28" max="28" width="7.28515625" bestFit="1" customWidth="1"/>
    <col min="29" max="29" width="11.28515625" bestFit="1" customWidth="1"/>
  </cols>
  <sheetData>
    <row r="1" spans="1:9" x14ac:dyDescent="0.25">
      <c r="A1" s="3" t="s">
        <v>1</v>
      </c>
      <c r="B1" t="s">
        <v>72</v>
      </c>
    </row>
    <row r="2" spans="1:9" x14ac:dyDescent="0.25">
      <c r="A2" s="3" t="s">
        <v>8</v>
      </c>
      <c r="B2" t="s">
        <v>55</v>
      </c>
    </row>
    <row r="3" spans="1:9" x14ac:dyDescent="0.25">
      <c r="A3" s="3" t="s">
        <v>6</v>
      </c>
      <c r="B3" t="s">
        <v>55</v>
      </c>
    </row>
    <row r="4" spans="1:9" x14ac:dyDescent="0.25">
      <c r="A4" s="3" t="s">
        <v>7</v>
      </c>
      <c r="B4" t="s">
        <v>55</v>
      </c>
    </row>
    <row r="5" spans="1:9" x14ac:dyDescent="0.25">
      <c r="A5" s="3" t="s">
        <v>73</v>
      </c>
      <c r="B5" t="s">
        <v>82</v>
      </c>
    </row>
    <row r="7" spans="1:9" x14ac:dyDescent="0.25">
      <c r="A7" s="3" t="s">
        <v>54</v>
      </c>
      <c r="C7" s="3" t="s">
        <v>40</v>
      </c>
      <c r="D7" s="3" t="s">
        <v>41</v>
      </c>
    </row>
    <row r="8" spans="1:9" x14ac:dyDescent="0.25">
      <c r="C8" t="s">
        <v>43</v>
      </c>
      <c r="E8" t="s">
        <v>50</v>
      </c>
      <c r="G8" t="s">
        <v>59</v>
      </c>
      <c r="I8" t="s">
        <v>18</v>
      </c>
    </row>
    <row r="9" spans="1:9" x14ac:dyDescent="0.25">
      <c r="A9" s="3" t="s">
        <v>0</v>
      </c>
      <c r="B9" s="3" t="s">
        <v>37</v>
      </c>
      <c r="C9" t="s">
        <v>51</v>
      </c>
      <c r="D9" t="s">
        <v>52</v>
      </c>
      <c r="E9" t="s">
        <v>51</v>
      </c>
      <c r="F9" t="s">
        <v>52</v>
      </c>
      <c r="G9" t="s">
        <v>51</v>
      </c>
      <c r="H9" t="s">
        <v>52</v>
      </c>
    </row>
    <row r="10" spans="1:9" x14ac:dyDescent="0.25">
      <c r="A10" s="1">
        <v>42808</v>
      </c>
      <c r="B10">
        <v>7</v>
      </c>
      <c r="C10" s="11">
        <v>0</v>
      </c>
      <c r="D10" s="11">
        <v>0</v>
      </c>
      <c r="E10" s="11">
        <v>0</v>
      </c>
      <c r="F10" s="11">
        <v>0</v>
      </c>
      <c r="G10" s="11">
        <v>675</v>
      </c>
      <c r="H10" s="11">
        <v>11</v>
      </c>
      <c r="I10" s="11">
        <v>686</v>
      </c>
    </row>
    <row r="11" spans="1:9" x14ac:dyDescent="0.25">
      <c r="B11">
        <v>8</v>
      </c>
      <c r="C11" s="11">
        <v>0</v>
      </c>
      <c r="D11" s="11">
        <v>0</v>
      </c>
      <c r="E11" s="11">
        <v>0</v>
      </c>
      <c r="F11" s="11">
        <v>0</v>
      </c>
      <c r="G11" s="11">
        <v>675</v>
      </c>
      <c r="H11" s="11">
        <v>11</v>
      </c>
      <c r="I11" s="11">
        <v>686</v>
      </c>
    </row>
    <row r="12" spans="1:9" x14ac:dyDescent="0.25">
      <c r="B12">
        <v>9</v>
      </c>
      <c r="C12" s="11">
        <v>0</v>
      </c>
      <c r="D12" s="11">
        <v>0</v>
      </c>
      <c r="E12" s="11">
        <v>0</v>
      </c>
      <c r="F12" s="11">
        <v>0</v>
      </c>
      <c r="G12" s="11">
        <v>675</v>
      </c>
      <c r="H12" s="11">
        <v>11</v>
      </c>
      <c r="I12" s="11">
        <v>686</v>
      </c>
    </row>
    <row r="13" spans="1:9" x14ac:dyDescent="0.25">
      <c r="B13">
        <v>10</v>
      </c>
      <c r="C13" s="11">
        <v>0</v>
      </c>
      <c r="D13" s="11">
        <v>0</v>
      </c>
      <c r="E13" s="11">
        <v>0</v>
      </c>
      <c r="F13" s="11">
        <v>0</v>
      </c>
      <c r="G13" s="11">
        <v>675</v>
      </c>
      <c r="H13" s="11">
        <v>11</v>
      </c>
      <c r="I13" s="11">
        <v>686</v>
      </c>
    </row>
    <row r="14" spans="1:9" x14ac:dyDescent="0.25">
      <c r="B14">
        <v>11</v>
      </c>
      <c r="C14" s="11">
        <v>0</v>
      </c>
      <c r="D14" s="11">
        <v>0</v>
      </c>
      <c r="E14" s="11">
        <v>0</v>
      </c>
      <c r="F14" s="11">
        <v>0</v>
      </c>
      <c r="G14" s="11">
        <v>675</v>
      </c>
      <c r="H14" s="11">
        <v>11</v>
      </c>
      <c r="I14" s="11">
        <v>686</v>
      </c>
    </row>
    <row r="15" spans="1:9" x14ac:dyDescent="0.25">
      <c r="B15">
        <v>12</v>
      </c>
      <c r="C15" s="11">
        <v>0</v>
      </c>
      <c r="D15" s="11">
        <v>0</v>
      </c>
      <c r="E15" s="11">
        <v>0</v>
      </c>
      <c r="F15" s="11">
        <v>0</v>
      </c>
      <c r="G15" s="11">
        <v>675</v>
      </c>
      <c r="H15" s="11">
        <v>11.06</v>
      </c>
      <c r="I15" s="11">
        <v>686.06</v>
      </c>
    </row>
    <row r="16" spans="1:9" x14ac:dyDescent="0.25">
      <c r="B16">
        <v>13</v>
      </c>
      <c r="C16" s="11">
        <v>0</v>
      </c>
      <c r="D16" s="11">
        <v>0</v>
      </c>
      <c r="E16" s="11">
        <v>20</v>
      </c>
      <c r="F16" s="11">
        <v>1</v>
      </c>
      <c r="G16" s="11">
        <v>635</v>
      </c>
      <c r="H16" s="11">
        <v>8.56</v>
      </c>
      <c r="I16" s="11">
        <v>664.56</v>
      </c>
    </row>
    <row r="17" spans="1:9" x14ac:dyDescent="0.25">
      <c r="B17">
        <v>14</v>
      </c>
      <c r="C17" s="11">
        <v>0</v>
      </c>
      <c r="D17" s="11">
        <v>0</v>
      </c>
      <c r="E17" s="11">
        <v>58</v>
      </c>
      <c r="F17" s="11">
        <v>2</v>
      </c>
      <c r="G17" s="11">
        <v>537</v>
      </c>
      <c r="H17" s="11">
        <v>9.379999999999999</v>
      </c>
      <c r="I17" s="11">
        <v>606.38</v>
      </c>
    </row>
    <row r="18" spans="1:9" x14ac:dyDescent="0.25">
      <c r="B18">
        <v>15</v>
      </c>
      <c r="C18" s="11">
        <v>0</v>
      </c>
      <c r="D18" s="11">
        <v>0</v>
      </c>
      <c r="E18" s="11">
        <v>38</v>
      </c>
      <c r="F18" s="11">
        <v>2</v>
      </c>
      <c r="G18" s="11">
        <v>647</v>
      </c>
      <c r="H18" s="11">
        <v>10.6</v>
      </c>
      <c r="I18" s="11">
        <v>697.6</v>
      </c>
    </row>
    <row r="19" spans="1:9" x14ac:dyDescent="0.25">
      <c r="B19">
        <v>16</v>
      </c>
      <c r="C19" s="11">
        <v>0</v>
      </c>
      <c r="D19" s="11">
        <v>0</v>
      </c>
      <c r="E19" s="11">
        <v>18</v>
      </c>
      <c r="F19" s="11">
        <v>1</v>
      </c>
      <c r="G19" s="11">
        <v>657</v>
      </c>
      <c r="H19" s="11">
        <v>10.6</v>
      </c>
      <c r="I19" s="11">
        <v>686.6</v>
      </c>
    </row>
    <row r="20" spans="1:9" x14ac:dyDescent="0.25">
      <c r="B20">
        <v>17</v>
      </c>
      <c r="C20" s="11">
        <v>0</v>
      </c>
      <c r="D20" s="11">
        <v>0</v>
      </c>
      <c r="E20" s="11">
        <v>18</v>
      </c>
      <c r="F20" s="11">
        <v>1</v>
      </c>
      <c r="G20" s="11">
        <v>657</v>
      </c>
      <c r="H20" s="11">
        <v>10.6</v>
      </c>
      <c r="I20" s="11">
        <v>686.6</v>
      </c>
    </row>
    <row r="21" spans="1:9" x14ac:dyDescent="0.25">
      <c r="B21">
        <v>18</v>
      </c>
      <c r="C21" s="11">
        <v>0</v>
      </c>
      <c r="D21" s="11">
        <v>0</v>
      </c>
      <c r="E21" s="11">
        <v>18</v>
      </c>
      <c r="F21" s="11">
        <v>1</v>
      </c>
      <c r="G21" s="11">
        <v>657</v>
      </c>
      <c r="H21" s="11">
        <v>10.6</v>
      </c>
      <c r="I21" s="11">
        <v>686.6</v>
      </c>
    </row>
    <row r="22" spans="1:9" x14ac:dyDescent="0.25">
      <c r="B22">
        <v>19</v>
      </c>
      <c r="C22" s="11">
        <v>0</v>
      </c>
      <c r="D22" s="11">
        <v>0</v>
      </c>
      <c r="E22" s="11">
        <v>18</v>
      </c>
      <c r="F22" s="11">
        <v>1</v>
      </c>
      <c r="G22" s="11">
        <v>657</v>
      </c>
      <c r="H22" s="11">
        <v>10.6</v>
      </c>
      <c r="I22" s="11">
        <v>686.6</v>
      </c>
    </row>
    <row r="23" spans="1:9" ht="17.25" customHeight="1" x14ac:dyDescent="0.25">
      <c r="A23" t="s">
        <v>18</v>
      </c>
      <c r="C23" s="11">
        <v>0</v>
      </c>
      <c r="D23" s="11">
        <v>0</v>
      </c>
      <c r="E23" s="11">
        <v>188</v>
      </c>
      <c r="F23" s="11">
        <v>9</v>
      </c>
      <c r="G23" s="11">
        <v>8497</v>
      </c>
      <c r="H23" s="11">
        <v>136.99999999999997</v>
      </c>
      <c r="I23" s="11">
        <v>8831</v>
      </c>
    </row>
  </sheetData>
  <dataConsolidate/>
  <pageMargins left="0.7" right="0.7" top="0.75" bottom="0.75" header="0.3" footer="0.3"/>
  <pageSetup paperSize="9" orientation="portrait"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8"/>
  <dimension ref="A1:I23"/>
  <sheetViews>
    <sheetView workbookViewId="0"/>
  </sheetViews>
  <sheetFormatPr defaultRowHeight="15" x14ac:dyDescent="0.25"/>
  <cols>
    <col min="1" max="1" width="15.28515625" bestFit="1" customWidth="1"/>
    <col min="2" max="2" width="14.28515625" bestFit="1" customWidth="1"/>
    <col min="3" max="8" width="13.42578125" bestFit="1" customWidth="1"/>
    <col min="9" max="9" width="11.28515625" bestFit="1" customWidth="1"/>
    <col min="10" max="14" width="13.42578125" bestFit="1" customWidth="1"/>
    <col min="15" max="15" width="11.28515625" bestFit="1" customWidth="1"/>
    <col min="16" max="16" width="13.42578125" bestFit="1" customWidth="1"/>
    <col min="17" max="17" width="11.28515625" bestFit="1" customWidth="1"/>
    <col min="18" max="20" width="13.42578125" bestFit="1" customWidth="1"/>
    <col min="21" max="21" width="15.85546875" bestFit="1" customWidth="1"/>
    <col min="22" max="22" width="11.28515625" bestFit="1" customWidth="1"/>
    <col min="23" max="27" width="3" bestFit="1" customWidth="1"/>
    <col min="28" max="28" width="7.28515625" bestFit="1" customWidth="1"/>
    <col min="29" max="29" width="11.28515625" bestFit="1" customWidth="1"/>
  </cols>
  <sheetData>
    <row r="1" spans="1:9" x14ac:dyDescent="0.25">
      <c r="A1" s="3" t="s">
        <v>1</v>
      </c>
      <c r="B1" t="s">
        <v>72</v>
      </c>
    </row>
    <row r="2" spans="1:9" x14ac:dyDescent="0.25">
      <c r="A2" s="3" t="s">
        <v>8</v>
      </c>
      <c r="B2" t="s">
        <v>55</v>
      </c>
    </row>
    <row r="3" spans="1:9" x14ac:dyDescent="0.25">
      <c r="A3" s="3" t="s">
        <v>6</v>
      </c>
      <c r="B3" t="s">
        <v>55</v>
      </c>
    </row>
    <row r="4" spans="1:9" x14ac:dyDescent="0.25">
      <c r="A4" s="3" t="s">
        <v>7</v>
      </c>
      <c r="B4" t="s">
        <v>55</v>
      </c>
    </row>
    <row r="5" spans="1:9" x14ac:dyDescent="0.25">
      <c r="A5" s="3" t="s">
        <v>73</v>
      </c>
      <c r="B5" t="s">
        <v>82</v>
      </c>
    </row>
    <row r="7" spans="1:9" x14ac:dyDescent="0.25">
      <c r="A7" s="3" t="s">
        <v>54</v>
      </c>
      <c r="C7" s="3" t="s">
        <v>40</v>
      </c>
      <c r="D7" s="3" t="s">
        <v>41</v>
      </c>
    </row>
    <row r="8" spans="1:9" x14ac:dyDescent="0.25">
      <c r="C8" t="s">
        <v>43</v>
      </c>
      <c r="E8" t="s">
        <v>50</v>
      </c>
      <c r="G8" t="s">
        <v>59</v>
      </c>
      <c r="I8" t="s">
        <v>18</v>
      </c>
    </row>
    <row r="9" spans="1:9" x14ac:dyDescent="0.25">
      <c r="A9" s="3" t="s">
        <v>0</v>
      </c>
      <c r="B9" s="3" t="s">
        <v>37</v>
      </c>
      <c r="C9" t="s">
        <v>51</v>
      </c>
      <c r="D9" t="s">
        <v>52</v>
      </c>
      <c r="E9" t="s">
        <v>51</v>
      </c>
      <c r="F9" t="s">
        <v>52</v>
      </c>
      <c r="G9" t="s">
        <v>51</v>
      </c>
      <c r="H9" t="s">
        <v>52</v>
      </c>
    </row>
    <row r="10" spans="1:9" x14ac:dyDescent="0.25">
      <c r="A10" s="1">
        <v>42808</v>
      </c>
      <c r="B10">
        <v>7</v>
      </c>
      <c r="C10" s="11">
        <v>0</v>
      </c>
      <c r="D10" s="11">
        <v>0</v>
      </c>
      <c r="E10" s="11">
        <v>0</v>
      </c>
      <c r="F10" s="11">
        <v>0</v>
      </c>
      <c r="G10" s="11">
        <v>675</v>
      </c>
      <c r="H10" s="11">
        <v>11</v>
      </c>
      <c r="I10" s="11">
        <v>686</v>
      </c>
    </row>
    <row r="11" spans="1:9" x14ac:dyDescent="0.25">
      <c r="B11">
        <v>8</v>
      </c>
      <c r="C11" s="11">
        <v>0</v>
      </c>
      <c r="D11" s="11">
        <v>0</v>
      </c>
      <c r="E11" s="11">
        <v>0</v>
      </c>
      <c r="F11" s="11">
        <v>0</v>
      </c>
      <c r="G11" s="11">
        <v>675</v>
      </c>
      <c r="H11" s="11">
        <v>11</v>
      </c>
      <c r="I11" s="11">
        <v>686</v>
      </c>
    </row>
    <row r="12" spans="1:9" x14ac:dyDescent="0.25">
      <c r="B12">
        <v>9</v>
      </c>
      <c r="C12" s="11">
        <v>0</v>
      </c>
      <c r="D12" s="11">
        <v>0</v>
      </c>
      <c r="E12" s="11">
        <v>0</v>
      </c>
      <c r="F12" s="11">
        <v>0</v>
      </c>
      <c r="G12" s="11">
        <v>675</v>
      </c>
      <c r="H12" s="11">
        <v>11</v>
      </c>
      <c r="I12" s="11">
        <v>686</v>
      </c>
    </row>
    <row r="13" spans="1:9" x14ac:dyDescent="0.25">
      <c r="B13">
        <v>10</v>
      </c>
      <c r="C13" s="11">
        <v>0</v>
      </c>
      <c r="D13" s="11">
        <v>0</v>
      </c>
      <c r="E13" s="11">
        <v>0</v>
      </c>
      <c r="F13" s="11">
        <v>0</v>
      </c>
      <c r="G13" s="11">
        <v>675</v>
      </c>
      <c r="H13" s="11">
        <v>11</v>
      </c>
      <c r="I13" s="11">
        <v>686</v>
      </c>
    </row>
    <row r="14" spans="1:9" x14ac:dyDescent="0.25">
      <c r="B14">
        <v>11</v>
      </c>
      <c r="C14" s="11">
        <v>0</v>
      </c>
      <c r="D14" s="11">
        <v>0</v>
      </c>
      <c r="E14" s="11">
        <v>0</v>
      </c>
      <c r="F14" s="11">
        <v>0</v>
      </c>
      <c r="G14" s="11">
        <v>675</v>
      </c>
      <c r="H14" s="11">
        <v>11</v>
      </c>
      <c r="I14" s="11">
        <v>686</v>
      </c>
    </row>
    <row r="15" spans="1:9" x14ac:dyDescent="0.25">
      <c r="B15">
        <v>12</v>
      </c>
      <c r="C15" s="11">
        <v>0</v>
      </c>
      <c r="D15" s="11">
        <v>0</v>
      </c>
      <c r="E15" s="11">
        <v>0</v>
      </c>
      <c r="F15" s="11">
        <v>0</v>
      </c>
      <c r="G15" s="11">
        <v>675</v>
      </c>
      <c r="H15" s="11">
        <v>11.06</v>
      </c>
      <c r="I15" s="11">
        <v>686.06</v>
      </c>
    </row>
    <row r="16" spans="1:9" x14ac:dyDescent="0.25">
      <c r="B16">
        <v>13</v>
      </c>
      <c r="C16" s="11">
        <v>0</v>
      </c>
      <c r="D16" s="11">
        <v>0</v>
      </c>
      <c r="E16" s="11">
        <v>20</v>
      </c>
      <c r="F16" s="11">
        <v>1</v>
      </c>
      <c r="G16" s="11">
        <v>635</v>
      </c>
      <c r="H16" s="11">
        <v>8.56</v>
      </c>
      <c r="I16" s="11">
        <v>664.56</v>
      </c>
    </row>
    <row r="17" spans="1:9" x14ac:dyDescent="0.25">
      <c r="B17">
        <v>14</v>
      </c>
      <c r="C17" s="11">
        <v>0</v>
      </c>
      <c r="D17" s="11">
        <v>0</v>
      </c>
      <c r="E17" s="11">
        <v>58</v>
      </c>
      <c r="F17" s="11">
        <v>2</v>
      </c>
      <c r="G17" s="11">
        <v>537</v>
      </c>
      <c r="H17" s="11">
        <v>9.379999999999999</v>
      </c>
      <c r="I17" s="11">
        <v>606.38</v>
      </c>
    </row>
    <row r="18" spans="1:9" x14ac:dyDescent="0.25">
      <c r="B18">
        <v>15</v>
      </c>
      <c r="C18" s="11">
        <v>0</v>
      </c>
      <c r="D18" s="11">
        <v>0</v>
      </c>
      <c r="E18" s="11">
        <v>38</v>
      </c>
      <c r="F18" s="11">
        <v>2</v>
      </c>
      <c r="G18" s="11">
        <v>647</v>
      </c>
      <c r="H18" s="11">
        <v>10.6</v>
      </c>
      <c r="I18" s="11">
        <v>697.6</v>
      </c>
    </row>
    <row r="19" spans="1:9" x14ac:dyDescent="0.25">
      <c r="B19">
        <v>16</v>
      </c>
      <c r="C19" s="11">
        <v>0</v>
      </c>
      <c r="D19" s="11">
        <v>0</v>
      </c>
      <c r="E19" s="11">
        <v>18</v>
      </c>
      <c r="F19" s="11">
        <v>1</v>
      </c>
      <c r="G19" s="11">
        <v>657</v>
      </c>
      <c r="H19" s="11">
        <v>10.6</v>
      </c>
      <c r="I19" s="11">
        <v>686.6</v>
      </c>
    </row>
    <row r="20" spans="1:9" x14ac:dyDescent="0.25">
      <c r="B20">
        <v>17</v>
      </c>
      <c r="C20" s="11">
        <v>0</v>
      </c>
      <c r="D20" s="11">
        <v>0</v>
      </c>
      <c r="E20" s="11">
        <v>18</v>
      </c>
      <c r="F20" s="11">
        <v>1</v>
      </c>
      <c r="G20" s="11">
        <v>657</v>
      </c>
      <c r="H20" s="11">
        <v>10.6</v>
      </c>
      <c r="I20" s="11">
        <v>686.6</v>
      </c>
    </row>
    <row r="21" spans="1:9" x14ac:dyDescent="0.25">
      <c r="B21">
        <v>18</v>
      </c>
      <c r="C21" s="11">
        <v>0</v>
      </c>
      <c r="D21" s="11">
        <v>0</v>
      </c>
      <c r="E21" s="11">
        <v>18</v>
      </c>
      <c r="F21" s="11">
        <v>1</v>
      </c>
      <c r="G21" s="11">
        <v>657</v>
      </c>
      <c r="H21" s="11">
        <v>10.6</v>
      </c>
      <c r="I21" s="11">
        <v>686.6</v>
      </c>
    </row>
    <row r="22" spans="1:9" x14ac:dyDescent="0.25">
      <c r="B22">
        <v>19</v>
      </c>
      <c r="C22" s="11">
        <v>0</v>
      </c>
      <c r="D22" s="11">
        <v>0</v>
      </c>
      <c r="E22" s="11">
        <v>18</v>
      </c>
      <c r="F22" s="11">
        <v>1</v>
      </c>
      <c r="G22" s="11">
        <v>657</v>
      </c>
      <c r="H22" s="11">
        <v>10.6</v>
      </c>
      <c r="I22" s="11">
        <v>686.6</v>
      </c>
    </row>
    <row r="23" spans="1:9" ht="17.25" customHeight="1" x14ac:dyDescent="0.25">
      <c r="A23" t="s">
        <v>18</v>
      </c>
      <c r="C23" s="11">
        <v>0</v>
      </c>
      <c r="D23" s="11">
        <v>0</v>
      </c>
      <c r="E23" s="11">
        <v>188</v>
      </c>
      <c r="F23" s="11">
        <v>9</v>
      </c>
      <c r="G23" s="11">
        <v>8497</v>
      </c>
      <c r="H23" s="11">
        <v>136.99999999999997</v>
      </c>
      <c r="I23" s="11">
        <v>8831</v>
      </c>
    </row>
  </sheetData>
  <dataConsolidate/>
  <pageMargins left="0.7" right="0.7" top="0.75" bottom="0.75" header="0.3" footer="0.3"/>
  <pageSetup paperSize="9" orientation="portrait"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29"/>
  <dimension ref="A1:I23"/>
  <sheetViews>
    <sheetView workbookViewId="0">
      <selection activeCell="F16" sqref="F16"/>
    </sheetView>
  </sheetViews>
  <sheetFormatPr defaultRowHeight="15" x14ac:dyDescent="0.25"/>
  <cols>
    <col min="1" max="1" width="15.28515625" bestFit="1" customWidth="1"/>
    <col min="2" max="2" width="14.28515625" bestFit="1" customWidth="1"/>
    <col min="3" max="8" width="13.42578125" bestFit="1" customWidth="1"/>
    <col min="9" max="9" width="11.28515625" bestFit="1" customWidth="1"/>
    <col min="10" max="14" width="13.42578125" bestFit="1" customWidth="1"/>
    <col min="15" max="15" width="11.28515625" bestFit="1" customWidth="1"/>
    <col min="16" max="16" width="13.42578125" bestFit="1" customWidth="1"/>
    <col min="17" max="17" width="11.28515625" bestFit="1" customWidth="1"/>
    <col min="18" max="20" width="13.42578125" bestFit="1" customWidth="1"/>
    <col min="21" max="21" width="15.85546875" bestFit="1" customWidth="1"/>
    <col min="22" max="22" width="11.28515625" bestFit="1" customWidth="1"/>
    <col min="23" max="27" width="3" bestFit="1" customWidth="1"/>
    <col min="28" max="28" width="7.28515625" bestFit="1" customWidth="1"/>
    <col min="29" max="29" width="11.28515625" bestFit="1" customWidth="1"/>
  </cols>
  <sheetData>
    <row r="1" spans="1:9" x14ac:dyDescent="0.25">
      <c r="A1" s="3" t="s">
        <v>1</v>
      </c>
      <c r="B1" t="s">
        <v>72</v>
      </c>
    </row>
    <row r="2" spans="1:9" x14ac:dyDescent="0.25">
      <c r="A2" s="3" t="s">
        <v>8</v>
      </c>
      <c r="B2" t="s">
        <v>55</v>
      </c>
    </row>
    <row r="3" spans="1:9" x14ac:dyDescent="0.25">
      <c r="A3" s="3" t="s">
        <v>6</v>
      </c>
      <c r="B3" t="s">
        <v>55</v>
      </c>
    </row>
    <row r="4" spans="1:9" x14ac:dyDescent="0.25">
      <c r="A4" s="3" t="s">
        <v>7</v>
      </c>
      <c r="B4" t="s">
        <v>55</v>
      </c>
    </row>
    <row r="5" spans="1:9" x14ac:dyDescent="0.25">
      <c r="A5" s="3" t="s">
        <v>73</v>
      </c>
      <c r="B5" t="s">
        <v>82</v>
      </c>
    </row>
    <row r="7" spans="1:9" x14ac:dyDescent="0.25">
      <c r="A7" s="3" t="s">
        <v>54</v>
      </c>
      <c r="C7" s="3" t="s">
        <v>40</v>
      </c>
      <c r="D7" s="3" t="s">
        <v>41</v>
      </c>
    </row>
    <row r="8" spans="1:9" x14ac:dyDescent="0.25">
      <c r="C8" t="s">
        <v>43</v>
      </c>
      <c r="E8" t="s">
        <v>50</v>
      </c>
      <c r="G8" t="s">
        <v>59</v>
      </c>
      <c r="I8" t="s">
        <v>18</v>
      </c>
    </row>
    <row r="9" spans="1:9" x14ac:dyDescent="0.25">
      <c r="A9" s="3" t="s">
        <v>0</v>
      </c>
      <c r="B9" s="3" t="s">
        <v>37</v>
      </c>
      <c r="C9" t="s">
        <v>51</v>
      </c>
      <c r="D9" t="s">
        <v>52</v>
      </c>
      <c r="E9" t="s">
        <v>51</v>
      </c>
      <c r="F9" t="s">
        <v>52</v>
      </c>
      <c r="G9" t="s">
        <v>51</v>
      </c>
      <c r="H9" t="s">
        <v>52</v>
      </c>
    </row>
    <row r="10" spans="1:9" x14ac:dyDescent="0.25">
      <c r="A10" s="1">
        <v>42808</v>
      </c>
      <c r="B10">
        <v>7</v>
      </c>
      <c r="C10" s="11">
        <v>0</v>
      </c>
      <c r="D10" s="11">
        <v>0</v>
      </c>
      <c r="E10" s="11">
        <v>0</v>
      </c>
      <c r="F10" s="11">
        <v>0</v>
      </c>
      <c r="G10" s="11">
        <v>675</v>
      </c>
      <c r="H10" s="11">
        <v>11</v>
      </c>
      <c r="I10" s="11">
        <v>686</v>
      </c>
    </row>
    <row r="11" spans="1:9" x14ac:dyDescent="0.25">
      <c r="B11">
        <v>8</v>
      </c>
      <c r="C11" s="11">
        <v>0</v>
      </c>
      <c r="D11" s="11">
        <v>0</v>
      </c>
      <c r="E11" s="11">
        <v>0</v>
      </c>
      <c r="F11" s="11">
        <v>0</v>
      </c>
      <c r="G11" s="11">
        <v>675</v>
      </c>
      <c r="H11" s="11">
        <v>11</v>
      </c>
      <c r="I11" s="11">
        <v>686</v>
      </c>
    </row>
    <row r="12" spans="1:9" x14ac:dyDescent="0.25">
      <c r="B12">
        <v>9</v>
      </c>
      <c r="C12" s="11">
        <v>0</v>
      </c>
      <c r="D12" s="11">
        <v>0</v>
      </c>
      <c r="E12" s="11">
        <v>0</v>
      </c>
      <c r="F12" s="11">
        <v>0</v>
      </c>
      <c r="G12" s="11">
        <v>675</v>
      </c>
      <c r="H12" s="11">
        <v>11</v>
      </c>
      <c r="I12" s="11">
        <v>686</v>
      </c>
    </row>
    <row r="13" spans="1:9" x14ac:dyDescent="0.25">
      <c r="B13">
        <v>10</v>
      </c>
      <c r="C13" s="11">
        <v>0</v>
      </c>
      <c r="D13" s="11">
        <v>0</v>
      </c>
      <c r="E13" s="11">
        <v>0</v>
      </c>
      <c r="F13" s="11">
        <v>0</v>
      </c>
      <c r="G13" s="11">
        <v>675</v>
      </c>
      <c r="H13" s="11">
        <v>11</v>
      </c>
      <c r="I13" s="11">
        <v>686</v>
      </c>
    </row>
    <row r="14" spans="1:9" x14ac:dyDescent="0.25">
      <c r="B14">
        <v>11</v>
      </c>
      <c r="C14" s="11">
        <v>0</v>
      </c>
      <c r="D14" s="11">
        <v>0</v>
      </c>
      <c r="E14" s="11">
        <v>0</v>
      </c>
      <c r="F14" s="11">
        <v>0</v>
      </c>
      <c r="G14" s="11">
        <v>675</v>
      </c>
      <c r="H14" s="11">
        <v>11</v>
      </c>
      <c r="I14" s="11">
        <v>686</v>
      </c>
    </row>
    <row r="15" spans="1:9" x14ac:dyDescent="0.25">
      <c r="B15">
        <v>12</v>
      </c>
      <c r="C15" s="11">
        <v>0</v>
      </c>
      <c r="D15" s="11">
        <v>0</v>
      </c>
      <c r="E15" s="11">
        <v>0</v>
      </c>
      <c r="F15" s="11">
        <v>0</v>
      </c>
      <c r="G15" s="11">
        <v>675</v>
      </c>
      <c r="H15" s="11">
        <v>11.06</v>
      </c>
      <c r="I15" s="11">
        <v>686.06</v>
      </c>
    </row>
    <row r="16" spans="1:9" x14ac:dyDescent="0.25">
      <c r="B16">
        <v>13</v>
      </c>
      <c r="C16" s="11">
        <v>0</v>
      </c>
      <c r="D16" s="11">
        <v>0</v>
      </c>
      <c r="E16" s="11">
        <v>20</v>
      </c>
      <c r="F16" s="11">
        <v>1</v>
      </c>
      <c r="G16" s="11">
        <v>635</v>
      </c>
      <c r="H16" s="11">
        <v>8.56</v>
      </c>
      <c r="I16" s="11">
        <v>664.56</v>
      </c>
    </row>
    <row r="17" spans="1:9" x14ac:dyDescent="0.25">
      <c r="B17">
        <v>14</v>
      </c>
      <c r="C17" s="11">
        <v>0</v>
      </c>
      <c r="D17" s="11">
        <v>0</v>
      </c>
      <c r="E17" s="11">
        <v>58</v>
      </c>
      <c r="F17" s="11">
        <v>2</v>
      </c>
      <c r="G17" s="11">
        <v>537</v>
      </c>
      <c r="H17" s="11">
        <v>9.379999999999999</v>
      </c>
      <c r="I17" s="11">
        <v>606.38</v>
      </c>
    </row>
    <row r="18" spans="1:9" x14ac:dyDescent="0.25">
      <c r="B18">
        <v>15</v>
      </c>
      <c r="C18" s="11">
        <v>0</v>
      </c>
      <c r="D18" s="11">
        <v>0</v>
      </c>
      <c r="E18" s="11">
        <v>38</v>
      </c>
      <c r="F18" s="11">
        <v>2</v>
      </c>
      <c r="G18" s="11">
        <v>647</v>
      </c>
      <c r="H18" s="11">
        <v>10.6</v>
      </c>
      <c r="I18" s="11">
        <v>697.6</v>
      </c>
    </row>
    <row r="19" spans="1:9" x14ac:dyDescent="0.25">
      <c r="B19">
        <v>16</v>
      </c>
      <c r="C19" s="11">
        <v>0</v>
      </c>
      <c r="D19" s="11">
        <v>0</v>
      </c>
      <c r="E19" s="11">
        <v>18</v>
      </c>
      <c r="F19" s="11">
        <v>1</v>
      </c>
      <c r="G19" s="11">
        <v>657</v>
      </c>
      <c r="H19" s="11">
        <v>10.6</v>
      </c>
      <c r="I19" s="11">
        <v>686.6</v>
      </c>
    </row>
    <row r="20" spans="1:9" x14ac:dyDescent="0.25">
      <c r="B20">
        <v>17</v>
      </c>
      <c r="C20" s="11">
        <v>0</v>
      </c>
      <c r="D20" s="11">
        <v>0</v>
      </c>
      <c r="E20" s="11">
        <v>18</v>
      </c>
      <c r="F20" s="11">
        <v>1</v>
      </c>
      <c r="G20" s="11">
        <v>657</v>
      </c>
      <c r="H20" s="11">
        <v>10.6</v>
      </c>
      <c r="I20" s="11">
        <v>686.6</v>
      </c>
    </row>
    <row r="21" spans="1:9" x14ac:dyDescent="0.25">
      <c r="B21">
        <v>18</v>
      </c>
      <c r="C21" s="11">
        <v>0</v>
      </c>
      <c r="D21" s="11">
        <v>0</v>
      </c>
      <c r="E21" s="11">
        <v>18</v>
      </c>
      <c r="F21" s="11">
        <v>1</v>
      </c>
      <c r="G21" s="11">
        <v>657</v>
      </c>
      <c r="H21" s="11">
        <v>10.6</v>
      </c>
      <c r="I21" s="11">
        <v>686.6</v>
      </c>
    </row>
    <row r="22" spans="1:9" x14ac:dyDescent="0.25">
      <c r="B22">
        <v>19</v>
      </c>
      <c r="C22" s="11">
        <v>0</v>
      </c>
      <c r="D22" s="11">
        <v>0</v>
      </c>
      <c r="E22" s="11">
        <v>18</v>
      </c>
      <c r="F22" s="11">
        <v>1</v>
      </c>
      <c r="G22" s="11">
        <v>657</v>
      </c>
      <c r="H22" s="11">
        <v>10.6</v>
      </c>
      <c r="I22" s="11">
        <v>686.6</v>
      </c>
    </row>
    <row r="23" spans="1:9" ht="17.25" customHeight="1" x14ac:dyDescent="0.25">
      <c r="A23" t="s">
        <v>18</v>
      </c>
      <c r="C23" s="11">
        <v>0</v>
      </c>
      <c r="D23" s="11">
        <v>0</v>
      </c>
      <c r="E23" s="11">
        <v>188</v>
      </c>
      <c r="F23" s="11">
        <v>9</v>
      </c>
      <c r="G23" s="11">
        <v>8497</v>
      </c>
      <c r="H23" s="11">
        <v>136.99999999999997</v>
      </c>
      <c r="I23" s="11">
        <v>8831</v>
      </c>
    </row>
  </sheetData>
  <dataConsolidate/>
  <pageMargins left="0.7" right="0.7" top="0.75" bottom="0.75" header="0.3" footer="0.3"/>
  <pageSetup paperSize="9"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0"/>
  <dimension ref="A1:I23"/>
  <sheetViews>
    <sheetView workbookViewId="0">
      <selection activeCell="K35" sqref="K35"/>
    </sheetView>
  </sheetViews>
  <sheetFormatPr defaultRowHeight="15" x14ac:dyDescent="0.25"/>
  <cols>
    <col min="1" max="1" width="15.28515625" bestFit="1" customWidth="1"/>
    <col min="2" max="2" width="14.28515625" bestFit="1" customWidth="1"/>
    <col min="3" max="8" width="13.42578125" bestFit="1" customWidth="1"/>
    <col min="9" max="9" width="11.28515625" bestFit="1" customWidth="1"/>
    <col min="10" max="14" width="13.42578125" bestFit="1" customWidth="1"/>
    <col min="15" max="15" width="11.28515625" bestFit="1" customWidth="1"/>
    <col min="16" max="16" width="13.42578125" bestFit="1" customWidth="1"/>
    <col min="17" max="17" width="11.28515625" bestFit="1" customWidth="1"/>
    <col min="18" max="20" width="13.42578125" bestFit="1" customWidth="1"/>
    <col min="21" max="21" width="15.85546875" bestFit="1" customWidth="1"/>
    <col min="22" max="22" width="11.28515625" bestFit="1" customWidth="1"/>
    <col min="23" max="27" width="3" bestFit="1" customWidth="1"/>
    <col min="28" max="28" width="7.28515625" bestFit="1" customWidth="1"/>
    <col min="29" max="29" width="11.28515625" bestFit="1" customWidth="1"/>
  </cols>
  <sheetData>
    <row r="1" spans="1:9" x14ac:dyDescent="0.25">
      <c r="A1" s="3" t="s">
        <v>1</v>
      </c>
      <c r="B1" t="s">
        <v>72</v>
      </c>
    </row>
    <row r="2" spans="1:9" x14ac:dyDescent="0.25">
      <c r="A2" s="3" t="s">
        <v>8</v>
      </c>
      <c r="B2" t="s">
        <v>55</v>
      </c>
    </row>
    <row r="3" spans="1:9" x14ac:dyDescent="0.25">
      <c r="A3" s="3" t="s">
        <v>6</v>
      </c>
      <c r="B3" t="s">
        <v>55</v>
      </c>
    </row>
    <row r="4" spans="1:9" x14ac:dyDescent="0.25">
      <c r="A4" s="3" t="s">
        <v>7</v>
      </c>
      <c r="B4" t="s">
        <v>55</v>
      </c>
    </row>
    <row r="5" spans="1:9" x14ac:dyDescent="0.25">
      <c r="A5" s="3" t="s">
        <v>73</v>
      </c>
      <c r="B5" t="s">
        <v>82</v>
      </c>
    </row>
    <row r="7" spans="1:9" x14ac:dyDescent="0.25">
      <c r="A7" s="3" t="s">
        <v>54</v>
      </c>
      <c r="C7" s="3" t="s">
        <v>40</v>
      </c>
      <c r="D7" s="3" t="s">
        <v>41</v>
      </c>
    </row>
    <row r="8" spans="1:9" x14ac:dyDescent="0.25">
      <c r="C8" t="s">
        <v>43</v>
      </c>
      <c r="E8" t="s">
        <v>50</v>
      </c>
      <c r="G8" t="s">
        <v>59</v>
      </c>
      <c r="I8" t="s">
        <v>18</v>
      </c>
    </row>
    <row r="9" spans="1:9" x14ac:dyDescent="0.25">
      <c r="A9" s="3" t="s">
        <v>0</v>
      </c>
      <c r="B9" s="3" t="s">
        <v>37</v>
      </c>
      <c r="C9" t="s">
        <v>51</v>
      </c>
      <c r="D9" t="s">
        <v>52</v>
      </c>
      <c r="E9" t="s">
        <v>51</v>
      </c>
      <c r="F9" t="s">
        <v>52</v>
      </c>
      <c r="G9" t="s">
        <v>51</v>
      </c>
      <c r="H9" t="s">
        <v>52</v>
      </c>
    </row>
    <row r="10" spans="1:9" x14ac:dyDescent="0.25">
      <c r="A10" s="1">
        <v>42808</v>
      </c>
      <c r="B10">
        <v>7</v>
      </c>
      <c r="C10" s="11">
        <v>0</v>
      </c>
      <c r="D10" s="11">
        <v>0</v>
      </c>
      <c r="E10" s="11">
        <v>0</v>
      </c>
      <c r="F10" s="11">
        <v>0</v>
      </c>
      <c r="G10" s="11">
        <v>675</v>
      </c>
      <c r="H10" s="11">
        <v>11</v>
      </c>
      <c r="I10" s="11">
        <v>686</v>
      </c>
    </row>
    <row r="11" spans="1:9" x14ac:dyDescent="0.25">
      <c r="B11">
        <v>8</v>
      </c>
      <c r="C11" s="11">
        <v>0</v>
      </c>
      <c r="D11" s="11">
        <v>0</v>
      </c>
      <c r="E11" s="11">
        <v>0</v>
      </c>
      <c r="F11" s="11">
        <v>0</v>
      </c>
      <c r="G11" s="11">
        <v>675</v>
      </c>
      <c r="H11" s="11">
        <v>11</v>
      </c>
      <c r="I11" s="11">
        <v>686</v>
      </c>
    </row>
    <row r="12" spans="1:9" x14ac:dyDescent="0.25">
      <c r="B12">
        <v>9</v>
      </c>
      <c r="C12" s="11">
        <v>0</v>
      </c>
      <c r="D12" s="11">
        <v>0</v>
      </c>
      <c r="E12" s="11">
        <v>0</v>
      </c>
      <c r="F12" s="11">
        <v>0</v>
      </c>
      <c r="G12" s="11">
        <v>675</v>
      </c>
      <c r="H12" s="11">
        <v>11</v>
      </c>
      <c r="I12" s="11">
        <v>686</v>
      </c>
    </row>
    <row r="13" spans="1:9" x14ac:dyDescent="0.25">
      <c r="B13">
        <v>10</v>
      </c>
      <c r="C13" s="11">
        <v>0</v>
      </c>
      <c r="D13" s="11">
        <v>0</v>
      </c>
      <c r="E13" s="11">
        <v>0</v>
      </c>
      <c r="F13" s="11">
        <v>0</v>
      </c>
      <c r="G13" s="11">
        <v>675</v>
      </c>
      <c r="H13" s="11">
        <v>11</v>
      </c>
      <c r="I13" s="11">
        <v>686</v>
      </c>
    </row>
    <row r="14" spans="1:9" x14ac:dyDescent="0.25">
      <c r="B14">
        <v>11</v>
      </c>
      <c r="C14" s="11">
        <v>0</v>
      </c>
      <c r="D14" s="11">
        <v>0</v>
      </c>
      <c r="E14" s="11">
        <v>0</v>
      </c>
      <c r="F14" s="11">
        <v>0</v>
      </c>
      <c r="G14" s="11">
        <v>675</v>
      </c>
      <c r="H14" s="11">
        <v>11</v>
      </c>
      <c r="I14" s="11">
        <v>686</v>
      </c>
    </row>
    <row r="15" spans="1:9" x14ac:dyDescent="0.25">
      <c r="B15">
        <v>12</v>
      </c>
      <c r="C15" s="11">
        <v>0</v>
      </c>
      <c r="D15" s="11">
        <v>0</v>
      </c>
      <c r="E15" s="11">
        <v>0</v>
      </c>
      <c r="F15" s="11">
        <v>0</v>
      </c>
      <c r="G15" s="11">
        <v>675</v>
      </c>
      <c r="H15" s="11">
        <v>11.06</v>
      </c>
      <c r="I15" s="11">
        <v>686.06</v>
      </c>
    </row>
    <row r="16" spans="1:9" x14ac:dyDescent="0.25">
      <c r="B16">
        <v>13</v>
      </c>
      <c r="C16" s="11">
        <v>0</v>
      </c>
      <c r="D16" s="11">
        <v>0</v>
      </c>
      <c r="E16" s="11">
        <v>20</v>
      </c>
      <c r="F16" s="11">
        <v>1</v>
      </c>
      <c r="G16" s="11">
        <v>635</v>
      </c>
      <c r="H16" s="11">
        <v>8.56</v>
      </c>
      <c r="I16" s="11">
        <v>664.56</v>
      </c>
    </row>
    <row r="17" spans="1:9" x14ac:dyDescent="0.25">
      <c r="B17">
        <v>14</v>
      </c>
      <c r="C17" s="11">
        <v>0</v>
      </c>
      <c r="D17" s="11">
        <v>0</v>
      </c>
      <c r="E17" s="11">
        <v>58</v>
      </c>
      <c r="F17" s="11">
        <v>2</v>
      </c>
      <c r="G17" s="11">
        <v>537</v>
      </c>
      <c r="H17" s="11">
        <v>9.379999999999999</v>
      </c>
      <c r="I17" s="11">
        <v>606.38</v>
      </c>
    </row>
    <row r="18" spans="1:9" x14ac:dyDescent="0.25">
      <c r="B18">
        <v>15</v>
      </c>
      <c r="C18" s="11">
        <v>0</v>
      </c>
      <c r="D18" s="11">
        <v>0</v>
      </c>
      <c r="E18" s="11">
        <v>38</v>
      </c>
      <c r="F18" s="11">
        <v>2</v>
      </c>
      <c r="G18" s="11">
        <v>647</v>
      </c>
      <c r="H18" s="11">
        <v>10.6</v>
      </c>
      <c r="I18" s="11">
        <v>697.6</v>
      </c>
    </row>
    <row r="19" spans="1:9" x14ac:dyDescent="0.25">
      <c r="B19">
        <v>16</v>
      </c>
      <c r="C19" s="11">
        <v>0</v>
      </c>
      <c r="D19" s="11">
        <v>0</v>
      </c>
      <c r="E19" s="11">
        <v>18</v>
      </c>
      <c r="F19" s="11">
        <v>1</v>
      </c>
      <c r="G19" s="11">
        <v>657</v>
      </c>
      <c r="H19" s="11">
        <v>10.6</v>
      </c>
      <c r="I19" s="11">
        <v>686.6</v>
      </c>
    </row>
    <row r="20" spans="1:9" x14ac:dyDescent="0.25">
      <c r="B20">
        <v>17</v>
      </c>
      <c r="C20" s="11">
        <v>0</v>
      </c>
      <c r="D20" s="11">
        <v>0</v>
      </c>
      <c r="E20" s="11">
        <v>18</v>
      </c>
      <c r="F20" s="11">
        <v>1</v>
      </c>
      <c r="G20" s="11">
        <v>657</v>
      </c>
      <c r="H20" s="11">
        <v>10.6</v>
      </c>
      <c r="I20" s="11">
        <v>686.6</v>
      </c>
    </row>
    <row r="21" spans="1:9" x14ac:dyDescent="0.25">
      <c r="B21">
        <v>18</v>
      </c>
      <c r="C21" s="11">
        <v>0</v>
      </c>
      <c r="D21" s="11">
        <v>0</v>
      </c>
      <c r="E21" s="11">
        <v>18</v>
      </c>
      <c r="F21" s="11">
        <v>1</v>
      </c>
      <c r="G21" s="11">
        <v>657</v>
      </c>
      <c r="H21" s="11">
        <v>10.6</v>
      </c>
      <c r="I21" s="11">
        <v>686.6</v>
      </c>
    </row>
    <row r="22" spans="1:9" x14ac:dyDescent="0.25">
      <c r="B22">
        <v>19</v>
      </c>
      <c r="C22" s="11">
        <v>0</v>
      </c>
      <c r="D22" s="11">
        <v>0</v>
      </c>
      <c r="E22" s="11">
        <v>18</v>
      </c>
      <c r="F22" s="11">
        <v>1</v>
      </c>
      <c r="G22" s="11">
        <v>657</v>
      </c>
      <c r="H22" s="11">
        <v>10.6</v>
      </c>
      <c r="I22" s="11">
        <v>686.6</v>
      </c>
    </row>
    <row r="23" spans="1:9" ht="17.25" customHeight="1" x14ac:dyDescent="0.25">
      <c r="A23" t="s">
        <v>18</v>
      </c>
      <c r="C23" s="11">
        <v>0</v>
      </c>
      <c r="D23" s="11">
        <v>0</v>
      </c>
      <c r="E23" s="11">
        <v>188</v>
      </c>
      <c r="F23" s="11">
        <v>9</v>
      </c>
      <c r="G23" s="11">
        <v>8497</v>
      </c>
      <c r="H23" s="11">
        <v>136.99999999999997</v>
      </c>
      <c r="I23" s="11">
        <v>8831</v>
      </c>
    </row>
  </sheetData>
  <dataConsolidate/>
  <pageMargins left="0.7" right="0.7" top="0.75" bottom="0.75" header="0.3" footer="0.3"/>
  <pageSetup paperSize="9"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5"/>
  <dimension ref="B1:D10"/>
  <sheetViews>
    <sheetView workbookViewId="0">
      <selection activeCell="B10" sqref="B10"/>
    </sheetView>
  </sheetViews>
  <sheetFormatPr defaultRowHeight="15" x14ac:dyDescent="0.25"/>
  <cols>
    <col min="2" max="2" width="15.28515625" bestFit="1" customWidth="1"/>
    <col min="3" max="3" width="14.28515625" bestFit="1" customWidth="1"/>
    <col min="4" max="5" width="12.85546875" bestFit="1" customWidth="1"/>
    <col min="6" max="6" width="11.28515625" bestFit="1" customWidth="1"/>
    <col min="7" max="9" width="13.42578125" bestFit="1" customWidth="1"/>
    <col min="10" max="10" width="11.28515625" customWidth="1"/>
    <col min="12" max="12" width="12.140625" bestFit="1" customWidth="1"/>
    <col min="13" max="13" width="11.28515625" bestFit="1" customWidth="1"/>
  </cols>
  <sheetData>
    <row r="1" spans="2:4" x14ac:dyDescent="0.25">
      <c r="B1" s="3" t="s">
        <v>1</v>
      </c>
      <c r="C1" t="s">
        <v>72</v>
      </c>
    </row>
    <row r="2" spans="2:4" x14ac:dyDescent="0.25">
      <c r="B2" s="3" t="s">
        <v>38</v>
      </c>
      <c r="C2" t="s">
        <v>60</v>
      </c>
    </row>
    <row r="3" spans="2:4" x14ac:dyDescent="0.25">
      <c r="B3" s="3" t="s">
        <v>8</v>
      </c>
      <c r="C3" t="s">
        <v>12</v>
      </c>
    </row>
    <row r="4" spans="2:4" x14ac:dyDescent="0.25">
      <c r="B4" s="3" t="s">
        <v>6</v>
      </c>
      <c r="C4" t="s">
        <v>60</v>
      </c>
    </row>
    <row r="5" spans="2:4" x14ac:dyDescent="0.25">
      <c r="B5" s="3" t="s">
        <v>7</v>
      </c>
      <c r="C5" t="s">
        <v>60</v>
      </c>
    </row>
    <row r="6" spans="2:4" x14ac:dyDescent="0.25">
      <c r="B6" s="3" t="s">
        <v>73</v>
      </c>
      <c r="C6" t="s">
        <v>82</v>
      </c>
    </row>
    <row r="8" spans="2:4" x14ac:dyDescent="0.25">
      <c r="B8" s="3" t="s">
        <v>54</v>
      </c>
      <c r="D8" s="3" t="s">
        <v>41</v>
      </c>
    </row>
    <row r="9" spans="2:4" x14ac:dyDescent="0.25">
      <c r="B9" s="3" t="s">
        <v>0</v>
      </c>
      <c r="C9" s="3" t="s">
        <v>37</v>
      </c>
      <c r="D9" t="s">
        <v>18</v>
      </c>
    </row>
    <row r="10" spans="2:4" x14ac:dyDescent="0.25">
      <c r="B10" t="s">
        <v>18</v>
      </c>
      <c r="D10" s="11"/>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dimension ref="A1:C10"/>
  <sheetViews>
    <sheetView workbookViewId="0">
      <selection activeCell="C16" sqref="C16"/>
    </sheetView>
  </sheetViews>
  <sheetFormatPr defaultRowHeight="15" x14ac:dyDescent="0.25"/>
  <cols>
    <col min="1" max="1" width="15.28515625" bestFit="1" customWidth="1"/>
    <col min="2" max="2" width="14.28515625" bestFit="1" customWidth="1"/>
    <col min="3" max="4" width="12.85546875" bestFit="1" customWidth="1"/>
    <col min="5"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3" x14ac:dyDescent="0.25">
      <c r="A1" s="3" t="s">
        <v>1</v>
      </c>
      <c r="B1" t="s">
        <v>72</v>
      </c>
    </row>
    <row r="2" spans="1:3" x14ac:dyDescent="0.25">
      <c r="A2" s="3" t="s">
        <v>38</v>
      </c>
      <c r="B2" t="s">
        <v>60</v>
      </c>
    </row>
    <row r="3" spans="1:3" x14ac:dyDescent="0.25">
      <c r="A3" s="3" t="s">
        <v>8</v>
      </c>
      <c r="B3" t="s">
        <v>12</v>
      </c>
    </row>
    <row r="4" spans="1:3" x14ac:dyDescent="0.25">
      <c r="A4" s="3" t="s">
        <v>6</v>
      </c>
      <c r="B4" t="s">
        <v>60</v>
      </c>
    </row>
    <row r="5" spans="1:3" x14ac:dyDescent="0.25">
      <c r="A5" s="3" t="s">
        <v>7</v>
      </c>
      <c r="B5" t="s">
        <v>60</v>
      </c>
    </row>
    <row r="6" spans="1:3" x14ac:dyDescent="0.25">
      <c r="A6" s="3" t="s">
        <v>73</v>
      </c>
      <c r="B6" t="s">
        <v>82</v>
      </c>
    </row>
    <row r="8" spans="1:3" x14ac:dyDescent="0.25">
      <c r="A8" s="3" t="s">
        <v>54</v>
      </c>
      <c r="C8" s="3" t="s">
        <v>41</v>
      </c>
    </row>
    <row r="9" spans="1:3" x14ac:dyDescent="0.25">
      <c r="A9" s="3" t="s">
        <v>0</v>
      </c>
      <c r="B9" s="3" t="s">
        <v>37</v>
      </c>
      <c r="C9" t="s">
        <v>18</v>
      </c>
    </row>
    <row r="10" spans="1:3" x14ac:dyDescent="0.25">
      <c r="A10" t="s">
        <v>18</v>
      </c>
      <c r="C10" s="11"/>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32"/>
  <dimension ref="A1:C10"/>
  <sheetViews>
    <sheetView workbookViewId="0">
      <selection activeCell="A8" sqref="A8"/>
    </sheetView>
  </sheetViews>
  <sheetFormatPr defaultRowHeight="15" x14ac:dyDescent="0.25"/>
  <cols>
    <col min="1" max="1" width="15.28515625" bestFit="1" customWidth="1"/>
    <col min="2" max="2" width="14.28515625" bestFit="1" customWidth="1"/>
    <col min="3" max="4" width="12.85546875" bestFit="1" customWidth="1"/>
    <col min="5"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3" x14ac:dyDescent="0.25">
      <c r="A1" s="3" t="s">
        <v>1</v>
      </c>
      <c r="B1" t="s">
        <v>72</v>
      </c>
    </row>
    <row r="2" spans="1:3" x14ac:dyDescent="0.25">
      <c r="A2" s="3" t="s">
        <v>38</v>
      </c>
      <c r="B2" t="s">
        <v>60</v>
      </c>
    </row>
    <row r="3" spans="1:3" x14ac:dyDescent="0.25">
      <c r="A3" s="3" t="s">
        <v>8</v>
      </c>
      <c r="B3" t="s">
        <v>12</v>
      </c>
    </row>
    <row r="4" spans="1:3" x14ac:dyDescent="0.25">
      <c r="A4" s="3" t="s">
        <v>6</v>
      </c>
      <c r="B4" t="s">
        <v>60</v>
      </c>
    </row>
    <row r="5" spans="1:3" x14ac:dyDescent="0.25">
      <c r="A5" s="3" t="s">
        <v>7</v>
      </c>
      <c r="B5" t="s">
        <v>60</v>
      </c>
    </row>
    <row r="6" spans="1:3" x14ac:dyDescent="0.25">
      <c r="A6" s="3" t="s">
        <v>73</v>
      </c>
      <c r="B6" t="s">
        <v>82</v>
      </c>
    </row>
    <row r="8" spans="1:3" x14ac:dyDescent="0.25">
      <c r="A8" s="3" t="s">
        <v>54</v>
      </c>
      <c r="C8" s="3" t="s">
        <v>41</v>
      </c>
    </row>
    <row r="9" spans="1:3" x14ac:dyDescent="0.25">
      <c r="A9" s="3" t="s">
        <v>0</v>
      </c>
      <c r="B9" s="3" t="s">
        <v>37</v>
      </c>
      <c r="C9" t="s">
        <v>18</v>
      </c>
    </row>
    <row r="10" spans="1:3" x14ac:dyDescent="0.25">
      <c r="A10" t="s">
        <v>18</v>
      </c>
      <c r="C10" s="11"/>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33"/>
  <dimension ref="A1:C10"/>
  <sheetViews>
    <sheetView workbookViewId="0">
      <selection activeCell="F36" sqref="F36"/>
    </sheetView>
  </sheetViews>
  <sheetFormatPr defaultRowHeight="15" x14ac:dyDescent="0.25"/>
  <cols>
    <col min="1" max="1" width="15.28515625" bestFit="1" customWidth="1"/>
    <col min="2" max="2" width="14.28515625" bestFit="1" customWidth="1"/>
    <col min="3" max="4" width="12.85546875" bestFit="1" customWidth="1"/>
    <col min="5"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3" x14ac:dyDescent="0.25">
      <c r="A1" s="3" t="s">
        <v>1</v>
      </c>
      <c r="B1" t="s">
        <v>72</v>
      </c>
    </row>
    <row r="2" spans="1:3" x14ac:dyDescent="0.25">
      <c r="A2" s="3" t="s">
        <v>38</v>
      </c>
      <c r="B2" t="s">
        <v>60</v>
      </c>
    </row>
    <row r="3" spans="1:3" x14ac:dyDescent="0.25">
      <c r="A3" s="3" t="s">
        <v>8</v>
      </c>
      <c r="B3" t="s">
        <v>55</v>
      </c>
    </row>
    <row r="4" spans="1:3" x14ac:dyDescent="0.25">
      <c r="A4" s="3" t="s">
        <v>6</v>
      </c>
      <c r="B4" t="s">
        <v>60</v>
      </c>
    </row>
    <row r="5" spans="1:3" x14ac:dyDescent="0.25">
      <c r="A5" s="3" t="s">
        <v>7</v>
      </c>
      <c r="B5" t="s">
        <v>60</v>
      </c>
    </row>
    <row r="6" spans="1:3" x14ac:dyDescent="0.25">
      <c r="A6" s="3" t="s">
        <v>73</v>
      </c>
      <c r="B6" t="s">
        <v>82</v>
      </c>
    </row>
    <row r="8" spans="1:3" x14ac:dyDescent="0.25">
      <c r="A8" s="3" t="s">
        <v>54</v>
      </c>
      <c r="C8" s="3" t="s">
        <v>41</v>
      </c>
    </row>
    <row r="9" spans="1:3" x14ac:dyDescent="0.25">
      <c r="A9" s="3" t="s">
        <v>0</v>
      </c>
      <c r="B9" s="3" t="s">
        <v>37</v>
      </c>
      <c r="C9" t="s">
        <v>18</v>
      </c>
    </row>
    <row r="10" spans="1:3" x14ac:dyDescent="0.25">
      <c r="A10" t="s">
        <v>18</v>
      </c>
      <c r="C10" s="11"/>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34"/>
  <dimension ref="A1:E23"/>
  <sheetViews>
    <sheetView workbookViewId="0">
      <selection activeCell="D18" sqref="D18"/>
    </sheetView>
  </sheetViews>
  <sheetFormatPr defaultRowHeight="15" x14ac:dyDescent="0.25"/>
  <cols>
    <col min="1" max="1" width="15.28515625" bestFit="1" customWidth="1"/>
    <col min="2" max="2" width="14.28515625" bestFit="1" customWidth="1"/>
    <col min="3" max="4" width="12.85546875" bestFit="1" customWidth="1"/>
    <col min="5"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5" x14ac:dyDescent="0.25">
      <c r="A1" s="3" t="s">
        <v>1</v>
      </c>
      <c r="B1" t="s">
        <v>72</v>
      </c>
    </row>
    <row r="2" spans="1:5" x14ac:dyDescent="0.25">
      <c r="A2" s="3" t="s">
        <v>38</v>
      </c>
      <c r="B2" t="s">
        <v>55</v>
      </c>
    </row>
    <row r="3" spans="1:5" x14ac:dyDescent="0.25">
      <c r="A3" s="3" t="s">
        <v>8</v>
      </c>
      <c r="B3" t="s">
        <v>55</v>
      </c>
    </row>
    <row r="4" spans="1:5" x14ac:dyDescent="0.25">
      <c r="A4" s="3" t="s">
        <v>6</v>
      </c>
      <c r="B4" t="s">
        <v>55</v>
      </c>
    </row>
    <row r="5" spans="1:5" x14ac:dyDescent="0.25">
      <c r="A5" s="3" t="s">
        <v>7</v>
      </c>
      <c r="B5" t="s">
        <v>55</v>
      </c>
    </row>
    <row r="6" spans="1:5" x14ac:dyDescent="0.25">
      <c r="A6" s="3" t="s">
        <v>73</v>
      </c>
      <c r="B6" t="s">
        <v>82</v>
      </c>
    </row>
    <row r="8" spans="1:5" x14ac:dyDescent="0.25">
      <c r="A8" s="3" t="s">
        <v>54</v>
      </c>
      <c r="C8" s="3" t="s">
        <v>41</v>
      </c>
    </row>
    <row r="9" spans="1:5" x14ac:dyDescent="0.25">
      <c r="A9" s="3" t="s">
        <v>0</v>
      </c>
      <c r="B9" s="3" t="s">
        <v>37</v>
      </c>
      <c r="C9" t="s">
        <v>51</v>
      </c>
      <c r="D9" t="s">
        <v>44</v>
      </c>
      <c r="E9" t="s">
        <v>18</v>
      </c>
    </row>
    <row r="10" spans="1:5" x14ac:dyDescent="0.25">
      <c r="A10" s="1">
        <v>42808</v>
      </c>
      <c r="B10">
        <v>7</v>
      </c>
      <c r="C10" s="11">
        <v>675</v>
      </c>
      <c r="D10" s="11">
        <v>540</v>
      </c>
      <c r="E10" s="11">
        <v>1215</v>
      </c>
    </row>
    <row r="11" spans="1:5" x14ac:dyDescent="0.25">
      <c r="B11">
        <v>8</v>
      </c>
      <c r="C11" s="11">
        <v>675</v>
      </c>
      <c r="D11" s="11">
        <v>540</v>
      </c>
      <c r="E11" s="11">
        <v>1215</v>
      </c>
    </row>
    <row r="12" spans="1:5" x14ac:dyDescent="0.25">
      <c r="B12">
        <v>9</v>
      </c>
      <c r="C12" s="11">
        <v>675</v>
      </c>
      <c r="D12" s="11">
        <v>540</v>
      </c>
      <c r="E12" s="11">
        <v>1215</v>
      </c>
    </row>
    <row r="13" spans="1:5" x14ac:dyDescent="0.25">
      <c r="B13">
        <v>10</v>
      </c>
      <c r="C13" s="11">
        <v>675</v>
      </c>
      <c r="D13" s="11">
        <v>540</v>
      </c>
      <c r="E13" s="11">
        <v>1215</v>
      </c>
    </row>
    <row r="14" spans="1:5" x14ac:dyDescent="0.25">
      <c r="B14">
        <v>11</v>
      </c>
      <c r="C14" s="11">
        <v>675</v>
      </c>
      <c r="D14" s="11">
        <v>540</v>
      </c>
      <c r="E14" s="11">
        <v>1215</v>
      </c>
    </row>
    <row r="15" spans="1:5" x14ac:dyDescent="0.25">
      <c r="B15">
        <v>12</v>
      </c>
      <c r="C15" s="11">
        <v>675</v>
      </c>
      <c r="D15" s="11">
        <v>560</v>
      </c>
      <c r="E15" s="11">
        <v>1235</v>
      </c>
    </row>
    <row r="16" spans="1:5" x14ac:dyDescent="0.25">
      <c r="B16">
        <v>13</v>
      </c>
      <c r="C16" s="11">
        <v>655</v>
      </c>
      <c r="D16" s="11">
        <v>605</v>
      </c>
      <c r="E16" s="11">
        <v>1260</v>
      </c>
    </row>
    <row r="17" spans="1:5" x14ac:dyDescent="0.25">
      <c r="B17">
        <v>14</v>
      </c>
      <c r="C17" s="11">
        <v>595</v>
      </c>
      <c r="D17" s="11">
        <v>525</v>
      </c>
      <c r="E17" s="11">
        <v>1120</v>
      </c>
    </row>
    <row r="18" spans="1:5" x14ac:dyDescent="0.25">
      <c r="B18">
        <v>15</v>
      </c>
      <c r="C18" s="11">
        <v>685</v>
      </c>
      <c r="D18" s="11">
        <v>605</v>
      </c>
      <c r="E18" s="11">
        <v>1290</v>
      </c>
    </row>
    <row r="19" spans="1:5" x14ac:dyDescent="0.25">
      <c r="B19">
        <v>16</v>
      </c>
      <c r="C19" s="11">
        <v>675</v>
      </c>
      <c r="D19" s="11">
        <v>585</v>
      </c>
      <c r="E19" s="11">
        <v>1260</v>
      </c>
    </row>
    <row r="20" spans="1:5" x14ac:dyDescent="0.25">
      <c r="B20">
        <v>17</v>
      </c>
      <c r="C20" s="11">
        <v>675</v>
      </c>
      <c r="D20" s="11">
        <v>585</v>
      </c>
      <c r="E20" s="11">
        <v>1260</v>
      </c>
    </row>
    <row r="21" spans="1:5" x14ac:dyDescent="0.25">
      <c r="B21">
        <v>18</v>
      </c>
      <c r="C21" s="11">
        <v>675</v>
      </c>
      <c r="D21" s="11">
        <v>585</v>
      </c>
      <c r="E21" s="11">
        <v>1260</v>
      </c>
    </row>
    <row r="22" spans="1:5" x14ac:dyDescent="0.25">
      <c r="B22">
        <v>19</v>
      </c>
      <c r="C22" s="11">
        <v>675</v>
      </c>
      <c r="D22" s="11">
        <v>585</v>
      </c>
      <c r="E22" s="11">
        <v>1260</v>
      </c>
    </row>
    <row r="23" spans="1:5" x14ac:dyDescent="0.25">
      <c r="A23" t="s">
        <v>18</v>
      </c>
      <c r="C23" s="11">
        <v>8685</v>
      </c>
      <c r="D23" s="11">
        <v>7335</v>
      </c>
      <c r="E23" s="11">
        <v>16020</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35"/>
  <dimension ref="A1:E23"/>
  <sheetViews>
    <sheetView workbookViewId="0">
      <selection activeCell="A24" sqref="A24"/>
    </sheetView>
  </sheetViews>
  <sheetFormatPr defaultRowHeight="15" x14ac:dyDescent="0.25"/>
  <cols>
    <col min="1" max="1" width="15.28515625" bestFit="1" customWidth="1"/>
    <col min="2" max="2" width="14.28515625" bestFit="1" customWidth="1"/>
    <col min="3" max="4" width="12.85546875" bestFit="1" customWidth="1"/>
    <col min="5"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5" x14ac:dyDescent="0.25">
      <c r="A1" s="3" t="s">
        <v>1</v>
      </c>
      <c r="B1" t="s">
        <v>72</v>
      </c>
    </row>
    <row r="2" spans="1:5" x14ac:dyDescent="0.25">
      <c r="A2" s="3" t="s">
        <v>38</v>
      </c>
      <c r="B2" t="s">
        <v>55</v>
      </c>
    </row>
    <row r="3" spans="1:5" x14ac:dyDescent="0.25">
      <c r="A3" s="3" t="s">
        <v>8</v>
      </c>
      <c r="B3" t="s">
        <v>55</v>
      </c>
    </row>
    <row r="4" spans="1:5" x14ac:dyDescent="0.25">
      <c r="A4" s="3" t="s">
        <v>6</v>
      </c>
      <c r="B4" t="s">
        <v>55</v>
      </c>
    </row>
    <row r="5" spans="1:5" x14ac:dyDescent="0.25">
      <c r="A5" s="3" t="s">
        <v>7</v>
      </c>
      <c r="B5" t="s">
        <v>55</v>
      </c>
    </row>
    <row r="6" spans="1:5" x14ac:dyDescent="0.25">
      <c r="A6" s="3" t="s">
        <v>73</v>
      </c>
      <c r="B6" t="s">
        <v>82</v>
      </c>
    </row>
    <row r="8" spans="1:5" x14ac:dyDescent="0.25">
      <c r="A8" s="3" t="s">
        <v>54</v>
      </c>
      <c r="C8" s="3" t="s">
        <v>41</v>
      </c>
    </row>
    <row r="9" spans="1:5" x14ac:dyDescent="0.25">
      <c r="A9" s="3" t="s">
        <v>0</v>
      </c>
      <c r="B9" s="3" t="s">
        <v>37</v>
      </c>
      <c r="C9" t="s">
        <v>51</v>
      </c>
      <c r="D9" t="s">
        <v>44</v>
      </c>
      <c r="E9" t="s">
        <v>18</v>
      </c>
    </row>
    <row r="10" spans="1:5" x14ac:dyDescent="0.25">
      <c r="A10" s="1">
        <v>42808</v>
      </c>
      <c r="B10">
        <v>7</v>
      </c>
      <c r="C10" s="11">
        <v>675</v>
      </c>
      <c r="D10" s="11">
        <v>540</v>
      </c>
      <c r="E10" s="11">
        <v>1215</v>
      </c>
    </row>
    <row r="11" spans="1:5" x14ac:dyDescent="0.25">
      <c r="B11">
        <v>8</v>
      </c>
      <c r="C11" s="11">
        <v>675</v>
      </c>
      <c r="D11" s="11">
        <v>540</v>
      </c>
      <c r="E11" s="11">
        <v>1215</v>
      </c>
    </row>
    <row r="12" spans="1:5" x14ac:dyDescent="0.25">
      <c r="B12">
        <v>9</v>
      </c>
      <c r="C12" s="11">
        <v>675</v>
      </c>
      <c r="D12" s="11">
        <v>540</v>
      </c>
      <c r="E12" s="11">
        <v>1215</v>
      </c>
    </row>
    <row r="13" spans="1:5" x14ac:dyDescent="0.25">
      <c r="B13">
        <v>10</v>
      </c>
      <c r="C13" s="11">
        <v>675</v>
      </c>
      <c r="D13" s="11">
        <v>540</v>
      </c>
      <c r="E13" s="11">
        <v>1215</v>
      </c>
    </row>
    <row r="14" spans="1:5" x14ac:dyDescent="0.25">
      <c r="B14">
        <v>11</v>
      </c>
      <c r="C14" s="11">
        <v>675</v>
      </c>
      <c r="D14" s="11">
        <v>540</v>
      </c>
      <c r="E14" s="11">
        <v>1215</v>
      </c>
    </row>
    <row r="15" spans="1:5" x14ac:dyDescent="0.25">
      <c r="B15">
        <v>12</v>
      </c>
      <c r="C15" s="11">
        <v>675</v>
      </c>
      <c r="D15" s="11">
        <v>560</v>
      </c>
      <c r="E15" s="11">
        <v>1235</v>
      </c>
    </row>
    <row r="16" spans="1:5" x14ac:dyDescent="0.25">
      <c r="B16">
        <v>13</v>
      </c>
      <c r="C16" s="11">
        <v>655</v>
      </c>
      <c r="D16" s="11">
        <v>605</v>
      </c>
      <c r="E16" s="11">
        <v>1260</v>
      </c>
    </row>
    <row r="17" spans="1:5" x14ac:dyDescent="0.25">
      <c r="B17">
        <v>14</v>
      </c>
      <c r="C17" s="11">
        <v>595</v>
      </c>
      <c r="D17" s="11">
        <v>525</v>
      </c>
      <c r="E17" s="11">
        <v>1120</v>
      </c>
    </row>
    <row r="18" spans="1:5" x14ac:dyDescent="0.25">
      <c r="B18">
        <v>15</v>
      </c>
      <c r="C18" s="11">
        <v>685</v>
      </c>
      <c r="D18" s="11">
        <v>605</v>
      </c>
      <c r="E18" s="11">
        <v>1290</v>
      </c>
    </row>
    <row r="19" spans="1:5" x14ac:dyDescent="0.25">
      <c r="B19">
        <v>16</v>
      </c>
      <c r="C19" s="11">
        <v>675</v>
      </c>
      <c r="D19" s="11">
        <v>585</v>
      </c>
      <c r="E19" s="11">
        <v>1260</v>
      </c>
    </row>
    <row r="20" spans="1:5" x14ac:dyDescent="0.25">
      <c r="B20">
        <v>17</v>
      </c>
      <c r="C20" s="11">
        <v>675</v>
      </c>
      <c r="D20" s="11">
        <v>585</v>
      </c>
      <c r="E20" s="11">
        <v>1260</v>
      </c>
    </row>
    <row r="21" spans="1:5" x14ac:dyDescent="0.25">
      <c r="B21">
        <v>18</v>
      </c>
      <c r="C21" s="11">
        <v>675</v>
      </c>
      <c r="D21" s="11">
        <v>585</v>
      </c>
      <c r="E21" s="11">
        <v>1260</v>
      </c>
    </row>
    <row r="22" spans="1:5" x14ac:dyDescent="0.25">
      <c r="B22">
        <v>19</v>
      </c>
      <c r="C22" s="11">
        <v>675</v>
      </c>
      <c r="D22" s="11">
        <v>585</v>
      </c>
      <c r="E22" s="11">
        <v>1260</v>
      </c>
    </row>
    <row r="23" spans="1:5" x14ac:dyDescent="0.25">
      <c r="A23" t="s">
        <v>18</v>
      </c>
      <c r="C23" s="11">
        <v>8685</v>
      </c>
      <c r="D23" s="11">
        <v>7335</v>
      </c>
      <c r="E23" s="11">
        <v>16020</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36"/>
  <dimension ref="A1:E23"/>
  <sheetViews>
    <sheetView workbookViewId="0">
      <selection activeCell="A24" sqref="A24"/>
    </sheetView>
  </sheetViews>
  <sheetFormatPr defaultRowHeight="15" x14ac:dyDescent="0.25"/>
  <cols>
    <col min="1" max="1" width="15.28515625" bestFit="1" customWidth="1"/>
    <col min="2" max="2" width="14.28515625" bestFit="1" customWidth="1"/>
    <col min="3" max="4" width="12.85546875" bestFit="1" customWidth="1"/>
    <col min="5"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5" x14ac:dyDescent="0.25">
      <c r="A1" s="3" t="s">
        <v>1</v>
      </c>
      <c r="B1" t="s">
        <v>72</v>
      </c>
    </row>
    <row r="2" spans="1:5" x14ac:dyDescent="0.25">
      <c r="A2" s="3" t="s">
        <v>38</v>
      </c>
      <c r="B2" t="s">
        <v>55</v>
      </c>
    </row>
    <row r="3" spans="1:5" x14ac:dyDescent="0.25">
      <c r="A3" s="3" t="s">
        <v>8</v>
      </c>
      <c r="B3" t="s">
        <v>55</v>
      </c>
    </row>
    <row r="4" spans="1:5" x14ac:dyDescent="0.25">
      <c r="A4" s="3" t="s">
        <v>6</v>
      </c>
      <c r="B4" t="s">
        <v>55</v>
      </c>
    </row>
    <row r="5" spans="1:5" x14ac:dyDescent="0.25">
      <c r="A5" s="3" t="s">
        <v>7</v>
      </c>
      <c r="B5" t="s">
        <v>55</v>
      </c>
    </row>
    <row r="6" spans="1:5" x14ac:dyDescent="0.25">
      <c r="A6" s="3" t="s">
        <v>73</v>
      </c>
      <c r="B6" t="s">
        <v>82</v>
      </c>
    </row>
    <row r="8" spans="1:5" x14ac:dyDescent="0.25">
      <c r="A8" s="3" t="s">
        <v>54</v>
      </c>
      <c r="C8" s="3" t="s">
        <v>41</v>
      </c>
    </row>
    <row r="9" spans="1:5" x14ac:dyDescent="0.25">
      <c r="A9" s="3" t="s">
        <v>0</v>
      </c>
      <c r="B9" s="3" t="s">
        <v>37</v>
      </c>
      <c r="C9" t="s">
        <v>51</v>
      </c>
      <c r="D9" t="s">
        <v>44</v>
      </c>
      <c r="E9" t="s">
        <v>18</v>
      </c>
    </row>
    <row r="10" spans="1:5" x14ac:dyDescent="0.25">
      <c r="A10" s="1">
        <v>42808</v>
      </c>
      <c r="B10">
        <v>7</v>
      </c>
      <c r="C10" s="11">
        <v>675</v>
      </c>
      <c r="D10" s="11">
        <v>540</v>
      </c>
      <c r="E10" s="11">
        <v>1215</v>
      </c>
    </row>
    <row r="11" spans="1:5" x14ac:dyDescent="0.25">
      <c r="B11">
        <v>8</v>
      </c>
      <c r="C11" s="11">
        <v>675</v>
      </c>
      <c r="D11" s="11">
        <v>540</v>
      </c>
      <c r="E11" s="11">
        <v>1215</v>
      </c>
    </row>
    <row r="12" spans="1:5" x14ac:dyDescent="0.25">
      <c r="B12">
        <v>9</v>
      </c>
      <c r="C12" s="11">
        <v>675</v>
      </c>
      <c r="D12" s="11">
        <v>540</v>
      </c>
      <c r="E12" s="11">
        <v>1215</v>
      </c>
    </row>
    <row r="13" spans="1:5" x14ac:dyDescent="0.25">
      <c r="B13">
        <v>10</v>
      </c>
      <c r="C13" s="11">
        <v>675</v>
      </c>
      <c r="D13" s="11">
        <v>540</v>
      </c>
      <c r="E13" s="11">
        <v>1215</v>
      </c>
    </row>
    <row r="14" spans="1:5" x14ac:dyDescent="0.25">
      <c r="B14">
        <v>11</v>
      </c>
      <c r="C14" s="11">
        <v>675</v>
      </c>
      <c r="D14" s="11">
        <v>540</v>
      </c>
      <c r="E14" s="11">
        <v>1215</v>
      </c>
    </row>
    <row r="15" spans="1:5" x14ac:dyDescent="0.25">
      <c r="B15">
        <v>12</v>
      </c>
      <c r="C15" s="11">
        <v>675</v>
      </c>
      <c r="D15" s="11">
        <v>560</v>
      </c>
      <c r="E15" s="11">
        <v>1235</v>
      </c>
    </row>
    <row r="16" spans="1:5" x14ac:dyDescent="0.25">
      <c r="B16">
        <v>13</v>
      </c>
      <c r="C16" s="11">
        <v>655</v>
      </c>
      <c r="D16" s="11">
        <v>605</v>
      </c>
      <c r="E16" s="11">
        <v>1260</v>
      </c>
    </row>
    <row r="17" spans="1:5" x14ac:dyDescent="0.25">
      <c r="B17">
        <v>14</v>
      </c>
      <c r="C17" s="11">
        <v>595</v>
      </c>
      <c r="D17" s="11">
        <v>525</v>
      </c>
      <c r="E17" s="11">
        <v>1120</v>
      </c>
    </row>
    <row r="18" spans="1:5" x14ac:dyDescent="0.25">
      <c r="B18">
        <v>15</v>
      </c>
      <c r="C18" s="11">
        <v>685</v>
      </c>
      <c r="D18" s="11">
        <v>605</v>
      </c>
      <c r="E18" s="11">
        <v>1290</v>
      </c>
    </row>
    <row r="19" spans="1:5" x14ac:dyDescent="0.25">
      <c r="B19">
        <v>16</v>
      </c>
      <c r="C19" s="11">
        <v>675</v>
      </c>
      <c r="D19" s="11">
        <v>585</v>
      </c>
      <c r="E19" s="11">
        <v>1260</v>
      </c>
    </row>
    <row r="20" spans="1:5" x14ac:dyDescent="0.25">
      <c r="B20">
        <v>17</v>
      </c>
      <c r="C20" s="11">
        <v>675</v>
      </c>
      <c r="D20" s="11">
        <v>585</v>
      </c>
      <c r="E20" s="11">
        <v>1260</v>
      </c>
    </row>
    <row r="21" spans="1:5" x14ac:dyDescent="0.25">
      <c r="B21">
        <v>18</v>
      </c>
      <c r="C21" s="11">
        <v>675</v>
      </c>
      <c r="D21" s="11">
        <v>585</v>
      </c>
      <c r="E21" s="11">
        <v>1260</v>
      </c>
    </row>
    <row r="22" spans="1:5" x14ac:dyDescent="0.25">
      <c r="B22">
        <v>19</v>
      </c>
      <c r="C22" s="11">
        <v>675</v>
      </c>
      <c r="D22" s="11">
        <v>585</v>
      </c>
      <c r="E22" s="11">
        <v>1260</v>
      </c>
    </row>
    <row r="23" spans="1:5" x14ac:dyDescent="0.25">
      <c r="A23" t="s">
        <v>18</v>
      </c>
      <c r="C23" s="11">
        <v>8685</v>
      </c>
      <c r="D23" s="11">
        <v>7335</v>
      </c>
      <c r="E23" s="11">
        <v>16020</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37"/>
  <dimension ref="A1:E23"/>
  <sheetViews>
    <sheetView workbookViewId="0">
      <selection activeCell="A24" sqref="A24"/>
    </sheetView>
  </sheetViews>
  <sheetFormatPr defaultRowHeight="15" x14ac:dyDescent="0.25"/>
  <cols>
    <col min="1" max="1" width="15.28515625" bestFit="1" customWidth="1"/>
    <col min="2" max="2" width="14.28515625" bestFit="1" customWidth="1"/>
    <col min="3" max="4" width="12.85546875" bestFit="1" customWidth="1"/>
    <col min="5"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5" x14ac:dyDescent="0.25">
      <c r="A1" s="3" t="s">
        <v>1</v>
      </c>
      <c r="B1" t="s">
        <v>72</v>
      </c>
    </row>
    <row r="2" spans="1:5" x14ac:dyDescent="0.25">
      <c r="A2" s="3" t="s">
        <v>38</v>
      </c>
      <c r="B2" t="s">
        <v>55</v>
      </c>
    </row>
    <row r="3" spans="1:5" x14ac:dyDescent="0.25">
      <c r="A3" s="3" t="s">
        <v>8</v>
      </c>
      <c r="B3" t="s">
        <v>55</v>
      </c>
    </row>
    <row r="4" spans="1:5" x14ac:dyDescent="0.25">
      <c r="A4" s="3" t="s">
        <v>6</v>
      </c>
      <c r="B4" t="s">
        <v>55</v>
      </c>
    </row>
    <row r="5" spans="1:5" x14ac:dyDescent="0.25">
      <c r="A5" s="3" t="s">
        <v>7</v>
      </c>
      <c r="B5" t="s">
        <v>55</v>
      </c>
    </row>
    <row r="6" spans="1:5" x14ac:dyDescent="0.25">
      <c r="A6" s="3" t="s">
        <v>73</v>
      </c>
      <c r="B6" t="s">
        <v>82</v>
      </c>
    </row>
    <row r="8" spans="1:5" x14ac:dyDescent="0.25">
      <c r="A8" s="3" t="s">
        <v>54</v>
      </c>
      <c r="C8" s="3" t="s">
        <v>41</v>
      </c>
    </row>
    <row r="9" spans="1:5" x14ac:dyDescent="0.25">
      <c r="A9" s="3" t="s">
        <v>0</v>
      </c>
      <c r="B9" s="3" t="s">
        <v>37</v>
      </c>
      <c r="C9" t="s">
        <v>51</v>
      </c>
      <c r="D9" t="s">
        <v>44</v>
      </c>
      <c r="E9" t="s">
        <v>18</v>
      </c>
    </row>
    <row r="10" spans="1:5" x14ac:dyDescent="0.25">
      <c r="A10" s="1">
        <v>42808</v>
      </c>
      <c r="B10">
        <v>7</v>
      </c>
      <c r="C10" s="11">
        <v>675</v>
      </c>
      <c r="D10" s="11">
        <v>540</v>
      </c>
      <c r="E10" s="11">
        <v>1215</v>
      </c>
    </row>
    <row r="11" spans="1:5" x14ac:dyDescent="0.25">
      <c r="B11">
        <v>8</v>
      </c>
      <c r="C11" s="11">
        <v>675</v>
      </c>
      <c r="D11" s="11">
        <v>540</v>
      </c>
      <c r="E11" s="11">
        <v>1215</v>
      </c>
    </row>
    <row r="12" spans="1:5" x14ac:dyDescent="0.25">
      <c r="B12">
        <v>9</v>
      </c>
      <c r="C12" s="11">
        <v>675</v>
      </c>
      <c r="D12" s="11">
        <v>540</v>
      </c>
      <c r="E12" s="11">
        <v>1215</v>
      </c>
    </row>
    <row r="13" spans="1:5" x14ac:dyDescent="0.25">
      <c r="B13">
        <v>10</v>
      </c>
      <c r="C13" s="11">
        <v>675</v>
      </c>
      <c r="D13" s="11">
        <v>540</v>
      </c>
      <c r="E13" s="11">
        <v>1215</v>
      </c>
    </row>
    <row r="14" spans="1:5" x14ac:dyDescent="0.25">
      <c r="B14">
        <v>11</v>
      </c>
      <c r="C14" s="11">
        <v>675</v>
      </c>
      <c r="D14" s="11">
        <v>540</v>
      </c>
      <c r="E14" s="11">
        <v>1215</v>
      </c>
    </row>
    <row r="15" spans="1:5" x14ac:dyDescent="0.25">
      <c r="B15">
        <v>12</v>
      </c>
      <c r="C15" s="11">
        <v>675</v>
      </c>
      <c r="D15" s="11">
        <v>560</v>
      </c>
      <c r="E15" s="11">
        <v>1235</v>
      </c>
    </row>
    <row r="16" spans="1:5" x14ac:dyDescent="0.25">
      <c r="B16">
        <v>13</v>
      </c>
      <c r="C16" s="11">
        <v>655</v>
      </c>
      <c r="D16" s="11">
        <v>605</v>
      </c>
      <c r="E16" s="11">
        <v>1260</v>
      </c>
    </row>
    <row r="17" spans="1:5" x14ac:dyDescent="0.25">
      <c r="B17">
        <v>14</v>
      </c>
      <c r="C17" s="11">
        <v>595</v>
      </c>
      <c r="D17" s="11">
        <v>525</v>
      </c>
      <c r="E17" s="11">
        <v>1120</v>
      </c>
    </row>
    <row r="18" spans="1:5" x14ac:dyDescent="0.25">
      <c r="B18">
        <v>15</v>
      </c>
      <c r="C18" s="11">
        <v>685</v>
      </c>
      <c r="D18" s="11">
        <v>605</v>
      </c>
      <c r="E18" s="11">
        <v>1290</v>
      </c>
    </row>
    <row r="19" spans="1:5" x14ac:dyDescent="0.25">
      <c r="B19">
        <v>16</v>
      </c>
      <c r="C19" s="11">
        <v>675</v>
      </c>
      <c r="D19" s="11">
        <v>585</v>
      </c>
      <c r="E19" s="11">
        <v>1260</v>
      </c>
    </row>
    <row r="20" spans="1:5" x14ac:dyDescent="0.25">
      <c r="B20">
        <v>17</v>
      </c>
      <c r="C20" s="11">
        <v>675</v>
      </c>
      <c r="D20" s="11">
        <v>585</v>
      </c>
      <c r="E20" s="11">
        <v>1260</v>
      </c>
    </row>
    <row r="21" spans="1:5" x14ac:dyDescent="0.25">
      <c r="B21">
        <v>18</v>
      </c>
      <c r="C21" s="11">
        <v>675</v>
      </c>
      <c r="D21" s="11">
        <v>585</v>
      </c>
      <c r="E21" s="11">
        <v>1260</v>
      </c>
    </row>
    <row r="22" spans="1:5" x14ac:dyDescent="0.25">
      <c r="B22">
        <v>19</v>
      </c>
      <c r="C22" s="11">
        <v>675</v>
      </c>
      <c r="D22" s="11">
        <v>585</v>
      </c>
      <c r="E22" s="11">
        <v>1260</v>
      </c>
    </row>
    <row r="23" spans="1:5" x14ac:dyDescent="0.25">
      <c r="A23" t="s">
        <v>18</v>
      </c>
      <c r="C23" s="11">
        <v>8685</v>
      </c>
      <c r="D23" s="11">
        <v>7335</v>
      </c>
      <c r="E23" s="11">
        <v>16020</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38"/>
  <dimension ref="A1:E23"/>
  <sheetViews>
    <sheetView workbookViewId="0">
      <selection activeCell="A24" sqref="A24"/>
    </sheetView>
  </sheetViews>
  <sheetFormatPr defaultRowHeight="15" x14ac:dyDescent="0.25"/>
  <cols>
    <col min="1" max="1" width="15.28515625" bestFit="1" customWidth="1"/>
    <col min="2" max="2" width="14.28515625" bestFit="1" customWidth="1"/>
    <col min="3" max="4" width="12.85546875" bestFit="1" customWidth="1"/>
    <col min="5"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5" x14ac:dyDescent="0.25">
      <c r="A1" s="3" t="s">
        <v>1</v>
      </c>
      <c r="B1" t="s">
        <v>72</v>
      </c>
    </row>
    <row r="2" spans="1:5" x14ac:dyDescent="0.25">
      <c r="A2" s="3" t="s">
        <v>38</v>
      </c>
      <c r="B2" t="s">
        <v>55</v>
      </c>
    </row>
    <row r="3" spans="1:5" x14ac:dyDescent="0.25">
      <c r="A3" s="3" t="s">
        <v>8</v>
      </c>
      <c r="B3" t="s">
        <v>55</v>
      </c>
    </row>
    <row r="4" spans="1:5" x14ac:dyDescent="0.25">
      <c r="A4" s="3" t="s">
        <v>6</v>
      </c>
      <c r="B4" t="s">
        <v>55</v>
      </c>
    </row>
    <row r="5" spans="1:5" x14ac:dyDescent="0.25">
      <c r="A5" s="3" t="s">
        <v>7</v>
      </c>
      <c r="B5" t="s">
        <v>55</v>
      </c>
    </row>
    <row r="6" spans="1:5" x14ac:dyDescent="0.25">
      <c r="A6" s="3" t="s">
        <v>73</v>
      </c>
      <c r="B6" t="s">
        <v>82</v>
      </c>
    </row>
    <row r="8" spans="1:5" x14ac:dyDescent="0.25">
      <c r="A8" s="3" t="s">
        <v>54</v>
      </c>
      <c r="C8" s="3" t="s">
        <v>41</v>
      </c>
    </row>
    <row r="9" spans="1:5" x14ac:dyDescent="0.25">
      <c r="A9" s="3" t="s">
        <v>0</v>
      </c>
      <c r="B9" s="3" t="s">
        <v>37</v>
      </c>
      <c r="C9" t="s">
        <v>51</v>
      </c>
      <c r="D9" t="s">
        <v>44</v>
      </c>
      <c r="E9" t="s">
        <v>18</v>
      </c>
    </row>
    <row r="10" spans="1:5" x14ac:dyDescent="0.25">
      <c r="A10" s="1">
        <v>42808</v>
      </c>
      <c r="B10">
        <v>7</v>
      </c>
      <c r="C10" s="11">
        <v>675</v>
      </c>
      <c r="D10" s="11">
        <v>540</v>
      </c>
      <c r="E10" s="11">
        <v>1215</v>
      </c>
    </row>
    <row r="11" spans="1:5" x14ac:dyDescent="0.25">
      <c r="B11">
        <v>8</v>
      </c>
      <c r="C11" s="11">
        <v>675</v>
      </c>
      <c r="D11" s="11">
        <v>540</v>
      </c>
      <c r="E11" s="11">
        <v>1215</v>
      </c>
    </row>
    <row r="12" spans="1:5" x14ac:dyDescent="0.25">
      <c r="B12">
        <v>9</v>
      </c>
      <c r="C12" s="11">
        <v>675</v>
      </c>
      <c r="D12" s="11">
        <v>540</v>
      </c>
      <c r="E12" s="11">
        <v>1215</v>
      </c>
    </row>
    <row r="13" spans="1:5" x14ac:dyDescent="0.25">
      <c r="B13">
        <v>10</v>
      </c>
      <c r="C13" s="11">
        <v>675</v>
      </c>
      <c r="D13" s="11">
        <v>540</v>
      </c>
      <c r="E13" s="11">
        <v>1215</v>
      </c>
    </row>
    <row r="14" spans="1:5" x14ac:dyDescent="0.25">
      <c r="B14">
        <v>11</v>
      </c>
      <c r="C14" s="11">
        <v>675</v>
      </c>
      <c r="D14" s="11">
        <v>540</v>
      </c>
      <c r="E14" s="11">
        <v>1215</v>
      </c>
    </row>
    <row r="15" spans="1:5" x14ac:dyDescent="0.25">
      <c r="B15">
        <v>12</v>
      </c>
      <c r="C15" s="11">
        <v>675</v>
      </c>
      <c r="D15" s="11">
        <v>560</v>
      </c>
      <c r="E15" s="11">
        <v>1235</v>
      </c>
    </row>
    <row r="16" spans="1:5" x14ac:dyDescent="0.25">
      <c r="B16">
        <v>13</v>
      </c>
      <c r="C16" s="11">
        <v>655</v>
      </c>
      <c r="D16" s="11">
        <v>605</v>
      </c>
      <c r="E16" s="11">
        <v>1260</v>
      </c>
    </row>
    <row r="17" spans="1:5" x14ac:dyDescent="0.25">
      <c r="B17">
        <v>14</v>
      </c>
      <c r="C17" s="11">
        <v>595</v>
      </c>
      <c r="D17" s="11">
        <v>525</v>
      </c>
      <c r="E17" s="11">
        <v>1120</v>
      </c>
    </row>
    <row r="18" spans="1:5" x14ac:dyDescent="0.25">
      <c r="B18">
        <v>15</v>
      </c>
      <c r="C18" s="11">
        <v>685</v>
      </c>
      <c r="D18" s="11">
        <v>605</v>
      </c>
      <c r="E18" s="11">
        <v>1290</v>
      </c>
    </row>
    <row r="19" spans="1:5" x14ac:dyDescent="0.25">
      <c r="B19">
        <v>16</v>
      </c>
      <c r="C19" s="11">
        <v>675</v>
      </c>
      <c r="D19" s="11">
        <v>585</v>
      </c>
      <c r="E19" s="11">
        <v>1260</v>
      </c>
    </row>
    <row r="20" spans="1:5" x14ac:dyDescent="0.25">
      <c r="B20">
        <v>17</v>
      </c>
      <c r="C20" s="11">
        <v>675</v>
      </c>
      <c r="D20" s="11">
        <v>585</v>
      </c>
      <c r="E20" s="11">
        <v>1260</v>
      </c>
    </row>
    <row r="21" spans="1:5" x14ac:dyDescent="0.25">
      <c r="B21">
        <v>18</v>
      </c>
      <c r="C21" s="11">
        <v>675</v>
      </c>
      <c r="D21" s="11">
        <v>585</v>
      </c>
      <c r="E21" s="11">
        <v>1260</v>
      </c>
    </row>
    <row r="22" spans="1:5" x14ac:dyDescent="0.25">
      <c r="B22">
        <v>19</v>
      </c>
      <c r="C22" s="11">
        <v>675</v>
      </c>
      <c r="D22" s="11">
        <v>585</v>
      </c>
      <c r="E22" s="11">
        <v>1260</v>
      </c>
    </row>
    <row r="23" spans="1:5" x14ac:dyDescent="0.25">
      <c r="A23" t="s">
        <v>18</v>
      </c>
      <c r="C23" s="11">
        <v>8685</v>
      </c>
      <c r="D23" s="11">
        <v>7335</v>
      </c>
      <c r="E23" s="11">
        <v>16020</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39"/>
  <dimension ref="A1:E23"/>
  <sheetViews>
    <sheetView workbookViewId="0">
      <selection activeCell="J34" sqref="J34"/>
    </sheetView>
  </sheetViews>
  <sheetFormatPr defaultRowHeight="15" x14ac:dyDescent="0.25"/>
  <cols>
    <col min="1" max="1" width="15.28515625" bestFit="1" customWidth="1"/>
    <col min="2" max="2" width="14.28515625" bestFit="1" customWidth="1"/>
    <col min="3" max="4" width="12.85546875" bestFit="1" customWidth="1"/>
    <col min="5"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5" x14ac:dyDescent="0.25">
      <c r="A1" s="3" t="s">
        <v>1</v>
      </c>
      <c r="B1" t="s">
        <v>72</v>
      </c>
    </row>
    <row r="2" spans="1:5" x14ac:dyDescent="0.25">
      <c r="A2" s="3" t="s">
        <v>38</v>
      </c>
      <c r="B2" t="s">
        <v>55</v>
      </c>
    </row>
    <row r="3" spans="1:5" x14ac:dyDescent="0.25">
      <c r="A3" s="3" t="s">
        <v>8</v>
      </c>
      <c r="B3" t="s">
        <v>55</v>
      </c>
    </row>
    <row r="4" spans="1:5" x14ac:dyDescent="0.25">
      <c r="A4" s="3" t="s">
        <v>6</v>
      </c>
      <c r="B4" t="s">
        <v>55</v>
      </c>
    </row>
    <row r="5" spans="1:5" x14ac:dyDescent="0.25">
      <c r="A5" s="3" t="s">
        <v>7</v>
      </c>
      <c r="B5" t="s">
        <v>55</v>
      </c>
    </row>
    <row r="6" spans="1:5" x14ac:dyDescent="0.25">
      <c r="A6" s="3" t="s">
        <v>73</v>
      </c>
      <c r="B6" t="s">
        <v>82</v>
      </c>
    </row>
    <row r="8" spans="1:5" x14ac:dyDescent="0.25">
      <c r="A8" s="3" t="s">
        <v>54</v>
      </c>
      <c r="C8" s="3" t="s">
        <v>41</v>
      </c>
    </row>
    <row r="9" spans="1:5" x14ac:dyDescent="0.25">
      <c r="A9" s="3" t="s">
        <v>0</v>
      </c>
      <c r="B9" s="3" t="s">
        <v>37</v>
      </c>
      <c r="C9" t="s">
        <v>51</v>
      </c>
      <c r="D9" t="s">
        <v>44</v>
      </c>
      <c r="E9" t="s">
        <v>18</v>
      </c>
    </row>
    <row r="10" spans="1:5" x14ac:dyDescent="0.25">
      <c r="A10" s="1">
        <v>42808</v>
      </c>
      <c r="B10">
        <v>7</v>
      </c>
      <c r="C10" s="11">
        <v>675</v>
      </c>
      <c r="D10" s="11">
        <v>540</v>
      </c>
      <c r="E10" s="11">
        <v>1215</v>
      </c>
    </row>
    <row r="11" spans="1:5" x14ac:dyDescent="0.25">
      <c r="B11">
        <v>8</v>
      </c>
      <c r="C11" s="11">
        <v>675</v>
      </c>
      <c r="D11" s="11">
        <v>540</v>
      </c>
      <c r="E11" s="11">
        <v>1215</v>
      </c>
    </row>
    <row r="12" spans="1:5" x14ac:dyDescent="0.25">
      <c r="B12">
        <v>9</v>
      </c>
      <c r="C12" s="11">
        <v>675</v>
      </c>
      <c r="D12" s="11">
        <v>540</v>
      </c>
      <c r="E12" s="11">
        <v>1215</v>
      </c>
    </row>
    <row r="13" spans="1:5" x14ac:dyDescent="0.25">
      <c r="B13">
        <v>10</v>
      </c>
      <c r="C13" s="11">
        <v>675</v>
      </c>
      <c r="D13" s="11">
        <v>540</v>
      </c>
      <c r="E13" s="11">
        <v>1215</v>
      </c>
    </row>
    <row r="14" spans="1:5" x14ac:dyDescent="0.25">
      <c r="B14">
        <v>11</v>
      </c>
      <c r="C14" s="11">
        <v>675</v>
      </c>
      <c r="D14" s="11">
        <v>540</v>
      </c>
      <c r="E14" s="11">
        <v>1215</v>
      </c>
    </row>
    <row r="15" spans="1:5" x14ac:dyDescent="0.25">
      <c r="B15">
        <v>12</v>
      </c>
      <c r="C15" s="11">
        <v>675</v>
      </c>
      <c r="D15" s="11">
        <v>560</v>
      </c>
      <c r="E15" s="11">
        <v>1235</v>
      </c>
    </row>
    <row r="16" spans="1:5" x14ac:dyDescent="0.25">
      <c r="B16">
        <v>13</v>
      </c>
      <c r="C16" s="11">
        <v>655</v>
      </c>
      <c r="D16" s="11">
        <v>605</v>
      </c>
      <c r="E16" s="11">
        <v>1260</v>
      </c>
    </row>
    <row r="17" spans="1:5" x14ac:dyDescent="0.25">
      <c r="B17">
        <v>14</v>
      </c>
      <c r="C17" s="11">
        <v>595</v>
      </c>
      <c r="D17" s="11">
        <v>525</v>
      </c>
      <c r="E17" s="11">
        <v>1120</v>
      </c>
    </row>
    <row r="18" spans="1:5" x14ac:dyDescent="0.25">
      <c r="B18">
        <v>15</v>
      </c>
      <c r="C18" s="11">
        <v>685</v>
      </c>
      <c r="D18" s="11">
        <v>605</v>
      </c>
      <c r="E18" s="11">
        <v>1290</v>
      </c>
    </row>
    <row r="19" spans="1:5" x14ac:dyDescent="0.25">
      <c r="B19">
        <v>16</v>
      </c>
      <c r="C19" s="11">
        <v>675</v>
      </c>
      <c r="D19" s="11">
        <v>585</v>
      </c>
      <c r="E19" s="11">
        <v>1260</v>
      </c>
    </row>
    <row r="20" spans="1:5" x14ac:dyDescent="0.25">
      <c r="B20">
        <v>17</v>
      </c>
      <c r="C20" s="11">
        <v>675</v>
      </c>
      <c r="D20" s="11">
        <v>585</v>
      </c>
      <c r="E20" s="11">
        <v>1260</v>
      </c>
    </row>
    <row r="21" spans="1:5" x14ac:dyDescent="0.25">
      <c r="B21">
        <v>18</v>
      </c>
      <c r="C21" s="11">
        <v>675</v>
      </c>
      <c r="D21" s="11">
        <v>585</v>
      </c>
      <c r="E21" s="11">
        <v>1260</v>
      </c>
    </row>
    <row r="22" spans="1:5" x14ac:dyDescent="0.25">
      <c r="B22">
        <v>19</v>
      </c>
      <c r="C22" s="11">
        <v>675</v>
      </c>
      <c r="D22" s="11">
        <v>585</v>
      </c>
      <c r="E22" s="11">
        <v>1260</v>
      </c>
    </row>
    <row r="23" spans="1:5" x14ac:dyDescent="0.25">
      <c r="A23" t="s">
        <v>18</v>
      </c>
      <c r="C23" s="11">
        <v>8685</v>
      </c>
      <c r="D23" s="11">
        <v>7335</v>
      </c>
      <c r="E23" s="11">
        <v>16020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BCDACB3A4B2774589CFB7BF50EF12EA" ma:contentTypeVersion="" ma:contentTypeDescription="Create a new document." ma:contentTypeScope="" ma:versionID="91fafd3676650f0712f2262a0c4c6392">
  <xsd:schema xmlns:xsd="http://www.w3.org/2001/XMLSchema" xmlns:xs="http://www.w3.org/2001/XMLSchema" xmlns:p="http://schemas.microsoft.com/office/2006/metadata/properties" targetNamespace="http://schemas.microsoft.com/office/2006/metadata/properties" ma:root="true" ma:fieldsID="f3e687d5f98ee29b9cfcc2ff24550dc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491A41F-9F0C-41D9-A839-8703E0992714}">
  <ds:schemaRefs>
    <ds:schemaRef ds:uri="http://schemas.microsoft.com/sharepoint/v3/contenttype/forms"/>
  </ds:schemaRefs>
</ds:datastoreItem>
</file>

<file path=customXml/itemProps2.xml><?xml version="1.0" encoding="utf-8"?>
<ds:datastoreItem xmlns:ds="http://schemas.openxmlformats.org/officeDocument/2006/customXml" ds:itemID="{C8EB27A7-CCDC-4AB0-9FA8-F720A40AC5B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D38D8F8F-6D9B-44BD-8FAC-992A4F99AF33}">
  <ds:schemaRefs>
    <ds:schemaRef ds:uri="http://purl.org/dc/elements/1.1/"/>
    <ds:schemaRef ds:uri="http://schemas.microsoft.com/office/2006/metadata/properties"/>
    <ds:schemaRef ds:uri="http://schemas.microsoft.com/office/2006/documentManagement/types"/>
    <ds:schemaRef ds:uri="http://purl.org/dc/terms/"/>
    <ds:schemaRef ds:uri="http://schemas.openxmlformats.org/package/2006/metadata/core-properties"/>
    <ds:schemaRef ds:uri="http://purl.org/dc/dcmitype/"/>
    <ds:schemaRef ds:uri="http://schemas.microsoft.com/office/infopath/2007/PartnerControl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vt:i4>
      </vt:variant>
    </vt:vector>
  </HeadingPairs>
  <TitlesOfParts>
    <vt:vector size="1" baseType="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
  <dcterms:created xsi:type="dcterms:W3CDTF">2006-09-16T00:00:00Z</dcterms:created>
  <dcterms:modified xsi:type="dcterms:W3CDTF">2017-11-28T11:42:13Z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0x0101004BCDACB3A4B2774589CFB7BF50EF12EA</vt:lpwstr>
  </property>
</Properties>
</file>