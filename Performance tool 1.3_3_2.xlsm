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ml.chartshapes+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ml.chartshapes+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ml.chartshap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drawings/drawing17.xml" ContentType="application/vnd.openxmlformats-officedocument.drawingml.chartshape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drawings/drawing18.xml" ContentType="application/vnd.openxmlformats-officedocument.drawingml.chartshapes+xml"/>
  <Override PartName="/xl/charts/chart30.xml" ContentType="application/vnd.openxmlformats-officedocument.drawingml.chart+xml"/>
  <Override PartName="/xl/charts/style27.xml" ContentType="application/vnd.ms-office.chartstyle+xml"/>
  <Override PartName="/xl/charts/colors27.xml" ContentType="application/vnd.ms-office.chartcolorstyle+xml"/>
  <Override PartName="/xl/charts/chart31.xml" ContentType="application/vnd.openxmlformats-officedocument.drawingml.chart+xml"/>
  <Override PartName="/xl/charts/style28.xml" ContentType="application/vnd.ms-office.chartstyle+xml"/>
  <Override PartName="/xl/charts/colors28.xml" ContentType="application/vnd.ms-office.chartcolorstyle+xml"/>
  <Override PartName="/xl/charts/chart32.xml" ContentType="application/vnd.openxmlformats-officedocument.drawingml.chart+xml"/>
  <Override PartName="/xl/charts/style29.xml" ContentType="application/vnd.ms-office.chartstyle+xml"/>
  <Override PartName="/xl/charts/colors29.xml" ContentType="application/vnd.ms-office.chartcolorstyle+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style31.xml" ContentType="application/vnd.ms-office.chartstyle+xml"/>
  <Override PartName="/xl/charts/colors31.xml" ContentType="application/vnd.ms-office.chartcolorstyle+xml"/>
  <Override PartName="/xl/charts/chart43.xml" ContentType="application/vnd.openxmlformats-officedocument.drawingml.chart+xml"/>
  <Override PartName="/xl/charts/style32.xml" ContentType="application/vnd.ms-office.chartstyle+xml"/>
  <Override PartName="/xl/charts/colors32.xml" ContentType="application/vnd.ms-office.chartcolorstyle+xml"/>
  <Override PartName="/xl/charts/chart44.xml" ContentType="application/vnd.openxmlformats-officedocument.drawingml.chart+xml"/>
  <Override PartName="/xl/charts/style33.xml" ContentType="application/vnd.ms-office.chartstyle+xml"/>
  <Override PartName="/xl/charts/colors33.xml" ContentType="application/vnd.ms-office.chartcolorstyle+xml"/>
  <Override PartName="/xl/charts/chart45.xml" ContentType="application/vnd.openxmlformats-officedocument.drawingml.chart+xml"/>
  <Override PartName="/xl/charts/style34.xml" ContentType="application/vnd.ms-office.chartstyle+xml"/>
  <Override PartName="/xl/charts/colors34.xml" ContentType="application/vnd.ms-office.chartcolorstyle+xml"/>
  <Override PartName="/xl/charts/chart46.xml" ContentType="application/vnd.openxmlformats-officedocument.drawingml.chart+xml"/>
  <Override PartName="/xl/charts/style35.xml" ContentType="application/vnd.ms-office.chartstyle+xml"/>
  <Override PartName="/xl/charts/colors35.xml" ContentType="application/vnd.ms-office.chartcolorstyle+xml"/>
  <Override PartName="/xl/charts/chart47.xml" ContentType="application/vnd.openxmlformats-officedocument.drawingml.chart+xml"/>
  <Override PartName="/xl/charts/style36.xml" ContentType="application/vnd.ms-office.chartstyle+xml"/>
  <Override PartName="/xl/charts/colors36.xml" ContentType="application/vnd.ms-office.chartcolorsty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charts/chart50.xml" ContentType="application/vnd.openxmlformats-officedocument.drawingml.chart+xml"/>
  <Override PartName="/xl/charts/style39.xml" ContentType="application/vnd.ms-office.chartstyle+xml"/>
  <Override PartName="/xl/charts/colors39.xml" ContentType="application/vnd.ms-office.chartcolorstyle+xml"/>
  <Override PartName="/xl/charts/chart51.xml" ContentType="application/vnd.openxmlformats-officedocument.drawingml.chart+xml"/>
  <Override PartName="/xl/charts/style40.xml" ContentType="application/vnd.ms-office.chartstyle+xml"/>
  <Override PartName="/xl/charts/colors40.xml" ContentType="application/vnd.ms-office.chartcolorstyle+xml"/>
  <Override PartName="/xl/charts/chart52.xml" ContentType="application/vnd.openxmlformats-officedocument.drawingml.chart+xml"/>
  <Override PartName="/xl/charts/style41.xml" ContentType="application/vnd.ms-office.chartstyle+xml"/>
  <Override PartName="/xl/charts/colors41.xml" ContentType="application/vnd.ms-office.chartcolorstyle+xml"/>
  <Override PartName="/xl/charts/chart53.xml" ContentType="application/vnd.openxmlformats-officedocument.drawingml.chart+xml"/>
  <Override PartName="/xl/charts/style42.xml" ContentType="application/vnd.ms-office.chartstyle+xml"/>
  <Override PartName="/xl/charts/colors42.xml" ContentType="application/vnd.ms-office.chartcolorstyle+xml"/>
  <Override PartName="/xl/charts/chart54.xml" ContentType="application/vnd.openxmlformats-officedocument.drawingml.chart+xml"/>
  <Override PartName="/xl/charts/style43.xml" ContentType="application/vnd.ms-office.chartstyle+xml"/>
  <Override PartName="/xl/charts/colors43.xml" ContentType="application/vnd.ms-office.chartcolorstyle+xml"/>
  <Override PartName="/xl/charts/chart55.xml" ContentType="application/vnd.openxmlformats-officedocument.drawingml.chart+xml"/>
  <Override PartName="/xl/charts/style44.xml" ContentType="application/vnd.ms-office.chartstyle+xml"/>
  <Override PartName="/xl/charts/colors44.xml" ContentType="application/vnd.ms-office.chartcolorstyle+xml"/>
  <Override PartName="/xl/charts/chart56.xml" ContentType="application/vnd.openxmlformats-officedocument.drawingml.chart+xml"/>
  <Override PartName="/xl/charts/style45.xml" ContentType="application/vnd.ms-office.chartstyle+xml"/>
  <Override PartName="/xl/charts/colors45.xml" ContentType="application/vnd.ms-office.chartcolorstyle+xml"/>
  <Override PartName="/xl/charts/chart57.xml" ContentType="application/vnd.openxmlformats-officedocument.drawingml.chart+xml"/>
  <Override PartName="/xl/charts/style46.xml" ContentType="application/vnd.ms-office.chartstyle+xml"/>
  <Override PartName="/xl/charts/colors46.xml" ContentType="application/vnd.ms-office.chartcolorstyle+xml"/>
  <Override PartName="/xl/charts/chart58.xml" ContentType="application/vnd.openxmlformats-officedocument.drawingml.chart+xml"/>
  <Override PartName="/xl/charts/style47.xml" ContentType="application/vnd.ms-office.chartstyle+xml"/>
  <Override PartName="/xl/charts/colors47.xml" ContentType="application/vnd.ms-office.chartcolorstyle+xml"/>
  <Override PartName="/xl/charts/chart59.xml" ContentType="application/vnd.openxmlformats-officedocument.drawingml.chart+xml"/>
  <Override PartName="/xl/charts/style48.xml" ContentType="application/vnd.ms-office.chartstyle+xml"/>
  <Override PartName="/xl/charts/colors48.xml" ContentType="application/vnd.ms-office.chartcolorstyle+xml"/>
  <Override PartName="/xl/charts/chart60.xml" ContentType="application/vnd.openxmlformats-officedocument.drawingml.chart+xml"/>
  <Override PartName="/xl/charts/style49.xml" ContentType="application/vnd.ms-office.chartstyle+xml"/>
  <Override PartName="/xl/charts/colors49.xml" ContentType="application/vnd.ms-office.chartcolorstyle+xml"/>
  <Override PartName="/xl/charts/chart61.xml" ContentType="application/vnd.openxmlformats-officedocument.drawingml.chart+xml"/>
  <Override PartName="/xl/charts/style50.xml" ContentType="application/vnd.ms-office.chartstyle+xml"/>
  <Override PartName="/xl/charts/colors50.xml" ContentType="application/vnd.ms-office.chartcolorstyle+xml"/>
  <Override PartName="/xl/charts/chart62.xml" ContentType="application/vnd.openxmlformats-officedocument.drawingml.chart+xml"/>
  <Override PartName="/xl/charts/style51.xml" ContentType="application/vnd.ms-office.chartstyle+xml"/>
  <Override PartName="/xl/charts/colors51.xml" ContentType="application/vnd.ms-office.chartcolorstyle+xml"/>
  <Override PartName="/xl/charts/chart63.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9.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filterPrivacy="1" codeName="ThisWorkbook" defaultThemeVersion="124226"/>
  <bookViews>
    <workbookView xWindow="240" yWindow="105" windowWidth="10845" windowHeight="7515" tabRatio="793" xr2:uid="{00000000-000D-0000-FFFF-FFFF00000000}"/>
  </bookViews>
  <sheets>
    <sheet name="dashboard" sheetId="8" r:id="rId1"/>
    <sheet name="data.chart" sheetId="17" r:id="rId2"/>
    <sheet name="legend_chart" sheetId="59" r:id="rId3"/>
    <sheet name="pt.number_of_tasks" sheetId="58" r:id="rId4"/>
    <sheet name="pt.inbound_ppot_lvl1" sheetId="13" r:id="rId5"/>
    <sheet name="pt.inbound_ppot_lvl2" sheetId="14" r:id="rId6"/>
    <sheet name="pt.lvl3_generic_1" sheetId="15" r:id="rId7"/>
    <sheet name="pt.lvl3_generic_2" sheetId="16" r:id="rId8"/>
    <sheet name="pt.lvl3_generic_3" sheetId="50" r:id="rId9"/>
    <sheet name="pt.lvl3_generic_4" sheetId="51" r:id="rId10"/>
    <sheet name="pt.lvl3_generic_5" sheetId="52" r:id="rId11"/>
    <sheet name="pt.lvl3_generic_6" sheetId="53" r:id="rId12"/>
    <sheet name="pt.lvl3_generic_7" sheetId="54" r:id="rId13"/>
    <sheet name="pt.lvl3_generic_8" sheetId="55" r:id="rId14"/>
    <sheet name="pt.lvl3_generic_9" sheetId="56" r:id="rId15"/>
    <sheet name="pt.lvl3_generic_10" sheetId="57" r:id="rId16"/>
    <sheet name="pt.generic_add_data1" sheetId="19" r:id="rId17"/>
    <sheet name="pt.generic_add_data2" sheetId="23" r:id="rId18"/>
    <sheet name="pt.generic_add_data3" sheetId="22" r:id="rId19"/>
    <sheet name="pt.generic_add_data4" sheetId="24" r:id="rId20"/>
    <sheet name="pt.generic_add_data5" sheetId="25" r:id="rId21"/>
    <sheet name="pt.generic_add_data6" sheetId="26" r:id="rId22"/>
    <sheet name="pt.generic_add_data7" sheetId="27" r:id="rId23"/>
    <sheet name="pt.generic_add_data8" sheetId="28" r:id="rId24"/>
    <sheet name="pt.generic_add_data9" sheetId="29" r:id="rId25"/>
    <sheet name="pt.generic_add_data10" sheetId="30" r:id="rId26"/>
    <sheet name="pt.generic_add_data11" sheetId="31" r:id="rId27"/>
    <sheet name="pt.generic_add_data12" sheetId="32" r:id="rId28"/>
    <sheet name="pt.generic_add_data13" sheetId="33" r:id="rId29"/>
    <sheet name="pt.generic_add_data14" sheetId="34" r:id="rId30"/>
    <sheet name="pt.generic_add_data15" sheetId="35" r:id="rId31"/>
    <sheet name="pt.generic_add_data16" sheetId="36" r:id="rId32"/>
    <sheet name="pt.generic_add_data17" sheetId="37" r:id="rId33"/>
    <sheet name="pt.generic_add_data18" sheetId="38" r:id="rId34"/>
    <sheet name="pt.generic_add_data19" sheetId="39" r:id="rId35"/>
    <sheet name="pt.generic_add_data20" sheetId="40" r:id="rId36"/>
    <sheet name="pt.generic_add_data21" sheetId="21" r:id="rId37"/>
    <sheet name="pt.generic_add_data22" sheetId="41" r:id="rId38"/>
    <sheet name="pt.generic_add_data23" sheetId="42" r:id="rId39"/>
    <sheet name="pt.generic_add_data24" sheetId="43" r:id="rId40"/>
    <sheet name="pt.generic_add_data25" sheetId="44" r:id="rId41"/>
    <sheet name="pt.generic_add_data26" sheetId="45" r:id="rId42"/>
    <sheet name="pt.generic_add_data27" sheetId="46" r:id="rId43"/>
    <sheet name="pt.generic_add_data28" sheetId="47" r:id="rId44"/>
    <sheet name="pt.generic_add_data29" sheetId="48" r:id="rId45"/>
    <sheet name="pt.generic_add_data30" sheetId="49" r:id="rId46"/>
  </sheets>
  <functionGroups builtInGroupCount="19"/>
  <definedNames>
    <definedName name="Slicer_Čas">#N/A</definedName>
    <definedName name="Slicer_Datum_D_N">#N/A</definedName>
    <definedName name="Slicer_Směna">#N/A</definedName>
  </definedNames>
  <calcPr calcId="171027" calcMode="manual" calcCompleted="0" calcOnSave="0"/>
  <pivotCaches>
    <pivotCache cacheId="11" r:id="rId47"/>
    <pivotCache cacheId="13" r:id="rId48"/>
    <pivotCache cacheId="16" r:id="rId49"/>
  </pivotCaches>
  <extLst>
    <ext xmlns:x14="http://schemas.microsoft.com/office/spreadsheetml/2009/9/main" uri="{BBE1A952-AA13-448e-AADC-164F8A28A991}">
      <x14:slicerCaches>
        <x14:slicerCache r:id="rId50"/>
        <x14:slicerCache r:id="rId51"/>
        <x14:slicerCache r:id="rId52"/>
      </x14:slicerCaches>
    </ext>
    <ext xmlns:x14="http://schemas.microsoft.com/office/spreadsheetml/2009/9/main" uri="{79F54976-1DA5-4618-B147-4CDE4B953A38}">
      <x14:workbookPr/>
    </ext>
  </extLst>
</workbook>
</file>

<file path=xl/calcChain.xml><?xml version="1.0" encoding="utf-8"?>
<calcChain xmlns="http://schemas.openxmlformats.org/spreadsheetml/2006/main">
  <c r="G3" i="13" l="1"/>
  <c r="D10" i="17"/>
  <c r="G5" i="17"/>
  <c r="G7" i="17"/>
  <c r="J7" i="17"/>
  <c r="D9" i="17"/>
  <c r="D7" i="17"/>
  <c r="E3" i="13"/>
  <c r="D6" i="17"/>
  <c r="C10" i="17"/>
  <c r="J6" i="17"/>
  <c r="J5" i="17"/>
  <c r="D5" i="17"/>
  <c r="C9" i="17"/>
  <c r="G6" i="17"/>
  <c r="I6" i="17" l="1"/>
  <c r="K9" i="17"/>
  <c r="E5" i="17"/>
  <c r="K5" i="17" s="1"/>
  <c r="K10" i="17"/>
  <c r="E6" i="17"/>
  <c r="K6" i="17" s="1"/>
  <c r="F3" i="13"/>
  <c r="E7" i="17"/>
  <c r="K7" i="17" s="1"/>
  <c r="E9" i="17"/>
  <c r="H9" i="17"/>
  <c r="F9" i="17"/>
  <c r="J9" i="17"/>
  <c r="I7" i="17"/>
  <c r="I5" i="17"/>
  <c r="J10" i="17"/>
  <c r="H10" i="17"/>
  <c r="F10" i="17"/>
  <c r="E10" i="17"/>
  <c r="H3" i="13"/>
  <c r="I10" i="17" l="1"/>
  <c r="I9"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F:\CrossOrg\KLD_Internal_Logistics\Logistická_podpora\WH_ANALYST\SHARED internal\apps\performance\history-result-client.xlsx" name="history-result-client db#additional data" type="5" refreshedVersion="6" saveData="1">
    <dbPr connection="Provider=Microsoft.ACE.OLEDB.12.0;User ID=Admin;Data Source=F:\CrossOrg\KLD_Internal_Logistics\Logistická_podpora\WH_ANALYST\SHARED internal\apps\server-2\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additional_data$" commandType="3"/>
  </connection>
  <connection id="2" xr16:uid="{00000000-0015-0000-FFFF-FFFF01000000}" sourceFile="F:\CrossOrg\KLD_Internal_Logistics\Logistická_podpora\WH_ANALYST\SHARED internal\apps\performance\history-result-client.xlsx" odcFile="C:\Users\czJiRost\Onedrive - LEGO\Documents\My Data Sources\history-result-client db#raw_data$.od.odc" name="history-result-client db#raw_data$.od" type="5" refreshedVersion="6" saveData="1">
    <dbPr connection="Provider=Microsoft.ACE.OLEDB.12.0;User ID=Admin;Data Source=F:\CrossOrg\KLD_Internal_Logistics\Logistická_podpora\WH_ANALYST\SHARED internal\apps\server-2\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raw_data$" commandType="3"/>
  </connection>
</connections>
</file>

<file path=xl/sharedStrings.xml><?xml version="1.0" encoding="utf-8"?>
<sst xmlns="http://schemas.openxmlformats.org/spreadsheetml/2006/main" count="1287" uniqueCount="126">
  <si>
    <t>Datum</t>
  </si>
  <si>
    <t>Směna</t>
  </si>
  <si>
    <t>Čas</t>
  </si>
  <si>
    <t>Target</t>
  </si>
  <si>
    <t>KPI</t>
  </si>
  <si>
    <t>Column Labels</t>
  </si>
  <si>
    <t>Proces</t>
  </si>
  <si>
    <t>Krok Procesu</t>
  </si>
  <si>
    <t>Budova</t>
  </si>
  <si>
    <t>PPOT</t>
  </si>
  <si>
    <t>Result</t>
  </si>
  <si>
    <t>100 - Result</t>
  </si>
  <si>
    <t>100-Target</t>
  </si>
  <si>
    <t>Average of Skutečnost %</t>
  </si>
  <si>
    <t>Average of Cíl %</t>
  </si>
  <si>
    <t>Grand Total</t>
  </si>
  <si>
    <t>Average of Skutečnost Úkol/Člověk</t>
  </si>
  <si>
    <t>TARGET</t>
  </si>
  <si>
    <t>RESULT</t>
  </si>
  <si>
    <t>BASE_VALUE</t>
  </si>
  <si>
    <t>TO_TARGET</t>
  </si>
  <si>
    <t>POINTER</t>
  </si>
  <si>
    <t>OVER_TARGET</t>
  </si>
  <si>
    <t>REST</t>
  </si>
  <si>
    <t>LABEL_VAL</t>
  </si>
  <si>
    <t>LABEL_TARGET</t>
  </si>
  <si>
    <t>START</t>
  </si>
  <si>
    <t>TARGET_RED</t>
  </si>
  <si>
    <t>TARGET_GREEN</t>
  </si>
  <si>
    <t>POINTER_VALUE</t>
  </si>
  <si>
    <t>POINTER_STOP</t>
  </si>
  <si>
    <t>LVL2_A</t>
  </si>
  <si>
    <t>LVL2_B</t>
  </si>
  <si>
    <t>LVL2_C</t>
  </si>
  <si>
    <t>Hodina</t>
  </si>
  <si>
    <t>Area</t>
  </si>
  <si>
    <t>Process status</t>
  </si>
  <si>
    <t>Time status</t>
  </si>
  <si>
    <t>Task status</t>
  </si>
  <si>
    <t>Nad 90 min</t>
  </si>
  <si>
    <t>Zátěž cíl</t>
  </si>
  <si>
    <t>Zátěž</t>
  </si>
  <si>
    <t>Do 90 min</t>
  </si>
  <si>
    <t>(Multiple Items)</t>
  </si>
  <si>
    <t>Sum of Hodnota</t>
  </si>
  <si>
    <t>(All)</t>
  </si>
  <si>
    <t>Sum of Počet úkolů</t>
  </si>
  <si>
    <t>Do 60 min</t>
  </si>
  <si>
    <t>(blank)</t>
  </si>
  <si>
    <t>Hour</t>
  </si>
  <si>
    <t>Do 60 min zprac</t>
  </si>
  <si>
    <t>Do 90 min zprac</t>
  </si>
  <si>
    <t>Nad 90 min zprac</t>
  </si>
  <si>
    <t>KPI Budova A</t>
  </si>
  <si>
    <t>Úkol/Lidi</t>
  </si>
  <si>
    <t>Pickování</t>
  </si>
  <si>
    <t>Uklízení</t>
  </si>
  <si>
    <t>Úkoly</t>
  </si>
  <si>
    <t>Zprac. úkoly</t>
  </si>
  <si>
    <t>Datum D/N</t>
  </si>
  <si>
    <t>Values</t>
  </si>
  <si>
    <t>Sum of KPI Budova A</t>
  </si>
  <si>
    <t>Sum of Target</t>
  </si>
  <si>
    <t>Sum of Úkol/Lidi</t>
  </si>
  <si>
    <t>Row Labels</t>
  </si>
  <si>
    <t>Average of Cíl Úkol/Člověk</t>
  </si>
  <si>
    <t>Supply-Autopick-FG-PDOT</t>
  </si>
  <si>
    <t>A</t>
  </si>
  <si>
    <t>SUPPLY-FG</t>
  </si>
  <si>
    <t>VNA_RACK&gt;VNA_BULK</t>
  </si>
  <si>
    <t>VNA_BULK&gt;TA_BULK</t>
  </si>
  <si>
    <t>TA_BULK&gt;PROD_LINE_IN</t>
  </si>
  <si>
    <t>START&gt;END</t>
  </si>
  <si>
    <t>B</t>
  </si>
  <si>
    <t>C</t>
  </si>
  <si>
    <t>HBW_CONVEYOR_IN&gt;TA_BULK</t>
  </si>
  <si>
    <t>28.11.17</t>
  </si>
  <si>
    <t>18:20</t>
  </si>
  <si>
    <t>19:20</t>
  </si>
  <si>
    <t>19:50</t>
  </si>
  <si>
    <t>20:20</t>
  </si>
  <si>
    <t>20:50</t>
  </si>
  <si>
    <t>21:20</t>
  </si>
  <si>
    <t>21:50</t>
  </si>
  <si>
    <t>22:20</t>
  </si>
  <si>
    <t>22:50</t>
  </si>
  <si>
    <t>00:20</t>
  </si>
  <si>
    <t>00:50</t>
  </si>
  <si>
    <t>01:20</t>
  </si>
  <si>
    <t>01:50</t>
  </si>
  <si>
    <t>02:20</t>
  </si>
  <si>
    <t>03:20</t>
  </si>
  <si>
    <t>03:50</t>
  </si>
  <si>
    <t>04:20</t>
  </si>
  <si>
    <t>04:50</t>
  </si>
  <si>
    <t>05:20</t>
  </si>
  <si>
    <t>05:50</t>
  </si>
  <si>
    <t>06:20</t>
  </si>
  <si>
    <t>06:50</t>
  </si>
  <si>
    <t>18:50</t>
  </si>
  <si>
    <t>02:50</t>
  </si>
  <si>
    <t>27.11.17</t>
  </si>
  <si>
    <t>08:20</t>
  </si>
  <si>
    <t>08:50</t>
  </si>
  <si>
    <t>09:20</t>
  </si>
  <si>
    <t>09:50</t>
  </si>
  <si>
    <t>10:20</t>
  </si>
  <si>
    <t>10:50</t>
  </si>
  <si>
    <t>11:20</t>
  </si>
  <si>
    <t>11:50</t>
  </si>
  <si>
    <t>12:20</t>
  </si>
  <si>
    <t>12:50</t>
  </si>
  <si>
    <t>13:20</t>
  </si>
  <si>
    <t>13:50</t>
  </si>
  <si>
    <t>14:20</t>
  </si>
  <si>
    <t>14:50</t>
  </si>
  <si>
    <t>15:20</t>
  </si>
  <si>
    <t>15:50</t>
  </si>
  <si>
    <t>16:20</t>
  </si>
  <si>
    <t>16:50</t>
  </si>
  <si>
    <t>17:20</t>
  </si>
  <si>
    <t>17:50</t>
  </si>
  <si>
    <t>23:20</t>
  </si>
  <si>
    <t>23:50</t>
  </si>
  <si>
    <t>07:20</t>
  </si>
  <si>
    <t>07:50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</si>
</sst>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18" x14ac:knownFonts="1">
    <font>
      <sz val="11"/>
      <color theme="1"/>
      <name val="Calibri"/>
      <family val="2"/>
      <scheme val="minor"/>
    </font>
    <font>
      <sz val="11"/>
      <color theme="1"/>
      <name val="Calibri"/>
      <family val="2"/>
      <charset val="238"/>
      <scheme val="minor"/>
    </font>
    <font>
      <sz val="11"/>
      <color theme="1"/>
      <name val="Calibri"/>
      <family val="2"/>
      <scheme val="minor"/>
    </font>
    <font>
      <b/>
      <sz val="8"/>
      <color rgb="FF1F497D"/>
      <name val="Verdana"/>
      <family val="2"/>
      <charset val="238"/>
    </font>
    <font>
      <sz val="8"/>
      <color rgb="FF1F497D"/>
      <name val="Verdana"/>
      <family val="2"/>
      <charset val="238"/>
    </font>
    <font>
      <sz val="8"/>
      <color rgb="FF000000"/>
      <name val="Verdana"/>
      <family val="2"/>
      <charset val="238"/>
    </font>
    <font>
      <b/>
      <sz val="8"/>
      <color rgb="FF00CC00"/>
      <name val="Verdana"/>
      <family val="2"/>
      <charset val="238"/>
    </font>
    <font>
      <b/>
      <sz val="8"/>
      <color rgb="FF33CC33"/>
      <name val="Verdana"/>
      <family val="2"/>
      <charset val="238"/>
    </font>
    <font>
      <b/>
      <sz val="8"/>
      <color rgb="FFFF9900"/>
      <name val="Verdana"/>
      <family val="2"/>
      <charset val="238"/>
    </font>
    <font>
      <b/>
      <sz val="8"/>
      <color rgb="FFFF0000"/>
      <name val="Verdana"/>
      <family val="2"/>
      <charset val="238"/>
    </font>
    <font>
      <sz val="8"/>
      <color rgb="FF000000"/>
      <name val="Arial"/>
      <family val="2"/>
      <charset val="238"/>
    </font>
    <font>
      <i/>
      <sz val="8"/>
      <color rgb="FF000000"/>
      <name val="Verdana"/>
      <family val="2"/>
      <charset val="238"/>
    </font>
    <font>
      <b/>
      <i/>
      <sz val="8"/>
      <color rgb="FF000000"/>
      <name val="Verdana"/>
      <family val="2"/>
      <charset val="238"/>
    </font>
    <font>
      <b/>
      <i/>
      <sz val="8"/>
      <color rgb="FF1F497D"/>
      <name val="Verdana"/>
      <family val="2"/>
      <charset val="238"/>
    </font>
    <font>
      <i/>
      <sz val="8"/>
      <color rgb="FF1F497D"/>
      <name val="Verdana"/>
      <family val="2"/>
      <charset val="238"/>
    </font>
    <font>
      <sz val="11"/>
      <color theme="1"/>
      <name val="Calibri"/>
      <family val="2"/>
      <scheme val="minor"/>
    </font>
    <font>
      <sz val="11"/>
      <color theme="0"/>
      <name val="Calibri"/>
      <family val="2"/>
      <scheme val="minor"/>
    </font>
    <font>
      <b/>
      <sz val="20"/>
      <color theme="1"/>
      <name val="Calibri"/>
      <family val="2"/>
      <charset val="238"/>
      <scheme val="minor"/>
    </font>
  </fonts>
  <fills count="20">
    <fill>
      <patternFill patternType="none"/>
    </fill>
    <fill>
      <patternFill patternType="gray125"/>
    </fill>
    <fill>
      <patternFill patternType="solid">
        <fgColor theme="3" tint="0.79998168889431442"/>
        <bgColor indexed="64"/>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s>
  <borders count="14">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top/>
      <bottom style="mediumDashed">
        <color auto="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7">
    <xf numFmtId="0" fontId="0" fillId="0" borderId="0"/>
    <xf numFmtId="9" fontId="2" fillId="0" borderId="0" applyFont="0" applyFill="0" applyBorder="0" applyAlignment="0" applyProtection="0"/>
    <xf numFmtId="0" fontId="3" fillId="3" borderId="1" applyNumberFormat="0" applyAlignment="0" applyProtection="0">
      <alignment horizontal="left" vertical="center" indent="1"/>
    </xf>
    <xf numFmtId="164" fontId="4" fillId="0" borderId="2" applyNumberFormat="0" applyProtection="0">
      <alignment horizontal="right" vertical="center"/>
    </xf>
    <xf numFmtId="164" fontId="3" fillId="0" borderId="3" applyNumberFormat="0" applyProtection="0">
      <alignment horizontal="right" vertical="center"/>
    </xf>
    <xf numFmtId="0" fontId="5" fillId="4" borderId="3" applyNumberFormat="0" applyAlignment="0" applyProtection="0">
      <alignment horizontal="left" vertical="center" indent="1"/>
    </xf>
    <xf numFmtId="0" fontId="5" fillId="5" borderId="3" applyNumberFormat="0" applyAlignment="0" applyProtection="0">
      <alignment horizontal="left" vertical="center" indent="1"/>
    </xf>
    <xf numFmtId="164" fontId="4" fillId="6" borderId="2" applyNumberFormat="0" applyBorder="0" applyProtection="0">
      <alignment horizontal="right" vertical="center"/>
    </xf>
    <xf numFmtId="0" fontId="5" fillId="4" borderId="3" applyNumberFormat="0" applyAlignment="0" applyProtection="0">
      <alignment horizontal="left" vertical="center" indent="1"/>
    </xf>
    <xf numFmtId="164" fontId="3" fillId="5" borderId="3" applyNumberFormat="0" applyProtection="0">
      <alignment horizontal="right" vertical="center"/>
    </xf>
    <xf numFmtId="164" fontId="3" fillId="6" borderId="3" applyNumberFormat="0" applyBorder="0" applyProtection="0">
      <alignment horizontal="right" vertical="center"/>
    </xf>
    <xf numFmtId="164" fontId="6" fillId="7" borderId="4" applyNumberFormat="0" applyBorder="0" applyAlignment="0" applyProtection="0">
      <alignment horizontal="right" vertical="center" indent="1"/>
    </xf>
    <xf numFmtId="164" fontId="7" fillId="8" borderId="4" applyNumberFormat="0" applyBorder="0" applyAlignment="0" applyProtection="0">
      <alignment horizontal="right" vertical="center" indent="1"/>
    </xf>
    <xf numFmtId="164" fontId="7" fillId="9" borderId="4" applyNumberFormat="0" applyBorder="0" applyAlignment="0" applyProtection="0">
      <alignment horizontal="right" vertical="center" indent="1"/>
    </xf>
    <xf numFmtId="164" fontId="8" fillId="10" borderId="4" applyNumberFormat="0" applyBorder="0" applyAlignment="0" applyProtection="0">
      <alignment horizontal="right" vertical="center" indent="1"/>
    </xf>
    <xf numFmtId="164" fontId="8" fillId="11" borderId="4" applyNumberFormat="0" applyBorder="0" applyAlignment="0" applyProtection="0">
      <alignment horizontal="right" vertical="center" indent="1"/>
    </xf>
    <xf numFmtId="164" fontId="8" fillId="12" borderId="4" applyNumberFormat="0" applyBorder="0" applyAlignment="0" applyProtection="0">
      <alignment horizontal="right" vertical="center" indent="1"/>
    </xf>
    <xf numFmtId="164" fontId="9" fillId="13" borderId="4" applyNumberFormat="0" applyBorder="0" applyAlignment="0" applyProtection="0">
      <alignment horizontal="right" vertical="center" indent="1"/>
    </xf>
    <xf numFmtId="164" fontId="9" fillId="14" borderId="4" applyNumberFormat="0" applyBorder="0" applyAlignment="0" applyProtection="0">
      <alignment horizontal="right" vertical="center" indent="1"/>
    </xf>
    <xf numFmtId="164" fontId="9" fillId="15" borderId="4" applyNumberFormat="0" applyBorder="0" applyAlignment="0" applyProtection="0">
      <alignment horizontal="right" vertical="center" indent="1"/>
    </xf>
    <xf numFmtId="0" fontId="10" fillId="0" borderId="1" applyNumberFormat="0" applyFont="0" applyFill="0" applyAlignment="0" applyProtection="0"/>
    <xf numFmtId="164" fontId="4" fillId="16" borderId="1" applyNumberFormat="0" applyAlignment="0" applyProtection="0">
      <alignment horizontal="left" vertical="center" indent="1"/>
    </xf>
    <xf numFmtId="0" fontId="3" fillId="3" borderId="3" applyNumberFormat="0" applyAlignment="0" applyProtection="0">
      <alignment horizontal="left" vertical="center" indent="1"/>
    </xf>
    <xf numFmtId="0" fontId="5" fillId="17" borderId="1" applyNumberFormat="0" applyAlignment="0" applyProtection="0">
      <alignment horizontal="left" vertical="center" indent="1"/>
    </xf>
    <xf numFmtId="0" fontId="5" fillId="18" borderId="1" applyNumberFormat="0" applyAlignment="0" applyProtection="0">
      <alignment horizontal="left" vertical="center" indent="1"/>
    </xf>
    <xf numFmtId="0" fontId="5" fillId="19" borderId="1" applyNumberFormat="0" applyAlignment="0" applyProtection="0">
      <alignment horizontal="left" vertical="center" indent="1"/>
    </xf>
    <xf numFmtId="0" fontId="5" fillId="6" borderId="1" applyNumberFormat="0" applyAlignment="0" applyProtection="0">
      <alignment horizontal="left" vertical="center" indent="1"/>
    </xf>
    <xf numFmtId="0" fontId="5" fillId="5" borderId="3" applyNumberFormat="0" applyAlignment="0" applyProtection="0">
      <alignment horizontal="left" vertical="center" indent="1"/>
    </xf>
    <xf numFmtId="0" fontId="11" fillId="0" borderId="5" applyNumberFormat="0" applyFill="0" applyBorder="0" applyAlignment="0" applyProtection="0"/>
    <xf numFmtId="0" fontId="12" fillId="0" borderId="5" applyBorder="0" applyAlignment="0" applyProtection="0"/>
    <xf numFmtId="0" fontId="11" fillId="4" borderId="3" applyNumberFormat="0" applyAlignment="0" applyProtection="0">
      <alignment horizontal="left" vertical="center" indent="1"/>
    </xf>
    <xf numFmtId="0" fontId="11" fillId="4" borderId="3" applyNumberFormat="0" applyAlignment="0" applyProtection="0">
      <alignment horizontal="left" vertical="center" indent="1"/>
    </xf>
    <xf numFmtId="0" fontId="11" fillId="5" borderId="3" applyNumberFormat="0" applyAlignment="0" applyProtection="0">
      <alignment horizontal="left" vertical="center" indent="1"/>
    </xf>
    <xf numFmtId="164" fontId="13" fillId="5" borderId="3" applyNumberFormat="0" applyProtection="0">
      <alignment horizontal="right" vertical="center"/>
    </xf>
    <xf numFmtId="164" fontId="14" fillId="6" borderId="2" applyNumberFormat="0" applyBorder="0" applyProtection="0">
      <alignment horizontal="right" vertical="center"/>
    </xf>
    <xf numFmtId="164" fontId="13" fillId="6" borderId="3" applyNumberFormat="0" applyBorder="0" applyProtection="0">
      <alignment horizontal="right" vertical="center"/>
    </xf>
    <xf numFmtId="0" fontId="1" fillId="0" borderId="0"/>
  </cellStyleXfs>
  <cellXfs count="30">
    <xf numFmtId="0" fontId="0" fillId="0" borderId="0" xfId="0"/>
    <xf numFmtId="14" fontId="0" fillId="0" borderId="0" xfId="0" applyNumberFormat="1"/>
    <xf numFmtId="9" fontId="0" fillId="0" borderId="0" xfId="0" applyNumberFormat="1"/>
    <xf numFmtId="0" fontId="0" fillId="0" borderId="0" xfId="0" pivotButton="1"/>
    <xf numFmtId="0" fontId="0" fillId="0" borderId="7" xfId="0" applyBorder="1"/>
    <xf numFmtId="0" fontId="0" fillId="0" borderId="8" xfId="0" applyBorder="1"/>
    <xf numFmtId="0" fontId="0" fillId="0" borderId="9" xfId="0" applyBorder="1"/>
    <xf numFmtId="9" fontId="0" fillId="0" borderId="10" xfId="1" applyFont="1" applyBorder="1"/>
    <xf numFmtId="9" fontId="0" fillId="0" borderId="11" xfId="1" applyFont="1" applyBorder="1"/>
    <xf numFmtId="9" fontId="0" fillId="0" borderId="9" xfId="1" applyFont="1" applyBorder="1"/>
    <xf numFmtId="9" fontId="0" fillId="0" borderId="9" xfId="0" applyNumberFormat="1" applyBorder="1"/>
    <xf numFmtId="0" fontId="0" fillId="0" borderId="0" xfId="0" applyNumberFormat="1"/>
    <xf numFmtId="0" fontId="0" fillId="0" borderId="12" xfId="0" applyBorder="1" applyAlignment="1"/>
    <xf numFmtId="0" fontId="0" fillId="0" borderId="13" xfId="0" applyBorder="1" applyAlignment="1"/>
    <xf numFmtId="0" fontId="0" fillId="0" borderId="9" xfId="1" applyNumberFormat="1" applyFont="1" applyBorder="1"/>
    <xf numFmtId="1" fontId="0" fillId="0" borderId="0" xfId="0" applyNumberFormat="1"/>
    <xf numFmtId="9" fontId="0" fillId="0" borderId="9" xfId="1" applyFont="1" applyBorder="1" applyAlignment="1">
      <alignment horizontal="center" vertical="center"/>
    </xf>
    <xf numFmtId="20" fontId="0" fillId="0" borderId="0" xfId="0" applyNumberFormat="1"/>
    <xf numFmtId="0" fontId="0" fillId="0" borderId="9" xfId="0" applyFill="1" applyBorder="1"/>
    <xf numFmtId="0" fontId="0" fillId="0" borderId="0" xfId="0" applyAlignment="1">
      <alignment horizontal="left"/>
    </xf>
    <xf numFmtId="0" fontId="15" fillId="2" borderId="0" xfId="0" applyFont="1" applyFill="1"/>
    <xf numFmtId="0" fontId="15" fillId="0" borderId="0" xfId="0" applyFont="1"/>
    <xf numFmtId="0" fontId="15" fillId="2" borderId="6" xfId="0" applyFont="1" applyFill="1" applyBorder="1"/>
    <xf numFmtId="0" fontId="16" fillId="2" borderId="0" xfId="0" applyFont="1" applyFill="1"/>
    <xf numFmtId="0" fontId="15" fillId="2" borderId="0" xfId="0" applyFont="1" applyFill="1" applyBorder="1"/>
    <xf numFmtId="0" fontId="15" fillId="2" borderId="0" xfId="0" applyFont="1" applyFill="1" applyAlignment="1"/>
    <xf numFmtId="9" fontId="15" fillId="2" borderId="0" xfId="0" applyNumberFormat="1" applyFont="1" applyFill="1"/>
    <xf numFmtId="0" fontId="15" fillId="2" borderId="0" xfId="0" applyFont="1" applyFill="1" applyAlignment="1">
      <alignment vertical="center"/>
    </xf>
    <xf numFmtId="0" fontId="17" fillId="2" borderId="0" xfId="0" applyFont="1" applyFill="1" applyAlignment="1">
      <alignment vertical="center" textRotation="90"/>
    </xf>
    <xf numFmtId="0" fontId="0" fillId="0" borderId="0" xfId="0" applyAlignment="1">
      <alignment horizontal="left" indent="1"/>
    </xf>
  </cellXfs>
  <cellStyles count="37">
    <cellStyle name="Normal" xfId="0" builtinId="0"/>
    <cellStyle name="Normal 2" xfId="36" xr:uid="{00000000-0005-0000-0000-000001000000}"/>
    <cellStyle name="Percent" xfId="1" builtinId="5"/>
    <cellStyle name="SAPBorder" xfId="20" xr:uid="{00000000-0005-0000-0000-000003000000}"/>
    <cellStyle name="SAPDataCell" xfId="3" xr:uid="{00000000-0005-0000-0000-000004000000}"/>
    <cellStyle name="SAPDataTotalCell" xfId="4" xr:uid="{00000000-0005-0000-0000-000005000000}"/>
    <cellStyle name="SAPDimensionCell" xfId="2" xr:uid="{00000000-0005-0000-0000-000006000000}"/>
    <cellStyle name="SAPEditableDataCell" xfId="5" xr:uid="{00000000-0005-0000-0000-000007000000}"/>
    <cellStyle name="SAPEditableDataTotalCell" xfId="8" xr:uid="{00000000-0005-0000-0000-000008000000}"/>
    <cellStyle name="SAPEmphasized" xfId="28" xr:uid="{00000000-0005-0000-0000-000009000000}"/>
    <cellStyle name="SAPEmphasizedEditableDataCell" xfId="30" xr:uid="{00000000-0005-0000-0000-00000A000000}"/>
    <cellStyle name="SAPEmphasizedEditableDataTotalCell" xfId="31" xr:uid="{00000000-0005-0000-0000-00000B000000}"/>
    <cellStyle name="SAPEmphasizedLockedDataCell" xfId="34" xr:uid="{00000000-0005-0000-0000-00000C000000}"/>
    <cellStyle name="SAPEmphasizedLockedDataTotalCell" xfId="35" xr:uid="{00000000-0005-0000-0000-00000D000000}"/>
    <cellStyle name="SAPEmphasizedReadonlyDataCell" xfId="32" xr:uid="{00000000-0005-0000-0000-00000E000000}"/>
    <cellStyle name="SAPEmphasizedReadonlyDataTotalCell" xfId="33" xr:uid="{00000000-0005-0000-0000-00000F000000}"/>
    <cellStyle name="SAPEmphasizedTotal" xfId="29" xr:uid="{00000000-0005-0000-0000-000010000000}"/>
    <cellStyle name="SAPExceptionLevel1" xfId="11" xr:uid="{00000000-0005-0000-0000-000011000000}"/>
    <cellStyle name="SAPExceptionLevel2" xfId="12" xr:uid="{00000000-0005-0000-0000-000012000000}"/>
    <cellStyle name="SAPExceptionLevel3" xfId="13" xr:uid="{00000000-0005-0000-0000-000013000000}"/>
    <cellStyle name="SAPExceptionLevel4" xfId="14" xr:uid="{00000000-0005-0000-0000-000014000000}"/>
    <cellStyle name="SAPExceptionLevel5" xfId="15" xr:uid="{00000000-0005-0000-0000-000015000000}"/>
    <cellStyle name="SAPExceptionLevel6" xfId="16" xr:uid="{00000000-0005-0000-0000-000016000000}"/>
    <cellStyle name="SAPExceptionLevel7" xfId="17" xr:uid="{00000000-0005-0000-0000-000017000000}"/>
    <cellStyle name="SAPExceptionLevel8" xfId="18" xr:uid="{00000000-0005-0000-0000-000018000000}"/>
    <cellStyle name="SAPExceptionLevel9" xfId="19" xr:uid="{00000000-0005-0000-0000-000019000000}"/>
    <cellStyle name="SAPHierarchyCell0" xfId="23" xr:uid="{00000000-0005-0000-0000-00001A000000}"/>
    <cellStyle name="SAPHierarchyCell1" xfId="24" xr:uid="{00000000-0005-0000-0000-00001B000000}"/>
    <cellStyle name="SAPHierarchyCell2" xfId="25" xr:uid="{00000000-0005-0000-0000-00001C000000}"/>
    <cellStyle name="SAPHierarchyCell3" xfId="26" xr:uid="{00000000-0005-0000-0000-00001D000000}"/>
    <cellStyle name="SAPHierarchyCell4" xfId="27" xr:uid="{00000000-0005-0000-0000-00001E000000}"/>
    <cellStyle name="SAPLockedDataCell" xfId="7" xr:uid="{00000000-0005-0000-0000-00001F000000}"/>
    <cellStyle name="SAPLockedDataTotalCell" xfId="10" xr:uid="{00000000-0005-0000-0000-000020000000}"/>
    <cellStyle name="SAPMemberCell" xfId="21" xr:uid="{00000000-0005-0000-0000-000021000000}"/>
    <cellStyle name="SAPMemberTotalCell" xfId="22" xr:uid="{00000000-0005-0000-0000-000022000000}"/>
    <cellStyle name="SAPReadonlyDataCell" xfId="6" xr:uid="{00000000-0005-0000-0000-000023000000}"/>
    <cellStyle name="SAPReadonlyDataTotalCell" xfId="9" xr:uid="{00000000-0005-0000-0000-000024000000}"/>
  </cellStyles>
  <dxfs count="2">
    <dxf>
      <font>
        <color theme="9"/>
      </font>
    </dxf>
    <dxf>
      <border diagonalUp="0" diagonalDown="0">
        <left/>
        <right/>
        <top/>
        <bottom/>
        <vertical/>
        <horizontal/>
      </border>
    </dxf>
  </dxfs>
  <tableStyles count="2" defaultTableStyle="TableStyleMedium2" defaultPivotStyle="PivotStyleMedium9">
    <tableStyle name="Styl průřezu 1" pivot="0" table="0" count="1" xr9:uid="{00000000-0011-0000-FFFF-FFFF00000000}">
      <tableStyleElement type="wholeTable" dxfId="1"/>
    </tableStyle>
    <tableStyle name="Styl průřezu 2" pivot="0" table="0" count="1" xr9:uid="{00000000-0011-0000-FFFF-FFFF01000000}">
      <tableStyleElement type="wholeTable" dxfId="0"/>
    </tableStyle>
  </tableStyles>
  <colors>
    <mruColors>
      <color rgb="FFFF3300"/>
      <color rgb="FF43741E"/>
      <color rgb="FF3E9937"/>
      <color rgb="FFCC0000"/>
      <color rgb="FFFFC000"/>
      <color rgb="FF9BBB59"/>
      <color rgb="FFFAF004"/>
      <color rgb="FFFCF004"/>
      <color rgb="FFFFFF00"/>
      <color rgb="FFFFFF66"/>
    </mruColors>
  </colors>
  <extLst>
    <ext xmlns:x14="http://schemas.microsoft.com/office/spreadsheetml/2009/9/main" uri="{EB79DEF2-80B8-43e5-95BD-54CBDDF9020C}">
      <x14:slicerStyles defaultSlicerStyle="SlicerStyleLight1">
        <x14:slicerStyle name="Styl průřezu 1"/>
        <x14:slicerStyle name="Styl průřezu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microsoft.com/office/2007/relationships/slicerCache" Target="slicerCaches/slicerCache1.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openxmlformats.org/officeDocument/2006/relationships/calcChain" Target="calcChain.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7/relationships/slicerCache" Target="slicerCaches/slicerCache3.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3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5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17-45D5-B82E-770D8751735F}"/>
              </c:ext>
            </c:extLst>
          </c:dPt>
          <c:dPt>
            <c:idx val="1"/>
            <c:bubble3D val="0"/>
            <c:spPr>
              <a:solidFill>
                <a:srgbClr val="FF0000"/>
              </a:solidFill>
              <a:ln w="19050">
                <a:noFill/>
              </a:ln>
              <a:effectLst/>
            </c:spPr>
            <c:extLst>
              <c:ext xmlns:c16="http://schemas.microsoft.com/office/drawing/2014/chart" uri="{C3380CC4-5D6E-409C-BE32-E72D297353CC}">
                <c16:uniqueId val="{00000003-BE17-45D5-B82E-770D8751735F}"/>
              </c:ext>
            </c:extLst>
          </c:dPt>
          <c:val>
            <c:numRef>
              <c:f>#REF!</c:f>
              <c:numCache>
                <c:formatCode>General</c:formatCode>
                <c:ptCount val="1"/>
                <c:pt idx="0">
                  <c:v>1</c:v>
                </c:pt>
              </c:numCache>
            </c:numRef>
          </c:val>
          <c:extLst>
            <c:ext xmlns:c16="http://schemas.microsoft.com/office/drawing/2014/chart" uri="{C3380CC4-5D6E-409C-BE32-E72D297353CC}">
              <c16:uniqueId val="{00000004-BE17-45D5-B82E-770D87517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4CF-414D-83A8-996B55B6FEFF}"/>
              </c:ext>
            </c:extLst>
          </c:dPt>
          <c:dPt>
            <c:idx val="1"/>
            <c:bubble3D val="0"/>
            <c:spPr>
              <a:solidFill>
                <a:srgbClr val="FF0000"/>
              </a:solidFill>
              <a:ln w="19050">
                <a:noFill/>
              </a:ln>
              <a:effectLst/>
            </c:spPr>
            <c:extLst>
              <c:ext xmlns:c16="http://schemas.microsoft.com/office/drawing/2014/chart" uri="{C3380CC4-5D6E-409C-BE32-E72D297353CC}">
                <c16:uniqueId val="{00000003-E4CF-414D-83A8-996B55B6FEFF}"/>
              </c:ext>
            </c:extLst>
          </c:dPt>
          <c:val>
            <c:numRef>
              <c:f>#REF!</c:f>
              <c:numCache>
                <c:formatCode>General</c:formatCode>
                <c:ptCount val="1"/>
                <c:pt idx="0">
                  <c:v>1</c:v>
                </c:pt>
              </c:numCache>
            </c:numRef>
          </c:val>
          <c:extLst>
            <c:ext xmlns:c16="http://schemas.microsoft.com/office/drawing/2014/chart" uri="{C3380CC4-5D6E-409C-BE32-E72D297353CC}">
              <c16:uniqueId val="{00000004-E4CF-414D-83A8-996B55B6FE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9D44-4707-A8E7-E87CF0FEC4A7}"/>
              </c:ext>
            </c:extLst>
          </c:dPt>
          <c:dPt>
            <c:idx val="1"/>
            <c:bubble3D val="0"/>
            <c:spPr>
              <a:solidFill>
                <a:srgbClr val="FF0000"/>
              </a:solidFill>
              <a:ln w="19050">
                <a:noFill/>
              </a:ln>
              <a:effectLst/>
            </c:spPr>
            <c:extLst>
              <c:ext xmlns:c16="http://schemas.microsoft.com/office/drawing/2014/chart" uri="{C3380CC4-5D6E-409C-BE32-E72D297353CC}">
                <c16:uniqueId val="{00000003-9D44-4707-A8E7-E87CF0FEC4A7}"/>
              </c:ext>
            </c:extLst>
          </c:dPt>
          <c:val>
            <c:numRef>
              <c:f>#REF!</c:f>
              <c:numCache>
                <c:formatCode>General</c:formatCode>
                <c:ptCount val="1"/>
                <c:pt idx="0">
                  <c:v>1</c:v>
                </c:pt>
              </c:numCache>
            </c:numRef>
          </c:val>
          <c:extLst>
            <c:ext xmlns:c16="http://schemas.microsoft.com/office/drawing/2014/chart" uri="{C3380CC4-5D6E-409C-BE32-E72D297353CC}">
              <c16:uniqueId val="{00000004-9D44-4707-A8E7-E87CF0FEC4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tx>
            <c:strRef>
              <c:f>data.chart!$B$10</c:f>
              <c:strCache>
                <c:ptCount val="1"/>
                <c:pt idx="0">
                  <c:v>Supply-Autopick-FG-PDOT</c:v>
                </c:pt>
              </c:strCache>
            </c:strRef>
          </c:tx>
          <c:spPr>
            <a:ln>
              <a:noFill/>
            </a:ln>
          </c:spPr>
          <c:dPt>
            <c:idx val="0"/>
            <c:bubble3D val="0"/>
            <c:spPr>
              <a:solidFill>
                <a:srgbClr val="9BC348"/>
              </a:solidFill>
              <a:ln w="19050">
                <a:noFill/>
              </a:ln>
              <a:effectLst/>
            </c:spPr>
            <c:extLst>
              <c:ext xmlns:c16="http://schemas.microsoft.com/office/drawing/2014/chart" uri="{C3380CC4-5D6E-409C-BE32-E72D297353CC}">
                <c16:uniqueId val="{00000001-4C4E-49ED-A4A6-516E9BC1FFE3}"/>
              </c:ext>
            </c:extLst>
          </c:dPt>
          <c:dPt>
            <c:idx val="1"/>
            <c:bubble3D val="0"/>
            <c:spPr>
              <a:solidFill>
                <a:srgbClr val="9BC348"/>
              </a:solidFill>
              <a:ln w="19050">
                <a:noFill/>
              </a:ln>
              <a:effectLst/>
            </c:spPr>
            <c:extLst>
              <c:ext xmlns:c16="http://schemas.microsoft.com/office/drawing/2014/chart" uri="{C3380CC4-5D6E-409C-BE32-E72D297353CC}">
                <c16:uniqueId val="{00000003-4C4E-49ED-A4A6-516E9BC1FFE3}"/>
              </c:ext>
            </c:extLst>
          </c:dPt>
          <c:dPt>
            <c:idx val="2"/>
            <c:bubble3D val="0"/>
            <c:spPr>
              <a:solidFill>
                <a:srgbClr val="000000"/>
              </a:solidFill>
              <a:ln w="19050">
                <a:noFill/>
              </a:ln>
              <a:effectLst/>
            </c:spPr>
            <c:extLst>
              <c:ext xmlns:c16="http://schemas.microsoft.com/office/drawing/2014/chart" uri="{C3380CC4-5D6E-409C-BE32-E72D297353CC}">
                <c16:uniqueId val="{00000005-4C4E-49ED-A4A6-516E9BC1FFE3}"/>
              </c:ext>
            </c:extLst>
          </c:dPt>
          <c:dPt>
            <c:idx val="3"/>
            <c:bubble3D val="0"/>
            <c:spPr>
              <a:solidFill>
                <a:srgbClr val="9BC348"/>
              </a:solidFill>
              <a:ln w="19050">
                <a:noFill/>
              </a:ln>
              <a:effectLst/>
            </c:spPr>
            <c:extLst>
              <c:ext xmlns:c16="http://schemas.microsoft.com/office/drawing/2014/chart" uri="{C3380CC4-5D6E-409C-BE32-E72D297353CC}">
                <c16:uniqueId val="{00000007-4C4E-49ED-A4A6-516E9BC1FFE3}"/>
              </c:ext>
            </c:extLst>
          </c:dPt>
          <c:dPt>
            <c:idx val="4"/>
            <c:bubble3D val="0"/>
            <c:spPr>
              <a:solidFill>
                <a:srgbClr val="F2F2F2"/>
              </a:solidFill>
              <a:ln w="19050">
                <a:noFill/>
              </a:ln>
              <a:effectLst/>
            </c:spPr>
            <c:extLst>
              <c:ext xmlns:c16="http://schemas.microsoft.com/office/drawing/2014/chart" uri="{C3380CC4-5D6E-409C-BE32-E72D297353CC}">
                <c16:uniqueId val="{00000009-4C4E-49ED-A4A6-516E9BC1FFE3}"/>
              </c:ext>
            </c:extLst>
          </c:dPt>
          <c:val>
            <c:numRef>
              <c:f>data.chart!$E$10:$I$10</c:f>
              <c:numCache>
                <c:formatCode>General</c:formatCode>
                <c:ptCount val="5"/>
                <c:pt idx="0">
                  <c:v>0.79999999999998639</c:v>
                </c:pt>
                <c:pt idx="1">
                  <c:v>0</c:v>
                </c:pt>
                <c:pt idx="2">
                  <c:v>0.02</c:v>
                </c:pt>
                <c:pt idx="3">
                  <c:v>7.4669204387471821E-2</c:v>
                </c:pt>
                <c:pt idx="4">
                  <c:v>0.10533079561254177</c:v>
                </c:pt>
              </c:numCache>
            </c:numRef>
          </c:val>
          <c:extLst>
            <c:ext xmlns:c16="http://schemas.microsoft.com/office/drawing/2014/chart" uri="{C3380CC4-5D6E-409C-BE32-E72D297353CC}">
              <c16:uniqueId val="{0000000A-4C4E-49ED-A4A6-516E9BC1FFE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CCD-42C6-8CA4-27C99579944E}"/>
              </c:ext>
            </c:extLst>
          </c:dPt>
          <c:dPt>
            <c:idx val="1"/>
            <c:bubble3D val="0"/>
            <c:spPr>
              <a:solidFill>
                <a:srgbClr val="FF0000"/>
              </a:solidFill>
              <a:ln w="19050">
                <a:noFill/>
              </a:ln>
              <a:effectLst/>
            </c:spPr>
            <c:extLst>
              <c:ext xmlns:c16="http://schemas.microsoft.com/office/drawing/2014/chart" uri="{C3380CC4-5D6E-409C-BE32-E72D297353CC}">
                <c16:uniqueId val="{00000003-2CCD-42C6-8CA4-27C99579944E}"/>
              </c:ext>
            </c:extLst>
          </c:dPt>
          <c:val>
            <c:numRef>
              <c:f>#REF!</c:f>
              <c:numCache>
                <c:formatCode>General</c:formatCode>
                <c:ptCount val="1"/>
                <c:pt idx="0">
                  <c:v>1</c:v>
                </c:pt>
              </c:numCache>
            </c:numRef>
          </c:val>
          <c:extLst>
            <c:ext xmlns:c16="http://schemas.microsoft.com/office/drawing/2014/chart" uri="{C3380CC4-5D6E-409C-BE32-E72D297353CC}">
              <c16:uniqueId val="{00000004-2CCD-42C6-8CA4-27C9957994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C7F-4EE6-89E6-9B465D20B9C0}"/>
              </c:ext>
            </c:extLst>
          </c:dPt>
          <c:dPt>
            <c:idx val="1"/>
            <c:bubble3D val="0"/>
            <c:spPr>
              <a:solidFill>
                <a:srgbClr val="FF0000"/>
              </a:solidFill>
              <a:ln w="19050">
                <a:noFill/>
              </a:ln>
              <a:effectLst/>
            </c:spPr>
            <c:extLst>
              <c:ext xmlns:c16="http://schemas.microsoft.com/office/drawing/2014/chart" uri="{C3380CC4-5D6E-409C-BE32-E72D297353CC}">
                <c16:uniqueId val="{00000003-1C7F-4EE6-89E6-9B465D20B9C0}"/>
              </c:ext>
            </c:extLst>
          </c:dPt>
          <c:val>
            <c:numRef>
              <c:f>#REF!</c:f>
              <c:numCache>
                <c:formatCode>General</c:formatCode>
                <c:ptCount val="1"/>
                <c:pt idx="0">
                  <c:v>1</c:v>
                </c:pt>
              </c:numCache>
            </c:numRef>
          </c:val>
          <c:extLst>
            <c:ext xmlns:c16="http://schemas.microsoft.com/office/drawing/2014/chart" uri="{C3380CC4-5D6E-409C-BE32-E72D297353CC}">
              <c16:uniqueId val="{00000004-1C7F-4EE6-89E6-9B465D20B9C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360-4C96-83B2-4CA1AEA8CC47}"/>
              </c:ext>
            </c:extLst>
          </c:dPt>
          <c:dPt>
            <c:idx val="1"/>
            <c:bubble3D val="0"/>
            <c:spPr>
              <a:solidFill>
                <a:srgbClr val="FF0000"/>
              </a:solidFill>
              <a:ln w="19050">
                <a:noFill/>
              </a:ln>
              <a:effectLst/>
            </c:spPr>
            <c:extLst>
              <c:ext xmlns:c16="http://schemas.microsoft.com/office/drawing/2014/chart" uri="{C3380CC4-5D6E-409C-BE32-E72D297353CC}">
                <c16:uniqueId val="{00000003-E360-4C96-83B2-4CA1AEA8CC47}"/>
              </c:ext>
            </c:extLst>
          </c:dPt>
          <c:val>
            <c:numRef>
              <c:f>#REF!</c:f>
              <c:numCache>
                <c:formatCode>General</c:formatCode>
                <c:ptCount val="1"/>
                <c:pt idx="0">
                  <c:v>1</c:v>
                </c:pt>
              </c:numCache>
            </c:numRef>
          </c:val>
          <c:extLst>
            <c:ext xmlns:c16="http://schemas.microsoft.com/office/drawing/2014/chart" uri="{C3380CC4-5D6E-409C-BE32-E72D297353CC}">
              <c16:uniqueId val="{00000004-E360-4C96-83B2-4CA1AEA8CC4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35E-4196-8B20-0F2ECADF27D2}"/>
              </c:ext>
            </c:extLst>
          </c:dPt>
          <c:dPt>
            <c:idx val="1"/>
            <c:bubble3D val="0"/>
            <c:spPr>
              <a:solidFill>
                <a:srgbClr val="FF0000"/>
              </a:solidFill>
              <a:ln w="19050">
                <a:noFill/>
              </a:ln>
              <a:effectLst/>
            </c:spPr>
            <c:extLst>
              <c:ext xmlns:c16="http://schemas.microsoft.com/office/drawing/2014/chart" uri="{C3380CC4-5D6E-409C-BE32-E72D297353CC}">
                <c16:uniqueId val="{00000003-135E-4196-8B20-0F2ECADF27D2}"/>
              </c:ext>
            </c:extLst>
          </c:dPt>
          <c:val>
            <c:numRef>
              <c:f>#REF!</c:f>
              <c:numCache>
                <c:formatCode>General</c:formatCode>
                <c:ptCount val="1"/>
                <c:pt idx="0">
                  <c:v>1</c:v>
                </c:pt>
              </c:numCache>
            </c:numRef>
          </c:val>
          <c:extLst>
            <c:ext xmlns:c16="http://schemas.microsoft.com/office/drawing/2014/chart" uri="{C3380CC4-5D6E-409C-BE32-E72D297353CC}">
              <c16:uniqueId val="{00000004-135E-4196-8B20-0F2ECADF27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EB9-4748-BA7C-A46360451B6B}"/>
              </c:ext>
            </c:extLst>
          </c:dPt>
          <c:dPt>
            <c:idx val="1"/>
            <c:bubble3D val="0"/>
            <c:spPr>
              <a:solidFill>
                <a:srgbClr val="FF0000"/>
              </a:solidFill>
              <a:ln w="19050">
                <a:noFill/>
              </a:ln>
              <a:effectLst/>
            </c:spPr>
            <c:extLst>
              <c:ext xmlns:c16="http://schemas.microsoft.com/office/drawing/2014/chart" uri="{C3380CC4-5D6E-409C-BE32-E72D297353CC}">
                <c16:uniqueId val="{00000003-1EB9-4748-BA7C-A46360451B6B}"/>
              </c:ext>
            </c:extLst>
          </c:dPt>
          <c:val>
            <c:numRef>
              <c:f>#REF!</c:f>
              <c:numCache>
                <c:formatCode>General</c:formatCode>
                <c:ptCount val="1"/>
                <c:pt idx="0">
                  <c:v>1</c:v>
                </c:pt>
              </c:numCache>
            </c:numRef>
          </c:val>
          <c:extLst>
            <c:ext xmlns:c16="http://schemas.microsoft.com/office/drawing/2014/chart" uri="{C3380CC4-5D6E-409C-BE32-E72D297353CC}">
              <c16:uniqueId val="{00000004-1EB9-4748-BA7C-A46360451B6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7221-4C92-8048-28ADA1AE0D5D}"/>
              </c:ext>
            </c:extLst>
          </c:dPt>
          <c:dPt>
            <c:idx val="1"/>
            <c:bubble3D val="0"/>
            <c:spPr>
              <a:solidFill>
                <a:srgbClr val="FF0000"/>
              </a:solidFill>
              <a:ln w="19050">
                <a:noFill/>
              </a:ln>
              <a:effectLst/>
            </c:spPr>
            <c:extLst>
              <c:ext xmlns:c16="http://schemas.microsoft.com/office/drawing/2014/chart" uri="{C3380CC4-5D6E-409C-BE32-E72D297353CC}">
                <c16:uniqueId val="{00000003-7221-4C92-8048-28ADA1AE0D5D}"/>
              </c:ext>
            </c:extLst>
          </c:dPt>
          <c:val>
            <c:numRef>
              <c:f>#REF!</c:f>
              <c:numCache>
                <c:formatCode>General</c:formatCode>
                <c:ptCount val="1"/>
                <c:pt idx="0">
                  <c:v>1</c:v>
                </c:pt>
              </c:numCache>
            </c:numRef>
          </c:val>
          <c:extLst>
            <c:ext xmlns:c16="http://schemas.microsoft.com/office/drawing/2014/chart" uri="{C3380CC4-5D6E-409C-BE32-E72D297353CC}">
              <c16:uniqueId val="{00000004-7221-4C92-8048-28ADA1AE0D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B9-455A-B8A8-ED3CEBDEE63D}"/>
              </c:ext>
            </c:extLst>
          </c:dPt>
          <c:dPt>
            <c:idx val="1"/>
            <c:bubble3D val="0"/>
            <c:spPr>
              <a:solidFill>
                <a:srgbClr val="FF0000"/>
              </a:solidFill>
              <a:ln w="19050">
                <a:noFill/>
              </a:ln>
              <a:effectLst/>
            </c:spPr>
            <c:extLst>
              <c:ext xmlns:c16="http://schemas.microsoft.com/office/drawing/2014/chart" uri="{C3380CC4-5D6E-409C-BE32-E72D297353CC}">
                <c16:uniqueId val="{00000003-BEB9-455A-B8A8-ED3CEBDEE63D}"/>
              </c:ext>
            </c:extLst>
          </c:dPt>
          <c:val>
            <c:numRef>
              <c:f>#REF!</c:f>
              <c:numCache>
                <c:formatCode>General</c:formatCode>
                <c:ptCount val="1"/>
                <c:pt idx="0">
                  <c:v>1</c:v>
                </c:pt>
              </c:numCache>
            </c:numRef>
          </c:val>
          <c:extLst>
            <c:ext xmlns:c16="http://schemas.microsoft.com/office/drawing/2014/chart" uri="{C3380CC4-5D6E-409C-BE32-E72D297353CC}">
              <c16:uniqueId val="{00000004-BEB9-455A-B8A8-ED3CEBDEE6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3DD7-4599-833E-B3C95AD5DD05}"/>
              </c:ext>
            </c:extLst>
          </c:dPt>
          <c:dPt>
            <c:idx val="1"/>
            <c:bubble3D val="0"/>
            <c:spPr>
              <a:solidFill>
                <a:srgbClr val="FF0000"/>
              </a:solidFill>
              <a:ln w="19050">
                <a:noFill/>
              </a:ln>
              <a:effectLst/>
            </c:spPr>
            <c:extLst>
              <c:ext xmlns:c16="http://schemas.microsoft.com/office/drawing/2014/chart" uri="{C3380CC4-5D6E-409C-BE32-E72D297353CC}">
                <c16:uniqueId val="{00000003-3DD7-4599-833E-B3C95AD5DD05}"/>
              </c:ext>
            </c:extLst>
          </c:dPt>
          <c:val>
            <c:numRef>
              <c:f>#REF!</c:f>
              <c:numCache>
                <c:formatCode>General</c:formatCode>
                <c:ptCount val="1"/>
                <c:pt idx="0">
                  <c:v>1</c:v>
                </c:pt>
              </c:numCache>
            </c:numRef>
          </c:val>
          <c:extLst>
            <c:ext xmlns:c16="http://schemas.microsoft.com/office/drawing/2014/chart" uri="{C3380CC4-5D6E-409C-BE32-E72D297353CC}">
              <c16:uniqueId val="{00000004-3DD7-4599-833E-B3C95AD5DD0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t>
            </a:r>
            <a:r>
              <a:rPr lang="en-US"/>
              <a:t>B</a:t>
            </a:r>
            <a:endParaRPr lang="cs-CZ"/>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ln>
              <a:noFill/>
            </a:ln>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187-4378-9820-BE8BA2DF3468}"/>
              </c:ext>
            </c:extLst>
          </c:dPt>
          <c:dPt>
            <c:idx val="1"/>
            <c:bubble3D val="0"/>
            <c:spPr>
              <a:solidFill>
                <a:srgbClr val="C0504D"/>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3-4187-4378-9820-BE8BA2DF346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4187-4378-9820-BE8BA2DF3468}"/>
              </c:ext>
            </c:extLst>
          </c:dPt>
          <c:dPt>
            <c:idx val="3"/>
            <c:bubble3D val="0"/>
            <c:spPr>
              <a:solidFill>
                <a:srgbClr val="FFFFFF"/>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7-4187-4378-9820-BE8BA2DF3468}"/>
              </c:ext>
            </c:extLst>
          </c:dPt>
          <c:dPt>
            <c:idx val="4"/>
            <c:bubble3D val="0"/>
            <c:spPr>
              <a:noFill/>
              <a:ln>
                <a:noFill/>
              </a:ln>
              <a:effectLst/>
            </c:spPr>
            <c:extLst>
              <c:ext xmlns:c16="http://schemas.microsoft.com/office/drawing/2014/chart" uri="{C3380CC4-5D6E-409C-BE32-E72D297353CC}">
                <c16:uniqueId val="{00000009-4187-4378-9820-BE8BA2DF3468}"/>
              </c:ext>
            </c:extLst>
          </c:dPt>
          <c:val>
            <c:numRef>
              <c:f>data.chart!$C$6:$F$6</c:f>
              <c:numCache>
                <c:formatCode>General</c:formatCode>
                <c:ptCount val="4"/>
                <c:pt idx="0">
                  <c:v>0</c:v>
                </c:pt>
                <c:pt idx="1">
                  <c:v>80.000000000000554</c:v>
                </c:pt>
                <c:pt idx="2">
                  <c:v>19.999999999999446</c:v>
                </c:pt>
                <c:pt idx="3">
                  <c:v>100</c:v>
                </c:pt>
              </c:numCache>
            </c:numRef>
          </c:val>
          <c:extLst>
            <c:ext xmlns:c16="http://schemas.microsoft.com/office/drawing/2014/chart" uri="{C3380CC4-5D6E-409C-BE32-E72D297353CC}">
              <c16:uniqueId val="{0000000A-4187-4378-9820-BE8BA2DF346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explosion val="1"/>
            <c:spPr>
              <a:noFill/>
              <a:effectLst/>
            </c:spPr>
            <c:extLst>
              <c:ext xmlns:c16="http://schemas.microsoft.com/office/drawing/2014/chart" uri="{C3380CC4-5D6E-409C-BE32-E72D297353CC}">
                <c16:uniqueId val="{0000000C-4187-4378-9820-BE8BA2DF346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4187-4378-9820-BE8BA2DF3468}"/>
              </c:ext>
            </c:extLst>
          </c:dPt>
          <c:dPt>
            <c:idx val="2"/>
            <c:bubble3D val="0"/>
            <c:spPr>
              <a:noFill/>
              <a:effectLst/>
            </c:spPr>
            <c:extLst>
              <c:ext xmlns:c16="http://schemas.microsoft.com/office/drawing/2014/chart" uri="{C3380CC4-5D6E-409C-BE32-E72D297353CC}">
                <c16:uniqueId val="{00000010-4187-4378-9820-BE8BA2DF3468}"/>
              </c:ext>
            </c:extLst>
          </c:dPt>
          <c:val>
            <c:numRef>
              <c:f>data.chart!$G$6:$I$6</c:f>
              <c:numCache>
                <c:formatCode>General</c:formatCode>
                <c:ptCount val="3"/>
                <c:pt idx="0">
                  <c:v>90.230500990414114</c:v>
                </c:pt>
                <c:pt idx="1">
                  <c:v>1.2</c:v>
                </c:pt>
                <c:pt idx="2">
                  <c:v>108.56949900958588</c:v>
                </c:pt>
              </c:numCache>
            </c:numRef>
          </c:val>
          <c:extLst>
            <c:ext xmlns:c16="http://schemas.microsoft.com/office/drawing/2014/chart" uri="{C3380CC4-5D6E-409C-BE32-E72D297353CC}">
              <c16:uniqueId val="{00000011-4187-4378-9820-BE8BA2DF346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1.3_3_2.xlsm]legend_chart!PivotTable3</c:name>
    <c:fmtId val="5"/>
  </c:pivotSource>
  <c:chart>
    <c:autoTitleDeleted val="1"/>
    <c:pivotFmts>
      <c:pivotFmt>
        <c:idx val="0"/>
        <c:spPr>
          <a:solidFill>
            <a:srgbClr val="92D050"/>
          </a:solidFill>
          <a:ln>
            <a:noFill/>
          </a:ln>
          <a:effectLst/>
        </c:spPr>
        <c:marker>
          <c:symbol val="none"/>
        </c:marker>
      </c:pivotFmt>
      <c:pivotFmt>
        <c:idx val="1"/>
        <c:spPr>
          <a:ln w="28575" cap="rnd">
            <a:solidFill>
              <a:schemeClr val="tx1"/>
            </a:solidFill>
            <a:round/>
          </a:ln>
          <a:effectLst/>
        </c:spPr>
        <c:marker>
          <c:symbol val="none"/>
        </c:marker>
      </c:pivotFmt>
      <c:pivotFmt>
        <c:idx val="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
        <c:spPr>
          <a:ln w="28575" cap="rnd">
            <a:solidFill>
              <a:srgbClr val="FFC000"/>
            </a:solidFill>
            <a:round/>
          </a:ln>
          <a:effectLst/>
        </c:spPr>
        <c:marker>
          <c:symbol val="circle"/>
          <c:size val="5"/>
          <c:spPr>
            <a:solidFill>
              <a:srgbClr val="FF3300"/>
            </a:solidFill>
            <a:ln w="9525">
              <a:solidFill>
                <a:srgbClr val="FFC000"/>
              </a:solidFill>
            </a:ln>
            <a:effectLst/>
          </c:spPr>
        </c:marker>
      </c:pivotFmt>
    </c:pivotFmts>
    <c:plotArea>
      <c:layout>
        <c:manualLayout>
          <c:layoutTarget val="inner"/>
          <c:xMode val="edge"/>
          <c:yMode val="edge"/>
          <c:x val="0.11765274760214085"/>
          <c:y val="0.12191960985724845"/>
          <c:w val="0.84533278575592175"/>
          <c:h val="0.49130111874551091"/>
        </c:manualLayout>
      </c:layout>
      <c:barChart>
        <c:barDir val="col"/>
        <c:grouping val="clustered"/>
        <c:varyColors val="0"/>
        <c:ser>
          <c:idx val="0"/>
          <c:order val="0"/>
          <c:tx>
            <c:strRef>
              <c:f>legend_chart!$L$18</c:f>
              <c:strCache>
                <c:ptCount val="1"/>
                <c:pt idx="0">
                  <c:v>Sum of KPI Budova A</c:v>
                </c:pt>
              </c:strCache>
            </c:strRef>
          </c:tx>
          <c:spPr>
            <a:solidFill>
              <a:srgbClr val="92D050"/>
            </a:solidFill>
            <a:ln>
              <a:noFill/>
            </a:ln>
            <a:effectLst/>
          </c:spPr>
          <c:invertIfNegative val="0"/>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legend_chart!$L$19:$L$32</c:f>
              <c:numCache>
                <c:formatCode>General</c:formatCode>
                <c:ptCount val="13"/>
                <c:pt idx="0">
                  <c:v>0.9</c:v>
                </c:pt>
                <c:pt idx="1">
                  <c:v>0.9</c:v>
                </c:pt>
                <c:pt idx="2">
                  <c:v>0.91</c:v>
                </c:pt>
                <c:pt idx="3">
                  <c:v>0.88</c:v>
                </c:pt>
                <c:pt idx="4">
                  <c:v>0.5</c:v>
                </c:pt>
                <c:pt idx="5">
                  <c:v>0.7</c:v>
                </c:pt>
                <c:pt idx="6">
                  <c:v>0.9</c:v>
                </c:pt>
                <c:pt idx="7">
                  <c:v>0.92</c:v>
                </c:pt>
                <c:pt idx="8">
                  <c:v>0.89</c:v>
                </c:pt>
                <c:pt idx="9">
                  <c:v>0.9</c:v>
                </c:pt>
                <c:pt idx="10">
                  <c:v>0.91</c:v>
                </c:pt>
                <c:pt idx="11">
                  <c:v>0.91</c:v>
                </c:pt>
                <c:pt idx="12">
                  <c:v>0.95</c:v>
                </c:pt>
              </c:numCache>
            </c:numRef>
          </c:val>
          <c:extLst>
            <c:ext xmlns:c16="http://schemas.microsoft.com/office/drawing/2014/chart" uri="{C3380CC4-5D6E-409C-BE32-E72D297353CC}">
              <c16:uniqueId val="{00000000-21F2-486C-8F90-B7BCA31F2349}"/>
            </c:ext>
          </c:extLst>
        </c:ser>
        <c:dLbls>
          <c:showLegendKey val="0"/>
          <c:showVal val="0"/>
          <c:showCatName val="0"/>
          <c:showSerName val="0"/>
          <c:showPercent val="0"/>
          <c:showBubbleSize val="0"/>
        </c:dLbls>
        <c:gapWidth val="219"/>
        <c:overlap val="-27"/>
        <c:axId val="423336872"/>
        <c:axId val="423336480"/>
      </c:barChart>
      <c:lineChart>
        <c:grouping val="standard"/>
        <c:varyColors val="0"/>
        <c:ser>
          <c:idx val="1"/>
          <c:order val="1"/>
          <c:tx>
            <c:strRef>
              <c:f>legend_chart!$M$18</c:f>
              <c:strCache>
                <c:ptCount val="1"/>
                <c:pt idx="0">
                  <c:v>Sum of Target</c:v>
                </c:pt>
              </c:strCache>
            </c:strRef>
          </c:tx>
          <c:spPr>
            <a:ln w="28575" cap="rnd">
              <a:solidFill>
                <a:schemeClr val="tx1"/>
              </a:solidFill>
              <a:round/>
            </a:ln>
            <a:effectLst/>
          </c:spPr>
          <c:marker>
            <c:symbol val="none"/>
          </c:marker>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legend_chart!$M$19:$M$32</c:f>
              <c:numCache>
                <c:formatCode>General</c:formatCode>
                <c:ptCount val="13"/>
                <c:pt idx="0">
                  <c:v>0.88</c:v>
                </c:pt>
                <c:pt idx="1">
                  <c:v>0.88</c:v>
                </c:pt>
                <c:pt idx="2">
                  <c:v>0.88</c:v>
                </c:pt>
                <c:pt idx="3">
                  <c:v>0.88</c:v>
                </c:pt>
                <c:pt idx="4">
                  <c:v>0.88</c:v>
                </c:pt>
                <c:pt idx="5">
                  <c:v>0.88</c:v>
                </c:pt>
                <c:pt idx="6">
                  <c:v>0.88</c:v>
                </c:pt>
                <c:pt idx="7">
                  <c:v>0.88</c:v>
                </c:pt>
                <c:pt idx="8">
                  <c:v>0.88</c:v>
                </c:pt>
                <c:pt idx="9">
                  <c:v>0.88</c:v>
                </c:pt>
                <c:pt idx="10">
                  <c:v>0.88</c:v>
                </c:pt>
                <c:pt idx="11">
                  <c:v>0.88</c:v>
                </c:pt>
                <c:pt idx="12">
                  <c:v>0.88</c:v>
                </c:pt>
              </c:numCache>
            </c:numRef>
          </c:val>
          <c:smooth val="0"/>
          <c:extLst>
            <c:ext xmlns:c16="http://schemas.microsoft.com/office/drawing/2014/chart" uri="{C3380CC4-5D6E-409C-BE32-E72D297353CC}">
              <c16:uniqueId val="{00000001-21F2-486C-8F90-B7BCA31F2349}"/>
            </c:ext>
          </c:extLst>
        </c:ser>
        <c:ser>
          <c:idx val="2"/>
          <c:order val="2"/>
          <c:tx>
            <c:strRef>
              <c:f>legend_chart!$N$18</c:f>
              <c:strCache>
                <c:ptCount val="1"/>
                <c:pt idx="0">
                  <c:v>Sum of Úkol/Lidi</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5"/>
            <c:marker>
              <c:symbol val="circle"/>
              <c:size val="5"/>
              <c:spPr>
                <a:solidFill>
                  <a:srgbClr val="FF3300"/>
                </a:solidFill>
                <a:ln w="9525">
                  <a:solidFill>
                    <a:srgbClr val="FFC000"/>
                  </a:solidFill>
                </a:ln>
                <a:effectLst/>
              </c:spPr>
            </c:marker>
            <c:bubble3D val="0"/>
            <c:spPr>
              <a:ln w="28575" cap="rnd">
                <a:solidFill>
                  <a:srgbClr val="FFC000"/>
                </a:solidFill>
                <a:round/>
              </a:ln>
              <a:effectLst/>
            </c:spPr>
            <c:extLst>
              <c:ext xmlns:c16="http://schemas.microsoft.com/office/drawing/2014/chart" uri="{C3380CC4-5D6E-409C-BE32-E72D297353CC}">
                <c16:uniqueId val="{00000002-21F2-486C-8F90-B7BCA31F2349}"/>
              </c:ext>
            </c:extLst>
          </c:dPt>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legend_chart!$N$19:$N$32</c:f>
              <c:numCache>
                <c:formatCode>General</c:formatCode>
                <c:ptCount val="13"/>
                <c:pt idx="0">
                  <c:v>0.9</c:v>
                </c:pt>
                <c:pt idx="1">
                  <c:v>0.9</c:v>
                </c:pt>
                <c:pt idx="2">
                  <c:v>0.92</c:v>
                </c:pt>
                <c:pt idx="3">
                  <c:v>0.89</c:v>
                </c:pt>
                <c:pt idx="4">
                  <c:v>0.25</c:v>
                </c:pt>
                <c:pt idx="5">
                  <c:v>0.81</c:v>
                </c:pt>
                <c:pt idx="6">
                  <c:v>1</c:v>
                </c:pt>
                <c:pt idx="7">
                  <c:v>1.1100000000000001</c:v>
                </c:pt>
                <c:pt idx="8">
                  <c:v>0.9</c:v>
                </c:pt>
                <c:pt idx="9">
                  <c:v>0.93</c:v>
                </c:pt>
                <c:pt idx="10">
                  <c:v>0.92</c:v>
                </c:pt>
                <c:pt idx="11">
                  <c:v>0.92</c:v>
                </c:pt>
                <c:pt idx="12">
                  <c:v>0.89</c:v>
                </c:pt>
              </c:numCache>
            </c:numRef>
          </c:val>
          <c:smooth val="0"/>
          <c:extLst>
            <c:ext xmlns:c16="http://schemas.microsoft.com/office/drawing/2014/chart" uri="{C3380CC4-5D6E-409C-BE32-E72D297353CC}">
              <c16:uniqueId val="{00000003-21F2-486C-8F90-B7BCA31F2349}"/>
            </c:ext>
          </c:extLst>
        </c:ser>
        <c:dLbls>
          <c:showLegendKey val="0"/>
          <c:showVal val="0"/>
          <c:showCatName val="0"/>
          <c:showSerName val="0"/>
          <c:showPercent val="0"/>
          <c:showBubbleSize val="0"/>
        </c:dLbls>
        <c:marker val="1"/>
        <c:smooth val="0"/>
        <c:axId val="423336872"/>
        <c:axId val="423336480"/>
      </c:lineChart>
      <c:catAx>
        <c:axId val="4233368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480"/>
        <c:crosses val="autoZero"/>
        <c:auto val="1"/>
        <c:lblAlgn val="ctr"/>
        <c:lblOffset val="100"/>
        <c:noMultiLvlLbl val="0"/>
      </c:catAx>
      <c:valAx>
        <c:axId val="423336480"/>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87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6F7-47F8-8BE2-2267B04D6397}"/>
              </c:ext>
            </c:extLst>
          </c:dPt>
          <c:dPt>
            <c:idx val="1"/>
            <c:bubble3D val="0"/>
            <c:spPr>
              <a:solidFill>
                <a:srgbClr val="FF0000"/>
              </a:solidFill>
              <a:ln w="19050">
                <a:noFill/>
              </a:ln>
              <a:effectLst/>
            </c:spPr>
            <c:extLst>
              <c:ext xmlns:c16="http://schemas.microsoft.com/office/drawing/2014/chart" uri="{C3380CC4-5D6E-409C-BE32-E72D297353CC}">
                <c16:uniqueId val="{00000003-16F7-47F8-8BE2-2267B04D6397}"/>
              </c:ext>
            </c:extLst>
          </c:dPt>
          <c:val>
            <c:numRef>
              <c:f>#REF!</c:f>
              <c:numCache>
                <c:formatCode>General</c:formatCode>
                <c:ptCount val="1"/>
                <c:pt idx="0">
                  <c:v>1</c:v>
                </c:pt>
              </c:numCache>
            </c:numRef>
          </c:val>
          <c:extLst>
            <c:ext xmlns:c16="http://schemas.microsoft.com/office/drawing/2014/chart" uri="{C3380CC4-5D6E-409C-BE32-E72D297353CC}">
              <c16:uniqueId val="{00000004-16F7-47F8-8BE2-2267B04D63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51F-410A-A869-342D41267856}"/>
              </c:ext>
            </c:extLst>
          </c:dPt>
          <c:dPt>
            <c:idx val="1"/>
            <c:bubble3D val="0"/>
            <c:spPr>
              <a:solidFill>
                <a:srgbClr val="FF0000"/>
              </a:solidFill>
              <a:ln w="19050">
                <a:noFill/>
              </a:ln>
              <a:effectLst/>
            </c:spPr>
            <c:extLst>
              <c:ext xmlns:c16="http://schemas.microsoft.com/office/drawing/2014/chart" uri="{C3380CC4-5D6E-409C-BE32-E72D297353CC}">
                <c16:uniqueId val="{00000003-B51F-410A-A869-342D41267856}"/>
              </c:ext>
            </c:extLst>
          </c:dPt>
          <c:val>
            <c:numRef>
              <c:f>#REF!</c:f>
              <c:numCache>
                <c:formatCode>General</c:formatCode>
                <c:ptCount val="1"/>
                <c:pt idx="0">
                  <c:v>1</c:v>
                </c:pt>
              </c:numCache>
            </c:numRef>
          </c:val>
          <c:extLst>
            <c:ext xmlns:c16="http://schemas.microsoft.com/office/drawing/2014/chart" uri="{C3380CC4-5D6E-409C-BE32-E72D297353CC}">
              <c16:uniqueId val="{00000004-B51F-410A-A869-342D4126785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1.3_3_2.xlsm]pt.lvl3_generic_2!pt.lvl3_generic_2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2"/>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3"/>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4"/>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5"/>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6"/>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1"/>
      </c:pivotFmt>
      <c:pivotFmt>
        <c:idx val="72"/>
      </c:pivotFmt>
      <c:pivotFmt>
        <c:idx val="73"/>
      </c:pivotFmt>
      <c:pivotFmt>
        <c:idx val="74"/>
      </c:pivotFmt>
      <c:pivotFmt>
        <c:idx val="75"/>
      </c:pivotFmt>
      <c:pivotFmt>
        <c:idx val="76"/>
      </c:pivotFmt>
      <c:pivotFmt>
        <c:idx val="77"/>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pivotFmt>
      <c:pivotFmt>
        <c:idx val="103"/>
      </c:pivotFmt>
      <c:pivotFmt>
        <c:idx val="10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6"/>
        <c:spPr>
          <a:solidFill>
            <a:srgbClr val="9CC746"/>
          </a:solidFill>
          <a:ln>
            <a:solidFill>
              <a:srgbClr val="9CC746"/>
            </a:solidFill>
          </a:ln>
          <a:effectLst/>
        </c:spPr>
      </c:pivotFmt>
      <c:pivotFmt>
        <c:idx val="10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8"/>
        <c:spPr>
          <a:solidFill>
            <a:schemeClr val="accent1"/>
          </a:solidFill>
          <a:ln>
            <a:noFill/>
          </a:ln>
          <a:effectLst/>
        </c:spPr>
        <c:marker>
          <c:symbol val="none"/>
        </c:marker>
      </c:pivotFmt>
      <c:pivotFmt>
        <c:idx val="109"/>
        <c:spPr>
          <a:ln w="28575" cap="rnd">
            <a:solidFill>
              <a:srgbClr val="000000"/>
            </a:solidFill>
            <a:round/>
          </a:ln>
          <a:effectLst/>
        </c:spPr>
        <c:marker>
          <c:symbol val="none"/>
        </c:marker>
      </c:pivotFmt>
      <c:pivotFmt>
        <c:idx val="1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1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rgbClr val="9CC746"/>
          </a:solidFill>
          <a:ln>
            <a:noFill/>
          </a:ln>
          <a:effectLst/>
        </c:spPr>
        <c:marker>
          <c:spPr>
            <a:solidFill>
              <a:schemeClr val="accent1"/>
            </a:solidFill>
            <a:ln w="9525">
              <a:solidFill>
                <a:schemeClr val="accent1"/>
              </a:solidFill>
            </a:ln>
            <a:effectLst/>
          </c:spPr>
        </c:marker>
      </c:pivotFmt>
      <c:pivotFmt>
        <c:idx val="198"/>
        <c:spPr>
          <a:solidFill>
            <a:schemeClr val="accent1"/>
          </a:solidFill>
          <a:ln w="28575" cap="rnd">
            <a:solidFill>
              <a:srgbClr val="FFC000"/>
            </a:solidFill>
            <a:round/>
          </a:ln>
          <a:effectLst/>
        </c:spP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pt.lvl3_generic_2!$D$7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6B24-4F5F-A99D-335B0A93B561}"/>
              </c:ext>
            </c:extLst>
          </c:dPt>
          <c:dPt>
            <c:idx val="1"/>
            <c:invertIfNegative val="0"/>
            <c:bubble3D val="0"/>
            <c:spPr>
              <a:solidFill>
                <a:srgbClr val="9CC746"/>
              </a:solidFill>
              <a:ln>
                <a:noFill/>
              </a:ln>
              <a:effectLst/>
            </c:spPr>
            <c:extLst>
              <c:ext xmlns:c16="http://schemas.microsoft.com/office/drawing/2014/chart" uri="{C3380CC4-5D6E-409C-BE32-E72D297353CC}">
                <c16:uniqueId val="{00000003-6B24-4F5F-A99D-335B0A93B561}"/>
              </c:ext>
            </c:extLst>
          </c:dPt>
          <c:dPt>
            <c:idx val="2"/>
            <c:invertIfNegative val="0"/>
            <c:bubble3D val="0"/>
            <c:spPr>
              <a:solidFill>
                <a:srgbClr val="9CC746"/>
              </a:solidFill>
              <a:ln>
                <a:noFill/>
              </a:ln>
              <a:effectLst/>
            </c:spPr>
            <c:extLst>
              <c:ext xmlns:c16="http://schemas.microsoft.com/office/drawing/2014/chart" uri="{C3380CC4-5D6E-409C-BE32-E72D297353CC}">
                <c16:uniqueId val="{00000005-6B24-4F5F-A99D-335B0A93B561}"/>
              </c:ext>
            </c:extLst>
          </c:dPt>
          <c:dPt>
            <c:idx val="3"/>
            <c:invertIfNegative val="0"/>
            <c:bubble3D val="0"/>
            <c:spPr>
              <a:solidFill>
                <a:srgbClr val="9CC746"/>
              </a:solidFill>
              <a:ln>
                <a:noFill/>
              </a:ln>
              <a:effectLst/>
            </c:spPr>
            <c:extLst>
              <c:ext xmlns:c16="http://schemas.microsoft.com/office/drawing/2014/chart" uri="{C3380CC4-5D6E-409C-BE32-E72D297353CC}">
                <c16:uniqueId val="{00000007-6B24-4F5F-A99D-335B0A93B561}"/>
              </c:ext>
            </c:extLst>
          </c:dPt>
          <c:dPt>
            <c:idx val="4"/>
            <c:invertIfNegative val="0"/>
            <c:bubble3D val="0"/>
            <c:spPr>
              <a:solidFill>
                <a:srgbClr val="9B2D2A"/>
              </a:solidFill>
              <a:ln>
                <a:noFill/>
              </a:ln>
              <a:effectLst/>
            </c:spPr>
            <c:extLst>
              <c:ext xmlns:c16="http://schemas.microsoft.com/office/drawing/2014/chart" uri="{C3380CC4-5D6E-409C-BE32-E72D297353CC}">
                <c16:uniqueId val="{00000009-6B24-4F5F-A99D-335B0A93B561}"/>
              </c:ext>
            </c:extLst>
          </c:dPt>
          <c:dPt>
            <c:idx val="5"/>
            <c:invertIfNegative val="0"/>
            <c:bubble3D val="0"/>
            <c:spPr>
              <a:solidFill>
                <a:srgbClr val="9B2D2A"/>
              </a:solidFill>
              <a:ln>
                <a:noFill/>
              </a:ln>
              <a:effectLst/>
            </c:spPr>
            <c:extLst>
              <c:ext xmlns:c16="http://schemas.microsoft.com/office/drawing/2014/chart" uri="{C3380CC4-5D6E-409C-BE32-E72D297353CC}">
                <c16:uniqueId val="{0000000B-6B24-4F5F-A99D-335B0A93B561}"/>
              </c:ext>
            </c:extLst>
          </c:dPt>
          <c:dPt>
            <c:idx val="6"/>
            <c:invertIfNegative val="0"/>
            <c:bubble3D val="0"/>
            <c:spPr>
              <a:solidFill>
                <a:srgbClr val="9CC746"/>
              </a:solidFill>
              <a:ln>
                <a:noFill/>
              </a:ln>
              <a:effectLst/>
            </c:spPr>
            <c:extLst>
              <c:ext xmlns:c16="http://schemas.microsoft.com/office/drawing/2014/chart" uri="{C3380CC4-5D6E-409C-BE32-E72D297353CC}">
                <c16:uniqueId val="{0000000D-6B24-4F5F-A99D-335B0A93B561}"/>
              </c:ext>
            </c:extLst>
          </c:dPt>
          <c:dPt>
            <c:idx val="7"/>
            <c:invertIfNegative val="0"/>
            <c:bubble3D val="0"/>
            <c:spPr>
              <a:solidFill>
                <a:srgbClr val="9B2D2A"/>
              </a:solidFill>
              <a:ln>
                <a:noFill/>
              </a:ln>
              <a:effectLst/>
            </c:spPr>
            <c:extLst>
              <c:ext xmlns:c16="http://schemas.microsoft.com/office/drawing/2014/chart" uri="{C3380CC4-5D6E-409C-BE32-E72D297353CC}">
                <c16:uniqueId val="{0000000F-6B24-4F5F-A99D-335B0A93B561}"/>
              </c:ext>
            </c:extLst>
          </c:dPt>
          <c:dPt>
            <c:idx val="8"/>
            <c:invertIfNegative val="0"/>
            <c:bubble3D val="0"/>
            <c:spPr>
              <a:solidFill>
                <a:srgbClr val="9B2D2A"/>
              </a:solidFill>
              <a:ln>
                <a:noFill/>
              </a:ln>
              <a:effectLst/>
            </c:spPr>
            <c:extLst>
              <c:ext xmlns:c16="http://schemas.microsoft.com/office/drawing/2014/chart" uri="{C3380CC4-5D6E-409C-BE32-E72D297353CC}">
                <c16:uniqueId val="{00000011-6B24-4F5F-A99D-335B0A93B561}"/>
              </c:ext>
            </c:extLst>
          </c:dPt>
          <c:dPt>
            <c:idx val="9"/>
            <c:invertIfNegative val="0"/>
            <c:bubble3D val="0"/>
            <c:spPr>
              <a:solidFill>
                <a:srgbClr val="9B2D2A"/>
              </a:solidFill>
              <a:ln>
                <a:noFill/>
              </a:ln>
              <a:effectLst/>
            </c:spPr>
            <c:extLst>
              <c:ext xmlns:c16="http://schemas.microsoft.com/office/drawing/2014/chart" uri="{C3380CC4-5D6E-409C-BE32-E72D297353CC}">
                <c16:uniqueId val="{00000013-6B24-4F5F-A99D-335B0A93B561}"/>
              </c:ext>
            </c:extLst>
          </c:dPt>
          <c:dPt>
            <c:idx val="10"/>
            <c:invertIfNegative val="0"/>
            <c:bubble3D val="0"/>
            <c:spPr>
              <a:solidFill>
                <a:srgbClr val="9B2D2A"/>
              </a:solidFill>
              <a:ln>
                <a:noFill/>
              </a:ln>
              <a:effectLst/>
            </c:spPr>
            <c:extLst>
              <c:ext xmlns:c16="http://schemas.microsoft.com/office/drawing/2014/chart" uri="{C3380CC4-5D6E-409C-BE32-E72D297353CC}">
                <c16:uniqueId val="{00000015-6B24-4F5F-A99D-335B0A93B561}"/>
              </c:ext>
            </c:extLst>
          </c:dPt>
          <c:dPt>
            <c:idx val="11"/>
            <c:invertIfNegative val="0"/>
            <c:bubble3D val="0"/>
            <c:spPr>
              <a:solidFill>
                <a:srgbClr val="9CC746"/>
              </a:solidFill>
              <a:ln>
                <a:noFill/>
              </a:ln>
              <a:effectLst/>
            </c:spPr>
            <c:extLst>
              <c:ext xmlns:c16="http://schemas.microsoft.com/office/drawing/2014/chart" uri="{C3380CC4-5D6E-409C-BE32-E72D297353CC}">
                <c16:uniqueId val="{00000017-6B24-4F5F-A99D-335B0A93B561}"/>
              </c:ext>
            </c:extLst>
          </c:dPt>
          <c:dPt>
            <c:idx val="12"/>
            <c:invertIfNegative val="0"/>
            <c:bubble3D val="0"/>
            <c:spPr>
              <a:solidFill>
                <a:srgbClr val="9CC746"/>
              </a:solidFill>
              <a:ln>
                <a:noFill/>
              </a:ln>
              <a:effectLst/>
            </c:spPr>
            <c:extLst>
              <c:ext xmlns:c16="http://schemas.microsoft.com/office/drawing/2014/chart" uri="{C3380CC4-5D6E-409C-BE32-E72D297353CC}">
                <c16:uniqueId val="{00000019-6B24-4F5F-A99D-335B0A93B561}"/>
              </c:ext>
            </c:extLst>
          </c:dPt>
          <c:dPt>
            <c:idx val="13"/>
            <c:invertIfNegative val="0"/>
            <c:bubble3D val="0"/>
            <c:spPr>
              <a:solidFill>
                <a:srgbClr val="9B2D2A"/>
              </a:solidFill>
              <a:ln>
                <a:noFill/>
              </a:ln>
              <a:effectLst/>
            </c:spPr>
            <c:extLst>
              <c:ext xmlns:c16="http://schemas.microsoft.com/office/drawing/2014/chart" uri="{C3380CC4-5D6E-409C-BE32-E72D297353CC}">
                <c16:uniqueId val="{0000001B-6B24-4F5F-A99D-335B0A93B561}"/>
              </c:ext>
            </c:extLst>
          </c:dPt>
          <c:dPt>
            <c:idx val="14"/>
            <c:invertIfNegative val="0"/>
            <c:bubble3D val="0"/>
            <c:spPr>
              <a:solidFill>
                <a:srgbClr val="9CC746"/>
              </a:solidFill>
              <a:ln>
                <a:noFill/>
              </a:ln>
              <a:effectLst/>
            </c:spPr>
            <c:extLst>
              <c:ext xmlns:c16="http://schemas.microsoft.com/office/drawing/2014/chart" uri="{C3380CC4-5D6E-409C-BE32-E72D297353CC}">
                <c16:uniqueId val="{0000001D-6B24-4F5F-A99D-335B0A93B561}"/>
              </c:ext>
            </c:extLst>
          </c:dPt>
          <c:dPt>
            <c:idx val="15"/>
            <c:invertIfNegative val="0"/>
            <c:bubble3D val="0"/>
            <c:spPr>
              <a:solidFill>
                <a:srgbClr val="9CC746"/>
              </a:solidFill>
              <a:ln>
                <a:noFill/>
              </a:ln>
              <a:effectLst/>
            </c:spPr>
            <c:extLst>
              <c:ext xmlns:c16="http://schemas.microsoft.com/office/drawing/2014/chart" uri="{C3380CC4-5D6E-409C-BE32-E72D297353CC}">
                <c16:uniqueId val="{0000001F-6B24-4F5F-A99D-335B0A93B561}"/>
              </c:ext>
            </c:extLst>
          </c:dPt>
          <c:dPt>
            <c:idx val="16"/>
            <c:invertIfNegative val="0"/>
            <c:bubble3D val="0"/>
            <c:spPr>
              <a:solidFill>
                <a:srgbClr val="9CC746"/>
              </a:solidFill>
              <a:ln>
                <a:noFill/>
              </a:ln>
              <a:effectLst/>
            </c:spPr>
            <c:extLst>
              <c:ext xmlns:c16="http://schemas.microsoft.com/office/drawing/2014/chart" uri="{C3380CC4-5D6E-409C-BE32-E72D297353CC}">
                <c16:uniqueId val="{00000021-6B24-4F5F-A99D-335B0A93B561}"/>
              </c:ext>
            </c:extLst>
          </c:dPt>
          <c:dPt>
            <c:idx val="17"/>
            <c:invertIfNegative val="0"/>
            <c:bubble3D val="0"/>
            <c:spPr>
              <a:solidFill>
                <a:srgbClr val="9CC746"/>
              </a:solidFill>
              <a:ln>
                <a:noFill/>
              </a:ln>
              <a:effectLst/>
            </c:spPr>
            <c:extLst>
              <c:ext xmlns:c16="http://schemas.microsoft.com/office/drawing/2014/chart" uri="{C3380CC4-5D6E-409C-BE32-E72D297353CC}">
                <c16:uniqueId val="{00000044-2881-4E89-B236-837408B48F37}"/>
              </c:ext>
            </c:extLst>
          </c:dPt>
          <c:dPt>
            <c:idx val="18"/>
            <c:invertIfNegative val="0"/>
            <c:bubble3D val="0"/>
            <c:spPr>
              <a:solidFill>
                <a:srgbClr val="9CC746"/>
              </a:solidFill>
              <a:ln>
                <a:noFill/>
              </a:ln>
              <a:effectLst/>
            </c:spPr>
            <c:extLst>
              <c:ext xmlns:c16="http://schemas.microsoft.com/office/drawing/2014/chart" uri="{C3380CC4-5D6E-409C-BE32-E72D297353CC}">
                <c16:uniqueId val="{00000045-2881-4E89-B236-837408B48F37}"/>
              </c:ext>
            </c:extLst>
          </c:dPt>
          <c:dPt>
            <c:idx val="19"/>
            <c:invertIfNegative val="0"/>
            <c:bubble3D val="0"/>
            <c:spPr>
              <a:solidFill>
                <a:srgbClr val="9CC746"/>
              </a:solidFill>
              <a:ln>
                <a:noFill/>
              </a:ln>
              <a:effectLst/>
            </c:spPr>
            <c:extLst>
              <c:ext xmlns:c16="http://schemas.microsoft.com/office/drawing/2014/chart" uri="{C3380CC4-5D6E-409C-BE32-E72D297353CC}">
                <c16:uniqueId val="{00000046-2881-4E89-B236-837408B48F37}"/>
              </c:ext>
            </c:extLst>
          </c:dPt>
          <c:dPt>
            <c:idx val="20"/>
            <c:invertIfNegative val="0"/>
            <c:bubble3D val="0"/>
            <c:spPr>
              <a:solidFill>
                <a:srgbClr val="9CC746"/>
              </a:solidFill>
              <a:ln>
                <a:noFill/>
              </a:ln>
              <a:effectLst/>
            </c:spPr>
            <c:extLst>
              <c:ext xmlns:c16="http://schemas.microsoft.com/office/drawing/2014/chart" uri="{C3380CC4-5D6E-409C-BE32-E72D297353CC}">
                <c16:uniqueId val="{00000047-2881-4E89-B236-837408B48F37}"/>
              </c:ext>
            </c:extLst>
          </c:dPt>
          <c:dPt>
            <c:idx val="21"/>
            <c:invertIfNegative val="0"/>
            <c:bubble3D val="0"/>
            <c:spPr>
              <a:solidFill>
                <a:srgbClr val="9B2D2A"/>
              </a:solidFill>
              <a:ln>
                <a:noFill/>
              </a:ln>
              <a:effectLst/>
            </c:spPr>
            <c:extLst>
              <c:ext xmlns:c16="http://schemas.microsoft.com/office/drawing/2014/chart" uri="{C3380CC4-5D6E-409C-BE32-E72D297353CC}">
                <c16:uniqueId val="{00000048-2881-4E89-B236-837408B48F37}"/>
              </c:ext>
            </c:extLst>
          </c:dPt>
          <c:dPt>
            <c:idx val="22"/>
            <c:invertIfNegative val="0"/>
            <c:bubble3D val="0"/>
            <c:spPr>
              <a:solidFill>
                <a:srgbClr val="9B2D2A"/>
              </a:solidFill>
              <a:ln>
                <a:noFill/>
              </a:ln>
              <a:effectLst/>
            </c:spPr>
            <c:extLst>
              <c:ext xmlns:c16="http://schemas.microsoft.com/office/drawing/2014/chart" uri="{C3380CC4-5D6E-409C-BE32-E72D297353CC}">
                <c16:uniqueId val="{00000049-2881-4E89-B236-837408B48F37}"/>
              </c:ext>
            </c:extLst>
          </c:dPt>
          <c:dPt>
            <c:idx val="23"/>
            <c:invertIfNegative val="0"/>
            <c:bubble3D val="0"/>
            <c:spPr>
              <a:solidFill>
                <a:srgbClr val="9B2D2A"/>
              </a:solidFill>
              <a:ln>
                <a:noFill/>
              </a:ln>
              <a:effectLst/>
            </c:spPr>
            <c:extLst>
              <c:ext xmlns:c16="http://schemas.microsoft.com/office/drawing/2014/chart" uri="{C3380CC4-5D6E-409C-BE32-E72D297353CC}">
                <c16:uniqueId val="{0000004A-2881-4E89-B236-837408B48F37}"/>
              </c:ext>
            </c:extLst>
          </c:dPt>
          <c:dPt>
            <c:idx val="24"/>
            <c:invertIfNegative val="0"/>
            <c:bubble3D val="0"/>
            <c:spPr>
              <a:solidFill>
                <a:srgbClr val="9CC746"/>
              </a:solidFill>
              <a:ln>
                <a:noFill/>
              </a:ln>
              <a:effectLst/>
            </c:spPr>
            <c:extLst>
              <c:ext xmlns:c16="http://schemas.microsoft.com/office/drawing/2014/chart" uri="{C3380CC4-5D6E-409C-BE32-E72D297353CC}">
                <c16:uniqueId val="{00000031-BF7E-4362-A150-79F9723DD0D9}"/>
              </c:ext>
            </c:extLst>
          </c:dPt>
          <c:dPt>
            <c:idx val="25"/>
            <c:invertIfNegative val="0"/>
            <c:bubble3D val="0"/>
            <c:spPr>
              <a:solidFill>
                <a:srgbClr val="9CC746"/>
              </a:solidFill>
              <a:ln>
                <a:noFill/>
              </a:ln>
              <a:effectLst/>
            </c:spPr>
            <c:extLst>
              <c:ext xmlns:c16="http://schemas.microsoft.com/office/drawing/2014/chart" uri="{C3380CC4-5D6E-409C-BE32-E72D297353CC}">
                <c16:uniqueId val="{00000033-BF7E-4362-A150-79F9723DD0D9}"/>
              </c:ext>
            </c:extLst>
          </c:dPt>
          <c:dPt>
            <c:idx val="26"/>
            <c:invertIfNegative val="0"/>
            <c:bubble3D val="0"/>
            <c:spPr>
              <a:solidFill>
                <a:srgbClr val="9CC746"/>
              </a:solidFill>
              <a:ln>
                <a:noFill/>
              </a:ln>
              <a:effectLst/>
            </c:spPr>
            <c:extLst>
              <c:ext xmlns:c16="http://schemas.microsoft.com/office/drawing/2014/chart" uri="{C3380CC4-5D6E-409C-BE32-E72D297353CC}">
                <c16:uniqueId val="{00000035-BF7E-4362-A150-79F9723DD0D9}"/>
              </c:ext>
            </c:extLst>
          </c:dPt>
          <c:dPt>
            <c:idx val="27"/>
            <c:invertIfNegative val="0"/>
            <c:bubble3D val="0"/>
            <c:spPr>
              <a:solidFill>
                <a:srgbClr val="9CC746"/>
              </a:solidFill>
              <a:ln>
                <a:noFill/>
              </a:ln>
              <a:effectLst/>
            </c:spPr>
            <c:extLst>
              <c:ext xmlns:c16="http://schemas.microsoft.com/office/drawing/2014/chart" uri="{C3380CC4-5D6E-409C-BE32-E72D297353CC}">
                <c16:uniqueId val="{00000037-BF7E-4362-A150-79F9723DD0D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BF7E-4362-A150-79F9723DD0D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BF7E-4362-A150-79F9723DD0D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BF7E-4362-A150-79F9723DD0D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BF7E-4362-A150-79F9723DD0D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BF7E-4362-A150-79F9723DD0D9}"/>
              </c:ext>
            </c:extLst>
          </c:dPt>
          <c:dPt>
            <c:idx val="33"/>
            <c:invertIfNegative val="0"/>
            <c:bubble3D val="0"/>
            <c:spPr>
              <a:solidFill>
                <a:srgbClr val="9B2D2A"/>
              </a:solidFill>
              <a:ln>
                <a:noFill/>
              </a:ln>
              <a:effectLst/>
            </c:spPr>
            <c:extLst>
              <c:ext xmlns:c16="http://schemas.microsoft.com/office/drawing/2014/chart" uri="{C3380CC4-5D6E-409C-BE32-E72D297353CC}">
                <c16:uniqueId val="{00000075-BF7E-4362-A150-79F9723DD0D9}"/>
              </c:ext>
            </c:extLst>
          </c:dPt>
          <c:dPt>
            <c:idx val="34"/>
            <c:invertIfNegative val="0"/>
            <c:bubble3D val="0"/>
            <c:spPr>
              <a:solidFill>
                <a:srgbClr val="9CC746"/>
              </a:solidFill>
              <a:ln>
                <a:noFill/>
              </a:ln>
              <a:effectLst/>
            </c:spPr>
            <c:extLst>
              <c:ext xmlns:c16="http://schemas.microsoft.com/office/drawing/2014/chart" uri="{C3380CC4-5D6E-409C-BE32-E72D297353CC}">
                <c16:uniqueId val="{00000076-BF7E-4362-A150-79F9723DD0D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BF7E-4362-A150-79F9723DD0D9}"/>
              </c:ext>
            </c:extLst>
          </c:dPt>
          <c:dPt>
            <c:idx val="36"/>
            <c:invertIfNegative val="0"/>
            <c:bubble3D val="0"/>
            <c:spPr>
              <a:solidFill>
                <a:srgbClr val="9B2D2A"/>
              </a:solidFill>
              <a:ln>
                <a:noFill/>
              </a:ln>
              <a:effectLst/>
            </c:spPr>
            <c:extLst>
              <c:ext xmlns:c16="http://schemas.microsoft.com/office/drawing/2014/chart" uri="{C3380CC4-5D6E-409C-BE32-E72D297353CC}">
                <c16:uniqueId val="{00000078-BF7E-4362-A150-79F9723DD0D9}"/>
              </c:ext>
            </c:extLst>
          </c:dPt>
          <c:dPt>
            <c:idx val="37"/>
            <c:invertIfNegative val="0"/>
            <c:bubble3D val="0"/>
            <c:spPr>
              <a:solidFill>
                <a:srgbClr val="9CC746"/>
              </a:solidFill>
              <a:ln>
                <a:noFill/>
              </a:ln>
              <a:effectLst/>
            </c:spPr>
            <c:extLst>
              <c:ext xmlns:c16="http://schemas.microsoft.com/office/drawing/2014/chart" uri="{C3380CC4-5D6E-409C-BE32-E72D297353CC}">
                <c16:uniqueId val="{00000079-BF7E-4362-A150-79F9723DD0D9}"/>
              </c:ext>
            </c:extLst>
          </c:dPt>
          <c:dPt>
            <c:idx val="38"/>
            <c:invertIfNegative val="0"/>
            <c:bubble3D val="0"/>
            <c:spPr>
              <a:solidFill>
                <a:srgbClr val="9B2D2A"/>
              </a:solidFill>
              <a:ln>
                <a:noFill/>
              </a:ln>
              <a:effectLst/>
            </c:spPr>
            <c:extLst>
              <c:ext xmlns:c16="http://schemas.microsoft.com/office/drawing/2014/chart" uri="{C3380CC4-5D6E-409C-BE32-E72D297353CC}">
                <c16:uniqueId val="{0000007A-BF7E-4362-A150-79F9723DD0D9}"/>
              </c:ext>
            </c:extLst>
          </c:dPt>
          <c:dPt>
            <c:idx val="39"/>
            <c:invertIfNegative val="0"/>
            <c:bubble3D val="0"/>
            <c:spPr>
              <a:solidFill>
                <a:srgbClr val="9CC746"/>
              </a:solidFill>
              <a:ln>
                <a:noFill/>
              </a:ln>
              <a:effectLst/>
            </c:spPr>
            <c:extLst>
              <c:ext xmlns:c16="http://schemas.microsoft.com/office/drawing/2014/chart" uri="{C3380CC4-5D6E-409C-BE32-E72D297353CC}">
                <c16:uniqueId val="{0000007B-BF7E-4362-A150-79F9723DD0D9}"/>
              </c:ext>
            </c:extLst>
          </c:dPt>
          <c:dPt>
            <c:idx val="40"/>
            <c:invertIfNegative val="0"/>
            <c:bubble3D val="0"/>
            <c:spPr>
              <a:solidFill>
                <a:srgbClr val="9CC746"/>
              </a:solidFill>
              <a:ln>
                <a:noFill/>
              </a:ln>
              <a:effectLst/>
            </c:spPr>
            <c:extLst>
              <c:ext xmlns:c16="http://schemas.microsoft.com/office/drawing/2014/chart" uri="{C3380CC4-5D6E-409C-BE32-E72D297353CC}">
                <c16:uniqueId val="{0000007C-BF7E-4362-A150-79F9723DD0D9}"/>
              </c:ext>
            </c:extLst>
          </c:dPt>
          <c:dPt>
            <c:idx val="41"/>
            <c:invertIfNegative val="0"/>
            <c:bubble3D val="0"/>
            <c:spPr>
              <a:solidFill>
                <a:srgbClr val="9CC746"/>
              </a:solidFill>
              <a:ln>
                <a:noFill/>
              </a:ln>
              <a:effectLst/>
            </c:spPr>
            <c:extLst>
              <c:ext xmlns:c16="http://schemas.microsoft.com/office/drawing/2014/chart" uri="{C3380CC4-5D6E-409C-BE32-E72D297353CC}">
                <c16:uniqueId val="{0000007D-BF7E-4362-A150-79F9723DD0D9}"/>
              </c:ext>
            </c:extLst>
          </c:dPt>
          <c:dPt>
            <c:idx val="42"/>
            <c:invertIfNegative val="0"/>
            <c:bubble3D val="0"/>
            <c:spPr>
              <a:solidFill>
                <a:srgbClr val="9CC746"/>
              </a:solidFill>
              <a:ln>
                <a:noFill/>
              </a:ln>
              <a:effectLst/>
            </c:spPr>
            <c:extLst>
              <c:ext xmlns:c16="http://schemas.microsoft.com/office/drawing/2014/chart" uri="{C3380CC4-5D6E-409C-BE32-E72D297353CC}">
                <c16:uniqueId val="{0000007E-BF7E-4362-A150-79F9723DD0D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BF7E-4362-A150-79F9723DD0D9}"/>
              </c:ext>
            </c:extLst>
          </c:dPt>
          <c:dPt>
            <c:idx val="44"/>
            <c:invertIfNegative val="0"/>
            <c:bubble3D val="0"/>
            <c:spPr>
              <a:solidFill>
                <a:srgbClr val="9CC746"/>
              </a:solidFill>
              <a:ln>
                <a:noFill/>
              </a:ln>
              <a:effectLst/>
            </c:spPr>
            <c:extLst>
              <c:ext xmlns:c16="http://schemas.microsoft.com/office/drawing/2014/chart" uri="{C3380CC4-5D6E-409C-BE32-E72D297353CC}">
                <c16:uniqueId val="{00000080-BF7E-4362-A150-79F9723DD0D9}"/>
              </c:ext>
            </c:extLst>
          </c:dPt>
          <c:dPt>
            <c:idx val="45"/>
            <c:invertIfNegative val="0"/>
            <c:bubble3D val="0"/>
            <c:spPr>
              <a:solidFill>
                <a:srgbClr val="9CC746"/>
              </a:solidFill>
              <a:ln>
                <a:noFill/>
              </a:ln>
              <a:effectLst/>
            </c:spPr>
            <c:extLst>
              <c:ext xmlns:c16="http://schemas.microsoft.com/office/drawing/2014/chart" uri="{C3380CC4-5D6E-409C-BE32-E72D297353CC}">
                <c16:uniqueId val="{00000081-BF7E-4362-A150-79F9723DD0D9}"/>
              </c:ext>
            </c:extLst>
          </c:dPt>
          <c:dPt>
            <c:idx val="46"/>
            <c:invertIfNegative val="0"/>
            <c:bubble3D val="0"/>
            <c:spPr>
              <a:solidFill>
                <a:srgbClr val="9CC746"/>
              </a:solidFill>
              <a:ln>
                <a:noFill/>
              </a:ln>
              <a:effectLst/>
            </c:spPr>
            <c:extLst>
              <c:ext xmlns:c16="http://schemas.microsoft.com/office/drawing/2014/chart" uri="{C3380CC4-5D6E-409C-BE32-E72D297353CC}">
                <c16:uniqueId val="{00000082-BF7E-4362-A150-79F9723DD0D9}"/>
              </c:ext>
            </c:extLst>
          </c:dPt>
          <c:dPt>
            <c:idx val="47"/>
            <c:invertIfNegative val="0"/>
            <c:bubble3D val="0"/>
            <c:spPr>
              <a:solidFill>
                <a:srgbClr val="9CC746"/>
              </a:solidFill>
              <a:ln>
                <a:noFill/>
              </a:ln>
              <a:effectLst/>
            </c:spPr>
            <c:extLst>
              <c:ext xmlns:c16="http://schemas.microsoft.com/office/drawing/2014/chart" uri="{C3380CC4-5D6E-409C-BE32-E72D297353CC}">
                <c16:uniqueId val="{0000005F-4C97-4EE9-9E92-269BAA52BA5C}"/>
              </c:ext>
            </c:extLst>
          </c:dPt>
          <c:dPt>
            <c:idx val="48"/>
            <c:invertIfNegative val="0"/>
            <c:bubble3D val="0"/>
            <c:extLst>
              <c:ext xmlns:c16="http://schemas.microsoft.com/office/drawing/2014/chart" uri="{C3380CC4-5D6E-409C-BE32-E72D297353CC}">
                <c16:uniqueId val="{0000008C-B193-4F6E-82DA-197E162702EC}"/>
              </c:ext>
            </c:extLst>
          </c:dPt>
          <c:dPt>
            <c:idx val="49"/>
            <c:invertIfNegative val="0"/>
            <c:bubble3D val="0"/>
            <c:extLst>
              <c:ext xmlns:c16="http://schemas.microsoft.com/office/drawing/2014/chart" uri="{C3380CC4-5D6E-409C-BE32-E72D297353CC}">
                <c16:uniqueId val="{0000008D-B193-4F6E-82DA-197E162702EC}"/>
              </c:ext>
            </c:extLst>
          </c:dPt>
          <c:dPt>
            <c:idx val="50"/>
            <c:invertIfNegative val="0"/>
            <c:bubble3D val="0"/>
            <c:extLst>
              <c:ext xmlns:c16="http://schemas.microsoft.com/office/drawing/2014/chart" uri="{C3380CC4-5D6E-409C-BE32-E72D297353CC}">
                <c16:uniqueId val="{0000008E-B193-4F6E-82DA-197E162702EC}"/>
              </c:ext>
            </c:extLst>
          </c:dPt>
          <c:dPt>
            <c:idx val="51"/>
            <c:invertIfNegative val="0"/>
            <c:bubble3D val="0"/>
            <c:extLst>
              <c:ext xmlns:c16="http://schemas.microsoft.com/office/drawing/2014/chart" uri="{C3380CC4-5D6E-409C-BE32-E72D297353CC}">
                <c16:uniqueId val="{00000067-4C97-4EE9-9E92-269BAA52BA5C}"/>
              </c:ext>
            </c:extLst>
          </c:dPt>
          <c:dPt>
            <c:idx val="52"/>
            <c:invertIfNegative val="0"/>
            <c:bubble3D val="0"/>
            <c:extLst>
              <c:ext xmlns:c16="http://schemas.microsoft.com/office/drawing/2014/chart" uri="{C3380CC4-5D6E-409C-BE32-E72D297353CC}">
                <c16:uniqueId val="{00000069-4C97-4EE9-9E92-269BAA52BA5C}"/>
              </c:ext>
            </c:extLst>
          </c:dPt>
          <c:dPt>
            <c:idx val="53"/>
            <c:invertIfNegative val="0"/>
            <c:bubble3D val="0"/>
            <c:extLst>
              <c:ext xmlns:c16="http://schemas.microsoft.com/office/drawing/2014/chart" uri="{C3380CC4-5D6E-409C-BE32-E72D297353CC}">
                <c16:uniqueId val="{0000006B-4C97-4EE9-9E92-269BAA52BA5C}"/>
              </c:ext>
            </c:extLst>
          </c:dPt>
          <c:dPt>
            <c:idx val="54"/>
            <c:invertIfNegative val="0"/>
            <c:bubble3D val="0"/>
            <c:extLst>
              <c:ext xmlns:c16="http://schemas.microsoft.com/office/drawing/2014/chart" uri="{C3380CC4-5D6E-409C-BE32-E72D297353CC}">
                <c16:uniqueId val="{0000006D-4C97-4EE9-9E92-269BAA52BA5C}"/>
              </c:ext>
            </c:extLst>
          </c:dPt>
          <c:dPt>
            <c:idx val="55"/>
            <c:invertIfNegative val="0"/>
            <c:bubble3D val="0"/>
            <c:extLst>
              <c:ext xmlns:c16="http://schemas.microsoft.com/office/drawing/2014/chart" uri="{C3380CC4-5D6E-409C-BE32-E72D297353CC}">
                <c16:uniqueId val="{0000006F-4C97-4EE9-9E92-269BAA52BA5C}"/>
              </c:ext>
            </c:extLst>
          </c:dPt>
          <c:dPt>
            <c:idx val="56"/>
            <c:invertIfNegative val="0"/>
            <c:bubble3D val="0"/>
            <c:extLst>
              <c:ext xmlns:c16="http://schemas.microsoft.com/office/drawing/2014/chart" uri="{C3380CC4-5D6E-409C-BE32-E72D297353CC}">
                <c16:uniqueId val="{00000071-4C97-4EE9-9E92-269BAA52BA5C}"/>
              </c:ext>
            </c:extLst>
          </c:dPt>
          <c:dPt>
            <c:idx val="57"/>
            <c:invertIfNegative val="0"/>
            <c:bubble3D val="0"/>
            <c:extLst>
              <c:ext xmlns:c16="http://schemas.microsoft.com/office/drawing/2014/chart" uri="{C3380CC4-5D6E-409C-BE32-E72D297353CC}">
                <c16:uniqueId val="{00000073-4C97-4EE9-9E92-269BAA52BA5C}"/>
              </c:ext>
            </c:extLst>
          </c:dPt>
          <c:dPt>
            <c:idx val="58"/>
            <c:invertIfNegative val="0"/>
            <c:bubble3D val="0"/>
            <c:extLst>
              <c:ext xmlns:c16="http://schemas.microsoft.com/office/drawing/2014/chart" uri="{C3380CC4-5D6E-409C-BE32-E72D297353CC}">
                <c16:uniqueId val="{00000075-4C97-4EE9-9E92-269BAA52BA5C}"/>
              </c:ext>
            </c:extLst>
          </c:dPt>
          <c:dPt>
            <c:idx val="59"/>
            <c:invertIfNegative val="0"/>
            <c:bubble3D val="0"/>
            <c:extLst>
              <c:ext xmlns:c16="http://schemas.microsoft.com/office/drawing/2014/chart" uri="{C3380CC4-5D6E-409C-BE32-E72D297353CC}">
                <c16:uniqueId val="{00000077-4C97-4EE9-9E92-269BAA52BA5C}"/>
              </c:ext>
            </c:extLst>
          </c:dPt>
          <c:dPt>
            <c:idx val="60"/>
            <c:invertIfNegative val="0"/>
            <c:bubble3D val="0"/>
            <c:extLst>
              <c:ext xmlns:c16="http://schemas.microsoft.com/office/drawing/2014/chart" uri="{C3380CC4-5D6E-409C-BE32-E72D297353CC}">
                <c16:uniqueId val="{0000008F-B193-4F6E-82DA-197E162702EC}"/>
              </c:ext>
            </c:extLst>
          </c:dPt>
          <c:dPt>
            <c:idx val="61"/>
            <c:invertIfNegative val="0"/>
            <c:bubble3D val="0"/>
            <c:extLst>
              <c:ext xmlns:c16="http://schemas.microsoft.com/office/drawing/2014/chart" uri="{C3380CC4-5D6E-409C-BE32-E72D297353CC}">
                <c16:uniqueId val="{00000090-B193-4F6E-82DA-197E162702EC}"/>
              </c:ext>
            </c:extLst>
          </c:dPt>
          <c:dPt>
            <c:idx val="62"/>
            <c:invertIfNegative val="0"/>
            <c:bubble3D val="0"/>
            <c:extLst>
              <c:ext xmlns:c16="http://schemas.microsoft.com/office/drawing/2014/chart" uri="{C3380CC4-5D6E-409C-BE32-E72D297353CC}">
                <c16:uniqueId val="{0000007D-4C97-4EE9-9E92-269BAA52BA5C}"/>
              </c:ext>
            </c:extLst>
          </c:dPt>
          <c:dPt>
            <c:idx val="63"/>
            <c:invertIfNegative val="0"/>
            <c:bubble3D val="0"/>
            <c:extLst>
              <c:ext xmlns:c16="http://schemas.microsoft.com/office/drawing/2014/chart" uri="{C3380CC4-5D6E-409C-BE32-E72D297353CC}">
                <c16:uniqueId val="{0000007F-4C97-4EE9-9E92-269BAA52BA5C}"/>
              </c:ext>
            </c:extLst>
          </c:dPt>
          <c:dPt>
            <c:idx val="64"/>
            <c:invertIfNegative val="0"/>
            <c:bubble3D val="0"/>
            <c:extLst>
              <c:ext xmlns:c16="http://schemas.microsoft.com/office/drawing/2014/chart" uri="{C3380CC4-5D6E-409C-BE32-E72D297353CC}">
                <c16:uniqueId val="{00000091-B193-4F6E-82DA-197E162702EC}"/>
              </c:ext>
            </c:extLst>
          </c:dPt>
          <c:dPt>
            <c:idx val="65"/>
            <c:invertIfNegative val="0"/>
            <c:bubble3D val="0"/>
            <c:extLst>
              <c:ext xmlns:c16="http://schemas.microsoft.com/office/drawing/2014/chart" uri="{C3380CC4-5D6E-409C-BE32-E72D297353CC}">
                <c16:uniqueId val="{00000092-B193-4F6E-82DA-197E162702EC}"/>
              </c:ext>
            </c:extLst>
          </c:dPt>
          <c:dPt>
            <c:idx val="66"/>
            <c:invertIfNegative val="0"/>
            <c:bubble3D val="0"/>
            <c:extLst>
              <c:ext xmlns:c16="http://schemas.microsoft.com/office/drawing/2014/chart" uri="{C3380CC4-5D6E-409C-BE32-E72D297353CC}">
                <c16:uniqueId val="{00000085-4C97-4EE9-9E92-269BAA52BA5C}"/>
              </c:ext>
            </c:extLst>
          </c:dPt>
          <c:dPt>
            <c:idx val="67"/>
            <c:invertIfNegative val="0"/>
            <c:bubble3D val="0"/>
            <c:extLst>
              <c:ext xmlns:c16="http://schemas.microsoft.com/office/drawing/2014/chart" uri="{C3380CC4-5D6E-409C-BE32-E72D297353CC}">
                <c16:uniqueId val="{00000087-4C97-4EE9-9E92-269BAA52BA5C}"/>
              </c:ext>
            </c:extLst>
          </c:dPt>
          <c:dPt>
            <c:idx val="68"/>
            <c:invertIfNegative val="0"/>
            <c:bubble3D val="0"/>
            <c:extLst>
              <c:ext xmlns:c16="http://schemas.microsoft.com/office/drawing/2014/chart" uri="{C3380CC4-5D6E-409C-BE32-E72D297353CC}">
                <c16:uniqueId val="{00000089-4C97-4EE9-9E92-269BAA52BA5C}"/>
              </c:ext>
            </c:extLst>
          </c:dPt>
          <c:dPt>
            <c:idx val="69"/>
            <c:invertIfNegative val="0"/>
            <c:bubble3D val="0"/>
            <c:extLst>
              <c:ext xmlns:c16="http://schemas.microsoft.com/office/drawing/2014/chart" uri="{C3380CC4-5D6E-409C-BE32-E72D297353CC}">
                <c16:uniqueId val="{0000008B-4C97-4EE9-9E92-269BAA52BA5C}"/>
              </c:ext>
            </c:extLst>
          </c:dPt>
          <c:dPt>
            <c:idx val="70"/>
            <c:invertIfNegative val="0"/>
            <c:bubble3D val="0"/>
            <c:extLst>
              <c:ext xmlns:c16="http://schemas.microsoft.com/office/drawing/2014/chart" uri="{C3380CC4-5D6E-409C-BE32-E72D297353CC}">
                <c16:uniqueId val="{0000008D-4C97-4EE9-9E92-269BAA52BA5C}"/>
              </c:ext>
            </c:extLst>
          </c:dPt>
          <c:dPt>
            <c:idx val="71"/>
            <c:invertIfNegative val="0"/>
            <c:bubble3D val="0"/>
            <c:extLst>
              <c:ext xmlns:c16="http://schemas.microsoft.com/office/drawing/2014/chart" uri="{C3380CC4-5D6E-409C-BE32-E72D297353CC}">
                <c16:uniqueId val="{0000008F-4C97-4EE9-9E92-269BAA52BA5C}"/>
              </c:ext>
            </c:extLst>
          </c:dPt>
          <c:dPt>
            <c:idx val="72"/>
            <c:invertIfNegative val="0"/>
            <c:bubble3D val="0"/>
            <c:extLst>
              <c:ext xmlns:c16="http://schemas.microsoft.com/office/drawing/2014/chart" uri="{C3380CC4-5D6E-409C-BE32-E72D297353CC}">
                <c16:uniqueId val="{00000091-4C97-4EE9-9E92-269BAA52BA5C}"/>
              </c:ext>
            </c:extLst>
          </c:dPt>
          <c:dPt>
            <c:idx val="73"/>
            <c:invertIfNegative val="0"/>
            <c:bubble3D val="0"/>
            <c:extLst>
              <c:ext xmlns:c16="http://schemas.microsoft.com/office/drawing/2014/chart" uri="{C3380CC4-5D6E-409C-BE32-E72D297353CC}">
                <c16:uniqueId val="{00000093-4C97-4EE9-9E92-269BAA52BA5C}"/>
              </c:ext>
            </c:extLst>
          </c:dPt>
          <c:dPt>
            <c:idx val="74"/>
            <c:invertIfNegative val="0"/>
            <c:bubble3D val="0"/>
            <c:extLst>
              <c:ext xmlns:c16="http://schemas.microsoft.com/office/drawing/2014/chart" uri="{C3380CC4-5D6E-409C-BE32-E72D297353CC}">
                <c16:uniqueId val="{00000095-4C97-4EE9-9E92-269BAA52BA5C}"/>
              </c:ext>
            </c:extLst>
          </c:dPt>
          <c:dPt>
            <c:idx val="75"/>
            <c:invertIfNegative val="0"/>
            <c:bubble3D val="0"/>
            <c:extLst>
              <c:ext xmlns:c16="http://schemas.microsoft.com/office/drawing/2014/chart" uri="{C3380CC4-5D6E-409C-BE32-E72D297353CC}">
                <c16:uniqueId val="{00000097-4C97-4EE9-9E92-269BAA52BA5C}"/>
              </c:ext>
            </c:extLst>
          </c:dPt>
          <c:dPt>
            <c:idx val="76"/>
            <c:invertIfNegative val="0"/>
            <c:bubble3D val="0"/>
            <c:extLst>
              <c:ext xmlns:c16="http://schemas.microsoft.com/office/drawing/2014/chart" uri="{C3380CC4-5D6E-409C-BE32-E72D297353CC}">
                <c16:uniqueId val="{00000099-4C97-4EE9-9E92-269BAA52BA5C}"/>
              </c:ext>
            </c:extLst>
          </c:dPt>
          <c:dPt>
            <c:idx val="77"/>
            <c:invertIfNegative val="0"/>
            <c:bubble3D val="0"/>
            <c:extLst>
              <c:ext xmlns:c16="http://schemas.microsoft.com/office/drawing/2014/chart" uri="{C3380CC4-5D6E-409C-BE32-E72D297353CC}">
                <c16:uniqueId val="{0000009B-4C97-4EE9-9E92-269BAA52BA5C}"/>
              </c:ext>
            </c:extLst>
          </c:dPt>
          <c:dPt>
            <c:idx val="78"/>
            <c:invertIfNegative val="0"/>
            <c:bubble3D val="0"/>
            <c:extLst>
              <c:ext xmlns:c16="http://schemas.microsoft.com/office/drawing/2014/chart" uri="{C3380CC4-5D6E-409C-BE32-E72D297353CC}">
                <c16:uniqueId val="{00000138-85F2-48F9-A6D6-7C92C3A163B2}"/>
              </c:ext>
            </c:extLst>
          </c:dPt>
          <c:dPt>
            <c:idx val="79"/>
            <c:invertIfNegative val="0"/>
            <c:bubble3D val="0"/>
            <c:extLst>
              <c:ext xmlns:c16="http://schemas.microsoft.com/office/drawing/2014/chart" uri="{C3380CC4-5D6E-409C-BE32-E72D297353CC}">
                <c16:uniqueId val="{00000139-85F2-48F9-A6D6-7C92C3A163B2}"/>
              </c:ext>
            </c:extLst>
          </c:dPt>
          <c:dPt>
            <c:idx val="80"/>
            <c:invertIfNegative val="0"/>
            <c:bubble3D val="0"/>
            <c:extLst>
              <c:ext xmlns:c16="http://schemas.microsoft.com/office/drawing/2014/chart" uri="{C3380CC4-5D6E-409C-BE32-E72D297353CC}">
                <c16:uniqueId val="{0000013A-85F2-48F9-A6D6-7C92C3A163B2}"/>
              </c:ext>
            </c:extLst>
          </c:dPt>
          <c:dPt>
            <c:idx val="81"/>
            <c:invertIfNegative val="0"/>
            <c:bubble3D val="0"/>
            <c:extLst>
              <c:ext xmlns:c16="http://schemas.microsoft.com/office/drawing/2014/chart" uri="{C3380CC4-5D6E-409C-BE32-E72D297353CC}">
                <c16:uniqueId val="{0000013B-85F2-48F9-A6D6-7C92C3A163B2}"/>
              </c:ext>
            </c:extLst>
          </c:dPt>
          <c:dPt>
            <c:idx val="82"/>
            <c:invertIfNegative val="0"/>
            <c:bubble3D val="0"/>
            <c:extLst>
              <c:ext xmlns:c16="http://schemas.microsoft.com/office/drawing/2014/chart" uri="{C3380CC4-5D6E-409C-BE32-E72D297353CC}">
                <c16:uniqueId val="{0000013C-85F2-48F9-A6D6-7C92C3A163B2}"/>
              </c:ext>
            </c:extLst>
          </c:dPt>
          <c:dPt>
            <c:idx val="83"/>
            <c:invertIfNegative val="0"/>
            <c:bubble3D val="0"/>
            <c:extLst>
              <c:ext xmlns:c16="http://schemas.microsoft.com/office/drawing/2014/chart" uri="{C3380CC4-5D6E-409C-BE32-E72D297353CC}">
                <c16:uniqueId val="{0000013D-85F2-48F9-A6D6-7C92C3A163B2}"/>
              </c:ext>
            </c:extLst>
          </c:dPt>
          <c:dPt>
            <c:idx val="84"/>
            <c:invertIfNegative val="0"/>
            <c:bubble3D val="0"/>
            <c:extLst>
              <c:ext xmlns:c16="http://schemas.microsoft.com/office/drawing/2014/chart" uri="{C3380CC4-5D6E-409C-BE32-E72D297353CC}">
                <c16:uniqueId val="{0000013E-85F2-48F9-A6D6-7C92C3A163B2}"/>
              </c:ext>
            </c:extLst>
          </c:dPt>
          <c:dPt>
            <c:idx val="85"/>
            <c:invertIfNegative val="0"/>
            <c:bubble3D val="0"/>
            <c:extLst>
              <c:ext xmlns:c16="http://schemas.microsoft.com/office/drawing/2014/chart" uri="{C3380CC4-5D6E-409C-BE32-E72D297353CC}">
                <c16:uniqueId val="{0000013F-85F2-48F9-A6D6-7C92C3A163B2}"/>
              </c:ext>
            </c:extLst>
          </c:dPt>
          <c:dPt>
            <c:idx val="86"/>
            <c:invertIfNegative val="0"/>
            <c:bubble3D val="0"/>
            <c:extLst>
              <c:ext xmlns:c16="http://schemas.microsoft.com/office/drawing/2014/chart" uri="{C3380CC4-5D6E-409C-BE32-E72D297353CC}">
                <c16:uniqueId val="{00000140-85F2-48F9-A6D6-7C92C3A163B2}"/>
              </c:ext>
            </c:extLst>
          </c:dPt>
          <c:dPt>
            <c:idx val="87"/>
            <c:invertIfNegative val="0"/>
            <c:bubble3D val="0"/>
            <c:extLst>
              <c:ext xmlns:c16="http://schemas.microsoft.com/office/drawing/2014/chart" uri="{C3380CC4-5D6E-409C-BE32-E72D297353CC}">
                <c16:uniqueId val="{00000141-85F2-48F9-A6D6-7C92C3A163B2}"/>
              </c:ext>
            </c:extLst>
          </c:dPt>
          <c:dPt>
            <c:idx val="88"/>
            <c:invertIfNegative val="0"/>
            <c:bubble3D val="0"/>
            <c:extLst>
              <c:ext xmlns:c16="http://schemas.microsoft.com/office/drawing/2014/chart" uri="{C3380CC4-5D6E-409C-BE32-E72D297353CC}">
                <c16:uniqueId val="{00000142-85F2-48F9-A6D6-7C92C3A163B2}"/>
              </c:ext>
            </c:extLst>
          </c:dPt>
          <c:dPt>
            <c:idx val="89"/>
            <c:invertIfNegative val="0"/>
            <c:bubble3D val="0"/>
            <c:extLst>
              <c:ext xmlns:c16="http://schemas.microsoft.com/office/drawing/2014/chart" uri="{C3380CC4-5D6E-409C-BE32-E72D297353CC}">
                <c16:uniqueId val="{00000143-85F2-48F9-A6D6-7C92C3A163B2}"/>
              </c:ext>
            </c:extLst>
          </c:dPt>
          <c:dPt>
            <c:idx val="90"/>
            <c:invertIfNegative val="0"/>
            <c:bubble3D val="0"/>
            <c:extLst>
              <c:ext xmlns:c16="http://schemas.microsoft.com/office/drawing/2014/chart" uri="{C3380CC4-5D6E-409C-BE32-E72D297353CC}">
                <c16:uniqueId val="{00000144-85F2-48F9-A6D6-7C92C3A163B2}"/>
              </c:ext>
            </c:extLst>
          </c:dPt>
          <c:dPt>
            <c:idx val="91"/>
            <c:invertIfNegative val="0"/>
            <c:bubble3D val="0"/>
            <c:extLst>
              <c:ext xmlns:c16="http://schemas.microsoft.com/office/drawing/2014/chart" uri="{C3380CC4-5D6E-409C-BE32-E72D297353CC}">
                <c16:uniqueId val="{00000145-85F2-48F9-A6D6-7C92C3A163B2}"/>
              </c:ext>
            </c:extLst>
          </c:dPt>
          <c:dPt>
            <c:idx val="92"/>
            <c:invertIfNegative val="0"/>
            <c:bubble3D val="0"/>
            <c:extLst>
              <c:ext xmlns:c16="http://schemas.microsoft.com/office/drawing/2014/chart" uri="{C3380CC4-5D6E-409C-BE32-E72D297353CC}">
                <c16:uniqueId val="{00000146-85F2-48F9-A6D6-7C92C3A163B2}"/>
              </c:ext>
            </c:extLst>
          </c:dPt>
          <c:dPt>
            <c:idx val="93"/>
            <c:invertIfNegative val="0"/>
            <c:bubble3D val="0"/>
            <c:extLst>
              <c:ext xmlns:c16="http://schemas.microsoft.com/office/drawing/2014/chart" uri="{C3380CC4-5D6E-409C-BE32-E72D297353CC}">
                <c16:uniqueId val="{00000147-85F2-48F9-A6D6-7C92C3A163B2}"/>
              </c:ext>
            </c:extLst>
          </c:dPt>
          <c:dPt>
            <c:idx val="94"/>
            <c:invertIfNegative val="0"/>
            <c:bubble3D val="0"/>
            <c:extLst>
              <c:ext xmlns:c16="http://schemas.microsoft.com/office/drawing/2014/chart" uri="{C3380CC4-5D6E-409C-BE32-E72D297353CC}">
                <c16:uniqueId val="{00000148-85F2-48F9-A6D6-7C92C3A163B2}"/>
              </c:ext>
            </c:extLst>
          </c:dPt>
          <c:dPt>
            <c:idx val="95"/>
            <c:invertIfNegative val="0"/>
            <c:bubble3D val="0"/>
            <c:extLst>
              <c:ext xmlns:c16="http://schemas.microsoft.com/office/drawing/2014/chart" uri="{C3380CC4-5D6E-409C-BE32-E72D297353CC}">
                <c16:uniqueId val="{00000149-85F2-48F9-A6D6-7C92C3A163B2}"/>
              </c:ext>
            </c:extLst>
          </c:dPt>
          <c:dPt>
            <c:idx val="96"/>
            <c:invertIfNegative val="0"/>
            <c:bubble3D val="0"/>
            <c:extLst>
              <c:ext xmlns:c16="http://schemas.microsoft.com/office/drawing/2014/chart" uri="{C3380CC4-5D6E-409C-BE32-E72D297353CC}">
                <c16:uniqueId val="{0000014A-85F2-48F9-A6D6-7C92C3A163B2}"/>
              </c:ext>
            </c:extLst>
          </c:dPt>
          <c:dPt>
            <c:idx val="97"/>
            <c:invertIfNegative val="0"/>
            <c:bubble3D val="0"/>
            <c:extLst>
              <c:ext xmlns:c16="http://schemas.microsoft.com/office/drawing/2014/chart" uri="{C3380CC4-5D6E-409C-BE32-E72D297353CC}">
                <c16:uniqueId val="{0000014B-85F2-48F9-A6D6-7C92C3A163B2}"/>
              </c:ext>
            </c:extLst>
          </c:dPt>
          <c:dPt>
            <c:idx val="98"/>
            <c:invertIfNegative val="0"/>
            <c:bubble3D val="0"/>
            <c:extLst>
              <c:ext xmlns:c16="http://schemas.microsoft.com/office/drawing/2014/chart" uri="{C3380CC4-5D6E-409C-BE32-E72D297353CC}">
                <c16:uniqueId val="{0000014C-85F2-48F9-A6D6-7C92C3A163B2}"/>
              </c:ext>
            </c:extLst>
          </c:dPt>
          <c:dPt>
            <c:idx val="99"/>
            <c:invertIfNegative val="0"/>
            <c:bubble3D val="0"/>
            <c:extLst>
              <c:ext xmlns:c16="http://schemas.microsoft.com/office/drawing/2014/chart" uri="{C3380CC4-5D6E-409C-BE32-E72D297353CC}">
                <c16:uniqueId val="{0000014D-85F2-48F9-A6D6-7C92C3A163B2}"/>
              </c:ext>
            </c:extLst>
          </c:dPt>
          <c:dPt>
            <c:idx val="100"/>
            <c:invertIfNegative val="0"/>
            <c:bubble3D val="0"/>
            <c:extLst>
              <c:ext xmlns:c16="http://schemas.microsoft.com/office/drawing/2014/chart" uri="{C3380CC4-5D6E-409C-BE32-E72D297353CC}">
                <c16:uniqueId val="{0000014E-85F2-48F9-A6D6-7C92C3A163B2}"/>
              </c:ext>
            </c:extLst>
          </c:dPt>
          <c:dPt>
            <c:idx val="101"/>
            <c:invertIfNegative val="0"/>
            <c:bubble3D val="0"/>
            <c:extLst>
              <c:ext xmlns:c16="http://schemas.microsoft.com/office/drawing/2014/chart" uri="{C3380CC4-5D6E-409C-BE32-E72D297353CC}">
                <c16:uniqueId val="{0000014F-85F2-48F9-A6D6-7C92C3A163B2}"/>
              </c:ext>
            </c:extLst>
          </c:dPt>
          <c:dPt>
            <c:idx val="102"/>
            <c:invertIfNegative val="0"/>
            <c:bubble3D val="0"/>
            <c:extLst>
              <c:ext xmlns:c16="http://schemas.microsoft.com/office/drawing/2014/chart" uri="{C3380CC4-5D6E-409C-BE32-E72D297353CC}">
                <c16:uniqueId val="{00000150-85F2-48F9-A6D6-7C92C3A163B2}"/>
              </c:ext>
            </c:extLst>
          </c:dPt>
          <c:dPt>
            <c:idx val="103"/>
            <c:invertIfNegative val="0"/>
            <c:bubble3D val="0"/>
            <c:extLst>
              <c:ext xmlns:c16="http://schemas.microsoft.com/office/drawing/2014/chart" uri="{C3380CC4-5D6E-409C-BE32-E72D297353CC}">
                <c16:uniqueId val="{00000151-85F2-48F9-A6D6-7C92C3A163B2}"/>
              </c:ext>
            </c:extLst>
          </c:dPt>
          <c:dPt>
            <c:idx val="104"/>
            <c:invertIfNegative val="0"/>
            <c:bubble3D val="0"/>
            <c:extLst>
              <c:ext xmlns:c16="http://schemas.microsoft.com/office/drawing/2014/chart" uri="{C3380CC4-5D6E-409C-BE32-E72D297353CC}">
                <c16:uniqueId val="{00000152-85F2-48F9-A6D6-7C92C3A163B2}"/>
              </c:ext>
            </c:extLst>
          </c:dPt>
          <c:dPt>
            <c:idx val="105"/>
            <c:invertIfNegative val="0"/>
            <c:bubble3D val="0"/>
            <c:extLst>
              <c:ext xmlns:c16="http://schemas.microsoft.com/office/drawing/2014/chart" uri="{C3380CC4-5D6E-409C-BE32-E72D297353CC}">
                <c16:uniqueId val="{000001A4-00FB-4046-9AEB-6485F5C307E0}"/>
              </c:ext>
            </c:extLst>
          </c:dPt>
          <c:dPt>
            <c:idx val="106"/>
            <c:invertIfNegative val="0"/>
            <c:bubble3D val="0"/>
            <c:extLst>
              <c:ext xmlns:c16="http://schemas.microsoft.com/office/drawing/2014/chart" uri="{C3380CC4-5D6E-409C-BE32-E72D297353CC}">
                <c16:uniqueId val="{000001A5-00FB-4046-9AEB-6485F5C307E0}"/>
              </c:ext>
            </c:extLst>
          </c:dPt>
          <c:dPt>
            <c:idx val="107"/>
            <c:invertIfNegative val="0"/>
            <c:bubble3D val="0"/>
            <c:extLst>
              <c:ext xmlns:c16="http://schemas.microsoft.com/office/drawing/2014/chart" uri="{C3380CC4-5D6E-409C-BE32-E72D297353CC}">
                <c16:uniqueId val="{000001AC-5441-4E19-B288-4B40440E48D7}"/>
              </c:ext>
            </c:extLst>
          </c:dPt>
          <c:dPt>
            <c:idx val="108"/>
            <c:invertIfNegative val="0"/>
            <c:bubble3D val="0"/>
            <c:extLst>
              <c:ext xmlns:c16="http://schemas.microsoft.com/office/drawing/2014/chart" uri="{C3380CC4-5D6E-409C-BE32-E72D297353CC}">
                <c16:uniqueId val="{000001AD-5441-4E19-B288-4B40440E48D7}"/>
              </c:ext>
            </c:extLst>
          </c:dPt>
          <c:dPt>
            <c:idx val="109"/>
            <c:invertIfNegative val="0"/>
            <c:bubble3D val="0"/>
            <c:extLst>
              <c:ext xmlns:c16="http://schemas.microsoft.com/office/drawing/2014/chart" uri="{C3380CC4-5D6E-409C-BE32-E72D297353CC}">
                <c16:uniqueId val="{000001AE-5441-4E19-B288-4B40440E48D7}"/>
              </c:ext>
            </c:extLst>
          </c:dPt>
          <c:dPt>
            <c:idx val="110"/>
            <c:invertIfNegative val="0"/>
            <c:bubble3D val="0"/>
            <c:extLst>
              <c:ext xmlns:c16="http://schemas.microsoft.com/office/drawing/2014/chart" uri="{C3380CC4-5D6E-409C-BE32-E72D297353CC}">
                <c16:uniqueId val="{000001AF-5441-4E19-B288-4B40440E48D7}"/>
              </c:ext>
            </c:extLst>
          </c:dPt>
          <c:dPt>
            <c:idx val="111"/>
            <c:invertIfNegative val="0"/>
            <c:bubble3D val="0"/>
            <c:extLst>
              <c:ext xmlns:c16="http://schemas.microsoft.com/office/drawing/2014/chart" uri="{C3380CC4-5D6E-409C-BE32-E72D297353CC}">
                <c16:uniqueId val="{000001B0-5441-4E19-B288-4B40440E48D7}"/>
              </c:ext>
            </c:extLst>
          </c:dPt>
          <c:dPt>
            <c:idx val="112"/>
            <c:invertIfNegative val="0"/>
            <c:bubble3D val="0"/>
            <c:extLst>
              <c:ext xmlns:c16="http://schemas.microsoft.com/office/drawing/2014/chart" uri="{C3380CC4-5D6E-409C-BE32-E72D297353CC}">
                <c16:uniqueId val="{000001B1-5441-4E19-B288-4B40440E48D7}"/>
              </c:ext>
            </c:extLst>
          </c:dPt>
          <c:dPt>
            <c:idx val="113"/>
            <c:invertIfNegative val="0"/>
            <c:bubble3D val="0"/>
            <c:extLst>
              <c:ext xmlns:c16="http://schemas.microsoft.com/office/drawing/2014/chart" uri="{C3380CC4-5D6E-409C-BE32-E72D297353CC}">
                <c16:uniqueId val="{000001B2-5441-4E19-B288-4B40440E48D7}"/>
              </c:ext>
            </c:extLst>
          </c:dPt>
          <c:dPt>
            <c:idx val="114"/>
            <c:invertIfNegative val="0"/>
            <c:bubble3D val="0"/>
            <c:extLst>
              <c:ext xmlns:c16="http://schemas.microsoft.com/office/drawing/2014/chart" uri="{C3380CC4-5D6E-409C-BE32-E72D297353CC}">
                <c16:uniqueId val="{000001B3-5441-4E19-B288-4B40440E48D7}"/>
              </c:ext>
            </c:extLst>
          </c:dPt>
          <c:dPt>
            <c:idx val="115"/>
            <c:invertIfNegative val="0"/>
            <c:bubble3D val="0"/>
            <c:extLst>
              <c:ext xmlns:c16="http://schemas.microsoft.com/office/drawing/2014/chart" uri="{C3380CC4-5D6E-409C-BE32-E72D297353CC}">
                <c16:uniqueId val="{000001B4-5441-4E19-B288-4B40440E48D7}"/>
              </c:ext>
            </c:extLst>
          </c:dPt>
          <c:dPt>
            <c:idx val="116"/>
            <c:invertIfNegative val="0"/>
            <c:bubble3D val="0"/>
            <c:extLst>
              <c:ext xmlns:c16="http://schemas.microsoft.com/office/drawing/2014/chart" uri="{C3380CC4-5D6E-409C-BE32-E72D297353CC}">
                <c16:uniqueId val="{000001B5-5441-4E19-B288-4B40440E48D7}"/>
              </c:ext>
            </c:extLst>
          </c:dPt>
          <c:dPt>
            <c:idx val="117"/>
            <c:invertIfNegative val="0"/>
            <c:bubble3D val="0"/>
            <c:extLst>
              <c:ext xmlns:c16="http://schemas.microsoft.com/office/drawing/2014/chart" uri="{C3380CC4-5D6E-409C-BE32-E72D297353CC}">
                <c16:uniqueId val="{000001B6-5441-4E19-B288-4B40440E48D7}"/>
              </c:ext>
            </c:extLst>
          </c:dPt>
          <c:dPt>
            <c:idx val="118"/>
            <c:invertIfNegative val="0"/>
            <c:bubble3D val="0"/>
            <c:extLst>
              <c:ext xmlns:c16="http://schemas.microsoft.com/office/drawing/2014/chart" uri="{C3380CC4-5D6E-409C-BE32-E72D297353CC}">
                <c16:uniqueId val="{000001B7-5441-4E19-B288-4B40440E48D7}"/>
              </c:ext>
            </c:extLst>
          </c:dPt>
          <c:dPt>
            <c:idx val="119"/>
            <c:invertIfNegative val="0"/>
            <c:bubble3D val="0"/>
            <c:extLst>
              <c:ext xmlns:c16="http://schemas.microsoft.com/office/drawing/2014/chart" uri="{C3380CC4-5D6E-409C-BE32-E72D297353CC}">
                <c16:uniqueId val="{000001B8-5441-4E19-B288-4B40440E48D7}"/>
              </c:ext>
            </c:extLst>
          </c:dPt>
          <c:dPt>
            <c:idx val="120"/>
            <c:invertIfNegative val="0"/>
            <c:bubble3D val="0"/>
            <c:extLst>
              <c:ext xmlns:c16="http://schemas.microsoft.com/office/drawing/2014/chart" uri="{C3380CC4-5D6E-409C-BE32-E72D297353CC}">
                <c16:uniqueId val="{000001B9-5441-4E19-B288-4B40440E48D7}"/>
              </c:ext>
            </c:extLst>
          </c:dPt>
          <c:dPt>
            <c:idx val="121"/>
            <c:invertIfNegative val="0"/>
            <c:bubble3D val="0"/>
            <c:extLst>
              <c:ext xmlns:c16="http://schemas.microsoft.com/office/drawing/2014/chart" uri="{C3380CC4-5D6E-409C-BE32-E72D297353CC}">
                <c16:uniqueId val="{000001C8-5441-4E19-B288-4B40440E48D7}"/>
              </c:ext>
            </c:extLst>
          </c:dPt>
          <c:dPt>
            <c:idx val="122"/>
            <c:invertIfNegative val="0"/>
            <c:bubble3D val="0"/>
            <c:extLst>
              <c:ext xmlns:c16="http://schemas.microsoft.com/office/drawing/2014/chart" uri="{C3380CC4-5D6E-409C-BE32-E72D297353CC}">
                <c16:uniqueId val="{000001C9-5441-4E19-B288-4B40440E48D7}"/>
              </c:ext>
            </c:extLst>
          </c:dPt>
          <c:dPt>
            <c:idx val="123"/>
            <c:invertIfNegative val="0"/>
            <c:bubble3D val="0"/>
            <c:extLst>
              <c:ext xmlns:c16="http://schemas.microsoft.com/office/drawing/2014/chart" uri="{C3380CC4-5D6E-409C-BE32-E72D297353CC}">
                <c16:uniqueId val="{000001CA-5441-4E19-B288-4B40440E48D7}"/>
              </c:ext>
            </c:extLst>
          </c:dPt>
          <c:dPt>
            <c:idx val="124"/>
            <c:invertIfNegative val="0"/>
            <c:bubble3D val="0"/>
            <c:extLst>
              <c:ext xmlns:c16="http://schemas.microsoft.com/office/drawing/2014/chart" uri="{C3380CC4-5D6E-409C-BE32-E72D297353CC}">
                <c16:uniqueId val="{000001CB-5441-4E19-B288-4B40440E48D7}"/>
              </c:ext>
            </c:extLst>
          </c:dPt>
          <c:dPt>
            <c:idx val="125"/>
            <c:invertIfNegative val="0"/>
            <c:bubble3D val="0"/>
            <c:extLst>
              <c:ext xmlns:c16="http://schemas.microsoft.com/office/drawing/2014/chart" uri="{C3380CC4-5D6E-409C-BE32-E72D297353CC}">
                <c16:uniqueId val="{000001CC-5441-4E19-B288-4B40440E48D7}"/>
              </c:ext>
            </c:extLst>
          </c:dPt>
          <c:dPt>
            <c:idx val="126"/>
            <c:invertIfNegative val="0"/>
            <c:bubble3D val="0"/>
            <c:extLst>
              <c:ext xmlns:c16="http://schemas.microsoft.com/office/drawing/2014/chart" uri="{C3380CC4-5D6E-409C-BE32-E72D297353CC}">
                <c16:uniqueId val="{000001CD-5441-4E19-B288-4B40440E48D7}"/>
              </c:ext>
            </c:extLst>
          </c:dPt>
          <c:dPt>
            <c:idx val="127"/>
            <c:invertIfNegative val="0"/>
            <c:bubble3D val="0"/>
            <c:extLst>
              <c:ext xmlns:c16="http://schemas.microsoft.com/office/drawing/2014/chart" uri="{C3380CC4-5D6E-409C-BE32-E72D297353CC}">
                <c16:uniqueId val="{000001CE-5441-4E19-B288-4B40440E48D7}"/>
              </c:ext>
            </c:extLst>
          </c:dPt>
          <c:dPt>
            <c:idx val="128"/>
            <c:invertIfNegative val="0"/>
            <c:bubble3D val="0"/>
            <c:extLst>
              <c:ext xmlns:c16="http://schemas.microsoft.com/office/drawing/2014/chart" uri="{C3380CC4-5D6E-409C-BE32-E72D297353CC}">
                <c16:uniqueId val="{000001CF-5441-4E19-B288-4B40440E48D7}"/>
              </c:ext>
            </c:extLst>
          </c:dPt>
          <c:dPt>
            <c:idx val="129"/>
            <c:invertIfNegative val="0"/>
            <c:bubble3D val="0"/>
            <c:extLst>
              <c:ext xmlns:c16="http://schemas.microsoft.com/office/drawing/2014/chart" uri="{C3380CC4-5D6E-409C-BE32-E72D297353CC}">
                <c16:uniqueId val="{00000204-3231-4CEF-8B34-6403FFF11955}"/>
              </c:ext>
            </c:extLst>
          </c:dPt>
          <c:dPt>
            <c:idx val="130"/>
            <c:invertIfNegative val="0"/>
            <c:bubble3D val="0"/>
            <c:extLst>
              <c:ext xmlns:c16="http://schemas.microsoft.com/office/drawing/2014/chart" uri="{C3380CC4-5D6E-409C-BE32-E72D297353CC}">
                <c16:uniqueId val="{00000205-3231-4CEF-8B34-6403FFF11955}"/>
              </c:ext>
            </c:extLst>
          </c:dPt>
          <c:dPt>
            <c:idx val="131"/>
            <c:invertIfNegative val="0"/>
            <c:bubble3D val="0"/>
            <c:extLst>
              <c:ext xmlns:c16="http://schemas.microsoft.com/office/drawing/2014/chart" uri="{C3380CC4-5D6E-409C-BE32-E72D297353CC}">
                <c16:uniqueId val="{00000206-3231-4CEF-8B34-6403FFF11955}"/>
              </c:ext>
            </c:extLst>
          </c:dPt>
          <c:dPt>
            <c:idx val="132"/>
            <c:invertIfNegative val="0"/>
            <c:bubble3D val="0"/>
            <c:extLst>
              <c:ext xmlns:c16="http://schemas.microsoft.com/office/drawing/2014/chart" uri="{C3380CC4-5D6E-409C-BE32-E72D297353CC}">
                <c16:uniqueId val="{00000207-3231-4CEF-8B34-6403FFF11955}"/>
              </c:ext>
            </c:extLst>
          </c:dPt>
          <c:dPt>
            <c:idx val="133"/>
            <c:invertIfNegative val="0"/>
            <c:bubble3D val="0"/>
            <c:extLst>
              <c:ext xmlns:c16="http://schemas.microsoft.com/office/drawing/2014/chart" uri="{C3380CC4-5D6E-409C-BE32-E72D297353CC}">
                <c16:uniqueId val="{00000214-3B66-41CD-8D97-2B3685374301}"/>
              </c:ext>
            </c:extLst>
          </c:dPt>
          <c:dPt>
            <c:idx val="134"/>
            <c:invertIfNegative val="0"/>
            <c:bubble3D val="0"/>
            <c:extLst>
              <c:ext xmlns:c16="http://schemas.microsoft.com/office/drawing/2014/chart" uri="{C3380CC4-5D6E-409C-BE32-E72D297353CC}">
                <c16:uniqueId val="{00000215-3B66-41CD-8D97-2B3685374301}"/>
              </c:ext>
            </c:extLst>
          </c:dPt>
          <c:dPt>
            <c:idx val="135"/>
            <c:invertIfNegative val="0"/>
            <c:bubble3D val="0"/>
            <c:extLst>
              <c:ext xmlns:c16="http://schemas.microsoft.com/office/drawing/2014/chart" uri="{C3380CC4-5D6E-409C-BE32-E72D297353CC}">
                <c16:uniqueId val="{0000021C-6F02-44AE-8B8F-0CD0CFD4DE35}"/>
              </c:ext>
            </c:extLst>
          </c:dPt>
          <c:dPt>
            <c:idx val="136"/>
            <c:invertIfNegative val="0"/>
            <c:bubble3D val="0"/>
            <c:extLst>
              <c:ext xmlns:c16="http://schemas.microsoft.com/office/drawing/2014/chart" uri="{C3380CC4-5D6E-409C-BE32-E72D297353CC}">
                <c16:uniqueId val="{0000021D-6F02-44AE-8B8F-0CD0CFD4DE35}"/>
              </c:ext>
            </c:extLst>
          </c:dPt>
          <c:dPt>
            <c:idx val="137"/>
            <c:invertIfNegative val="0"/>
            <c:bubble3D val="0"/>
            <c:extLst>
              <c:ext xmlns:c16="http://schemas.microsoft.com/office/drawing/2014/chart" uri="{C3380CC4-5D6E-409C-BE32-E72D297353CC}">
                <c16:uniqueId val="{00000224-CD58-4699-998E-8012AD6B67F3}"/>
              </c:ext>
            </c:extLst>
          </c:dPt>
          <c:dPt>
            <c:idx val="138"/>
            <c:invertIfNegative val="0"/>
            <c:bubble3D val="0"/>
            <c:extLst>
              <c:ext xmlns:c16="http://schemas.microsoft.com/office/drawing/2014/chart" uri="{C3380CC4-5D6E-409C-BE32-E72D297353CC}">
                <c16:uniqueId val="{00000225-CD58-4699-998E-8012AD6B67F3}"/>
              </c:ext>
            </c:extLst>
          </c:dPt>
          <c:dPt>
            <c:idx val="139"/>
            <c:invertIfNegative val="0"/>
            <c:bubble3D val="0"/>
            <c:extLst>
              <c:ext xmlns:c16="http://schemas.microsoft.com/office/drawing/2014/chart" uri="{C3380CC4-5D6E-409C-BE32-E72D297353CC}">
                <c16:uniqueId val="{00000226-CD58-4699-998E-8012AD6B67F3}"/>
              </c:ext>
            </c:extLst>
          </c:dPt>
          <c:dPt>
            <c:idx val="140"/>
            <c:invertIfNegative val="0"/>
            <c:bubble3D val="0"/>
            <c:extLst>
              <c:ext xmlns:c16="http://schemas.microsoft.com/office/drawing/2014/chart" uri="{C3380CC4-5D6E-409C-BE32-E72D297353CC}">
                <c16:uniqueId val="{00000227-CD58-4699-998E-8012AD6B67F3}"/>
              </c:ext>
            </c:extLst>
          </c:dPt>
          <c:dPt>
            <c:idx val="141"/>
            <c:invertIfNegative val="0"/>
            <c:bubble3D val="0"/>
            <c:extLst>
              <c:ext xmlns:c16="http://schemas.microsoft.com/office/drawing/2014/chart" uri="{C3380CC4-5D6E-409C-BE32-E72D297353CC}">
                <c16:uniqueId val="{00000228-CD58-4699-998E-8012AD6B67F3}"/>
              </c:ext>
            </c:extLst>
          </c:dPt>
          <c:dPt>
            <c:idx val="142"/>
            <c:invertIfNegative val="0"/>
            <c:bubble3D val="0"/>
            <c:extLst>
              <c:ext xmlns:c16="http://schemas.microsoft.com/office/drawing/2014/chart" uri="{C3380CC4-5D6E-409C-BE32-E72D297353CC}">
                <c16:uniqueId val="{00000229-CD58-4699-998E-8012AD6B67F3}"/>
              </c:ext>
            </c:extLst>
          </c:dPt>
          <c:dPt>
            <c:idx val="143"/>
            <c:invertIfNegative val="0"/>
            <c:bubble3D val="0"/>
            <c:extLst>
              <c:ext xmlns:c16="http://schemas.microsoft.com/office/drawing/2014/chart" uri="{C3380CC4-5D6E-409C-BE32-E72D297353CC}">
                <c16:uniqueId val="{0000022A-CD58-4699-998E-8012AD6B67F3}"/>
              </c:ext>
            </c:extLst>
          </c:dPt>
          <c:dPt>
            <c:idx val="144"/>
            <c:invertIfNegative val="0"/>
            <c:bubble3D val="0"/>
            <c:extLst>
              <c:ext xmlns:c16="http://schemas.microsoft.com/office/drawing/2014/chart" uri="{C3380CC4-5D6E-409C-BE32-E72D297353CC}">
                <c16:uniqueId val="{0000022B-CD58-4699-998E-8012AD6B67F3}"/>
              </c:ext>
            </c:extLst>
          </c:dPt>
          <c:dPt>
            <c:idx val="145"/>
            <c:invertIfNegative val="0"/>
            <c:bubble3D val="0"/>
            <c:extLst>
              <c:ext xmlns:c16="http://schemas.microsoft.com/office/drawing/2014/chart" uri="{C3380CC4-5D6E-409C-BE32-E72D297353CC}">
                <c16:uniqueId val="{0000022C-CD58-4699-998E-8012AD6B67F3}"/>
              </c:ext>
            </c:extLst>
          </c:dPt>
          <c:dPt>
            <c:idx val="146"/>
            <c:invertIfNegative val="0"/>
            <c:bubble3D val="0"/>
            <c:extLst>
              <c:ext xmlns:c16="http://schemas.microsoft.com/office/drawing/2014/chart" uri="{C3380CC4-5D6E-409C-BE32-E72D297353CC}">
                <c16:uniqueId val="{0000022D-CD58-4699-998E-8012AD6B67F3}"/>
              </c:ext>
            </c:extLst>
          </c:dPt>
          <c:dPt>
            <c:idx val="147"/>
            <c:invertIfNegative val="0"/>
            <c:bubble3D val="0"/>
            <c:extLst>
              <c:ext xmlns:c16="http://schemas.microsoft.com/office/drawing/2014/chart" uri="{C3380CC4-5D6E-409C-BE32-E72D297353CC}">
                <c16:uniqueId val="{0000022E-CD58-4699-998E-8012AD6B67F3}"/>
              </c:ext>
            </c:extLst>
          </c:dPt>
          <c:dPt>
            <c:idx val="148"/>
            <c:invertIfNegative val="0"/>
            <c:bubble3D val="0"/>
            <c:extLst>
              <c:ext xmlns:c16="http://schemas.microsoft.com/office/drawing/2014/chart" uri="{C3380CC4-5D6E-409C-BE32-E72D297353CC}">
                <c16:uniqueId val="{0000022F-CD58-4699-998E-8012AD6B67F3}"/>
              </c:ext>
            </c:extLst>
          </c:dPt>
          <c:dPt>
            <c:idx val="149"/>
            <c:invertIfNegative val="0"/>
            <c:bubble3D val="0"/>
            <c:extLst>
              <c:ext xmlns:c16="http://schemas.microsoft.com/office/drawing/2014/chart" uri="{C3380CC4-5D6E-409C-BE32-E72D297353CC}">
                <c16:uniqueId val="{00000230-CD58-4699-998E-8012AD6B67F3}"/>
              </c:ext>
            </c:extLst>
          </c:dPt>
          <c:dPt>
            <c:idx val="150"/>
            <c:invertIfNegative val="0"/>
            <c:bubble3D val="0"/>
            <c:extLst>
              <c:ext xmlns:c16="http://schemas.microsoft.com/office/drawing/2014/chart" uri="{C3380CC4-5D6E-409C-BE32-E72D297353CC}">
                <c16:uniqueId val="{00000231-CD58-4699-998E-8012AD6B67F3}"/>
              </c:ext>
            </c:extLst>
          </c:dPt>
          <c:dPt>
            <c:idx val="151"/>
            <c:invertIfNegative val="0"/>
            <c:bubble3D val="0"/>
            <c:extLst>
              <c:ext xmlns:c16="http://schemas.microsoft.com/office/drawing/2014/chart" uri="{C3380CC4-5D6E-409C-BE32-E72D297353CC}">
                <c16:uniqueId val="{00000232-CD58-4699-998E-8012AD6B67F3}"/>
              </c:ext>
            </c:extLst>
          </c:dPt>
          <c:dPt>
            <c:idx val="152"/>
            <c:invertIfNegative val="0"/>
            <c:bubble3D val="0"/>
            <c:extLst>
              <c:ext xmlns:c16="http://schemas.microsoft.com/office/drawing/2014/chart" uri="{C3380CC4-5D6E-409C-BE32-E72D297353CC}">
                <c16:uniqueId val="{00000233-CD58-4699-998E-8012AD6B67F3}"/>
              </c:ext>
            </c:extLst>
          </c:dPt>
          <c:dPt>
            <c:idx val="153"/>
            <c:invertIfNegative val="0"/>
            <c:bubble3D val="0"/>
            <c:extLst>
              <c:ext xmlns:c16="http://schemas.microsoft.com/office/drawing/2014/chart" uri="{C3380CC4-5D6E-409C-BE32-E72D297353CC}">
                <c16:uniqueId val="{00000234-CD58-4699-998E-8012AD6B67F3}"/>
              </c:ext>
            </c:extLst>
          </c:dPt>
          <c:dPt>
            <c:idx val="154"/>
            <c:invertIfNegative val="0"/>
            <c:bubble3D val="0"/>
            <c:extLst>
              <c:ext xmlns:c16="http://schemas.microsoft.com/office/drawing/2014/chart" uri="{C3380CC4-5D6E-409C-BE32-E72D297353CC}">
                <c16:uniqueId val="{00000235-CD58-4699-998E-8012AD6B67F3}"/>
              </c:ext>
            </c:extLst>
          </c:dPt>
          <c:dPt>
            <c:idx val="155"/>
            <c:invertIfNegative val="0"/>
            <c:bubble3D val="0"/>
            <c:extLst>
              <c:ext xmlns:c16="http://schemas.microsoft.com/office/drawing/2014/chart" uri="{C3380CC4-5D6E-409C-BE32-E72D297353CC}">
                <c16:uniqueId val="{00000236-CD58-4699-998E-8012AD6B67F3}"/>
              </c:ext>
            </c:extLst>
          </c:dPt>
          <c:dPt>
            <c:idx val="156"/>
            <c:invertIfNegative val="0"/>
            <c:bubble3D val="0"/>
            <c:extLst>
              <c:ext xmlns:c16="http://schemas.microsoft.com/office/drawing/2014/chart" uri="{C3380CC4-5D6E-409C-BE32-E72D297353CC}">
                <c16:uniqueId val="{00000237-CD58-4699-998E-8012AD6B67F3}"/>
              </c:ext>
            </c:extLst>
          </c:dPt>
          <c:dPt>
            <c:idx val="157"/>
            <c:invertIfNegative val="0"/>
            <c:bubble3D val="0"/>
            <c:extLst>
              <c:ext xmlns:c16="http://schemas.microsoft.com/office/drawing/2014/chart" uri="{C3380CC4-5D6E-409C-BE32-E72D297353CC}">
                <c16:uniqueId val="{00000238-CD58-4699-998E-8012AD6B67F3}"/>
              </c:ext>
            </c:extLst>
          </c:dPt>
          <c:dPt>
            <c:idx val="158"/>
            <c:invertIfNegative val="0"/>
            <c:bubble3D val="0"/>
            <c:extLst>
              <c:ext xmlns:c16="http://schemas.microsoft.com/office/drawing/2014/chart" uri="{C3380CC4-5D6E-409C-BE32-E72D297353CC}">
                <c16:uniqueId val="{00000239-CD58-4699-998E-8012AD6B67F3}"/>
              </c:ext>
            </c:extLst>
          </c:dPt>
          <c:dPt>
            <c:idx val="159"/>
            <c:invertIfNegative val="0"/>
            <c:bubble3D val="0"/>
            <c:extLst>
              <c:ext xmlns:c16="http://schemas.microsoft.com/office/drawing/2014/chart" uri="{C3380CC4-5D6E-409C-BE32-E72D297353CC}">
                <c16:uniqueId val="{0000023A-CD58-4699-998E-8012AD6B67F3}"/>
              </c:ext>
            </c:extLst>
          </c:dPt>
          <c:dPt>
            <c:idx val="160"/>
            <c:invertIfNegative val="0"/>
            <c:bubble3D val="0"/>
            <c:extLst>
              <c:ext xmlns:c16="http://schemas.microsoft.com/office/drawing/2014/chart" uri="{C3380CC4-5D6E-409C-BE32-E72D297353CC}">
                <c16:uniqueId val="{0000023B-CD58-4699-998E-8012AD6B67F3}"/>
              </c:ext>
            </c:extLst>
          </c:dPt>
          <c:dPt>
            <c:idx val="161"/>
            <c:invertIfNegative val="0"/>
            <c:bubble3D val="0"/>
            <c:extLst>
              <c:ext xmlns:c16="http://schemas.microsoft.com/office/drawing/2014/chart" uri="{C3380CC4-5D6E-409C-BE32-E72D297353CC}">
                <c16:uniqueId val="{0000023C-CD58-4699-998E-8012AD6B67F3}"/>
              </c:ext>
            </c:extLst>
          </c:dPt>
          <c:dPt>
            <c:idx val="162"/>
            <c:invertIfNegative val="0"/>
            <c:bubble3D val="0"/>
            <c:extLst>
              <c:ext xmlns:c16="http://schemas.microsoft.com/office/drawing/2014/chart" uri="{C3380CC4-5D6E-409C-BE32-E72D297353CC}">
                <c16:uniqueId val="{0000023D-CD58-4699-998E-8012AD6B67F3}"/>
              </c:ext>
            </c:extLst>
          </c:dPt>
          <c:dPt>
            <c:idx val="163"/>
            <c:invertIfNegative val="0"/>
            <c:bubble3D val="0"/>
            <c:extLst>
              <c:ext xmlns:c16="http://schemas.microsoft.com/office/drawing/2014/chart" uri="{C3380CC4-5D6E-409C-BE32-E72D297353CC}">
                <c16:uniqueId val="{0000023E-CD58-4699-998E-8012AD6B67F3}"/>
              </c:ext>
            </c:extLst>
          </c:dPt>
          <c:dPt>
            <c:idx val="164"/>
            <c:invertIfNegative val="0"/>
            <c:bubble3D val="0"/>
            <c:extLst>
              <c:ext xmlns:c16="http://schemas.microsoft.com/office/drawing/2014/chart" uri="{C3380CC4-5D6E-409C-BE32-E72D297353CC}">
                <c16:uniqueId val="{0000023F-CD58-4699-998E-8012AD6B67F3}"/>
              </c:ext>
            </c:extLst>
          </c:dPt>
          <c:dPt>
            <c:idx val="165"/>
            <c:invertIfNegative val="0"/>
            <c:bubble3D val="0"/>
            <c:extLst>
              <c:ext xmlns:c16="http://schemas.microsoft.com/office/drawing/2014/chart" uri="{C3380CC4-5D6E-409C-BE32-E72D297353CC}">
                <c16:uniqueId val="{00000240-CD58-4699-998E-8012AD6B67F3}"/>
              </c:ext>
            </c:extLst>
          </c:dPt>
          <c:dPt>
            <c:idx val="166"/>
            <c:invertIfNegative val="0"/>
            <c:bubble3D val="0"/>
            <c:extLst>
              <c:ext xmlns:c16="http://schemas.microsoft.com/office/drawing/2014/chart" uri="{C3380CC4-5D6E-409C-BE32-E72D297353CC}">
                <c16:uniqueId val="{00000241-CD58-4699-998E-8012AD6B67F3}"/>
              </c:ext>
            </c:extLst>
          </c:dPt>
          <c:dPt>
            <c:idx val="167"/>
            <c:invertIfNegative val="0"/>
            <c:bubble3D val="0"/>
            <c:extLst>
              <c:ext xmlns:c16="http://schemas.microsoft.com/office/drawing/2014/chart" uri="{C3380CC4-5D6E-409C-BE32-E72D297353CC}">
                <c16:uniqueId val="{00000242-CD58-4699-998E-8012AD6B67F3}"/>
              </c:ext>
            </c:extLst>
          </c:dPt>
          <c:dPt>
            <c:idx val="168"/>
            <c:invertIfNegative val="0"/>
            <c:bubble3D val="0"/>
            <c:extLst>
              <c:ext xmlns:c16="http://schemas.microsoft.com/office/drawing/2014/chart" uri="{C3380CC4-5D6E-409C-BE32-E72D297353CC}">
                <c16:uniqueId val="{00000243-CD58-4699-998E-8012AD6B67F3}"/>
              </c:ext>
            </c:extLst>
          </c:dPt>
          <c:dPt>
            <c:idx val="169"/>
            <c:invertIfNegative val="0"/>
            <c:bubble3D val="0"/>
            <c:extLst>
              <c:ext xmlns:c16="http://schemas.microsoft.com/office/drawing/2014/chart" uri="{C3380CC4-5D6E-409C-BE32-E72D297353CC}">
                <c16:uniqueId val="{00000244-CD58-4699-998E-8012AD6B67F3}"/>
              </c:ext>
            </c:extLst>
          </c:dPt>
          <c:dPt>
            <c:idx val="170"/>
            <c:invertIfNegative val="0"/>
            <c:bubble3D val="0"/>
            <c:extLst>
              <c:ext xmlns:c16="http://schemas.microsoft.com/office/drawing/2014/chart" uri="{C3380CC4-5D6E-409C-BE32-E72D297353CC}">
                <c16:uniqueId val="{00000245-CD58-4699-998E-8012AD6B67F3}"/>
              </c:ext>
            </c:extLst>
          </c:dPt>
          <c:dPt>
            <c:idx val="171"/>
            <c:invertIfNegative val="0"/>
            <c:bubble3D val="0"/>
            <c:extLst>
              <c:ext xmlns:c16="http://schemas.microsoft.com/office/drawing/2014/chart" uri="{C3380CC4-5D6E-409C-BE32-E72D297353CC}">
                <c16:uniqueId val="{00000246-CD58-4699-998E-8012AD6B67F3}"/>
              </c:ext>
            </c:extLst>
          </c:dPt>
          <c:dPt>
            <c:idx val="172"/>
            <c:invertIfNegative val="0"/>
            <c:bubble3D val="0"/>
            <c:extLst>
              <c:ext xmlns:c16="http://schemas.microsoft.com/office/drawing/2014/chart" uri="{C3380CC4-5D6E-409C-BE32-E72D297353CC}">
                <c16:uniqueId val="{00000247-CD58-4699-998E-8012AD6B67F3}"/>
              </c:ext>
            </c:extLst>
          </c:dPt>
          <c:dPt>
            <c:idx val="173"/>
            <c:invertIfNegative val="0"/>
            <c:bubble3D val="0"/>
            <c:extLst>
              <c:ext xmlns:c16="http://schemas.microsoft.com/office/drawing/2014/chart" uri="{C3380CC4-5D6E-409C-BE32-E72D297353CC}">
                <c16:uniqueId val="{00000248-CD58-4699-998E-8012AD6B67F3}"/>
              </c:ext>
            </c:extLst>
          </c:dPt>
          <c:dPt>
            <c:idx val="174"/>
            <c:invertIfNegative val="0"/>
            <c:bubble3D val="0"/>
            <c:extLst>
              <c:ext xmlns:c16="http://schemas.microsoft.com/office/drawing/2014/chart" uri="{C3380CC4-5D6E-409C-BE32-E72D297353CC}">
                <c16:uniqueId val="{00000249-CD58-4699-998E-8012AD6B67F3}"/>
              </c:ext>
            </c:extLst>
          </c:dPt>
          <c:dPt>
            <c:idx val="175"/>
            <c:invertIfNegative val="0"/>
            <c:bubble3D val="0"/>
            <c:extLst>
              <c:ext xmlns:c16="http://schemas.microsoft.com/office/drawing/2014/chart" uri="{C3380CC4-5D6E-409C-BE32-E72D297353CC}">
                <c16:uniqueId val="{0000024A-CD58-4699-998E-8012AD6B67F3}"/>
              </c:ext>
            </c:extLst>
          </c:dPt>
          <c:dPt>
            <c:idx val="176"/>
            <c:invertIfNegative val="0"/>
            <c:bubble3D val="0"/>
            <c:extLst>
              <c:ext xmlns:c16="http://schemas.microsoft.com/office/drawing/2014/chart" uri="{C3380CC4-5D6E-409C-BE32-E72D297353CC}">
                <c16:uniqueId val="{0000024B-CD58-4699-998E-8012AD6B67F3}"/>
              </c:ext>
            </c:extLst>
          </c:dPt>
          <c:dPt>
            <c:idx val="177"/>
            <c:invertIfNegative val="0"/>
            <c:bubble3D val="0"/>
            <c:extLst>
              <c:ext xmlns:c16="http://schemas.microsoft.com/office/drawing/2014/chart" uri="{C3380CC4-5D6E-409C-BE32-E72D297353CC}">
                <c16:uniqueId val="{0000024C-CD58-4699-998E-8012AD6B67F3}"/>
              </c:ext>
            </c:extLst>
          </c:dPt>
          <c:dPt>
            <c:idx val="178"/>
            <c:invertIfNegative val="0"/>
            <c:bubble3D val="0"/>
            <c:extLst>
              <c:ext xmlns:c16="http://schemas.microsoft.com/office/drawing/2014/chart" uri="{C3380CC4-5D6E-409C-BE32-E72D297353CC}">
                <c16:uniqueId val="{0000024D-CD58-4699-998E-8012AD6B67F3}"/>
              </c:ext>
            </c:extLst>
          </c:dPt>
          <c:dPt>
            <c:idx val="179"/>
            <c:invertIfNegative val="0"/>
            <c:bubble3D val="0"/>
            <c:extLst>
              <c:ext xmlns:c16="http://schemas.microsoft.com/office/drawing/2014/chart" uri="{C3380CC4-5D6E-409C-BE32-E72D297353CC}">
                <c16:uniqueId val="{0000024E-CD58-4699-998E-8012AD6B67F3}"/>
              </c:ext>
            </c:extLst>
          </c:dPt>
          <c:dPt>
            <c:idx val="180"/>
            <c:invertIfNegative val="0"/>
            <c:bubble3D val="0"/>
            <c:extLst>
              <c:ext xmlns:c16="http://schemas.microsoft.com/office/drawing/2014/chart" uri="{C3380CC4-5D6E-409C-BE32-E72D297353CC}">
                <c16:uniqueId val="{0000024F-CD58-4699-998E-8012AD6B67F3}"/>
              </c:ext>
            </c:extLst>
          </c:dPt>
          <c:dPt>
            <c:idx val="181"/>
            <c:invertIfNegative val="0"/>
            <c:bubble3D val="0"/>
            <c:extLst>
              <c:ext xmlns:c16="http://schemas.microsoft.com/office/drawing/2014/chart" uri="{C3380CC4-5D6E-409C-BE32-E72D297353CC}">
                <c16:uniqueId val="{00000250-CD58-4699-998E-8012AD6B67F3}"/>
              </c:ext>
            </c:extLst>
          </c:dPt>
          <c:dPt>
            <c:idx val="182"/>
            <c:invertIfNegative val="0"/>
            <c:bubble3D val="0"/>
            <c:extLst>
              <c:ext xmlns:c16="http://schemas.microsoft.com/office/drawing/2014/chart" uri="{C3380CC4-5D6E-409C-BE32-E72D297353CC}">
                <c16:uniqueId val="{00000251-CD58-4699-998E-8012AD6B67F3}"/>
              </c:ext>
            </c:extLst>
          </c:dPt>
          <c:dPt>
            <c:idx val="183"/>
            <c:invertIfNegative val="0"/>
            <c:bubble3D val="0"/>
            <c:extLst>
              <c:ext xmlns:c16="http://schemas.microsoft.com/office/drawing/2014/chart" uri="{C3380CC4-5D6E-409C-BE32-E72D297353CC}">
                <c16:uniqueId val="{00000252-CD58-4699-998E-8012AD6B67F3}"/>
              </c:ext>
            </c:extLst>
          </c:dPt>
          <c:dPt>
            <c:idx val="184"/>
            <c:invertIfNegative val="0"/>
            <c:bubble3D val="0"/>
            <c:extLst>
              <c:ext xmlns:c16="http://schemas.microsoft.com/office/drawing/2014/chart" uri="{C3380CC4-5D6E-409C-BE32-E72D297353CC}">
                <c16:uniqueId val="{00000253-CD58-4699-998E-8012AD6B67F3}"/>
              </c:ext>
            </c:extLst>
          </c:dPt>
          <c:dPt>
            <c:idx val="185"/>
            <c:invertIfNegative val="0"/>
            <c:bubble3D val="0"/>
            <c:extLst>
              <c:ext xmlns:c16="http://schemas.microsoft.com/office/drawing/2014/chart" uri="{C3380CC4-5D6E-409C-BE32-E72D297353CC}">
                <c16:uniqueId val="{00000254-CD58-4699-998E-8012AD6B67F3}"/>
              </c:ext>
            </c:extLst>
          </c:dPt>
          <c:dPt>
            <c:idx val="186"/>
            <c:invertIfNegative val="0"/>
            <c:bubble3D val="0"/>
            <c:extLst>
              <c:ext xmlns:c16="http://schemas.microsoft.com/office/drawing/2014/chart" uri="{C3380CC4-5D6E-409C-BE32-E72D297353CC}">
                <c16:uniqueId val="{00000255-CD58-4699-998E-8012AD6B67F3}"/>
              </c:ext>
            </c:extLst>
          </c:dPt>
          <c:dPt>
            <c:idx val="187"/>
            <c:invertIfNegative val="0"/>
            <c:bubble3D val="0"/>
            <c:extLst>
              <c:ext xmlns:c16="http://schemas.microsoft.com/office/drawing/2014/chart" uri="{C3380CC4-5D6E-409C-BE32-E72D297353CC}">
                <c16:uniqueId val="{00000256-CD58-4699-998E-8012AD6B67F3}"/>
              </c:ext>
            </c:extLst>
          </c:dPt>
          <c:dPt>
            <c:idx val="188"/>
            <c:invertIfNegative val="0"/>
            <c:bubble3D val="0"/>
            <c:extLst>
              <c:ext xmlns:c16="http://schemas.microsoft.com/office/drawing/2014/chart" uri="{C3380CC4-5D6E-409C-BE32-E72D297353CC}">
                <c16:uniqueId val="{00000257-CD58-4699-998E-8012AD6B67F3}"/>
              </c:ext>
            </c:extLst>
          </c:dPt>
          <c:dPt>
            <c:idx val="189"/>
            <c:invertIfNegative val="0"/>
            <c:bubble3D val="0"/>
            <c:extLst>
              <c:ext xmlns:c16="http://schemas.microsoft.com/office/drawing/2014/chart" uri="{C3380CC4-5D6E-409C-BE32-E72D297353CC}">
                <c16:uniqueId val="{00000258-CD58-4699-998E-8012AD6B67F3}"/>
              </c:ext>
            </c:extLst>
          </c:dPt>
          <c:dPt>
            <c:idx val="190"/>
            <c:invertIfNegative val="0"/>
            <c:bubble3D val="0"/>
            <c:extLst>
              <c:ext xmlns:c16="http://schemas.microsoft.com/office/drawing/2014/chart" uri="{C3380CC4-5D6E-409C-BE32-E72D297353CC}">
                <c16:uniqueId val="{00000259-CD58-4699-998E-8012AD6B67F3}"/>
              </c:ext>
            </c:extLst>
          </c:dPt>
          <c:dPt>
            <c:idx val="191"/>
            <c:invertIfNegative val="0"/>
            <c:bubble3D val="0"/>
            <c:extLst>
              <c:ext xmlns:c16="http://schemas.microsoft.com/office/drawing/2014/chart" uri="{C3380CC4-5D6E-409C-BE32-E72D297353CC}">
                <c16:uniqueId val="{0000025A-CD58-4699-998E-8012AD6B67F3}"/>
              </c:ext>
            </c:extLst>
          </c:dPt>
          <c:dPt>
            <c:idx val="192"/>
            <c:invertIfNegative val="0"/>
            <c:bubble3D val="0"/>
            <c:extLst>
              <c:ext xmlns:c16="http://schemas.microsoft.com/office/drawing/2014/chart" uri="{C3380CC4-5D6E-409C-BE32-E72D297353CC}">
                <c16:uniqueId val="{0000025B-CD58-4699-998E-8012AD6B67F3}"/>
              </c:ext>
            </c:extLst>
          </c:dPt>
          <c:dPt>
            <c:idx val="193"/>
            <c:invertIfNegative val="0"/>
            <c:bubble3D val="0"/>
            <c:extLst>
              <c:ext xmlns:c16="http://schemas.microsoft.com/office/drawing/2014/chart" uri="{C3380CC4-5D6E-409C-BE32-E72D297353CC}">
                <c16:uniqueId val="{0000025C-CD58-4699-998E-8012AD6B67F3}"/>
              </c:ext>
            </c:extLst>
          </c:dPt>
          <c:dPt>
            <c:idx val="194"/>
            <c:invertIfNegative val="0"/>
            <c:bubble3D val="0"/>
            <c:extLst>
              <c:ext xmlns:c16="http://schemas.microsoft.com/office/drawing/2014/chart" uri="{C3380CC4-5D6E-409C-BE32-E72D297353CC}">
                <c16:uniqueId val="{0000025D-CD58-4699-998E-8012AD6B67F3}"/>
              </c:ext>
            </c:extLst>
          </c:dPt>
          <c:dPt>
            <c:idx val="195"/>
            <c:invertIfNegative val="0"/>
            <c:bubble3D val="0"/>
            <c:extLst>
              <c:ext xmlns:c16="http://schemas.microsoft.com/office/drawing/2014/chart" uri="{C3380CC4-5D6E-409C-BE32-E72D297353CC}">
                <c16:uniqueId val="{0000025E-CD58-4699-998E-8012AD6B67F3}"/>
              </c:ext>
            </c:extLst>
          </c:dPt>
          <c:dPt>
            <c:idx val="196"/>
            <c:invertIfNegative val="0"/>
            <c:bubble3D val="0"/>
            <c:extLst>
              <c:ext xmlns:c16="http://schemas.microsoft.com/office/drawing/2014/chart" uri="{C3380CC4-5D6E-409C-BE32-E72D297353CC}">
                <c16:uniqueId val="{0000025F-CD58-4699-998E-8012AD6B67F3}"/>
              </c:ext>
            </c:extLst>
          </c:dPt>
          <c:dPt>
            <c:idx val="197"/>
            <c:invertIfNegative val="0"/>
            <c:bubble3D val="0"/>
            <c:extLst>
              <c:ext xmlns:c16="http://schemas.microsoft.com/office/drawing/2014/chart" uri="{C3380CC4-5D6E-409C-BE32-E72D297353CC}">
                <c16:uniqueId val="{00000260-CD58-4699-998E-8012AD6B67F3}"/>
              </c:ext>
            </c:extLst>
          </c:dPt>
          <c:dPt>
            <c:idx val="198"/>
            <c:invertIfNegative val="0"/>
            <c:bubble3D val="0"/>
            <c:extLst>
              <c:ext xmlns:c16="http://schemas.microsoft.com/office/drawing/2014/chart" uri="{C3380CC4-5D6E-409C-BE32-E72D297353CC}">
                <c16:uniqueId val="{00000261-CD58-4699-998E-8012AD6B67F3}"/>
              </c:ext>
            </c:extLst>
          </c:dPt>
          <c:dPt>
            <c:idx val="199"/>
            <c:invertIfNegative val="0"/>
            <c:bubble3D val="0"/>
            <c:extLst>
              <c:ext xmlns:c16="http://schemas.microsoft.com/office/drawing/2014/chart" uri="{C3380CC4-5D6E-409C-BE32-E72D297353CC}">
                <c16:uniqueId val="{00000262-CD58-4699-998E-8012AD6B67F3}"/>
              </c:ext>
            </c:extLst>
          </c:dPt>
          <c:dPt>
            <c:idx val="200"/>
            <c:invertIfNegative val="0"/>
            <c:bubble3D val="0"/>
            <c:extLst>
              <c:ext xmlns:c16="http://schemas.microsoft.com/office/drawing/2014/chart" uri="{C3380CC4-5D6E-409C-BE32-E72D297353CC}">
                <c16:uniqueId val="{00000263-CD58-4699-998E-8012AD6B67F3}"/>
              </c:ext>
            </c:extLst>
          </c:dPt>
          <c:dPt>
            <c:idx val="201"/>
            <c:invertIfNegative val="0"/>
            <c:bubble3D val="0"/>
            <c:extLst>
              <c:ext xmlns:c16="http://schemas.microsoft.com/office/drawing/2014/chart" uri="{C3380CC4-5D6E-409C-BE32-E72D297353CC}">
                <c16:uniqueId val="{00000264-CD58-4699-998E-8012AD6B67F3}"/>
              </c:ext>
            </c:extLst>
          </c:dPt>
          <c:dPt>
            <c:idx val="202"/>
            <c:invertIfNegative val="0"/>
            <c:bubble3D val="0"/>
            <c:extLst>
              <c:ext xmlns:c16="http://schemas.microsoft.com/office/drawing/2014/chart" uri="{C3380CC4-5D6E-409C-BE32-E72D297353CC}">
                <c16:uniqueId val="{00000265-CD58-4699-998E-8012AD6B67F3}"/>
              </c:ext>
            </c:extLst>
          </c:dPt>
          <c:dPt>
            <c:idx val="203"/>
            <c:invertIfNegative val="0"/>
            <c:bubble3D val="0"/>
            <c:extLst>
              <c:ext xmlns:c16="http://schemas.microsoft.com/office/drawing/2014/chart" uri="{C3380CC4-5D6E-409C-BE32-E72D297353CC}">
                <c16:uniqueId val="{00000266-CD58-4699-998E-8012AD6B67F3}"/>
              </c:ext>
            </c:extLst>
          </c:dPt>
          <c:dPt>
            <c:idx val="204"/>
            <c:invertIfNegative val="0"/>
            <c:bubble3D val="0"/>
            <c:extLst>
              <c:ext xmlns:c16="http://schemas.microsoft.com/office/drawing/2014/chart" uri="{C3380CC4-5D6E-409C-BE32-E72D297353CC}">
                <c16:uniqueId val="{00000267-CD58-4699-998E-8012AD6B67F3}"/>
              </c:ext>
            </c:extLst>
          </c:dPt>
          <c:dPt>
            <c:idx val="205"/>
            <c:invertIfNegative val="0"/>
            <c:bubble3D val="0"/>
            <c:extLst>
              <c:ext xmlns:c16="http://schemas.microsoft.com/office/drawing/2014/chart" uri="{C3380CC4-5D6E-409C-BE32-E72D297353CC}">
                <c16:uniqueId val="{00000268-CD58-4699-998E-8012AD6B67F3}"/>
              </c:ext>
            </c:extLst>
          </c:dPt>
          <c:dPt>
            <c:idx val="206"/>
            <c:invertIfNegative val="0"/>
            <c:bubble3D val="0"/>
            <c:extLst>
              <c:ext xmlns:c16="http://schemas.microsoft.com/office/drawing/2014/chart" uri="{C3380CC4-5D6E-409C-BE32-E72D297353CC}">
                <c16:uniqueId val="{00000269-CD58-4699-998E-8012AD6B67F3}"/>
              </c:ext>
            </c:extLst>
          </c:dPt>
          <c:dPt>
            <c:idx val="207"/>
            <c:invertIfNegative val="0"/>
            <c:bubble3D val="0"/>
            <c:extLst>
              <c:ext xmlns:c16="http://schemas.microsoft.com/office/drawing/2014/chart" uri="{C3380CC4-5D6E-409C-BE32-E72D297353CC}">
                <c16:uniqueId val="{0000026A-CD58-4699-998E-8012AD6B67F3}"/>
              </c:ext>
            </c:extLst>
          </c:dPt>
          <c:dPt>
            <c:idx val="208"/>
            <c:invertIfNegative val="0"/>
            <c:bubble3D val="0"/>
            <c:extLst>
              <c:ext xmlns:c16="http://schemas.microsoft.com/office/drawing/2014/chart" uri="{C3380CC4-5D6E-409C-BE32-E72D297353CC}">
                <c16:uniqueId val="{0000026B-CD58-4699-998E-8012AD6B67F3}"/>
              </c:ext>
            </c:extLst>
          </c:dPt>
          <c:dPt>
            <c:idx val="209"/>
            <c:invertIfNegative val="0"/>
            <c:bubble3D val="0"/>
            <c:extLst>
              <c:ext xmlns:c16="http://schemas.microsoft.com/office/drawing/2014/chart" uri="{C3380CC4-5D6E-409C-BE32-E72D297353CC}">
                <c16:uniqueId val="{0000026C-CD58-4699-998E-8012AD6B67F3}"/>
              </c:ext>
            </c:extLst>
          </c:dPt>
          <c:dPt>
            <c:idx val="210"/>
            <c:invertIfNegative val="0"/>
            <c:bubble3D val="0"/>
            <c:extLst>
              <c:ext xmlns:c16="http://schemas.microsoft.com/office/drawing/2014/chart" uri="{C3380CC4-5D6E-409C-BE32-E72D297353CC}">
                <c16:uniqueId val="{0000026D-CD58-4699-998E-8012AD6B67F3}"/>
              </c:ext>
            </c:extLst>
          </c:dPt>
          <c:dPt>
            <c:idx val="211"/>
            <c:invertIfNegative val="0"/>
            <c:bubble3D val="0"/>
            <c:extLst>
              <c:ext xmlns:c16="http://schemas.microsoft.com/office/drawing/2014/chart" uri="{C3380CC4-5D6E-409C-BE32-E72D297353CC}">
                <c16:uniqueId val="{0000026E-CD58-4699-998E-8012AD6B67F3}"/>
              </c:ext>
            </c:extLst>
          </c:dPt>
          <c:dPt>
            <c:idx val="212"/>
            <c:invertIfNegative val="0"/>
            <c:bubble3D val="0"/>
            <c:extLst>
              <c:ext xmlns:c16="http://schemas.microsoft.com/office/drawing/2014/chart" uri="{C3380CC4-5D6E-409C-BE32-E72D297353CC}">
                <c16:uniqueId val="{0000026F-CD58-4699-998E-8012AD6B67F3}"/>
              </c:ext>
            </c:extLst>
          </c:dPt>
          <c:dPt>
            <c:idx val="213"/>
            <c:invertIfNegative val="0"/>
            <c:bubble3D val="0"/>
            <c:extLst>
              <c:ext xmlns:c16="http://schemas.microsoft.com/office/drawing/2014/chart" uri="{C3380CC4-5D6E-409C-BE32-E72D297353CC}">
                <c16:uniqueId val="{00000270-CD58-4699-998E-8012AD6B67F3}"/>
              </c:ext>
            </c:extLst>
          </c:dPt>
          <c:dPt>
            <c:idx val="214"/>
            <c:invertIfNegative val="0"/>
            <c:bubble3D val="0"/>
            <c:extLst>
              <c:ext xmlns:c16="http://schemas.microsoft.com/office/drawing/2014/chart" uri="{C3380CC4-5D6E-409C-BE32-E72D297353CC}">
                <c16:uniqueId val="{00000271-CD58-4699-998E-8012AD6B67F3}"/>
              </c:ext>
            </c:extLst>
          </c:dPt>
          <c:dPt>
            <c:idx val="215"/>
            <c:invertIfNegative val="0"/>
            <c:bubble3D val="0"/>
            <c:extLst>
              <c:ext xmlns:c16="http://schemas.microsoft.com/office/drawing/2014/chart" uri="{C3380CC4-5D6E-409C-BE32-E72D297353CC}">
                <c16:uniqueId val="{00000272-CD58-4699-998E-8012AD6B67F3}"/>
              </c:ext>
            </c:extLst>
          </c:dPt>
          <c:dPt>
            <c:idx val="216"/>
            <c:invertIfNegative val="0"/>
            <c:bubble3D val="0"/>
            <c:extLst>
              <c:ext xmlns:c16="http://schemas.microsoft.com/office/drawing/2014/chart" uri="{C3380CC4-5D6E-409C-BE32-E72D297353CC}">
                <c16:uniqueId val="{00000273-CD58-4699-998E-8012AD6B67F3}"/>
              </c:ext>
            </c:extLst>
          </c:dPt>
          <c:dPt>
            <c:idx val="217"/>
            <c:invertIfNegative val="0"/>
            <c:bubble3D val="0"/>
            <c:extLst>
              <c:ext xmlns:c16="http://schemas.microsoft.com/office/drawing/2014/chart" uri="{C3380CC4-5D6E-409C-BE32-E72D297353CC}">
                <c16:uniqueId val="{00000274-CD58-4699-998E-8012AD6B67F3}"/>
              </c:ext>
            </c:extLst>
          </c:dPt>
          <c:dPt>
            <c:idx val="218"/>
            <c:invertIfNegative val="0"/>
            <c:bubble3D val="0"/>
            <c:extLst>
              <c:ext xmlns:c16="http://schemas.microsoft.com/office/drawing/2014/chart" uri="{C3380CC4-5D6E-409C-BE32-E72D297353CC}">
                <c16:uniqueId val="{00000275-CD58-4699-998E-8012AD6B67F3}"/>
              </c:ext>
            </c:extLst>
          </c:dPt>
          <c:dPt>
            <c:idx val="219"/>
            <c:invertIfNegative val="0"/>
            <c:bubble3D val="0"/>
            <c:extLst>
              <c:ext xmlns:c16="http://schemas.microsoft.com/office/drawing/2014/chart" uri="{C3380CC4-5D6E-409C-BE32-E72D297353CC}">
                <c16:uniqueId val="{00000276-CD58-4699-998E-8012AD6B67F3}"/>
              </c:ext>
            </c:extLst>
          </c:dPt>
          <c:dPt>
            <c:idx val="220"/>
            <c:invertIfNegative val="0"/>
            <c:bubble3D val="0"/>
            <c:extLst>
              <c:ext xmlns:c16="http://schemas.microsoft.com/office/drawing/2014/chart" uri="{C3380CC4-5D6E-409C-BE32-E72D297353CC}">
                <c16:uniqueId val="{00000277-CD58-4699-998E-8012AD6B67F3}"/>
              </c:ext>
            </c:extLst>
          </c:dPt>
          <c:dPt>
            <c:idx val="221"/>
            <c:invertIfNegative val="0"/>
            <c:bubble3D val="0"/>
            <c:extLst>
              <c:ext xmlns:c16="http://schemas.microsoft.com/office/drawing/2014/chart" uri="{C3380CC4-5D6E-409C-BE32-E72D297353CC}">
                <c16:uniqueId val="{00000278-CD58-4699-998E-8012AD6B67F3}"/>
              </c:ext>
            </c:extLst>
          </c:dPt>
          <c:dPt>
            <c:idx val="222"/>
            <c:invertIfNegative val="0"/>
            <c:bubble3D val="0"/>
            <c:extLst>
              <c:ext xmlns:c16="http://schemas.microsoft.com/office/drawing/2014/chart" uri="{C3380CC4-5D6E-409C-BE32-E72D297353CC}">
                <c16:uniqueId val="{00000279-CD58-4699-998E-8012AD6B67F3}"/>
              </c:ext>
            </c:extLst>
          </c:dPt>
          <c:dPt>
            <c:idx val="223"/>
            <c:invertIfNegative val="0"/>
            <c:bubble3D val="0"/>
            <c:extLst>
              <c:ext xmlns:c16="http://schemas.microsoft.com/office/drawing/2014/chart" uri="{C3380CC4-5D6E-409C-BE32-E72D297353CC}">
                <c16:uniqueId val="{0000027A-CD58-4699-998E-8012AD6B67F3}"/>
              </c:ext>
            </c:extLst>
          </c:dPt>
          <c:dPt>
            <c:idx val="224"/>
            <c:invertIfNegative val="0"/>
            <c:bubble3D val="0"/>
            <c:extLst>
              <c:ext xmlns:c16="http://schemas.microsoft.com/office/drawing/2014/chart" uri="{C3380CC4-5D6E-409C-BE32-E72D297353CC}">
                <c16:uniqueId val="{0000027B-CD58-4699-998E-8012AD6B67F3}"/>
              </c:ext>
            </c:extLst>
          </c:dPt>
          <c:dPt>
            <c:idx val="225"/>
            <c:invertIfNegative val="0"/>
            <c:bubble3D val="0"/>
            <c:extLst>
              <c:ext xmlns:c16="http://schemas.microsoft.com/office/drawing/2014/chart" uri="{C3380CC4-5D6E-409C-BE32-E72D297353CC}">
                <c16:uniqueId val="{0000027C-CD58-4699-998E-8012AD6B67F3}"/>
              </c:ext>
            </c:extLst>
          </c:dPt>
          <c:dPt>
            <c:idx val="226"/>
            <c:invertIfNegative val="0"/>
            <c:bubble3D val="0"/>
            <c:extLst>
              <c:ext xmlns:c16="http://schemas.microsoft.com/office/drawing/2014/chart" uri="{C3380CC4-5D6E-409C-BE32-E72D297353CC}">
                <c16:uniqueId val="{0000027D-CD58-4699-998E-8012AD6B67F3}"/>
              </c:ext>
            </c:extLst>
          </c:dPt>
          <c:dPt>
            <c:idx val="227"/>
            <c:invertIfNegative val="0"/>
            <c:bubble3D val="0"/>
            <c:extLst>
              <c:ext xmlns:c16="http://schemas.microsoft.com/office/drawing/2014/chart" uri="{C3380CC4-5D6E-409C-BE32-E72D297353CC}">
                <c16:uniqueId val="{0000027E-CD58-4699-998E-8012AD6B67F3}"/>
              </c:ext>
            </c:extLst>
          </c:dPt>
          <c:dPt>
            <c:idx val="228"/>
            <c:invertIfNegative val="0"/>
            <c:bubble3D val="0"/>
            <c:extLst>
              <c:ext xmlns:c16="http://schemas.microsoft.com/office/drawing/2014/chart" uri="{C3380CC4-5D6E-409C-BE32-E72D297353CC}">
                <c16:uniqueId val="{0000027F-CD58-4699-998E-8012AD6B67F3}"/>
              </c:ext>
            </c:extLst>
          </c:dPt>
          <c:dPt>
            <c:idx val="229"/>
            <c:invertIfNegative val="0"/>
            <c:bubble3D val="0"/>
            <c:extLst>
              <c:ext xmlns:c16="http://schemas.microsoft.com/office/drawing/2014/chart" uri="{C3380CC4-5D6E-409C-BE32-E72D297353CC}">
                <c16:uniqueId val="{00000280-CD58-4699-998E-8012AD6B67F3}"/>
              </c:ext>
            </c:extLst>
          </c:dPt>
          <c:dPt>
            <c:idx val="230"/>
            <c:invertIfNegative val="0"/>
            <c:bubble3D val="0"/>
            <c:extLst>
              <c:ext xmlns:c16="http://schemas.microsoft.com/office/drawing/2014/chart" uri="{C3380CC4-5D6E-409C-BE32-E72D297353CC}">
                <c16:uniqueId val="{00000281-CD58-4699-998E-8012AD6B67F3}"/>
              </c:ext>
            </c:extLst>
          </c:dPt>
          <c:dPt>
            <c:idx val="231"/>
            <c:invertIfNegative val="0"/>
            <c:bubble3D val="0"/>
            <c:extLst>
              <c:ext xmlns:c16="http://schemas.microsoft.com/office/drawing/2014/chart" uri="{C3380CC4-5D6E-409C-BE32-E72D297353CC}">
                <c16:uniqueId val="{00000282-CD58-4699-998E-8012AD6B67F3}"/>
              </c:ext>
            </c:extLst>
          </c:dPt>
          <c:dPt>
            <c:idx val="232"/>
            <c:invertIfNegative val="0"/>
            <c:bubble3D val="0"/>
            <c:extLst>
              <c:ext xmlns:c16="http://schemas.microsoft.com/office/drawing/2014/chart" uri="{C3380CC4-5D6E-409C-BE32-E72D297353CC}">
                <c16:uniqueId val="{00000283-CD58-4699-998E-8012AD6B67F3}"/>
              </c:ext>
            </c:extLst>
          </c:dPt>
          <c:dPt>
            <c:idx val="233"/>
            <c:invertIfNegative val="0"/>
            <c:bubble3D val="0"/>
            <c:extLst>
              <c:ext xmlns:c16="http://schemas.microsoft.com/office/drawing/2014/chart" uri="{C3380CC4-5D6E-409C-BE32-E72D297353CC}">
                <c16:uniqueId val="{00000284-CD58-4699-998E-8012AD6B67F3}"/>
              </c:ext>
            </c:extLst>
          </c:dPt>
          <c:dPt>
            <c:idx val="234"/>
            <c:invertIfNegative val="0"/>
            <c:bubble3D val="0"/>
            <c:extLst>
              <c:ext xmlns:c16="http://schemas.microsoft.com/office/drawing/2014/chart" uri="{C3380CC4-5D6E-409C-BE32-E72D297353CC}">
                <c16:uniqueId val="{00000285-CD58-4699-998E-8012AD6B67F3}"/>
              </c:ext>
            </c:extLst>
          </c:dPt>
          <c:dPt>
            <c:idx val="235"/>
            <c:invertIfNegative val="0"/>
            <c:bubble3D val="0"/>
            <c:extLst>
              <c:ext xmlns:c16="http://schemas.microsoft.com/office/drawing/2014/chart" uri="{C3380CC4-5D6E-409C-BE32-E72D297353CC}">
                <c16:uniqueId val="{00000286-CD58-4699-998E-8012AD6B67F3}"/>
              </c:ext>
            </c:extLst>
          </c:dPt>
          <c:dPt>
            <c:idx val="236"/>
            <c:invertIfNegative val="0"/>
            <c:bubble3D val="0"/>
            <c:extLst>
              <c:ext xmlns:c16="http://schemas.microsoft.com/office/drawing/2014/chart" uri="{C3380CC4-5D6E-409C-BE32-E72D297353CC}">
                <c16:uniqueId val="{00000287-CD58-4699-998E-8012AD6B67F3}"/>
              </c:ext>
            </c:extLst>
          </c:dPt>
          <c:dPt>
            <c:idx val="237"/>
            <c:invertIfNegative val="0"/>
            <c:bubble3D val="0"/>
            <c:extLst>
              <c:ext xmlns:c16="http://schemas.microsoft.com/office/drawing/2014/chart" uri="{C3380CC4-5D6E-409C-BE32-E72D297353CC}">
                <c16:uniqueId val="{00000288-CD58-4699-998E-8012AD6B67F3}"/>
              </c:ext>
            </c:extLst>
          </c:dPt>
          <c:dPt>
            <c:idx val="238"/>
            <c:invertIfNegative val="0"/>
            <c:bubble3D val="0"/>
            <c:extLst>
              <c:ext xmlns:c16="http://schemas.microsoft.com/office/drawing/2014/chart" uri="{C3380CC4-5D6E-409C-BE32-E72D297353CC}">
                <c16:uniqueId val="{00000289-CD58-4699-998E-8012AD6B67F3}"/>
              </c:ext>
            </c:extLst>
          </c:dPt>
          <c:dPt>
            <c:idx val="239"/>
            <c:invertIfNegative val="0"/>
            <c:bubble3D val="0"/>
            <c:extLst>
              <c:ext xmlns:c16="http://schemas.microsoft.com/office/drawing/2014/chart" uri="{C3380CC4-5D6E-409C-BE32-E72D297353CC}">
                <c16:uniqueId val="{0000028A-CD58-4699-998E-8012AD6B67F3}"/>
              </c:ext>
            </c:extLst>
          </c:dPt>
          <c:dPt>
            <c:idx val="240"/>
            <c:invertIfNegative val="0"/>
            <c:bubble3D val="0"/>
            <c:extLst>
              <c:ext xmlns:c16="http://schemas.microsoft.com/office/drawing/2014/chart" uri="{C3380CC4-5D6E-409C-BE32-E72D297353CC}">
                <c16:uniqueId val="{0000028B-CD58-4699-998E-8012AD6B67F3}"/>
              </c:ext>
            </c:extLst>
          </c:dPt>
          <c:dPt>
            <c:idx val="241"/>
            <c:invertIfNegative val="0"/>
            <c:bubble3D val="0"/>
            <c:extLst>
              <c:ext xmlns:c16="http://schemas.microsoft.com/office/drawing/2014/chart" uri="{C3380CC4-5D6E-409C-BE32-E72D297353CC}">
                <c16:uniqueId val="{0000028C-CD58-4699-998E-8012AD6B67F3}"/>
              </c:ext>
            </c:extLst>
          </c:dPt>
          <c:dPt>
            <c:idx val="242"/>
            <c:invertIfNegative val="0"/>
            <c:bubble3D val="0"/>
            <c:extLst>
              <c:ext xmlns:c16="http://schemas.microsoft.com/office/drawing/2014/chart" uri="{C3380CC4-5D6E-409C-BE32-E72D297353CC}">
                <c16:uniqueId val="{0000028D-CD58-4699-998E-8012AD6B67F3}"/>
              </c:ext>
            </c:extLst>
          </c:dPt>
          <c:dPt>
            <c:idx val="243"/>
            <c:invertIfNegative val="0"/>
            <c:bubble3D val="0"/>
            <c:extLst>
              <c:ext xmlns:c16="http://schemas.microsoft.com/office/drawing/2014/chart" uri="{C3380CC4-5D6E-409C-BE32-E72D297353CC}">
                <c16:uniqueId val="{0000028E-CD58-4699-998E-8012AD6B67F3}"/>
              </c:ext>
            </c:extLst>
          </c:dPt>
          <c:dPt>
            <c:idx val="244"/>
            <c:invertIfNegative val="0"/>
            <c:bubble3D val="0"/>
            <c:extLst>
              <c:ext xmlns:c16="http://schemas.microsoft.com/office/drawing/2014/chart" uri="{C3380CC4-5D6E-409C-BE32-E72D297353CC}">
                <c16:uniqueId val="{0000028F-CD58-4699-998E-8012AD6B67F3}"/>
              </c:ext>
            </c:extLst>
          </c:dPt>
          <c:dPt>
            <c:idx val="245"/>
            <c:invertIfNegative val="0"/>
            <c:bubble3D val="0"/>
            <c:extLst>
              <c:ext xmlns:c16="http://schemas.microsoft.com/office/drawing/2014/chart" uri="{C3380CC4-5D6E-409C-BE32-E72D297353CC}">
                <c16:uniqueId val="{00000290-CD58-4699-998E-8012AD6B67F3}"/>
              </c:ext>
            </c:extLst>
          </c:dPt>
          <c:dPt>
            <c:idx val="246"/>
            <c:invertIfNegative val="0"/>
            <c:bubble3D val="0"/>
            <c:extLst>
              <c:ext xmlns:c16="http://schemas.microsoft.com/office/drawing/2014/chart" uri="{C3380CC4-5D6E-409C-BE32-E72D297353CC}">
                <c16:uniqueId val="{00000291-CD58-4699-998E-8012AD6B67F3}"/>
              </c:ext>
            </c:extLst>
          </c:dPt>
          <c:dPt>
            <c:idx val="247"/>
            <c:invertIfNegative val="0"/>
            <c:bubble3D val="0"/>
            <c:extLst>
              <c:ext xmlns:c16="http://schemas.microsoft.com/office/drawing/2014/chart" uri="{C3380CC4-5D6E-409C-BE32-E72D297353CC}">
                <c16:uniqueId val="{00000292-CD58-4699-998E-8012AD6B67F3}"/>
              </c:ext>
            </c:extLst>
          </c:dPt>
          <c:dPt>
            <c:idx val="248"/>
            <c:invertIfNegative val="0"/>
            <c:bubble3D val="0"/>
            <c:extLst>
              <c:ext xmlns:c16="http://schemas.microsoft.com/office/drawing/2014/chart" uri="{C3380CC4-5D6E-409C-BE32-E72D297353CC}">
                <c16:uniqueId val="{00000293-CD58-4699-998E-8012AD6B67F3}"/>
              </c:ext>
            </c:extLst>
          </c:dPt>
          <c:dPt>
            <c:idx val="249"/>
            <c:invertIfNegative val="0"/>
            <c:bubble3D val="0"/>
            <c:extLst>
              <c:ext xmlns:c16="http://schemas.microsoft.com/office/drawing/2014/chart" uri="{C3380CC4-5D6E-409C-BE32-E72D297353CC}">
                <c16:uniqueId val="{00000294-CD58-4699-998E-8012AD6B67F3}"/>
              </c:ext>
            </c:extLst>
          </c:dPt>
          <c:dPt>
            <c:idx val="250"/>
            <c:invertIfNegative val="0"/>
            <c:bubble3D val="0"/>
            <c:extLst>
              <c:ext xmlns:c16="http://schemas.microsoft.com/office/drawing/2014/chart" uri="{C3380CC4-5D6E-409C-BE32-E72D297353CC}">
                <c16:uniqueId val="{00000295-CD58-4699-998E-8012AD6B67F3}"/>
              </c:ext>
            </c:extLst>
          </c:dPt>
          <c:dPt>
            <c:idx val="251"/>
            <c:invertIfNegative val="0"/>
            <c:bubble3D val="0"/>
            <c:extLst>
              <c:ext xmlns:c16="http://schemas.microsoft.com/office/drawing/2014/chart" uri="{C3380CC4-5D6E-409C-BE32-E72D297353CC}">
                <c16:uniqueId val="{00000296-CD58-4699-998E-8012AD6B67F3}"/>
              </c:ext>
            </c:extLst>
          </c:dPt>
          <c:dPt>
            <c:idx val="252"/>
            <c:invertIfNegative val="0"/>
            <c:bubble3D val="0"/>
            <c:extLst>
              <c:ext xmlns:c16="http://schemas.microsoft.com/office/drawing/2014/chart" uri="{C3380CC4-5D6E-409C-BE32-E72D297353CC}">
                <c16:uniqueId val="{00000297-CD58-4699-998E-8012AD6B67F3}"/>
              </c:ext>
            </c:extLst>
          </c:dPt>
          <c:dPt>
            <c:idx val="253"/>
            <c:invertIfNegative val="0"/>
            <c:bubble3D val="0"/>
            <c:extLst>
              <c:ext xmlns:c16="http://schemas.microsoft.com/office/drawing/2014/chart" uri="{C3380CC4-5D6E-409C-BE32-E72D297353CC}">
                <c16:uniqueId val="{00000298-CD58-4699-998E-8012AD6B67F3}"/>
              </c:ext>
            </c:extLst>
          </c:dPt>
          <c:dPt>
            <c:idx val="254"/>
            <c:invertIfNegative val="0"/>
            <c:bubble3D val="0"/>
            <c:extLst>
              <c:ext xmlns:c16="http://schemas.microsoft.com/office/drawing/2014/chart" uri="{C3380CC4-5D6E-409C-BE32-E72D297353CC}">
                <c16:uniqueId val="{00000299-CD58-4699-998E-8012AD6B67F3}"/>
              </c:ext>
            </c:extLst>
          </c:dPt>
          <c:dPt>
            <c:idx val="255"/>
            <c:invertIfNegative val="0"/>
            <c:bubble3D val="0"/>
            <c:extLst>
              <c:ext xmlns:c16="http://schemas.microsoft.com/office/drawing/2014/chart" uri="{C3380CC4-5D6E-409C-BE32-E72D297353CC}">
                <c16:uniqueId val="{0000029A-CD58-4699-998E-8012AD6B67F3}"/>
              </c:ext>
            </c:extLst>
          </c:dPt>
          <c:dPt>
            <c:idx val="256"/>
            <c:invertIfNegative val="0"/>
            <c:bubble3D val="0"/>
            <c:extLst>
              <c:ext xmlns:c16="http://schemas.microsoft.com/office/drawing/2014/chart" uri="{C3380CC4-5D6E-409C-BE32-E72D297353CC}">
                <c16:uniqueId val="{0000029B-CD58-4699-998E-8012AD6B67F3}"/>
              </c:ext>
            </c:extLst>
          </c:dPt>
          <c:dPt>
            <c:idx val="257"/>
            <c:invertIfNegative val="0"/>
            <c:bubble3D val="0"/>
            <c:extLst>
              <c:ext xmlns:c16="http://schemas.microsoft.com/office/drawing/2014/chart" uri="{C3380CC4-5D6E-409C-BE32-E72D297353CC}">
                <c16:uniqueId val="{0000029C-CD58-4699-998E-8012AD6B67F3}"/>
              </c:ext>
            </c:extLst>
          </c:dPt>
          <c:dPt>
            <c:idx val="258"/>
            <c:invertIfNegative val="0"/>
            <c:bubble3D val="0"/>
            <c:extLst>
              <c:ext xmlns:c16="http://schemas.microsoft.com/office/drawing/2014/chart" uri="{C3380CC4-5D6E-409C-BE32-E72D297353CC}">
                <c16:uniqueId val="{0000029D-CD58-4699-998E-8012AD6B67F3}"/>
              </c:ext>
            </c:extLst>
          </c:dPt>
          <c:dPt>
            <c:idx val="259"/>
            <c:invertIfNegative val="0"/>
            <c:bubble3D val="0"/>
            <c:extLst>
              <c:ext xmlns:c16="http://schemas.microsoft.com/office/drawing/2014/chart" uri="{C3380CC4-5D6E-409C-BE32-E72D297353CC}">
                <c16:uniqueId val="{0000029E-CD58-4699-998E-8012AD6B67F3}"/>
              </c:ext>
            </c:extLst>
          </c:dPt>
          <c:dPt>
            <c:idx val="260"/>
            <c:invertIfNegative val="0"/>
            <c:bubble3D val="0"/>
            <c:extLst>
              <c:ext xmlns:c16="http://schemas.microsoft.com/office/drawing/2014/chart" uri="{C3380CC4-5D6E-409C-BE32-E72D297353CC}">
                <c16:uniqueId val="{0000029F-CD58-4699-998E-8012AD6B67F3}"/>
              </c:ext>
            </c:extLst>
          </c:dPt>
          <c:dPt>
            <c:idx val="261"/>
            <c:invertIfNegative val="0"/>
            <c:bubble3D val="0"/>
            <c:extLst>
              <c:ext xmlns:c16="http://schemas.microsoft.com/office/drawing/2014/chart" uri="{C3380CC4-5D6E-409C-BE32-E72D297353CC}">
                <c16:uniqueId val="{000002A0-CD58-4699-998E-8012AD6B67F3}"/>
              </c:ext>
            </c:extLst>
          </c:dPt>
          <c:dPt>
            <c:idx val="262"/>
            <c:invertIfNegative val="0"/>
            <c:bubble3D val="0"/>
            <c:extLst>
              <c:ext xmlns:c16="http://schemas.microsoft.com/office/drawing/2014/chart" uri="{C3380CC4-5D6E-409C-BE32-E72D297353CC}">
                <c16:uniqueId val="{000002A1-CD58-4699-998E-8012AD6B67F3}"/>
              </c:ext>
            </c:extLst>
          </c:dPt>
          <c:dPt>
            <c:idx val="263"/>
            <c:invertIfNegative val="0"/>
            <c:bubble3D val="0"/>
            <c:extLst>
              <c:ext xmlns:c16="http://schemas.microsoft.com/office/drawing/2014/chart" uri="{C3380CC4-5D6E-409C-BE32-E72D297353CC}">
                <c16:uniqueId val="{000002A2-CD58-4699-998E-8012AD6B67F3}"/>
              </c:ext>
            </c:extLst>
          </c:dPt>
          <c:dPt>
            <c:idx val="264"/>
            <c:invertIfNegative val="0"/>
            <c:bubble3D val="0"/>
            <c:extLst>
              <c:ext xmlns:c16="http://schemas.microsoft.com/office/drawing/2014/chart" uri="{C3380CC4-5D6E-409C-BE32-E72D297353CC}">
                <c16:uniqueId val="{000002A3-CD58-4699-998E-8012AD6B67F3}"/>
              </c:ext>
            </c:extLst>
          </c:dPt>
          <c:dPt>
            <c:idx val="265"/>
            <c:invertIfNegative val="0"/>
            <c:bubble3D val="0"/>
            <c:extLst>
              <c:ext xmlns:c16="http://schemas.microsoft.com/office/drawing/2014/chart" uri="{C3380CC4-5D6E-409C-BE32-E72D297353CC}">
                <c16:uniqueId val="{000002A4-CD58-4699-998E-8012AD6B67F3}"/>
              </c:ext>
            </c:extLst>
          </c:dPt>
          <c:dPt>
            <c:idx val="266"/>
            <c:invertIfNegative val="0"/>
            <c:bubble3D val="0"/>
            <c:extLst>
              <c:ext xmlns:c16="http://schemas.microsoft.com/office/drawing/2014/chart" uri="{C3380CC4-5D6E-409C-BE32-E72D297353CC}">
                <c16:uniqueId val="{000002A5-CD58-4699-998E-8012AD6B67F3}"/>
              </c:ext>
            </c:extLst>
          </c:dPt>
          <c:dPt>
            <c:idx val="267"/>
            <c:invertIfNegative val="0"/>
            <c:bubble3D val="0"/>
            <c:extLst>
              <c:ext xmlns:c16="http://schemas.microsoft.com/office/drawing/2014/chart" uri="{C3380CC4-5D6E-409C-BE32-E72D297353CC}">
                <c16:uniqueId val="{000002A6-CD58-4699-998E-8012AD6B67F3}"/>
              </c:ext>
            </c:extLst>
          </c:dPt>
          <c:dPt>
            <c:idx val="268"/>
            <c:invertIfNegative val="0"/>
            <c:bubble3D val="0"/>
            <c:extLst>
              <c:ext xmlns:c16="http://schemas.microsoft.com/office/drawing/2014/chart" uri="{C3380CC4-5D6E-409C-BE32-E72D297353CC}">
                <c16:uniqueId val="{000002A7-CD58-4699-998E-8012AD6B67F3}"/>
              </c:ext>
            </c:extLst>
          </c:dPt>
          <c:dPt>
            <c:idx val="269"/>
            <c:invertIfNegative val="0"/>
            <c:bubble3D val="0"/>
            <c:extLst>
              <c:ext xmlns:c16="http://schemas.microsoft.com/office/drawing/2014/chart" uri="{C3380CC4-5D6E-409C-BE32-E72D297353CC}">
                <c16:uniqueId val="{000002A8-CD58-4699-998E-8012AD6B67F3}"/>
              </c:ext>
            </c:extLst>
          </c:dPt>
          <c:dPt>
            <c:idx val="270"/>
            <c:invertIfNegative val="0"/>
            <c:bubble3D val="0"/>
            <c:extLst>
              <c:ext xmlns:c16="http://schemas.microsoft.com/office/drawing/2014/chart" uri="{C3380CC4-5D6E-409C-BE32-E72D297353CC}">
                <c16:uniqueId val="{000002A9-CD58-4699-998E-8012AD6B67F3}"/>
              </c:ext>
            </c:extLst>
          </c:dPt>
          <c:dPt>
            <c:idx val="271"/>
            <c:invertIfNegative val="0"/>
            <c:bubble3D val="0"/>
            <c:extLst>
              <c:ext xmlns:c16="http://schemas.microsoft.com/office/drawing/2014/chart" uri="{C3380CC4-5D6E-409C-BE32-E72D297353CC}">
                <c16:uniqueId val="{000002AA-CD58-4699-998E-8012AD6B67F3}"/>
              </c:ext>
            </c:extLst>
          </c:dPt>
          <c:dPt>
            <c:idx val="272"/>
            <c:invertIfNegative val="0"/>
            <c:bubble3D val="0"/>
            <c:extLst>
              <c:ext xmlns:c16="http://schemas.microsoft.com/office/drawing/2014/chart" uri="{C3380CC4-5D6E-409C-BE32-E72D297353CC}">
                <c16:uniqueId val="{000002AB-CD58-4699-998E-8012AD6B67F3}"/>
              </c:ext>
            </c:extLst>
          </c:dPt>
          <c:dPt>
            <c:idx val="273"/>
            <c:invertIfNegative val="0"/>
            <c:bubble3D val="0"/>
            <c:extLst>
              <c:ext xmlns:c16="http://schemas.microsoft.com/office/drawing/2014/chart" uri="{C3380CC4-5D6E-409C-BE32-E72D297353CC}">
                <c16:uniqueId val="{000002AC-CD58-4699-998E-8012AD6B67F3}"/>
              </c:ext>
            </c:extLst>
          </c:dPt>
          <c:dPt>
            <c:idx val="274"/>
            <c:invertIfNegative val="0"/>
            <c:bubble3D val="0"/>
            <c:extLst>
              <c:ext xmlns:c16="http://schemas.microsoft.com/office/drawing/2014/chart" uri="{C3380CC4-5D6E-409C-BE32-E72D297353CC}">
                <c16:uniqueId val="{000002AD-CD58-4699-998E-8012AD6B67F3}"/>
              </c:ext>
            </c:extLst>
          </c:dPt>
          <c:dPt>
            <c:idx val="275"/>
            <c:invertIfNegative val="0"/>
            <c:bubble3D val="0"/>
            <c:extLst>
              <c:ext xmlns:c16="http://schemas.microsoft.com/office/drawing/2014/chart" uri="{C3380CC4-5D6E-409C-BE32-E72D297353CC}">
                <c16:uniqueId val="{000002AE-CD58-4699-998E-8012AD6B67F3}"/>
              </c:ext>
            </c:extLst>
          </c:dPt>
          <c:dPt>
            <c:idx val="276"/>
            <c:invertIfNegative val="0"/>
            <c:bubble3D val="0"/>
            <c:extLst>
              <c:ext xmlns:c16="http://schemas.microsoft.com/office/drawing/2014/chart" uri="{C3380CC4-5D6E-409C-BE32-E72D297353CC}">
                <c16:uniqueId val="{000002AF-CD58-4699-998E-8012AD6B67F3}"/>
              </c:ext>
            </c:extLst>
          </c:dPt>
          <c:dPt>
            <c:idx val="277"/>
            <c:invertIfNegative val="0"/>
            <c:bubble3D val="0"/>
            <c:extLst>
              <c:ext xmlns:c16="http://schemas.microsoft.com/office/drawing/2014/chart" uri="{C3380CC4-5D6E-409C-BE32-E72D297353CC}">
                <c16:uniqueId val="{000002B0-CD58-4699-998E-8012AD6B67F3}"/>
              </c:ext>
            </c:extLst>
          </c:dPt>
          <c:dPt>
            <c:idx val="278"/>
            <c:invertIfNegative val="0"/>
            <c:bubble3D val="0"/>
            <c:extLst>
              <c:ext xmlns:c16="http://schemas.microsoft.com/office/drawing/2014/chart" uri="{C3380CC4-5D6E-409C-BE32-E72D297353CC}">
                <c16:uniqueId val="{000002B1-CD58-4699-998E-8012AD6B67F3}"/>
              </c:ext>
            </c:extLst>
          </c:dPt>
          <c:dPt>
            <c:idx val="279"/>
            <c:invertIfNegative val="0"/>
            <c:bubble3D val="0"/>
            <c:extLst>
              <c:ext xmlns:c16="http://schemas.microsoft.com/office/drawing/2014/chart" uri="{C3380CC4-5D6E-409C-BE32-E72D297353CC}">
                <c16:uniqueId val="{000002B2-CD58-4699-998E-8012AD6B67F3}"/>
              </c:ext>
            </c:extLst>
          </c:dPt>
          <c:dPt>
            <c:idx val="280"/>
            <c:invertIfNegative val="0"/>
            <c:bubble3D val="0"/>
            <c:extLst>
              <c:ext xmlns:c16="http://schemas.microsoft.com/office/drawing/2014/chart" uri="{C3380CC4-5D6E-409C-BE32-E72D297353CC}">
                <c16:uniqueId val="{000002B3-CD58-4699-998E-8012AD6B67F3}"/>
              </c:ext>
            </c:extLst>
          </c:dPt>
          <c:dPt>
            <c:idx val="281"/>
            <c:invertIfNegative val="0"/>
            <c:bubble3D val="0"/>
            <c:extLst>
              <c:ext xmlns:c16="http://schemas.microsoft.com/office/drawing/2014/chart" uri="{C3380CC4-5D6E-409C-BE32-E72D297353CC}">
                <c16:uniqueId val="{000002B4-CD58-4699-998E-8012AD6B67F3}"/>
              </c:ext>
            </c:extLst>
          </c:dPt>
          <c:dPt>
            <c:idx val="282"/>
            <c:invertIfNegative val="0"/>
            <c:bubble3D val="0"/>
            <c:extLst>
              <c:ext xmlns:c16="http://schemas.microsoft.com/office/drawing/2014/chart" uri="{C3380CC4-5D6E-409C-BE32-E72D297353CC}">
                <c16:uniqueId val="{000002B5-CD58-4699-998E-8012AD6B67F3}"/>
              </c:ext>
            </c:extLst>
          </c:dPt>
          <c:dPt>
            <c:idx val="283"/>
            <c:invertIfNegative val="0"/>
            <c:bubble3D val="0"/>
            <c:extLst>
              <c:ext xmlns:c16="http://schemas.microsoft.com/office/drawing/2014/chart" uri="{C3380CC4-5D6E-409C-BE32-E72D297353CC}">
                <c16:uniqueId val="{000002B6-CD58-4699-998E-8012AD6B67F3}"/>
              </c:ext>
            </c:extLst>
          </c:dPt>
          <c:dPt>
            <c:idx val="284"/>
            <c:invertIfNegative val="0"/>
            <c:bubble3D val="0"/>
            <c:extLst>
              <c:ext xmlns:c16="http://schemas.microsoft.com/office/drawing/2014/chart" uri="{C3380CC4-5D6E-409C-BE32-E72D297353CC}">
                <c16:uniqueId val="{000002B7-CD58-4699-998E-8012AD6B67F3}"/>
              </c:ext>
            </c:extLst>
          </c:dPt>
          <c:dPt>
            <c:idx val="285"/>
            <c:invertIfNegative val="0"/>
            <c:bubble3D val="0"/>
            <c:extLst>
              <c:ext xmlns:c16="http://schemas.microsoft.com/office/drawing/2014/chart" uri="{C3380CC4-5D6E-409C-BE32-E72D297353CC}">
                <c16:uniqueId val="{000002B8-CD58-4699-998E-8012AD6B67F3}"/>
              </c:ext>
            </c:extLst>
          </c:dPt>
          <c:dPt>
            <c:idx val="286"/>
            <c:invertIfNegative val="0"/>
            <c:bubble3D val="0"/>
            <c:extLst>
              <c:ext xmlns:c16="http://schemas.microsoft.com/office/drawing/2014/chart" uri="{C3380CC4-5D6E-409C-BE32-E72D297353CC}">
                <c16:uniqueId val="{000002B9-CD58-4699-998E-8012AD6B67F3}"/>
              </c:ext>
            </c:extLst>
          </c:dPt>
          <c:dPt>
            <c:idx val="287"/>
            <c:invertIfNegative val="0"/>
            <c:bubble3D val="0"/>
            <c:extLst>
              <c:ext xmlns:c16="http://schemas.microsoft.com/office/drawing/2014/chart" uri="{C3380CC4-5D6E-409C-BE32-E72D297353CC}">
                <c16:uniqueId val="{000002BA-CD58-4699-998E-8012AD6B67F3}"/>
              </c:ext>
            </c:extLst>
          </c:dPt>
          <c:dPt>
            <c:idx val="288"/>
            <c:invertIfNegative val="0"/>
            <c:bubble3D val="0"/>
            <c:extLst>
              <c:ext xmlns:c16="http://schemas.microsoft.com/office/drawing/2014/chart" uri="{C3380CC4-5D6E-409C-BE32-E72D297353CC}">
                <c16:uniqueId val="{000002BB-CD58-4699-998E-8012AD6B67F3}"/>
              </c:ext>
            </c:extLst>
          </c:dPt>
          <c:dPt>
            <c:idx val="289"/>
            <c:invertIfNegative val="0"/>
            <c:bubble3D val="0"/>
            <c:extLst>
              <c:ext xmlns:c16="http://schemas.microsoft.com/office/drawing/2014/chart" uri="{C3380CC4-5D6E-409C-BE32-E72D297353CC}">
                <c16:uniqueId val="{000002BC-CD58-4699-998E-8012AD6B67F3}"/>
              </c:ext>
            </c:extLst>
          </c:dPt>
          <c:dPt>
            <c:idx val="290"/>
            <c:invertIfNegative val="0"/>
            <c:bubble3D val="0"/>
            <c:extLst>
              <c:ext xmlns:c16="http://schemas.microsoft.com/office/drawing/2014/chart" uri="{C3380CC4-5D6E-409C-BE32-E72D297353CC}">
                <c16:uniqueId val="{000002BD-CD58-4699-998E-8012AD6B67F3}"/>
              </c:ext>
            </c:extLst>
          </c:dPt>
          <c:dPt>
            <c:idx val="291"/>
            <c:invertIfNegative val="0"/>
            <c:bubble3D val="0"/>
            <c:extLst>
              <c:ext xmlns:c16="http://schemas.microsoft.com/office/drawing/2014/chart" uri="{C3380CC4-5D6E-409C-BE32-E72D297353CC}">
                <c16:uniqueId val="{000002BE-CD58-4699-998E-8012AD6B67F3}"/>
              </c:ext>
            </c:extLst>
          </c:dPt>
          <c:dPt>
            <c:idx val="292"/>
            <c:invertIfNegative val="0"/>
            <c:bubble3D val="0"/>
            <c:extLst>
              <c:ext xmlns:c16="http://schemas.microsoft.com/office/drawing/2014/chart" uri="{C3380CC4-5D6E-409C-BE32-E72D297353CC}">
                <c16:uniqueId val="{000002BF-CD58-4699-998E-8012AD6B67F3}"/>
              </c:ext>
            </c:extLst>
          </c:dPt>
          <c:dPt>
            <c:idx val="293"/>
            <c:invertIfNegative val="0"/>
            <c:bubble3D val="0"/>
            <c:extLst>
              <c:ext xmlns:c16="http://schemas.microsoft.com/office/drawing/2014/chart" uri="{C3380CC4-5D6E-409C-BE32-E72D297353CC}">
                <c16:uniqueId val="{000002C0-CD58-4699-998E-8012AD6B67F3}"/>
              </c:ext>
            </c:extLst>
          </c:dPt>
          <c:dPt>
            <c:idx val="294"/>
            <c:invertIfNegative val="0"/>
            <c:bubble3D val="0"/>
            <c:extLst>
              <c:ext xmlns:c16="http://schemas.microsoft.com/office/drawing/2014/chart" uri="{C3380CC4-5D6E-409C-BE32-E72D297353CC}">
                <c16:uniqueId val="{000002C1-CD58-4699-998E-8012AD6B67F3}"/>
              </c:ext>
            </c:extLst>
          </c:dPt>
          <c:dPt>
            <c:idx val="295"/>
            <c:invertIfNegative val="0"/>
            <c:bubble3D val="0"/>
            <c:extLst>
              <c:ext xmlns:c16="http://schemas.microsoft.com/office/drawing/2014/chart" uri="{C3380CC4-5D6E-409C-BE32-E72D297353CC}">
                <c16:uniqueId val="{000002C2-CD58-4699-998E-8012AD6B67F3}"/>
              </c:ext>
            </c:extLst>
          </c:dPt>
          <c:dPt>
            <c:idx val="296"/>
            <c:invertIfNegative val="0"/>
            <c:bubble3D val="0"/>
            <c:extLst>
              <c:ext xmlns:c16="http://schemas.microsoft.com/office/drawing/2014/chart" uri="{C3380CC4-5D6E-409C-BE32-E72D297353CC}">
                <c16:uniqueId val="{000002C3-CD58-4699-998E-8012AD6B67F3}"/>
              </c:ext>
            </c:extLst>
          </c:dPt>
          <c:dPt>
            <c:idx val="297"/>
            <c:invertIfNegative val="0"/>
            <c:bubble3D val="0"/>
            <c:extLst>
              <c:ext xmlns:c16="http://schemas.microsoft.com/office/drawing/2014/chart" uri="{C3380CC4-5D6E-409C-BE32-E72D297353CC}">
                <c16:uniqueId val="{000002C4-CD58-4699-998E-8012AD6B67F3}"/>
              </c:ext>
            </c:extLst>
          </c:dPt>
          <c:dPt>
            <c:idx val="298"/>
            <c:invertIfNegative val="0"/>
            <c:bubble3D val="0"/>
            <c:extLst>
              <c:ext xmlns:c16="http://schemas.microsoft.com/office/drawing/2014/chart" uri="{C3380CC4-5D6E-409C-BE32-E72D297353CC}">
                <c16:uniqueId val="{000002C5-CD58-4699-998E-8012AD6B67F3}"/>
              </c:ext>
            </c:extLst>
          </c:dPt>
          <c:dPt>
            <c:idx val="299"/>
            <c:invertIfNegative val="0"/>
            <c:bubble3D val="0"/>
            <c:extLst>
              <c:ext xmlns:c16="http://schemas.microsoft.com/office/drawing/2014/chart" uri="{C3380CC4-5D6E-409C-BE32-E72D297353CC}">
                <c16:uniqueId val="{000002C6-CD58-4699-998E-8012AD6B67F3}"/>
              </c:ext>
            </c:extLst>
          </c:dPt>
          <c:dPt>
            <c:idx val="300"/>
            <c:invertIfNegative val="0"/>
            <c:bubble3D val="0"/>
            <c:extLst>
              <c:ext xmlns:c16="http://schemas.microsoft.com/office/drawing/2014/chart" uri="{C3380CC4-5D6E-409C-BE32-E72D297353CC}">
                <c16:uniqueId val="{000002C7-CD58-4699-998E-8012AD6B67F3}"/>
              </c:ext>
            </c:extLst>
          </c:dPt>
          <c:dPt>
            <c:idx val="301"/>
            <c:invertIfNegative val="0"/>
            <c:bubble3D val="0"/>
            <c:extLst>
              <c:ext xmlns:c16="http://schemas.microsoft.com/office/drawing/2014/chart" uri="{C3380CC4-5D6E-409C-BE32-E72D297353CC}">
                <c16:uniqueId val="{000002C8-CD58-4699-998E-8012AD6B67F3}"/>
              </c:ext>
            </c:extLst>
          </c:dPt>
          <c:dPt>
            <c:idx val="302"/>
            <c:invertIfNegative val="0"/>
            <c:bubble3D val="0"/>
            <c:extLst>
              <c:ext xmlns:c16="http://schemas.microsoft.com/office/drawing/2014/chart" uri="{C3380CC4-5D6E-409C-BE32-E72D297353CC}">
                <c16:uniqueId val="{000002C9-CD58-4699-998E-8012AD6B67F3}"/>
              </c:ext>
            </c:extLst>
          </c:dPt>
          <c:dPt>
            <c:idx val="303"/>
            <c:invertIfNegative val="0"/>
            <c:bubble3D val="0"/>
            <c:extLst>
              <c:ext xmlns:c16="http://schemas.microsoft.com/office/drawing/2014/chart" uri="{C3380CC4-5D6E-409C-BE32-E72D297353CC}">
                <c16:uniqueId val="{000002CA-CD58-4699-998E-8012AD6B67F3}"/>
              </c:ext>
            </c:extLst>
          </c:dPt>
          <c:dPt>
            <c:idx val="304"/>
            <c:invertIfNegative val="0"/>
            <c:bubble3D val="0"/>
            <c:extLst>
              <c:ext xmlns:c16="http://schemas.microsoft.com/office/drawing/2014/chart" uri="{C3380CC4-5D6E-409C-BE32-E72D297353CC}">
                <c16:uniqueId val="{000002CB-CD58-4699-998E-8012AD6B67F3}"/>
              </c:ext>
            </c:extLst>
          </c:dPt>
          <c:dPt>
            <c:idx val="305"/>
            <c:invertIfNegative val="0"/>
            <c:bubble3D val="0"/>
            <c:extLst>
              <c:ext xmlns:c16="http://schemas.microsoft.com/office/drawing/2014/chart" uri="{C3380CC4-5D6E-409C-BE32-E72D297353CC}">
                <c16:uniqueId val="{000002CC-CD58-4699-998E-8012AD6B67F3}"/>
              </c:ext>
            </c:extLst>
          </c:dPt>
          <c:dPt>
            <c:idx val="306"/>
            <c:invertIfNegative val="0"/>
            <c:bubble3D val="0"/>
            <c:extLst>
              <c:ext xmlns:c16="http://schemas.microsoft.com/office/drawing/2014/chart" uri="{C3380CC4-5D6E-409C-BE32-E72D297353CC}">
                <c16:uniqueId val="{000002CD-CD58-4699-998E-8012AD6B67F3}"/>
              </c:ext>
            </c:extLst>
          </c:dPt>
          <c:dPt>
            <c:idx val="307"/>
            <c:invertIfNegative val="0"/>
            <c:bubble3D val="0"/>
            <c:extLst>
              <c:ext xmlns:c16="http://schemas.microsoft.com/office/drawing/2014/chart" uri="{C3380CC4-5D6E-409C-BE32-E72D297353CC}">
                <c16:uniqueId val="{000002CE-CD58-4699-998E-8012AD6B67F3}"/>
              </c:ext>
            </c:extLst>
          </c:dPt>
          <c:dPt>
            <c:idx val="308"/>
            <c:invertIfNegative val="0"/>
            <c:bubble3D val="0"/>
            <c:extLst>
              <c:ext xmlns:c16="http://schemas.microsoft.com/office/drawing/2014/chart" uri="{C3380CC4-5D6E-409C-BE32-E72D297353CC}">
                <c16:uniqueId val="{000002CF-CD58-4699-998E-8012AD6B67F3}"/>
              </c:ext>
            </c:extLst>
          </c:dPt>
          <c:dPt>
            <c:idx val="309"/>
            <c:invertIfNegative val="0"/>
            <c:bubble3D val="0"/>
            <c:extLst>
              <c:ext xmlns:c16="http://schemas.microsoft.com/office/drawing/2014/chart" uri="{C3380CC4-5D6E-409C-BE32-E72D297353CC}">
                <c16:uniqueId val="{000002D0-CD58-4699-998E-8012AD6B67F3}"/>
              </c:ext>
            </c:extLst>
          </c:dPt>
          <c:dPt>
            <c:idx val="310"/>
            <c:invertIfNegative val="0"/>
            <c:bubble3D val="0"/>
            <c:extLst>
              <c:ext xmlns:c16="http://schemas.microsoft.com/office/drawing/2014/chart" uri="{C3380CC4-5D6E-409C-BE32-E72D297353CC}">
                <c16:uniqueId val="{000002D1-CD58-4699-998E-8012AD6B67F3}"/>
              </c:ext>
            </c:extLst>
          </c:dPt>
          <c:dPt>
            <c:idx val="311"/>
            <c:invertIfNegative val="0"/>
            <c:bubble3D val="0"/>
            <c:extLst>
              <c:ext xmlns:c16="http://schemas.microsoft.com/office/drawing/2014/chart" uri="{C3380CC4-5D6E-409C-BE32-E72D297353CC}">
                <c16:uniqueId val="{000002D2-CD58-4699-998E-8012AD6B67F3}"/>
              </c:ext>
            </c:extLst>
          </c:dPt>
          <c:dPt>
            <c:idx val="312"/>
            <c:invertIfNegative val="0"/>
            <c:bubble3D val="0"/>
            <c:extLst>
              <c:ext xmlns:c16="http://schemas.microsoft.com/office/drawing/2014/chart" uri="{C3380CC4-5D6E-409C-BE32-E72D297353CC}">
                <c16:uniqueId val="{000002D3-CD58-4699-998E-8012AD6B67F3}"/>
              </c:ext>
            </c:extLst>
          </c:dPt>
          <c:dPt>
            <c:idx val="313"/>
            <c:invertIfNegative val="0"/>
            <c:bubble3D val="0"/>
            <c:extLst>
              <c:ext xmlns:c16="http://schemas.microsoft.com/office/drawing/2014/chart" uri="{C3380CC4-5D6E-409C-BE32-E72D297353CC}">
                <c16:uniqueId val="{000002D4-CD58-4699-998E-8012AD6B67F3}"/>
              </c:ext>
            </c:extLst>
          </c:dPt>
          <c:dPt>
            <c:idx val="314"/>
            <c:invertIfNegative val="0"/>
            <c:bubble3D val="0"/>
            <c:extLst>
              <c:ext xmlns:c16="http://schemas.microsoft.com/office/drawing/2014/chart" uri="{C3380CC4-5D6E-409C-BE32-E72D297353CC}">
                <c16:uniqueId val="{000002D5-CD58-4699-998E-8012AD6B67F3}"/>
              </c:ext>
            </c:extLst>
          </c:dPt>
          <c:dPt>
            <c:idx val="315"/>
            <c:invertIfNegative val="0"/>
            <c:bubble3D val="0"/>
            <c:extLst>
              <c:ext xmlns:c16="http://schemas.microsoft.com/office/drawing/2014/chart" uri="{C3380CC4-5D6E-409C-BE32-E72D297353CC}">
                <c16:uniqueId val="{000002D6-CD58-4699-998E-8012AD6B67F3}"/>
              </c:ext>
            </c:extLst>
          </c:dPt>
          <c:dPt>
            <c:idx val="316"/>
            <c:invertIfNegative val="0"/>
            <c:bubble3D val="0"/>
            <c:extLst>
              <c:ext xmlns:c16="http://schemas.microsoft.com/office/drawing/2014/chart" uri="{C3380CC4-5D6E-409C-BE32-E72D297353CC}">
                <c16:uniqueId val="{000002D7-CD58-4699-998E-8012AD6B67F3}"/>
              </c:ext>
            </c:extLst>
          </c:dPt>
          <c:dPt>
            <c:idx val="317"/>
            <c:invertIfNegative val="0"/>
            <c:bubble3D val="0"/>
            <c:extLst>
              <c:ext xmlns:c16="http://schemas.microsoft.com/office/drawing/2014/chart" uri="{C3380CC4-5D6E-409C-BE32-E72D297353CC}">
                <c16:uniqueId val="{000002D8-CD58-4699-998E-8012AD6B67F3}"/>
              </c:ext>
            </c:extLst>
          </c:dPt>
          <c:dPt>
            <c:idx val="318"/>
            <c:invertIfNegative val="0"/>
            <c:bubble3D val="0"/>
            <c:extLst>
              <c:ext xmlns:c16="http://schemas.microsoft.com/office/drawing/2014/chart" uri="{C3380CC4-5D6E-409C-BE32-E72D297353CC}">
                <c16:uniqueId val="{000002D9-CD58-4699-998E-8012AD6B67F3}"/>
              </c:ext>
            </c:extLst>
          </c:dPt>
          <c:dPt>
            <c:idx val="319"/>
            <c:invertIfNegative val="0"/>
            <c:bubble3D val="0"/>
            <c:extLst>
              <c:ext xmlns:c16="http://schemas.microsoft.com/office/drawing/2014/chart" uri="{C3380CC4-5D6E-409C-BE32-E72D297353CC}">
                <c16:uniqueId val="{000002DA-CD58-4699-998E-8012AD6B67F3}"/>
              </c:ext>
            </c:extLst>
          </c:dPt>
          <c:dPt>
            <c:idx val="320"/>
            <c:invertIfNegative val="0"/>
            <c:bubble3D val="0"/>
            <c:extLst>
              <c:ext xmlns:c16="http://schemas.microsoft.com/office/drawing/2014/chart" uri="{C3380CC4-5D6E-409C-BE32-E72D297353CC}">
                <c16:uniqueId val="{000002DB-CD58-4699-998E-8012AD6B67F3}"/>
              </c:ext>
            </c:extLst>
          </c:dPt>
          <c:dPt>
            <c:idx val="321"/>
            <c:invertIfNegative val="0"/>
            <c:bubble3D val="0"/>
            <c:extLst>
              <c:ext xmlns:c16="http://schemas.microsoft.com/office/drawing/2014/chart" uri="{C3380CC4-5D6E-409C-BE32-E72D297353CC}">
                <c16:uniqueId val="{000002DC-CD58-4699-998E-8012AD6B67F3}"/>
              </c:ext>
            </c:extLst>
          </c:dPt>
          <c:dPt>
            <c:idx val="322"/>
            <c:invertIfNegative val="0"/>
            <c:bubble3D val="0"/>
            <c:extLst>
              <c:ext xmlns:c16="http://schemas.microsoft.com/office/drawing/2014/chart" uri="{C3380CC4-5D6E-409C-BE32-E72D297353CC}">
                <c16:uniqueId val="{000002DD-CD58-4699-998E-8012AD6B67F3}"/>
              </c:ext>
            </c:extLst>
          </c:dPt>
          <c:dPt>
            <c:idx val="323"/>
            <c:invertIfNegative val="0"/>
            <c:bubble3D val="0"/>
            <c:extLst>
              <c:ext xmlns:c16="http://schemas.microsoft.com/office/drawing/2014/chart" uri="{C3380CC4-5D6E-409C-BE32-E72D297353CC}">
                <c16:uniqueId val="{000002DE-CD58-4699-998E-8012AD6B67F3}"/>
              </c:ext>
            </c:extLst>
          </c:dPt>
          <c:dPt>
            <c:idx val="324"/>
            <c:invertIfNegative val="0"/>
            <c:bubble3D val="0"/>
            <c:extLst>
              <c:ext xmlns:c16="http://schemas.microsoft.com/office/drawing/2014/chart" uri="{C3380CC4-5D6E-409C-BE32-E72D297353CC}">
                <c16:uniqueId val="{000002DF-CD58-4699-998E-8012AD6B67F3}"/>
              </c:ext>
            </c:extLst>
          </c:dPt>
          <c:dPt>
            <c:idx val="325"/>
            <c:invertIfNegative val="0"/>
            <c:bubble3D val="0"/>
            <c:extLst>
              <c:ext xmlns:c16="http://schemas.microsoft.com/office/drawing/2014/chart" uri="{C3380CC4-5D6E-409C-BE32-E72D297353CC}">
                <c16:uniqueId val="{000002E0-CD58-4699-998E-8012AD6B67F3}"/>
              </c:ext>
            </c:extLst>
          </c:dPt>
          <c:dPt>
            <c:idx val="326"/>
            <c:invertIfNegative val="0"/>
            <c:bubble3D val="0"/>
            <c:extLst>
              <c:ext xmlns:c16="http://schemas.microsoft.com/office/drawing/2014/chart" uri="{C3380CC4-5D6E-409C-BE32-E72D297353CC}">
                <c16:uniqueId val="{000002E1-CD58-4699-998E-8012AD6B67F3}"/>
              </c:ext>
            </c:extLst>
          </c:dPt>
          <c:dPt>
            <c:idx val="327"/>
            <c:invertIfNegative val="0"/>
            <c:bubble3D val="0"/>
            <c:extLst>
              <c:ext xmlns:c16="http://schemas.microsoft.com/office/drawing/2014/chart" uri="{C3380CC4-5D6E-409C-BE32-E72D297353CC}">
                <c16:uniqueId val="{000002E2-CD58-4699-998E-8012AD6B67F3}"/>
              </c:ext>
            </c:extLst>
          </c:dPt>
          <c:dPt>
            <c:idx val="328"/>
            <c:invertIfNegative val="0"/>
            <c:bubble3D val="0"/>
            <c:extLst>
              <c:ext xmlns:c16="http://schemas.microsoft.com/office/drawing/2014/chart" uri="{C3380CC4-5D6E-409C-BE32-E72D297353CC}">
                <c16:uniqueId val="{000002E3-CD58-4699-998E-8012AD6B67F3}"/>
              </c:ext>
            </c:extLst>
          </c:dPt>
          <c:dPt>
            <c:idx val="329"/>
            <c:invertIfNegative val="0"/>
            <c:bubble3D val="0"/>
            <c:extLst>
              <c:ext xmlns:c16="http://schemas.microsoft.com/office/drawing/2014/chart" uri="{C3380CC4-5D6E-409C-BE32-E72D297353CC}">
                <c16:uniqueId val="{000002E4-CD58-4699-998E-8012AD6B67F3}"/>
              </c:ext>
            </c:extLst>
          </c:dPt>
          <c:dPt>
            <c:idx val="330"/>
            <c:invertIfNegative val="0"/>
            <c:bubble3D val="0"/>
            <c:extLst>
              <c:ext xmlns:c16="http://schemas.microsoft.com/office/drawing/2014/chart" uri="{C3380CC4-5D6E-409C-BE32-E72D297353CC}">
                <c16:uniqueId val="{000002E5-CD58-4699-998E-8012AD6B67F3}"/>
              </c:ext>
            </c:extLst>
          </c:dPt>
          <c:dPt>
            <c:idx val="331"/>
            <c:invertIfNegative val="0"/>
            <c:bubble3D val="0"/>
            <c:extLst>
              <c:ext xmlns:c16="http://schemas.microsoft.com/office/drawing/2014/chart" uri="{C3380CC4-5D6E-409C-BE32-E72D297353CC}">
                <c16:uniqueId val="{000002E6-CD58-4699-998E-8012AD6B67F3}"/>
              </c:ext>
            </c:extLst>
          </c:dPt>
          <c:dPt>
            <c:idx val="332"/>
            <c:invertIfNegative val="0"/>
            <c:bubble3D val="0"/>
            <c:extLst>
              <c:ext xmlns:c16="http://schemas.microsoft.com/office/drawing/2014/chart" uri="{C3380CC4-5D6E-409C-BE32-E72D297353CC}">
                <c16:uniqueId val="{000002E7-CD58-4699-998E-8012AD6B67F3}"/>
              </c:ext>
            </c:extLst>
          </c:dPt>
          <c:dPt>
            <c:idx val="333"/>
            <c:invertIfNegative val="0"/>
            <c:bubble3D val="0"/>
            <c:extLst>
              <c:ext xmlns:c16="http://schemas.microsoft.com/office/drawing/2014/chart" uri="{C3380CC4-5D6E-409C-BE32-E72D297353CC}">
                <c16:uniqueId val="{000002E8-CD58-4699-998E-8012AD6B67F3}"/>
              </c:ext>
            </c:extLst>
          </c:dPt>
          <c:dPt>
            <c:idx val="334"/>
            <c:invertIfNegative val="0"/>
            <c:bubble3D val="0"/>
            <c:extLst>
              <c:ext xmlns:c16="http://schemas.microsoft.com/office/drawing/2014/chart" uri="{C3380CC4-5D6E-409C-BE32-E72D297353CC}">
                <c16:uniqueId val="{000002E9-CD58-4699-998E-8012AD6B67F3}"/>
              </c:ext>
            </c:extLst>
          </c:dPt>
          <c:dPt>
            <c:idx val="335"/>
            <c:invertIfNegative val="0"/>
            <c:bubble3D val="0"/>
            <c:extLst>
              <c:ext xmlns:c16="http://schemas.microsoft.com/office/drawing/2014/chart" uri="{C3380CC4-5D6E-409C-BE32-E72D297353CC}">
                <c16:uniqueId val="{000002EA-CD58-4699-998E-8012AD6B67F3}"/>
              </c:ext>
            </c:extLst>
          </c:dPt>
          <c:dPt>
            <c:idx val="336"/>
            <c:invertIfNegative val="0"/>
            <c:bubble3D val="0"/>
            <c:extLst>
              <c:ext xmlns:c16="http://schemas.microsoft.com/office/drawing/2014/chart" uri="{C3380CC4-5D6E-409C-BE32-E72D297353CC}">
                <c16:uniqueId val="{000002EB-CD58-4699-998E-8012AD6B67F3}"/>
              </c:ext>
            </c:extLst>
          </c:dPt>
          <c:dPt>
            <c:idx val="337"/>
            <c:invertIfNegative val="0"/>
            <c:bubble3D val="0"/>
            <c:extLst>
              <c:ext xmlns:c16="http://schemas.microsoft.com/office/drawing/2014/chart" uri="{C3380CC4-5D6E-409C-BE32-E72D297353CC}">
                <c16:uniqueId val="{000002EC-CD58-4699-998E-8012AD6B67F3}"/>
              </c:ext>
            </c:extLst>
          </c:dPt>
          <c:dPt>
            <c:idx val="338"/>
            <c:invertIfNegative val="0"/>
            <c:bubble3D val="0"/>
            <c:extLst>
              <c:ext xmlns:c16="http://schemas.microsoft.com/office/drawing/2014/chart" uri="{C3380CC4-5D6E-409C-BE32-E72D297353CC}">
                <c16:uniqueId val="{000002ED-CD58-4699-998E-8012AD6B67F3}"/>
              </c:ext>
            </c:extLst>
          </c:dPt>
          <c:dPt>
            <c:idx val="339"/>
            <c:invertIfNegative val="0"/>
            <c:bubble3D val="0"/>
            <c:extLst>
              <c:ext xmlns:c16="http://schemas.microsoft.com/office/drawing/2014/chart" uri="{C3380CC4-5D6E-409C-BE32-E72D297353CC}">
                <c16:uniqueId val="{000002EE-CD58-4699-998E-8012AD6B67F3}"/>
              </c:ext>
            </c:extLst>
          </c:dPt>
          <c:dPt>
            <c:idx val="340"/>
            <c:invertIfNegative val="0"/>
            <c:bubble3D val="0"/>
            <c:extLst>
              <c:ext xmlns:c16="http://schemas.microsoft.com/office/drawing/2014/chart" uri="{C3380CC4-5D6E-409C-BE32-E72D297353CC}">
                <c16:uniqueId val="{000002EF-CD58-4699-998E-8012AD6B67F3}"/>
              </c:ext>
            </c:extLst>
          </c:dPt>
          <c:dPt>
            <c:idx val="341"/>
            <c:invertIfNegative val="0"/>
            <c:bubble3D val="0"/>
            <c:extLst>
              <c:ext xmlns:c16="http://schemas.microsoft.com/office/drawing/2014/chart" uri="{C3380CC4-5D6E-409C-BE32-E72D297353CC}">
                <c16:uniqueId val="{000002F0-CD58-4699-998E-8012AD6B67F3}"/>
              </c:ext>
            </c:extLst>
          </c:dPt>
          <c:dPt>
            <c:idx val="342"/>
            <c:invertIfNegative val="0"/>
            <c:bubble3D val="0"/>
            <c:extLst>
              <c:ext xmlns:c16="http://schemas.microsoft.com/office/drawing/2014/chart" uri="{C3380CC4-5D6E-409C-BE32-E72D297353CC}">
                <c16:uniqueId val="{000002F1-CD58-4699-998E-8012AD6B67F3}"/>
              </c:ext>
            </c:extLst>
          </c:dPt>
          <c:dPt>
            <c:idx val="343"/>
            <c:invertIfNegative val="0"/>
            <c:bubble3D val="0"/>
            <c:extLst>
              <c:ext xmlns:c16="http://schemas.microsoft.com/office/drawing/2014/chart" uri="{C3380CC4-5D6E-409C-BE32-E72D297353CC}">
                <c16:uniqueId val="{000002F2-CD58-4699-998E-8012AD6B67F3}"/>
              </c:ext>
            </c:extLst>
          </c:dPt>
          <c:dPt>
            <c:idx val="344"/>
            <c:invertIfNegative val="0"/>
            <c:bubble3D val="0"/>
            <c:extLst>
              <c:ext xmlns:c16="http://schemas.microsoft.com/office/drawing/2014/chart" uri="{C3380CC4-5D6E-409C-BE32-E72D297353CC}">
                <c16:uniqueId val="{000002F3-CD58-4699-998E-8012AD6B67F3}"/>
              </c:ext>
            </c:extLst>
          </c:dPt>
          <c:dPt>
            <c:idx val="345"/>
            <c:invertIfNegative val="0"/>
            <c:bubble3D val="0"/>
            <c:extLst>
              <c:ext xmlns:c16="http://schemas.microsoft.com/office/drawing/2014/chart" uri="{C3380CC4-5D6E-409C-BE32-E72D297353CC}">
                <c16:uniqueId val="{000002F4-CD58-4699-998E-8012AD6B67F3}"/>
              </c:ext>
            </c:extLst>
          </c:dPt>
          <c:dPt>
            <c:idx val="346"/>
            <c:invertIfNegative val="0"/>
            <c:bubble3D val="0"/>
            <c:extLst>
              <c:ext xmlns:c16="http://schemas.microsoft.com/office/drawing/2014/chart" uri="{C3380CC4-5D6E-409C-BE32-E72D297353CC}">
                <c16:uniqueId val="{000002F5-CD58-4699-998E-8012AD6B67F3}"/>
              </c:ext>
            </c:extLst>
          </c:dPt>
          <c:dPt>
            <c:idx val="347"/>
            <c:invertIfNegative val="0"/>
            <c:bubble3D val="0"/>
            <c:extLst>
              <c:ext xmlns:c16="http://schemas.microsoft.com/office/drawing/2014/chart" uri="{C3380CC4-5D6E-409C-BE32-E72D297353CC}">
                <c16:uniqueId val="{000002F6-CD58-4699-998E-8012AD6B67F3}"/>
              </c:ext>
            </c:extLst>
          </c:dPt>
          <c:dPt>
            <c:idx val="348"/>
            <c:invertIfNegative val="0"/>
            <c:bubble3D val="0"/>
            <c:extLst>
              <c:ext xmlns:c16="http://schemas.microsoft.com/office/drawing/2014/chart" uri="{C3380CC4-5D6E-409C-BE32-E72D297353CC}">
                <c16:uniqueId val="{000002F7-CD58-4699-998E-8012AD6B67F3}"/>
              </c:ext>
            </c:extLst>
          </c:dPt>
          <c:dPt>
            <c:idx val="349"/>
            <c:invertIfNegative val="0"/>
            <c:bubble3D val="0"/>
            <c:extLst>
              <c:ext xmlns:c16="http://schemas.microsoft.com/office/drawing/2014/chart" uri="{C3380CC4-5D6E-409C-BE32-E72D297353CC}">
                <c16:uniqueId val="{000002F8-CD58-4699-998E-8012AD6B67F3}"/>
              </c:ext>
            </c:extLst>
          </c:dPt>
          <c:dPt>
            <c:idx val="350"/>
            <c:invertIfNegative val="0"/>
            <c:bubble3D val="0"/>
            <c:extLst>
              <c:ext xmlns:c16="http://schemas.microsoft.com/office/drawing/2014/chart" uri="{C3380CC4-5D6E-409C-BE32-E72D297353CC}">
                <c16:uniqueId val="{000002F9-CD58-4699-998E-8012AD6B67F3}"/>
              </c:ext>
            </c:extLst>
          </c:dPt>
          <c:dPt>
            <c:idx val="351"/>
            <c:invertIfNegative val="0"/>
            <c:bubble3D val="0"/>
            <c:extLst>
              <c:ext xmlns:c16="http://schemas.microsoft.com/office/drawing/2014/chart" uri="{C3380CC4-5D6E-409C-BE32-E72D297353CC}">
                <c16:uniqueId val="{000002FA-CD58-4699-998E-8012AD6B67F3}"/>
              </c:ext>
            </c:extLst>
          </c:dPt>
          <c:dPt>
            <c:idx val="352"/>
            <c:invertIfNegative val="0"/>
            <c:bubble3D val="0"/>
            <c:extLst>
              <c:ext xmlns:c16="http://schemas.microsoft.com/office/drawing/2014/chart" uri="{C3380CC4-5D6E-409C-BE32-E72D297353CC}">
                <c16:uniqueId val="{000002FB-CD58-4699-998E-8012AD6B67F3}"/>
              </c:ext>
            </c:extLst>
          </c:dPt>
          <c:dPt>
            <c:idx val="353"/>
            <c:invertIfNegative val="0"/>
            <c:bubble3D val="0"/>
            <c:extLst>
              <c:ext xmlns:c16="http://schemas.microsoft.com/office/drawing/2014/chart" uri="{C3380CC4-5D6E-409C-BE32-E72D297353CC}">
                <c16:uniqueId val="{000002FC-CD58-4699-998E-8012AD6B67F3}"/>
              </c:ext>
            </c:extLst>
          </c:dPt>
          <c:dPt>
            <c:idx val="354"/>
            <c:invertIfNegative val="0"/>
            <c:bubble3D val="0"/>
            <c:extLst>
              <c:ext xmlns:c16="http://schemas.microsoft.com/office/drawing/2014/chart" uri="{C3380CC4-5D6E-409C-BE32-E72D297353CC}">
                <c16:uniqueId val="{000002FD-CD58-4699-998E-8012AD6B67F3}"/>
              </c:ext>
            </c:extLst>
          </c:dPt>
          <c:dPt>
            <c:idx val="355"/>
            <c:invertIfNegative val="0"/>
            <c:bubble3D val="0"/>
            <c:extLst>
              <c:ext xmlns:c16="http://schemas.microsoft.com/office/drawing/2014/chart" uri="{C3380CC4-5D6E-409C-BE32-E72D297353CC}">
                <c16:uniqueId val="{000002FE-CD58-4699-998E-8012AD6B67F3}"/>
              </c:ext>
            </c:extLst>
          </c:dPt>
          <c:dPt>
            <c:idx val="356"/>
            <c:invertIfNegative val="0"/>
            <c:bubble3D val="0"/>
            <c:extLst>
              <c:ext xmlns:c16="http://schemas.microsoft.com/office/drawing/2014/chart" uri="{C3380CC4-5D6E-409C-BE32-E72D297353CC}">
                <c16:uniqueId val="{000002FF-CD58-4699-998E-8012AD6B67F3}"/>
              </c:ext>
            </c:extLst>
          </c:dPt>
          <c:dPt>
            <c:idx val="357"/>
            <c:invertIfNegative val="0"/>
            <c:bubble3D val="0"/>
            <c:extLst>
              <c:ext xmlns:c16="http://schemas.microsoft.com/office/drawing/2014/chart" uri="{C3380CC4-5D6E-409C-BE32-E72D297353CC}">
                <c16:uniqueId val="{00000300-CD58-4699-998E-8012AD6B67F3}"/>
              </c:ext>
            </c:extLst>
          </c:dPt>
          <c:dPt>
            <c:idx val="358"/>
            <c:invertIfNegative val="0"/>
            <c:bubble3D val="0"/>
            <c:extLst>
              <c:ext xmlns:c16="http://schemas.microsoft.com/office/drawing/2014/chart" uri="{C3380CC4-5D6E-409C-BE32-E72D297353CC}">
                <c16:uniqueId val="{00000301-CD58-4699-998E-8012AD6B67F3}"/>
              </c:ext>
            </c:extLst>
          </c:dPt>
          <c:dPt>
            <c:idx val="359"/>
            <c:invertIfNegative val="0"/>
            <c:bubble3D val="0"/>
            <c:extLst>
              <c:ext xmlns:c16="http://schemas.microsoft.com/office/drawing/2014/chart" uri="{C3380CC4-5D6E-409C-BE32-E72D297353CC}">
                <c16:uniqueId val="{00000302-CD58-4699-998E-8012AD6B67F3}"/>
              </c:ext>
            </c:extLst>
          </c:dPt>
          <c:dPt>
            <c:idx val="360"/>
            <c:invertIfNegative val="0"/>
            <c:bubble3D val="0"/>
            <c:extLst>
              <c:ext xmlns:c16="http://schemas.microsoft.com/office/drawing/2014/chart" uri="{C3380CC4-5D6E-409C-BE32-E72D297353CC}">
                <c16:uniqueId val="{00000303-CD58-4699-998E-8012AD6B67F3}"/>
              </c:ext>
            </c:extLst>
          </c:dPt>
          <c:dPt>
            <c:idx val="361"/>
            <c:invertIfNegative val="0"/>
            <c:bubble3D val="0"/>
            <c:extLst>
              <c:ext xmlns:c16="http://schemas.microsoft.com/office/drawing/2014/chart" uri="{C3380CC4-5D6E-409C-BE32-E72D297353CC}">
                <c16:uniqueId val="{00000304-CD58-4699-998E-8012AD6B67F3}"/>
              </c:ext>
            </c:extLst>
          </c:dPt>
          <c:dPt>
            <c:idx val="362"/>
            <c:invertIfNegative val="0"/>
            <c:bubble3D val="0"/>
            <c:extLst>
              <c:ext xmlns:c16="http://schemas.microsoft.com/office/drawing/2014/chart" uri="{C3380CC4-5D6E-409C-BE32-E72D297353CC}">
                <c16:uniqueId val="{00000305-CD58-4699-998E-8012AD6B67F3}"/>
              </c:ext>
            </c:extLst>
          </c:dPt>
          <c:dPt>
            <c:idx val="363"/>
            <c:invertIfNegative val="0"/>
            <c:bubble3D val="0"/>
            <c:extLst>
              <c:ext xmlns:c16="http://schemas.microsoft.com/office/drawing/2014/chart" uri="{C3380CC4-5D6E-409C-BE32-E72D297353CC}">
                <c16:uniqueId val="{00000306-CD58-4699-998E-8012AD6B67F3}"/>
              </c:ext>
            </c:extLst>
          </c:dPt>
          <c:dPt>
            <c:idx val="364"/>
            <c:invertIfNegative val="0"/>
            <c:bubble3D val="0"/>
            <c:extLst>
              <c:ext xmlns:c16="http://schemas.microsoft.com/office/drawing/2014/chart" uri="{C3380CC4-5D6E-409C-BE32-E72D297353CC}">
                <c16:uniqueId val="{00000307-CD58-4699-998E-8012AD6B67F3}"/>
              </c:ext>
            </c:extLst>
          </c:dPt>
          <c:dPt>
            <c:idx val="365"/>
            <c:invertIfNegative val="0"/>
            <c:bubble3D val="0"/>
            <c:extLst>
              <c:ext xmlns:c16="http://schemas.microsoft.com/office/drawing/2014/chart" uri="{C3380CC4-5D6E-409C-BE32-E72D297353CC}">
                <c16:uniqueId val="{00000308-CD58-4699-998E-8012AD6B67F3}"/>
              </c:ext>
            </c:extLst>
          </c:dPt>
          <c:dPt>
            <c:idx val="366"/>
            <c:invertIfNegative val="0"/>
            <c:bubble3D val="0"/>
            <c:extLst>
              <c:ext xmlns:c16="http://schemas.microsoft.com/office/drawing/2014/chart" uri="{C3380CC4-5D6E-409C-BE32-E72D297353CC}">
                <c16:uniqueId val="{00000309-CD58-4699-998E-8012AD6B67F3}"/>
              </c:ext>
            </c:extLst>
          </c:dPt>
          <c:dPt>
            <c:idx val="367"/>
            <c:invertIfNegative val="0"/>
            <c:bubble3D val="0"/>
            <c:extLst>
              <c:ext xmlns:c16="http://schemas.microsoft.com/office/drawing/2014/chart" uri="{C3380CC4-5D6E-409C-BE32-E72D297353CC}">
                <c16:uniqueId val="{0000030A-CD58-4699-998E-8012AD6B67F3}"/>
              </c:ext>
            </c:extLst>
          </c:dPt>
          <c:dPt>
            <c:idx val="368"/>
            <c:invertIfNegative val="0"/>
            <c:bubble3D val="0"/>
            <c:extLst>
              <c:ext xmlns:c16="http://schemas.microsoft.com/office/drawing/2014/chart" uri="{C3380CC4-5D6E-409C-BE32-E72D297353CC}">
                <c16:uniqueId val="{0000030B-CD58-4699-998E-8012AD6B67F3}"/>
              </c:ext>
            </c:extLst>
          </c:dPt>
          <c:dPt>
            <c:idx val="369"/>
            <c:invertIfNegative val="0"/>
            <c:bubble3D val="0"/>
            <c:extLst>
              <c:ext xmlns:c16="http://schemas.microsoft.com/office/drawing/2014/chart" uri="{C3380CC4-5D6E-409C-BE32-E72D297353CC}">
                <c16:uniqueId val="{0000030C-CD58-4699-998E-8012AD6B67F3}"/>
              </c:ext>
            </c:extLst>
          </c:dPt>
          <c:dPt>
            <c:idx val="370"/>
            <c:invertIfNegative val="0"/>
            <c:bubble3D val="0"/>
            <c:extLst>
              <c:ext xmlns:c16="http://schemas.microsoft.com/office/drawing/2014/chart" uri="{C3380CC4-5D6E-409C-BE32-E72D297353CC}">
                <c16:uniqueId val="{0000030D-CD58-4699-998E-8012AD6B67F3}"/>
              </c:ext>
            </c:extLst>
          </c:dPt>
          <c:dPt>
            <c:idx val="371"/>
            <c:invertIfNegative val="0"/>
            <c:bubble3D val="0"/>
            <c:extLst>
              <c:ext xmlns:c16="http://schemas.microsoft.com/office/drawing/2014/chart" uri="{C3380CC4-5D6E-409C-BE32-E72D297353CC}">
                <c16:uniqueId val="{0000030E-CD58-4699-998E-8012AD6B67F3}"/>
              </c:ext>
            </c:extLst>
          </c:dPt>
          <c:dPt>
            <c:idx val="372"/>
            <c:invertIfNegative val="0"/>
            <c:bubble3D val="0"/>
            <c:extLst>
              <c:ext xmlns:c16="http://schemas.microsoft.com/office/drawing/2014/chart" uri="{C3380CC4-5D6E-409C-BE32-E72D297353CC}">
                <c16:uniqueId val="{0000030F-CD58-4699-998E-8012AD6B67F3}"/>
              </c:ext>
            </c:extLst>
          </c:dPt>
          <c:dPt>
            <c:idx val="373"/>
            <c:invertIfNegative val="0"/>
            <c:bubble3D val="0"/>
            <c:extLst>
              <c:ext xmlns:c16="http://schemas.microsoft.com/office/drawing/2014/chart" uri="{C3380CC4-5D6E-409C-BE32-E72D297353CC}">
                <c16:uniqueId val="{00000310-CD58-4699-998E-8012AD6B67F3}"/>
              </c:ext>
            </c:extLst>
          </c:dPt>
          <c:dPt>
            <c:idx val="374"/>
            <c:invertIfNegative val="0"/>
            <c:bubble3D val="0"/>
            <c:extLst>
              <c:ext xmlns:c16="http://schemas.microsoft.com/office/drawing/2014/chart" uri="{C3380CC4-5D6E-409C-BE32-E72D297353CC}">
                <c16:uniqueId val="{00000311-CD58-4699-998E-8012AD6B67F3}"/>
              </c:ext>
            </c:extLst>
          </c:dPt>
          <c:dPt>
            <c:idx val="375"/>
            <c:invertIfNegative val="0"/>
            <c:bubble3D val="0"/>
            <c:extLst>
              <c:ext xmlns:c16="http://schemas.microsoft.com/office/drawing/2014/chart" uri="{C3380CC4-5D6E-409C-BE32-E72D297353CC}">
                <c16:uniqueId val="{00000312-CD58-4699-998E-8012AD6B67F3}"/>
              </c:ext>
            </c:extLst>
          </c:dPt>
          <c:dPt>
            <c:idx val="376"/>
            <c:invertIfNegative val="0"/>
            <c:bubble3D val="0"/>
            <c:extLst>
              <c:ext xmlns:c16="http://schemas.microsoft.com/office/drawing/2014/chart" uri="{C3380CC4-5D6E-409C-BE32-E72D297353CC}">
                <c16:uniqueId val="{00000313-CD58-4699-998E-8012AD6B67F3}"/>
              </c:ext>
            </c:extLst>
          </c:dPt>
          <c:dPt>
            <c:idx val="377"/>
            <c:invertIfNegative val="0"/>
            <c:bubble3D val="0"/>
            <c:extLst>
              <c:ext xmlns:c16="http://schemas.microsoft.com/office/drawing/2014/chart" uri="{C3380CC4-5D6E-409C-BE32-E72D297353CC}">
                <c16:uniqueId val="{00000314-CD58-4699-998E-8012AD6B67F3}"/>
              </c:ext>
            </c:extLst>
          </c:dPt>
          <c:dPt>
            <c:idx val="378"/>
            <c:invertIfNegative val="0"/>
            <c:bubble3D val="0"/>
            <c:extLst>
              <c:ext xmlns:c16="http://schemas.microsoft.com/office/drawing/2014/chart" uri="{C3380CC4-5D6E-409C-BE32-E72D297353CC}">
                <c16:uniqueId val="{00000315-CD58-4699-998E-8012AD6B67F3}"/>
              </c:ext>
            </c:extLst>
          </c:dPt>
          <c:dPt>
            <c:idx val="379"/>
            <c:invertIfNegative val="0"/>
            <c:bubble3D val="0"/>
            <c:extLst>
              <c:ext xmlns:c16="http://schemas.microsoft.com/office/drawing/2014/chart" uri="{C3380CC4-5D6E-409C-BE32-E72D297353CC}">
                <c16:uniqueId val="{00000316-CD58-4699-998E-8012AD6B67F3}"/>
              </c:ext>
            </c:extLst>
          </c:dPt>
          <c:dPt>
            <c:idx val="380"/>
            <c:invertIfNegative val="0"/>
            <c:bubble3D val="0"/>
            <c:extLst>
              <c:ext xmlns:c16="http://schemas.microsoft.com/office/drawing/2014/chart" uri="{C3380CC4-5D6E-409C-BE32-E72D297353CC}">
                <c16:uniqueId val="{00000317-CD58-4699-998E-8012AD6B67F3}"/>
              </c:ext>
            </c:extLst>
          </c:dPt>
          <c:dPt>
            <c:idx val="381"/>
            <c:invertIfNegative val="0"/>
            <c:bubble3D val="0"/>
            <c:extLst>
              <c:ext xmlns:c16="http://schemas.microsoft.com/office/drawing/2014/chart" uri="{C3380CC4-5D6E-409C-BE32-E72D297353CC}">
                <c16:uniqueId val="{00000318-CD58-4699-998E-8012AD6B67F3}"/>
              </c:ext>
            </c:extLst>
          </c:dPt>
          <c:dPt>
            <c:idx val="382"/>
            <c:invertIfNegative val="0"/>
            <c:bubble3D val="0"/>
            <c:extLst>
              <c:ext xmlns:c16="http://schemas.microsoft.com/office/drawing/2014/chart" uri="{C3380CC4-5D6E-409C-BE32-E72D297353CC}">
                <c16:uniqueId val="{00000319-CD58-4699-998E-8012AD6B67F3}"/>
              </c:ext>
            </c:extLst>
          </c:dPt>
          <c:dPt>
            <c:idx val="383"/>
            <c:invertIfNegative val="0"/>
            <c:bubble3D val="0"/>
            <c:extLst>
              <c:ext xmlns:c16="http://schemas.microsoft.com/office/drawing/2014/chart" uri="{C3380CC4-5D6E-409C-BE32-E72D297353CC}">
                <c16:uniqueId val="{0000031A-CD58-4699-998E-8012AD6B67F3}"/>
              </c:ext>
            </c:extLst>
          </c:dPt>
          <c:dPt>
            <c:idx val="384"/>
            <c:invertIfNegative val="0"/>
            <c:bubble3D val="0"/>
            <c:extLst>
              <c:ext xmlns:c16="http://schemas.microsoft.com/office/drawing/2014/chart" uri="{C3380CC4-5D6E-409C-BE32-E72D297353CC}">
                <c16:uniqueId val="{0000031B-CD58-4699-998E-8012AD6B67F3}"/>
              </c:ext>
            </c:extLst>
          </c:dPt>
          <c:dPt>
            <c:idx val="385"/>
            <c:invertIfNegative val="0"/>
            <c:bubble3D val="0"/>
            <c:extLst>
              <c:ext xmlns:c16="http://schemas.microsoft.com/office/drawing/2014/chart" uri="{C3380CC4-5D6E-409C-BE32-E72D297353CC}">
                <c16:uniqueId val="{0000031C-CD58-4699-998E-8012AD6B67F3}"/>
              </c:ext>
            </c:extLst>
          </c:dPt>
          <c:dPt>
            <c:idx val="386"/>
            <c:invertIfNegative val="0"/>
            <c:bubble3D val="0"/>
            <c:extLst>
              <c:ext xmlns:c16="http://schemas.microsoft.com/office/drawing/2014/chart" uri="{C3380CC4-5D6E-409C-BE32-E72D297353CC}">
                <c16:uniqueId val="{0000031D-CD58-4699-998E-8012AD6B67F3}"/>
              </c:ext>
            </c:extLst>
          </c:dPt>
          <c:cat>
            <c:multiLvlStrRef>
              <c:f>pt.lvl3_generic_2!$B$8:$C$56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pt.lvl3_generic_2!$D$8:$D$56</c:f>
              <c:numCache>
                <c:formatCode>General</c:formatCode>
                <c:ptCount val="48"/>
                <c:pt idx="0">
                  <c:v>1</c:v>
                </c:pt>
                <c:pt idx="1">
                  <c:v>1</c:v>
                </c:pt>
                <c:pt idx="2">
                  <c:v>1</c:v>
                </c:pt>
                <c:pt idx="3">
                  <c:v>1</c:v>
                </c:pt>
                <c:pt idx="4">
                  <c:v>1</c:v>
                </c:pt>
                <c:pt idx="5">
                  <c:v>1</c:v>
                </c:pt>
                <c:pt idx="6">
                  <c:v>1</c:v>
                </c:pt>
                <c:pt idx="7">
                  <c:v>0.64031007751937985</c:v>
                </c:pt>
                <c:pt idx="8">
                  <c:v>0.16216216216216217</c:v>
                </c:pt>
                <c:pt idx="9">
                  <c:v>0.61471861471861466</c:v>
                </c:pt>
                <c:pt idx="10">
                  <c:v>0.55555555555555547</c:v>
                </c:pt>
                <c:pt idx="11">
                  <c:v>1</c:v>
                </c:pt>
                <c:pt idx="12">
                  <c:v>1</c:v>
                </c:pt>
                <c:pt idx="13">
                  <c:v>0.64444444444444449</c:v>
                </c:pt>
                <c:pt idx="14">
                  <c:v>0.96114369501466279</c:v>
                </c:pt>
                <c:pt idx="15">
                  <c:v>1</c:v>
                </c:pt>
                <c:pt idx="16">
                  <c:v>0.98571428571428577</c:v>
                </c:pt>
                <c:pt idx="17">
                  <c:v>0.90625</c:v>
                </c:pt>
                <c:pt idx="18">
                  <c:v>1</c:v>
                </c:pt>
                <c:pt idx="19">
                  <c:v>0.91666666666666663</c:v>
                </c:pt>
                <c:pt idx="20">
                  <c:v>0.94444444444444453</c:v>
                </c:pt>
                <c:pt idx="21">
                  <c:v>0.5</c:v>
                </c:pt>
                <c:pt idx="22">
                  <c:v>0.73913043478260876</c:v>
                </c:pt>
                <c:pt idx="23">
                  <c:v>0.78947368421052633</c:v>
                </c:pt>
                <c:pt idx="24">
                  <c:v>0.93333333333333324</c:v>
                </c:pt>
                <c:pt idx="25">
                  <c:v>0.87121212121212122</c:v>
                </c:pt>
                <c:pt idx="26">
                  <c:v>0.88235294117647056</c:v>
                </c:pt>
                <c:pt idx="27">
                  <c:v>0.88888888888888884</c:v>
                </c:pt>
                <c:pt idx="28">
                  <c:v>0.68181818181818188</c:v>
                </c:pt>
                <c:pt idx="29">
                  <c:v>0.88888888888888884</c:v>
                </c:pt>
                <c:pt idx="30">
                  <c:v>0.98888888888888893</c:v>
                </c:pt>
                <c:pt idx="31">
                  <c:v>0.91304347826086951</c:v>
                </c:pt>
                <c:pt idx="32">
                  <c:v>0.77777777777777779</c:v>
                </c:pt>
                <c:pt idx="33">
                  <c:v>0.88235294117647056</c:v>
                </c:pt>
                <c:pt idx="34">
                  <c:v>1</c:v>
                </c:pt>
                <c:pt idx="35">
                  <c:v>0.6428571428571429</c:v>
                </c:pt>
                <c:pt idx="36">
                  <c:v>0.58333333333333337</c:v>
                </c:pt>
                <c:pt idx="37">
                  <c:v>1</c:v>
                </c:pt>
                <c:pt idx="38">
                  <c:v>0.6</c:v>
                </c:pt>
                <c:pt idx="39">
                  <c:v>1</c:v>
                </c:pt>
                <c:pt idx="40">
                  <c:v>1</c:v>
                </c:pt>
                <c:pt idx="41">
                  <c:v>1</c:v>
                </c:pt>
                <c:pt idx="42">
                  <c:v>1</c:v>
                </c:pt>
                <c:pt idx="43">
                  <c:v>0.97619047619047628</c:v>
                </c:pt>
                <c:pt idx="44">
                  <c:v>0.99145299145299148</c:v>
                </c:pt>
                <c:pt idx="45">
                  <c:v>1</c:v>
                </c:pt>
                <c:pt idx="46">
                  <c:v>1</c:v>
                </c:pt>
                <c:pt idx="47">
                  <c:v>0.85</c:v>
                </c:pt>
              </c:numCache>
            </c:numRef>
          </c:val>
          <c:extLst>
            <c:ext xmlns:c16="http://schemas.microsoft.com/office/drawing/2014/chart" uri="{C3380CC4-5D6E-409C-BE32-E72D297353CC}">
              <c16:uniqueId val="{00000022-6B24-4F5F-A99D-335B0A93B561}"/>
            </c:ext>
          </c:extLst>
        </c:ser>
        <c:dLbls>
          <c:showLegendKey val="0"/>
          <c:showVal val="0"/>
          <c:showCatName val="0"/>
          <c:showSerName val="0"/>
          <c:showPercent val="0"/>
          <c:showBubbleSize val="0"/>
        </c:dLbls>
        <c:gapWidth val="200"/>
        <c:axId val="423338440"/>
        <c:axId val="423338832"/>
      </c:barChart>
      <c:lineChart>
        <c:grouping val="standard"/>
        <c:varyColors val="0"/>
        <c:ser>
          <c:idx val="1"/>
          <c:order val="1"/>
          <c:tx>
            <c:strRef>
              <c:f>pt.lvl3_generic_2!$E$7</c:f>
              <c:strCache>
                <c:ptCount val="1"/>
                <c:pt idx="0">
                  <c:v>Average of Cíl %</c:v>
                </c:pt>
              </c:strCache>
            </c:strRef>
          </c:tx>
          <c:spPr>
            <a:ln w="28575" cap="rnd">
              <a:solidFill>
                <a:srgbClr val="000000"/>
              </a:solidFill>
              <a:round/>
            </a:ln>
            <a:effectLst/>
          </c:spPr>
          <c:marker>
            <c:symbol val="none"/>
          </c:marker>
          <c:cat>
            <c:multiLvlStrRef>
              <c:f>pt.lvl3_generic_2!$B$8:$C$56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pt.lvl3_generic_2!$E$8:$E$56</c:f>
              <c:numCache>
                <c:formatCode>General</c:formatCode>
                <c:ptCount val="48"/>
                <c:pt idx="0">
                  <c:v>0.8</c:v>
                </c:pt>
                <c:pt idx="1">
                  <c:v>0.8</c:v>
                </c:pt>
                <c:pt idx="2">
                  <c:v>0.80000000000000016</c:v>
                </c:pt>
                <c:pt idx="3">
                  <c:v>0.80000000000000016</c:v>
                </c:pt>
                <c:pt idx="4">
                  <c:v>0.8</c:v>
                </c:pt>
                <c:pt idx="5">
                  <c:v>0.80000000000000016</c:v>
                </c:pt>
                <c:pt idx="6">
                  <c:v>0.80000000000000016</c:v>
                </c:pt>
                <c:pt idx="7">
                  <c:v>0.80000000000000016</c:v>
                </c:pt>
                <c:pt idx="8">
                  <c:v>0.8</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c:v>
                </c:pt>
                <c:pt idx="22">
                  <c:v>0.80000000000000016</c:v>
                </c:pt>
                <c:pt idx="23">
                  <c:v>0.8</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0.80000000000000016</c:v>
                </c:pt>
                <c:pt idx="33">
                  <c:v>0.8</c:v>
                </c:pt>
                <c:pt idx="34">
                  <c:v>0.8</c:v>
                </c:pt>
                <c:pt idx="35">
                  <c:v>0.80000000000000016</c:v>
                </c:pt>
                <c:pt idx="36">
                  <c:v>0.8</c:v>
                </c:pt>
                <c:pt idx="37">
                  <c:v>0.8</c:v>
                </c:pt>
                <c:pt idx="38">
                  <c:v>0.8</c:v>
                </c:pt>
                <c:pt idx="39">
                  <c:v>0.80000000000000016</c:v>
                </c:pt>
                <c:pt idx="40">
                  <c:v>0.8</c:v>
                </c:pt>
                <c:pt idx="41">
                  <c:v>0.8</c:v>
                </c:pt>
                <c:pt idx="42">
                  <c:v>0.80000000000000016</c:v>
                </c:pt>
                <c:pt idx="43">
                  <c:v>0.80000000000000016</c:v>
                </c:pt>
                <c:pt idx="44">
                  <c:v>0.80000000000000016</c:v>
                </c:pt>
                <c:pt idx="45">
                  <c:v>0.8</c:v>
                </c:pt>
                <c:pt idx="46">
                  <c:v>0.8</c:v>
                </c:pt>
                <c:pt idx="47">
                  <c:v>0.80000000000000016</c:v>
                </c:pt>
              </c:numCache>
            </c:numRef>
          </c:val>
          <c:smooth val="0"/>
          <c:extLst>
            <c:ext xmlns:c16="http://schemas.microsoft.com/office/drawing/2014/chart" uri="{C3380CC4-5D6E-409C-BE32-E72D297353CC}">
              <c16:uniqueId val="{00000023-6B24-4F5F-A99D-335B0A93B561}"/>
            </c:ext>
          </c:extLst>
        </c:ser>
        <c:ser>
          <c:idx val="2"/>
          <c:order val="2"/>
          <c:tx>
            <c:strRef>
              <c:f>pt.lvl3_generic_2!$F$7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6B24-4F5F-A99D-335B0A93B561}"/>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6B24-4F5F-A99D-335B0A93B561}"/>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6B24-4F5F-A99D-335B0A93B561}"/>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6B24-4F5F-A99D-335B0A93B561}"/>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6B24-4F5F-A99D-335B0A93B561}"/>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6B24-4F5F-A99D-335B0A93B561}"/>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6B24-4F5F-A99D-335B0A93B561}"/>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6B24-4F5F-A99D-335B0A93B561}"/>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6B24-4F5F-A99D-335B0A93B561}"/>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6B24-4F5F-A99D-335B0A93B561}"/>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6B24-4F5F-A99D-335B0A93B561}"/>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6B24-4F5F-A99D-335B0A93B561}"/>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6B24-4F5F-A99D-335B0A93B561}"/>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6B24-4F5F-A99D-335B0A93B561}"/>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6B24-4F5F-A99D-335B0A93B561}"/>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6B24-4F5F-A99D-335B0A93B561}"/>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6B24-4F5F-A99D-335B0A93B561}"/>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2881-4E89-B236-837408B48F3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2881-4E89-B236-837408B48F3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2881-4E89-B236-837408B48F3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2881-4E89-B236-837408B48F3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2881-4E89-B236-837408B48F3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2881-4E89-B236-837408B48F3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2881-4E89-B236-837408B48F3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BF7E-4362-A150-79F9723DD0D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BF7E-4362-A150-79F9723DD0D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BF7E-4362-A150-79F9723DD0D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BF7E-4362-A150-79F9723DD0D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F7E-4362-A150-79F9723DD0D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BF7E-4362-A150-79F9723DD0D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BF7E-4362-A150-79F9723DD0D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BF7E-4362-A150-79F9723DD0D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BF7E-4362-A150-79F9723DD0D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BF7E-4362-A150-79F9723DD0D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BF7E-4362-A150-79F9723DD0D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BF7E-4362-A150-79F9723DD0D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BF7E-4362-A150-79F9723DD0D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BF7E-4362-A150-79F9723DD0D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BF7E-4362-A150-79F9723DD0D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BF7E-4362-A150-79F9723DD0D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BF7E-4362-A150-79F9723DD0D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BF7E-4362-A150-79F9723DD0D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BF7E-4362-A150-79F9723DD0D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BF7E-4362-A150-79F9723DD0D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BF7E-4362-A150-79F9723DD0D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BF7E-4362-A150-79F9723DD0D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BF7E-4362-A150-79F9723DD0D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B-4C97-4EE9-9E92-269BAA52BA5C}"/>
              </c:ext>
            </c:extLst>
          </c:dPt>
          <c:dPt>
            <c:idx val="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FD-4C97-4EE9-9E92-269BAA52BA5C}"/>
              </c:ext>
            </c:extLst>
          </c:dPt>
          <c:dPt>
            <c:idx val="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FF-4C97-4EE9-9E92-269BAA52BA5C}"/>
              </c:ext>
            </c:extLst>
          </c:dPt>
          <c:dPt>
            <c:idx val="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1-4C97-4EE9-9E92-269BAA52BA5C}"/>
              </c:ext>
            </c:extLst>
          </c:dPt>
          <c:dPt>
            <c:idx val="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3-4C97-4EE9-9E92-269BAA52BA5C}"/>
              </c:ext>
            </c:extLst>
          </c:dPt>
          <c:dPt>
            <c:idx val="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5-4C97-4EE9-9E92-269BAA52BA5C}"/>
              </c:ext>
            </c:extLst>
          </c:dPt>
          <c:dPt>
            <c:idx val="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7-4C97-4EE9-9E92-269BAA52BA5C}"/>
              </c:ext>
            </c:extLst>
          </c:dPt>
          <c:dPt>
            <c:idx val="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9-4C97-4EE9-9E92-269BAA52BA5C}"/>
              </c:ext>
            </c:extLst>
          </c:dPt>
          <c:dPt>
            <c:idx val="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B-4C97-4EE9-9E92-269BAA52BA5C}"/>
              </c:ext>
            </c:extLst>
          </c:dPt>
          <c:dPt>
            <c:idx val="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D-4C97-4EE9-9E92-269BAA52BA5C}"/>
              </c:ext>
            </c:extLst>
          </c:dPt>
          <c:dPt>
            <c:idx val="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0F-4C97-4EE9-9E92-269BAA52BA5C}"/>
              </c:ext>
            </c:extLst>
          </c:dPt>
          <c:dPt>
            <c:idx val="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1-4C97-4EE9-9E92-269BAA52BA5C}"/>
              </c:ext>
            </c:extLst>
          </c:dPt>
          <c:dPt>
            <c:idx val="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3-4C97-4EE9-9E92-269BAA52BA5C}"/>
              </c:ext>
            </c:extLst>
          </c:dPt>
          <c:dPt>
            <c:idx val="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5-4C97-4EE9-9E92-269BAA52BA5C}"/>
              </c:ext>
            </c:extLst>
          </c:dPt>
          <c:dPt>
            <c:idx val="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7-4C97-4EE9-9E92-269BAA52BA5C}"/>
              </c:ext>
            </c:extLst>
          </c:dPt>
          <c:dPt>
            <c:idx val="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9-4C97-4EE9-9E92-269BAA52BA5C}"/>
              </c:ext>
            </c:extLst>
          </c:dPt>
          <c:dPt>
            <c:idx val="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B-4C97-4EE9-9E92-269BAA52BA5C}"/>
              </c:ext>
            </c:extLst>
          </c:dPt>
          <c:dPt>
            <c:idx val="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D-4C97-4EE9-9E92-269BAA52BA5C}"/>
              </c:ext>
            </c:extLst>
          </c:dPt>
          <c:dPt>
            <c:idx val="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F-4C97-4EE9-9E92-269BAA52BA5C}"/>
              </c:ext>
            </c:extLst>
          </c:dPt>
          <c:dPt>
            <c:idx val="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1-4C97-4EE9-9E92-269BAA52BA5C}"/>
              </c:ext>
            </c:extLst>
          </c:dPt>
          <c:dPt>
            <c:idx val="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3-4C97-4EE9-9E92-269BAA52BA5C}"/>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5-4C97-4EE9-9E92-269BAA52BA5C}"/>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7-4C97-4EE9-9E92-269BAA52BA5C}"/>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9-4C97-4EE9-9E92-269BAA52BA5C}"/>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B-4C97-4EE9-9E92-269BAA52BA5C}"/>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D-4C97-4EE9-9E92-269BAA52BA5C}"/>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F-4C97-4EE9-9E92-269BAA52BA5C}"/>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1-4C97-4EE9-9E92-269BAA52BA5C}"/>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3-4C97-4EE9-9E92-269BAA52BA5C}"/>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5-4C97-4EE9-9E92-269BAA52BA5C}"/>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7-4C97-4EE9-9E92-269BAA52BA5C}"/>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85F2-48F9-A6D6-7C92C3A163B2}"/>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85F2-48F9-A6D6-7C92C3A163B2}"/>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85F2-48F9-A6D6-7C92C3A163B2}"/>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85F2-48F9-A6D6-7C92C3A163B2}"/>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85F2-48F9-A6D6-7C92C3A163B2}"/>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85F2-48F9-A6D6-7C92C3A163B2}"/>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85F2-48F9-A6D6-7C92C3A163B2}"/>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85F2-48F9-A6D6-7C92C3A163B2}"/>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85F2-48F9-A6D6-7C92C3A163B2}"/>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85F2-48F9-A6D6-7C92C3A163B2}"/>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85F2-48F9-A6D6-7C92C3A163B2}"/>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85F2-48F9-A6D6-7C92C3A163B2}"/>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85F2-48F9-A6D6-7C92C3A163B2}"/>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85F2-48F9-A6D6-7C92C3A163B2}"/>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85F2-48F9-A6D6-7C92C3A163B2}"/>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85F2-48F9-A6D6-7C92C3A163B2}"/>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85F2-48F9-A6D6-7C92C3A163B2}"/>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85F2-48F9-A6D6-7C92C3A163B2}"/>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85F2-48F9-A6D6-7C92C3A163B2}"/>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85F2-48F9-A6D6-7C92C3A163B2}"/>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85F2-48F9-A6D6-7C92C3A163B2}"/>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85F2-48F9-A6D6-7C92C3A163B2}"/>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85F2-48F9-A6D6-7C92C3A163B2}"/>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85F2-48F9-A6D6-7C92C3A163B2}"/>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85F2-48F9-A6D6-7C92C3A163B2}"/>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85F2-48F9-A6D6-7C92C3A163B2}"/>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85F2-48F9-A6D6-7C92C3A163B2}"/>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6-00FB-4046-9AEB-6485F5C307E0}"/>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7-00FB-4046-9AEB-6485F5C307E0}"/>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5441-4E19-B288-4B40440E48D7}"/>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5441-4E19-B288-4B40440E48D7}"/>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5441-4E19-B288-4B40440E48D7}"/>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5441-4E19-B288-4B40440E48D7}"/>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5441-4E19-B288-4B40440E48D7}"/>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5441-4E19-B288-4B40440E48D7}"/>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5441-4E19-B288-4B40440E48D7}"/>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5441-4E19-B288-4B40440E48D7}"/>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5441-4E19-B288-4B40440E48D7}"/>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5441-4E19-B288-4B40440E48D7}"/>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5441-4E19-B288-4B40440E48D7}"/>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5441-4E19-B288-4B40440E48D7}"/>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5441-4E19-B288-4B40440E48D7}"/>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5441-4E19-B288-4B40440E48D7}"/>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0-5441-4E19-B288-4B40440E48D7}"/>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1-5441-4E19-B288-4B40440E48D7}"/>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2-5441-4E19-B288-4B40440E48D7}"/>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3-5441-4E19-B288-4B40440E48D7}"/>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4-5441-4E19-B288-4B40440E48D7}"/>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5-5441-4E19-B288-4B40440E48D7}"/>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6-5441-4E19-B288-4B40440E48D7}"/>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7-5441-4E19-B288-4B40440E48D7}"/>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3231-4CEF-8B34-6403FFF11955}"/>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3231-4CEF-8B34-6403FFF11955}"/>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3231-4CEF-8B34-6403FFF11955}"/>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B-3231-4CEF-8B34-6403FFF11955}"/>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3B66-41CD-8D97-2B3685374301}"/>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3B66-41CD-8D97-2B3685374301}"/>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6F02-44AE-8B8F-0CD0CFD4DE35}"/>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F-6F02-44AE-8B8F-0CD0CFD4DE35}"/>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CD58-4699-998E-8012AD6B67F3}"/>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CD58-4699-998E-8012AD6B67F3}"/>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CD58-4699-998E-8012AD6B67F3}"/>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CD58-4699-998E-8012AD6B67F3}"/>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CD58-4699-998E-8012AD6B67F3}"/>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CD58-4699-998E-8012AD6B67F3}"/>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CD58-4699-998E-8012AD6B67F3}"/>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CD58-4699-998E-8012AD6B67F3}"/>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CD58-4699-998E-8012AD6B67F3}"/>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CD58-4699-998E-8012AD6B67F3}"/>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CD58-4699-998E-8012AD6B67F3}"/>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CD58-4699-998E-8012AD6B67F3}"/>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CD58-4699-998E-8012AD6B67F3}"/>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CD58-4699-998E-8012AD6B67F3}"/>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CD58-4699-998E-8012AD6B67F3}"/>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CD58-4699-998E-8012AD6B67F3}"/>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CD58-4699-998E-8012AD6B67F3}"/>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CD58-4699-998E-8012AD6B67F3}"/>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CD58-4699-998E-8012AD6B67F3}"/>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CD58-4699-998E-8012AD6B67F3}"/>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CD58-4699-998E-8012AD6B67F3}"/>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CD58-4699-998E-8012AD6B67F3}"/>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CD58-4699-998E-8012AD6B67F3}"/>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CD58-4699-998E-8012AD6B67F3}"/>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CD58-4699-998E-8012AD6B67F3}"/>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CD58-4699-998E-8012AD6B67F3}"/>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CD58-4699-998E-8012AD6B67F3}"/>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CD58-4699-998E-8012AD6B67F3}"/>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CD58-4699-998E-8012AD6B67F3}"/>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CD58-4699-998E-8012AD6B67F3}"/>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CD58-4699-998E-8012AD6B67F3}"/>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CD58-4699-998E-8012AD6B67F3}"/>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CD58-4699-998E-8012AD6B67F3}"/>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CD58-4699-998E-8012AD6B67F3}"/>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CD58-4699-998E-8012AD6B67F3}"/>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CD58-4699-998E-8012AD6B67F3}"/>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CD58-4699-998E-8012AD6B67F3}"/>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CD58-4699-998E-8012AD6B67F3}"/>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CD58-4699-998E-8012AD6B67F3}"/>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CD58-4699-998E-8012AD6B67F3}"/>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CD58-4699-998E-8012AD6B67F3}"/>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CD58-4699-998E-8012AD6B67F3}"/>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CD58-4699-998E-8012AD6B67F3}"/>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CD58-4699-998E-8012AD6B67F3}"/>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CD58-4699-998E-8012AD6B67F3}"/>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CD58-4699-998E-8012AD6B67F3}"/>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CD58-4699-998E-8012AD6B67F3}"/>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CD58-4699-998E-8012AD6B67F3}"/>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CD58-4699-998E-8012AD6B67F3}"/>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CD58-4699-998E-8012AD6B67F3}"/>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CD58-4699-998E-8012AD6B67F3}"/>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CD58-4699-998E-8012AD6B67F3}"/>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CD58-4699-998E-8012AD6B67F3}"/>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CD58-4699-998E-8012AD6B67F3}"/>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CD58-4699-998E-8012AD6B67F3}"/>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CD58-4699-998E-8012AD6B67F3}"/>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CD58-4699-998E-8012AD6B67F3}"/>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CD58-4699-998E-8012AD6B67F3}"/>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CD58-4699-998E-8012AD6B67F3}"/>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CD58-4699-998E-8012AD6B67F3}"/>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CD58-4699-998E-8012AD6B67F3}"/>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CD58-4699-998E-8012AD6B67F3}"/>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CD58-4699-998E-8012AD6B67F3}"/>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CD58-4699-998E-8012AD6B67F3}"/>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CD58-4699-998E-8012AD6B67F3}"/>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CD58-4699-998E-8012AD6B67F3}"/>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CD58-4699-998E-8012AD6B67F3}"/>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CD58-4699-998E-8012AD6B67F3}"/>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CD58-4699-998E-8012AD6B67F3}"/>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CD58-4699-998E-8012AD6B67F3}"/>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CD58-4699-998E-8012AD6B67F3}"/>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CD58-4699-998E-8012AD6B67F3}"/>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CD58-4699-998E-8012AD6B67F3}"/>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CD58-4699-998E-8012AD6B67F3}"/>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CD58-4699-998E-8012AD6B67F3}"/>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CD58-4699-998E-8012AD6B67F3}"/>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CD58-4699-998E-8012AD6B67F3}"/>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CD58-4699-998E-8012AD6B67F3}"/>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CD58-4699-998E-8012AD6B67F3}"/>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CD58-4699-998E-8012AD6B67F3}"/>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CD58-4699-998E-8012AD6B67F3}"/>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CD58-4699-998E-8012AD6B67F3}"/>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CD58-4699-998E-8012AD6B67F3}"/>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CD58-4699-998E-8012AD6B67F3}"/>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CD58-4699-998E-8012AD6B67F3}"/>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CD58-4699-998E-8012AD6B67F3}"/>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CD58-4699-998E-8012AD6B67F3}"/>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CD58-4699-998E-8012AD6B67F3}"/>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CD58-4699-998E-8012AD6B67F3}"/>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CD58-4699-998E-8012AD6B67F3}"/>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CD58-4699-998E-8012AD6B67F3}"/>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CD58-4699-998E-8012AD6B67F3}"/>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CD58-4699-998E-8012AD6B67F3}"/>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CD58-4699-998E-8012AD6B67F3}"/>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CD58-4699-998E-8012AD6B67F3}"/>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CD58-4699-998E-8012AD6B67F3}"/>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CD58-4699-998E-8012AD6B67F3}"/>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CD58-4699-998E-8012AD6B67F3}"/>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CD58-4699-998E-8012AD6B67F3}"/>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CD58-4699-998E-8012AD6B67F3}"/>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CD58-4699-998E-8012AD6B67F3}"/>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CD58-4699-998E-8012AD6B67F3}"/>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CD58-4699-998E-8012AD6B67F3}"/>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CD58-4699-998E-8012AD6B67F3}"/>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CD58-4699-998E-8012AD6B67F3}"/>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CD58-4699-998E-8012AD6B67F3}"/>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CD58-4699-998E-8012AD6B67F3}"/>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CD58-4699-998E-8012AD6B67F3}"/>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CD58-4699-998E-8012AD6B67F3}"/>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CD58-4699-998E-8012AD6B67F3}"/>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CD58-4699-998E-8012AD6B67F3}"/>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CD58-4699-998E-8012AD6B67F3}"/>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CD58-4699-998E-8012AD6B67F3}"/>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CD58-4699-998E-8012AD6B67F3}"/>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CD58-4699-998E-8012AD6B67F3}"/>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CD58-4699-998E-8012AD6B67F3}"/>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CD58-4699-998E-8012AD6B67F3}"/>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CD58-4699-998E-8012AD6B67F3}"/>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CD58-4699-998E-8012AD6B67F3}"/>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CD58-4699-998E-8012AD6B67F3}"/>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CD58-4699-998E-8012AD6B67F3}"/>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CD58-4699-998E-8012AD6B67F3}"/>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CD58-4699-998E-8012AD6B67F3}"/>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CD58-4699-998E-8012AD6B67F3}"/>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CD58-4699-998E-8012AD6B67F3}"/>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CD58-4699-998E-8012AD6B67F3}"/>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CD58-4699-998E-8012AD6B67F3}"/>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CD58-4699-998E-8012AD6B67F3}"/>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CD58-4699-998E-8012AD6B67F3}"/>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CD58-4699-998E-8012AD6B67F3}"/>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CD58-4699-998E-8012AD6B67F3}"/>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CD58-4699-998E-8012AD6B67F3}"/>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CD58-4699-998E-8012AD6B67F3}"/>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CD58-4699-998E-8012AD6B67F3}"/>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CD58-4699-998E-8012AD6B67F3}"/>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CD58-4699-998E-8012AD6B67F3}"/>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CD58-4699-998E-8012AD6B67F3}"/>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CD58-4699-998E-8012AD6B67F3}"/>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CD58-4699-998E-8012AD6B67F3}"/>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CD58-4699-998E-8012AD6B67F3}"/>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CD58-4699-998E-8012AD6B67F3}"/>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CD58-4699-998E-8012AD6B67F3}"/>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CD58-4699-998E-8012AD6B67F3}"/>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CD58-4699-998E-8012AD6B67F3}"/>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CD58-4699-998E-8012AD6B67F3}"/>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CD58-4699-998E-8012AD6B67F3}"/>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CD58-4699-998E-8012AD6B67F3}"/>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CD58-4699-998E-8012AD6B67F3}"/>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CD58-4699-998E-8012AD6B67F3}"/>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CD58-4699-998E-8012AD6B67F3}"/>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CD58-4699-998E-8012AD6B67F3}"/>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CD58-4699-998E-8012AD6B67F3}"/>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CD58-4699-998E-8012AD6B67F3}"/>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CD58-4699-998E-8012AD6B67F3}"/>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CD58-4699-998E-8012AD6B67F3}"/>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CD58-4699-998E-8012AD6B67F3}"/>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CD58-4699-998E-8012AD6B67F3}"/>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CD58-4699-998E-8012AD6B67F3}"/>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CD58-4699-998E-8012AD6B67F3}"/>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CD58-4699-998E-8012AD6B67F3}"/>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CD58-4699-998E-8012AD6B67F3}"/>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CD58-4699-998E-8012AD6B67F3}"/>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CD58-4699-998E-8012AD6B67F3}"/>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CD58-4699-998E-8012AD6B67F3}"/>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CD58-4699-998E-8012AD6B67F3}"/>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CD58-4699-998E-8012AD6B67F3}"/>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CD58-4699-998E-8012AD6B67F3}"/>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CD58-4699-998E-8012AD6B67F3}"/>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CD58-4699-998E-8012AD6B67F3}"/>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CD58-4699-998E-8012AD6B67F3}"/>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CD58-4699-998E-8012AD6B67F3}"/>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CD58-4699-998E-8012AD6B67F3}"/>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CD58-4699-998E-8012AD6B67F3}"/>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CD58-4699-998E-8012AD6B67F3}"/>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CD58-4699-998E-8012AD6B67F3}"/>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CD58-4699-998E-8012AD6B67F3}"/>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CD58-4699-998E-8012AD6B67F3}"/>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CD58-4699-998E-8012AD6B67F3}"/>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CD58-4699-998E-8012AD6B67F3}"/>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CD58-4699-998E-8012AD6B67F3}"/>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CD58-4699-998E-8012AD6B67F3}"/>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CD58-4699-998E-8012AD6B67F3}"/>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CD58-4699-998E-8012AD6B67F3}"/>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CD58-4699-998E-8012AD6B67F3}"/>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CD58-4699-998E-8012AD6B67F3}"/>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CD58-4699-998E-8012AD6B67F3}"/>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CD58-4699-998E-8012AD6B67F3}"/>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CD58-4699-998E-8012AD6B67F3}"/>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CD58-4699-998E-8012AD6B67F3}"/>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CD58-4699-998E-8012AD6B67F3}"/>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CD58-4699-998E-8012AD6B67F3}"/>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CD58-4699-998E-8012AD6B67F3}"/>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CD58-4699-998E-8012AD6B67F3}"/>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CD58-4699-998E-8012AD6B67F3}"/>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CD58-4699-998E-8012AD6B67F3}"/>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CD58-4699-998E-8012AD6B67F3}"/>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CD58-4699-998E-8012AD6B67F3}"/>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CD58-4699-998E-8012AD6B67F3}"/>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CD58-4699-998E-8012AD6B67F3}"/>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CD58-4699-998E-8012AD6B67F3}"/>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CD58-4699-998E-8012AD6B67F3}"/>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CD58-4699-998E-8012AD6B67F3}"/>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CD58-4699-998E-8012AD6B67F3}"/>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CD58-4699-998E-8012AD6B67F3}"/>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CD58-4699-998E-8012AD6B67F3}"/>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CD58-4699-998E-8012AD6B67F3}"/>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CD58-4699-998E-8012AD6B67F3}"/>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CD58-4699-998E-8012AD6B67F3}"/>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CD58-4699-998E-8012AD6B67F3}"/>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CD58-4699-998E-8012AD6B67F3}"/>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CD58-4699-998E-8012AD6B67F3}"/>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CD58-4699-998E-8012AD6B67F3}"/>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CD58-4699-998E-8012AD6B67F3}"/>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CD58-4699-998E-8012AD6B67F3}"/>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CD58-4699-998E-8012AD6B67F3}"/>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CD58-4699-998E-8012AD6B67F3}"/>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CD58-4699-998E-8012AD6B67F3}"/>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CD58-4699-998E-8012AD6B67F3}"/>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CD58-4699-998E-8012AD6B67F3}"/>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CD58-4699-998E-8012AD6B67F3}"/>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CD58-4699-998E-8012AD6B67F3}"/>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CD58-4699-998E-8012AD6B67F3}"/>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CD58-4699-998E-8012AD6B67F3}"/>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CD58-4699-998E-8012AD6B67F3}"/>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CD58-4699-998E-8012AD6B67F3}"/>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CD58-4699-998E-8012AD6B67F3}"/>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CD58-4699-998E-8012AD6B67F3}"/>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CD58-4699-998E-8012AD6B67F3}"/>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CD58-4699-998E-8012AD6B67F3}"/>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CD58-4699-998E-8012AD6B67F3}"/>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CD58-4699-998E-8012AD6B67F3}"/>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CD58-4699-998E-8012AD6B67F3}"/>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CD58-4699-998E-8012AD6B67F3}"/>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CD58-4699-998E-8012AD6B67F3}"/>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CD58-4699-998E-8012AD6B67F3}"/>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CD58-4699-998E-8012AD6B67F3}"/>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CD58-4699-998E-8012AD6B67F3}"/>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CD58-4699-998E-8012AD6B67F3}"/>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CD58-4699-998E-8012AD6B67F3}"/>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CD58-4699-998E-8012AD6B67F3}"/>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CD58-4699-998E-8012AD6B67F3}"/>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CD58-4699-998E-8012AD6B67F3}"/>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CD58-4699-998E-8012AD6B67F3}"/>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CD58-4699-998E-8012AD6B67F3}"/>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CD58-4699-998E-8012AD6B67F3}"/>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CD58-4699-998E-8012AD6B67F3}"/>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CD58-4699-998E-8012AD6B67F3}"/>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CD58-4699-998E-8012AD6B67F3}"/>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CD58-4699-998E-8012AD6B67F3}"/>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CD58-4699-998E-8012AD6B67F3}"/>
              </c:ext>
            </c:extLst>
          </c:dPt>
          <c:cat>
            <c:multiLvlStrRef>
              <c:f>pt.lvl3_generic_2!$B$8:$C$56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pt.lvl3_generic_2!$F$8:$F$56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c:ext xmlns:c16="http://schemas.microsoft.com/office/drawing/2014/chart" uri="{C3380CC4-5D6E-409C-BE32-E72D297353CC}">
              <c16:uniqueId val="{00000046-6B24-4F5F-A99D-335B0A93B561}"/>
            </c:ext>
          </c:extLst>
        </c:ser>
        <c:dLbls>
          <c:showLegendKey val="0"/>
          <c:showVal val="0"/>
          <c:showCatName val="0"/>
          <c:showSerName val="0"/>
          <c:showPercent val="0"/>
          <c:showBubbleSize val="0"/>
        </c:dLbls>
        <c:marker val="1"/>
        <c:smooth val="0"/>
        <c:axId val="423338440"/>
        <c:axId val="423338832"/>
      </c:lineChart>
      <c:catAx>
        <c:axId val="423338440"/>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832"/>
        <c:crosses val="autoZero"/>
        <c:auto val="1"/>
        <c:lblAlgn val="ctr"/>
        <c:lblOffset val="100"/>
        <c:noMultiLvlLbl val="0"/>
      </c:catAx>
      <c:valAx>
        <c:axId val="4233388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440"/>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1.3_3_2.xlsm]pt.lvl3_generic_1!pt.lvl3_generic_1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pivotFmt>
      <c:pivotFmt>
        <c:idx val="11"/>
      </c:pivotFmt>
      <c:pivotFmt>
        <c:idx val="12"/>
      </c:pivotFmt>
      <c:pivotFmt>
        <c:idx val="13"/>
      </c:pivotFmt>
      <c:pivotFmt>
        <c:idx val="14"/>
      </c:pivotFmt>
      <c:pivotFmt>
        <c:idx val="15"/>
      </c:pivotFmt>
      <c:pivotFmt>
        <c:idx val="1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1"/>
      </c:pivotFmt>
      <c:pivotFmt>
        <c:idx val="42"/>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4"/>
        <c:spPr>
          <a:solidFill>
            <a:srgbClr val="9CC746"/>
          </a:solidFill>
          <a:ln>
            <a:solidFill>
              <a:srgbClr val="9CC746"/>
            </a:solidFill>
          </a:ln>
          <a:effectLst/>
        </c:spPr>
      </c:pivotFmt>
      <c:pivotFmt>
        <c:idx val="10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6"/>
        <c:spPr>
          <a:solidFill>
            <a:schemeClr val="accent1"/>
          </a:solidFill>
          <a:ln>
            <a:noFill/>
          </a:ln>
          <a:effectLst/>
        </c:spPr>
        <c:marker>
          <c:symbol val="none"/>
        </c:marker>
      </c:pivotFmt>
      <c:pivotFmt>
        <c:idx val="107"/>
        <c:spPr>
          <a:ln w="28575" cap="rnd">
            <a:solidFill>
              <a:srgbClr val="000000"/>
            </a:solidFill>
            <a:round/>
          </a:ln>
          <a:effectLst/>
        </c:spPr>
        <c:marker>
          <c:symbol val="none"/>
        </c:marker>
      </c:pivotFmt>
      <c:pivotFmt>
        <c:idx val="1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rgbClr val="9CC746"/>
          </a:solidFill>
          <a:ln>
            <a:noFill/>
          </a:ln>
          <a:effectLst/>
        </c:spPr>
        <c:marker>
          <c:spPr>
            <a:solidFill>
              <a:schemeClr val="accent1"/>
            </a:solidFill>
            <a:ln w="9525">
              <a:solidFill>
                <a:schemeClr val="accent1"/>
              </a:solidFill>
            </a:ln>
            <a:effectLst/>
          </c:spPr>
        </c:marker>
      </c:pivotFmt>
      <c:pivotFmt>
        <c:idx val="196"/>
        <c:spPr>
          <a:solidFill>
            <a:schemeClr val="accent1"/>
          </a:solidFill>
          <a:ln w="28575" cap="rnd">
            <a:solidFill>
              <a:srgbClr val="FFC000"/>
            </a:solidFill>
            <a:round/>
          </a:ln>
          <a:effectLst/>
        </c:spP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5.9882671039122086E-2"/>
          <c:y val="0.13052435929841069"/>
          <c:w val="0.93389463315303567"/>
          <c:h val="0.58827329575782661"/>
        </c:manualLayout>
      </c:layout>
      <c:barChart>
        <c:barDir val="col"/>
        <c:grouping val="clustered"/>
        <c:varyColors val="0"/>
        <c:ser>
          <c:idx val="0"/>
          <c:order val="0"/>
          <c:tx>
            <c:strRef>
              <c:f>pt.lvl3_generic_1!$D$7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5750-4A32-8FA3-70A75E2E8DB9}"/>
              </c:ext>
            </c:extLst>
          </c:dPt>
          <c:dPt>
            <c:idx val="1"/>
            <c:invertIfNegative val="0"/>
            <c:bubble3D val="0"/>
            <c:spPr>
              <a:solidFill>
                <a:srgbClr val="9CC746"/>
              </a:solidFill>
              <a:ln>
                <a:noFill/>
              </a:ln>
              <a:effectLst/>
            </c:spPr>
            <c:extLst>
              <c:ext xmlns:c16="http://schemas.microsoft.com/office/drawing/2014/chart" uri="{C3380CC4-5D6E-409C-BE32-E72D297353CC}">
                <c16:uniqueId val="{00000003-5750-4A32-8FA3-70A75E2E8DB9}"/>
              </c:ext>
            </c:extLst>
          </c:dPt>
          <c:dPt>
            <c:idx val="2"/>
            <c:invertIfNegative val="0"/>
            <c:bubble3D val="0"/>
            <c:spPr>
              <a:solidFill>
                <a:srgbClr val="9B2D2A"/>
              </a:solidFill>
              <a:ln>
                <a:noFill/>
              </a:ln>
              <a:effectLst/>
            </c:spPr>
            <c:extLst>
              <c:ext xmlns:c16="http://schemas.microsoft.com/office/drawing/2014/chart" uri="{C3380CC4-5D6E-409C-BE32-E72D297353CC}">
                <c16:uniqueId val="{00000005-5750-4A32-8FA3-70A75E2E8DB9}"/>
              </c:ext>
            </c:extLst>
          </c:dPt>
          <c:dPt>
            <c:idx val="3"/>
            <c:invertIfNegative val="0"/>
            <c:bubble3D val="0"/>
            <c:spPr>
              <a:solidFill>
                <a:srgbClr val="9B2D2A"/>
              </a:solidFill>
              <a:ln>
                <a:noFill/>
              </a:ln>
              <a:effectLst/>
            </c:spPr>
            <c:extLst>
              <c:ext xmlns:c16="http://schemas.microsoft.com/office/drawing/2014/chart" uri="{C3380CC4-5D6E-409C-BE32-E72D297353CC}">
                <c16:uniqueId val="{00000007-5750-4A32-8FA3-70A75E2E8DB9}"/>
              </c:ext>
            </c:extLst>
          </c:dPt>
          <c:dPt>
            <c:idx val="4"/>
            <c:invertIfNegative val="0"/>
            <c:bubble3D val="0"/>
            <c:spPr>
              <a:solidFill>
                <a:srgbClr val="9CC746"/>
              </a:solidFill>
              <a:ln>
                <a:noFill/>
              </a:ln>
              <a:effectLst/>
            </c:spPr>
            <c:extLst>
              <c:ext xmlns:c16="http://schemas.microsoft.com/office/drawing/2014/chart" uri="{C3380CC4-5D6E-409C-BE32-E72D297353CC}">
                <c16:uniqueId val="{00000009-5750-4A32-8FA3-70A75E2E8DB9}"/>
              </c:ext>
            </c:extLst>
          </c:dPt>
          <c:dPt>
            <c:idx val="5"/>
            <c:invertIfNegative val="0"/>
            <c:bubble3D val="0"/>
            <c:spPr>
              <a:solidFill>
                <a:srgbClr val="9CC746"/>
              </a:solidFill>
              <a:ln>
                <a:noFill/>
              </a:ln>
              <a:effectLst/>
            </c:spPr>
            <c:extLst>
              <c:ext xmlns:c16="http://schemas.microsoft.com/office/drawing/2014/chart" uri="{C3380CC4-5D6E-409C-BE32-E72D297353CC}">
                <c16:uniqueId val="{0000000B-5750-4A32-8FA3-70A75E2E8DB9}"/>
              </c:ext>
            </c:extLst>
          </c:dPt>
          <c:dPt>
            <c:idx val="6"/>
            <c:invertIfNegative val="0"/>
            <c:bubble3D val="0"/>
            <c:spPr>
              <a:solidFill>
                <a:srgbClr val="9B2D2A"/>
              </a:solidFill>
              <a:ln>
                <a:noFill/>
              </a:ln>
              <a:effectLst/>
            </c:spPr>
            <c:extLst>
              <c:ext xmlns:c16="http://schemas.microsoft.com/office/drawing/2014/chart" uri="{C3380CC4-5D6E-409C-BE32-E72D297353CC}">
                <c16:uniqueId val="{0000000D-5750-4A32-8FA3-70A75E2E8DB9}"/>
              </c:ext>
            </c:extLst>
          </c:dPt>
          <c:dPt>
            <c:idx val="7"/>
            <c:invertIfNegative val="0"/>
            <c:bubble3D val="0"/>
            <c:spPr>
              <a:solidFill>
                <a:srgbClr val="9B2D2A"/>
              </a:solidFill>
              <a:ln>
                <a:noFill/>
              </a:ln>
              <a:effectLst/>
            </c:spPr>
            <c:extLst>
              <c:ext xmlns:c16="http://schemas.microsoft.com/office/drawing/2014/chart" uri="{C3380CC4-5D6E-409C-BE32-E72D297353CC}">
                <c16:uniqueId val="{0000000F-5750-4A32-8FA3-70A75E2E8DB9}"/>
              </c:ext>
            </c:extLst>
          </c:dPt>
          <c:dPt>
            <c:idx val="8"/>
            <c:invertIfNegative val="0"/>
            <c:bubble3D val="0"/>
            <c:spPr>
              <a:solidFill>
                <a:srgbClr val="9B2D2A"/>
              </a:solidFill>
              <a:ln>
                <a:noFill/>
              </a:ln>
              <a:effectLst/>
            </c:spPr>
            <c:extLst>
              <c:ext xmlns:c16="http://schemas.microsoft.com/office/drawing/2014/chart" uri="{C3380CC4-5D6E-409C-BE32-E72D297353CC}">
                <c16:uniqueId val="{00000011-5750-4A32-8FA3-70A75E2E8DB9}"/>
              </c:ext>
            </c:extLst>
          </c:dPt>
          <c:dPt>
            <c:idx val="9"/>
            <c:invertIfNegative val="0"/>
            <c:bubble3D val="0"/>
            <c:spPr>
              <a:solidFill>
                <a:srgbClr val="9B2D2A"/>
              </a:solidFill>
              <a:ln>
                <a:noFill/>
              </a:ln>
              <a:effectLst/>
            </c:spPr>
            <c:extLst>
              <c:ext xmlns:c16="http://schemas.microsoft.com/office/drawing/2014/chart" uri="{C3380CC4-5D6E-409C-BE32-E72D297353CC}">
                <c16:uniqueId val="{00000013-5750-4A32-8FA3-70A75E2E8DB9}"/>
              </c:ext>
            </c:extLst>
          </c:dPt>
          <c:dPt>
            <c:idx val="10"/>
            <c:invertIfNegative val="0"/>
            <c:bubble3D val="0"/>
            <c:spPr>
              <a:solidFill>
                <a:srgbClr val="9B2D2A"/>
              </a:solidFill>
              <a:ln>
                <a:noFill/>
              </a:ln>
              <a:effectLst/>
            </c:spPr>
            <c:extLst>
              <c:ext xmlns:c16="http://schemas.microsoft.com/office/drawing/2014/chart" uri="{C3380CC4-5D6E-409C-BE32-E72D297353CC}">
                <c16:uniqueId val="{00000015-5750-4A32-8FA3-70A75E2E8DB9}"/>
              </c:ext>
            </c:extLst>
          </c:dPt>
          <c:dPt>
            <c:idx val="11"/>
            <c:invertIfNegative val="0"/>
            <c:bubble3D val="0"/>
            <c:spPr>
              <a:solidFill>
                <a:srgbClr val="9CC746"/>
              </a:solidFill>
              <a:ln>
                <a:noFill/>
              </a:ln>
              <a:effectLst/>
            </c:spPr>
            <c:extLst>
              <c:ext xmlns:c16="http://schemas.microsoft.com/office/drawing/2014/chart" uri="{C3380CC4-5D6E-409C-BE32-E72D297353CC}">
                <c16:uniqueId val="{00000017-5750-4A32-8FA3-70A75E2E8DB9}"/>
              </c:ext>
            </c:extLst>
          </c:dPt>
          <c:dPt>
            <c:idx val="12"/>
            <c:invertIfNegative val="0"/>
            <c:bubble3D val="0"/>
            <c:spPr>
              <a:solidFill>
                <a:srgbClr val="9B2D2A"/>
              </a:solidFill>
              <a:ln>
                <a:noFill/>
              </a:ln>
              <a:effectLst/>
            </c:spPr>
            <c:extLst>
              <c:ext xmlns:c16="http://schemas.microsoft.com/office/drawing/2014/chart" uri="{C3380CC4-5D6E-409C-BE32-E72D297353CC}">
                <c16:uniqueId val="{00000019-5750-4A32-8FA3-70A75E2E8DB9}"/>
              </c:ext>
            </c:extLst>
          </c:dPt>
          <c:dPt>
            <c:idx val="13"/>
            <c:invertIfNegative val="0"/>
            <c:bubble3D val="0"/>
            <c:spPr>
              <a:solidFill>
                <a:srgbClr val="9B2D2A"/>
              </a:solidFill>
              <a:ln>
                <a:noFill/>
              </a:ln>
              <a:effectLst/>
            </c:spPr>
            <c:extLst>
              <c:ext xmlns:c16="http://schemas.microsoft.com/office/drawing/2014/chart" uri="{C3380CC4-5D6E-409C-BE32-E72D297353CC}">
                <c16:uniqueId val="{0000001B-5750-4A32-8FA3-70A75E2E8DB9}"/>
              </c:ext>
            </c:extLst>
          </c:dPt>
          <c:dPt>
            <c:idx val="14"/>
            <c:invertIfNegative val="0"/>
            <c:bubble3D val="0"/>
            <c:spPr>
              <a:solidFill>
                <a:srgbClr val="9B2D2A"/>
              </a:solidFill>
              <a:ln>
                <a:noFill/>
              </a:ln>
              <a:effectLst/>
            </c:spPr>
            <c:extLst>
              <c:ext xmlns:c16="http://schemas.microsoft.com/office/drawing/2014/chart" uri="{C3380CC4-5D6E-409C-BE32-E72D297353CC}">
                <c16:uniqueId val="{0000001D-5750-4A32-8FA3-70A75E2E8DB9}"/>
              </c:ext>
            </c:extLst>
          </c:dPt>
          <c:dPt>
            <c:idx val="15"/>
            <c:invertIfNegative val="0"/>
            <c:bubble3D val="0"/>
            <c:spPr>
              <a:solidFill>
                <a:srgbClr val="9CC746"/>
              </a:solidFill>
              <a:ln>
                <a:noFill/>
              </a:ln>
              <a:effectLst/>
            </c:spPr>
            <c:extLst>
              <c:ext xmlns:c16="http://schemas.microsoft.com/office/drawing/2014/chart" uri="{C3380CC4-5D6E-409C-BE32-E72D297353CC}">
                <c16:uniqueId val="{0000001F-5750-4A32-8FA3-70A75E2E8DB9}"/>
              </c:ext>
            </c:extLst>
          </c:dPt>
          <c:dPt>
            <c:idx val="16"/>
            <c:invertIfNegative val="0"/>
            <c:bubble3D val="0"/>
            <c:spPr>
              <a:solidFill>
                <a:srgbClr val="9B2D2A"/>
              </a:solidFill>
              <a:ln>
                <a:noFill/>
              </a:ln>
              <a:effectLst/>
            </c:spPr>
            <c:extLst>
              <c:ext xmlns:c16="http://schemas.microsoft.com/office/drawing/2014/chart" uri="{C3380CC4-5D6E-409C-BE32-E72D297353CC}">
                <c16:uniqueId val="{00000021-5750-4A32-8FA3-70A75E2E8DB9}"/>
              </c:ext>
            </c:extLst>
          </c:dPt>
          <c:dPt>
            <c:idx val="17"/>
            <c:invertIfNegative val="0"/>
            <c:bubble3D val="0"/>
            <c:spPr>
              <a:solidFill>
                <a:srgbClr val="9B2D2A"/>
              </a:solidFill>
              <a:ln>
                <a:noFill/>
              </a:ln>
              <a:effectLst/>
            </c:spPr>
            <c:extLst>
              <c:ext xmlns:c16="http://schemas.microsoft.com/office/drawing/2014/chart" uri="{C3380CC4-5D6E-409C-BE32-E72D297353CC}">
                <c16:uniqueId val="{00000044-C0C5-4573-B331-48114D8E6C12}"/>
              </c:ext>
            </c:extLst>
          </c:dPt>
          <c:dPt>
            <c:idx val="18"/>
            <c:invertIfNegative val="0"/>
            <c:bubble3D val="0"/>
            <c:spPr>
              <a:solidFill>
                <a:srgbClr val="9CC746"/>
              </a:solidFill>
              <a:ln>
                <a:noFill/>
              </a:ln>
              <a:effectLst/>
            </c:spPr>
            <c:extLst>
              <c:ext xmlns:c16="http://schemas.microsoft.com/office/drawing/2014/chart" uri="{C3380CC4-5D6E-409C-BE32-E72D297353CC}">
                <c16:uniqueId val="{00000045-C0C5-4573-B331-48114D8E6C12}"/>
              </c:ext>
            </c:extLst>
          </c:dPt>
          <c:dPt>
            <c:idx val="19"/>
            <c:invertIfNegative val="0"/>
            <c:bubble3D val="0"/>
            <c:spPr>
              <a:solidFill>
                <a:srgbClr val="9CC746"/>
              </a:solidFill>
              <a:ln>
                <a:noFill/>
              </a:ln>
              <a:effectLst/>
            </c:spPr>
            <c:extLst>
              <c:ext xmlns:c16="http://schemas.microsoft.com/office/drawing/2014/chart" uri="{C3380CC4-5D6E-409C-BE32-E72D297353CC}">
                <c16:uniqueId val="{00000046-C0C5-4573-B331-48114D8E6C12}"/>
              </c:ext>
            </c:extLst>
          </c:dPt>
          <c:dPt>
            <c:idx val="20"/>
            <c:invertIfNegative val="0"/>
            <c:bubble3D val="0"/>
            <c:spPr>
              <a:solidFill>
                <a:srgbClr val="9CC746"/>
              </a:solidFill>
              <a:ln>
                <a:noFill/>
              </a:ln>
              <a:effectLst/>
            </c:spPr>
            <c:extLst>
              <c:ext xmlns:c16="http://schemas.microsoft.com/office/drawing/2014/chart" uri="{C3380CC4-5D6E-409C-BE32-E72D297353CC}">
                <c16:uniqueId val="{00000047-C0C5-4573-B331-48114D8E6C12}"/>
              </c:ext>
            </c:extLst>
          </c:dPt>
          <c:dPt>
            <c:idx val="21"/>
            <c:invertIfNegative val="0"/>
            <c:bubble3D val="0"/>
            <c:spPr>
              <a:solidFill>
                <a:srgbClr val="9B2D2A"/>
              </a:solidFill>
              <a:ln>
                <a:noFill/>
              </a:ln>
              <a:effectLst/>
            </c:spPr>
            <c:extLst>
              <c:ext xmlns:c16="http://schemas.microsoft.com/office/drawing/2014/chart" uri="{C3380CC4-5D6E-409C-BE32-E72D297353CC}">
                <c16:uniqueId val="{00000048-C0C5-4573-B331-48114D8E6C12}"/>
              </c:ext>
            </c:extLst>
          </c:dPt>
          <c:dPt>
            <c:idx val="22"/>
            <c:invertIfNegative val="0"/>
            <c:bubble3D val="0"/>
            <c:spPr>
              <a:solidFill>
                <a:srgbClr val="9B2D2A"/>
              </a:solidFill>
              <a:ln>
                <a:noFill/>
              </a:ln>
              <a:effectLst/>
            </c:spPr>
            <c:extLst>
              <c:ext xmlns:c16="http://schemas.microsoft.com/office/drawing/2014/chart" uri="{C3380CC4-5D6E-409C-BE32-E72D297353CC}">
                <c16:uniqueId val="{00000049-C0C5-4573-B331-48114D8E6C12}"/>
              </c:ext>
            </c:extLst>
          </c:dPt>
          <c:dPt>
            <c:idx val="23"/>
            <c:invertIfNegative val="0"/>
            <c:bubble3D val="0"/>
            <c:spPr>
              <a:solidFill>
                <a:srgbClr val="9CC746"/>
              </a:solidFill>
              <a:ln>
                <a:noFill/>
              </a:ln>
              <a:effectLst/>
            </c:spPr>
            <c:extLst>
              <c:ext xmlns:c16="http://schemas.microsoft.com/office/drawing/2014/chart" uri="{C3380CC4-5D6E-409C-BE32-E72D297353CC}">
                <c16:uniqueId val="{0000004A-C0C5-4573-B331-48114D8E6C12}"/>
              </c:ext>
            </c:extLst>
          </c:dPt>
          <c:dPt>
            <c:idx val="24"/>
            <c:invertIfNegative val="0"/>
            <c:bubble3D val="0"/>
            <c:spPr>
              <a:solidFill>
                <a:srgbClr val="9CC746"/>
              </a:solidFill>
              <a:ln>
                <a:noFill/>
              </a:ln>
              <a:effectLst/>
            </c:spPr>
            <c:extLst>
              <c:ext xmlns:c16="http://schemas.microsoft.com/office/drawing/2014/chart" uri="{C3380CC4-5D6E-409C-BE32-E72D297353CC}">
                <c16:uniqueId val="{00000031-A2D1-4D0F-A7DF-B124A0C5B4C9}"/>
              </c:ext>
            </c:extLst>
          </c:dPt>
          <c:dPt>
            <c:idx val="25"/>
            <c:invertIfNegative val="0"/>
            <c:bubble3D val="0"/>
            <c:spPr>
              <a:solidFill>
                <a:srgbClr val="9B2D2A"/>
              </a:solidFill>
              <a:ln>
                <a:noFill/>
              </a:ln>
              <a:effectLst/>
            </c:spPr>
            <c:extLst>
              <c:ext xmlns:c16="http://schemas.microsoft.com/office/drawing/2014/chart" uri="{C3380CC4-5D6E-409C-BE32-E72D297353CC}">
                <c16:uniqueId val="{00000033-A2D1-4D0F-A7DF-B124A0C5B4C9}"/>
              </c:ext>
            </c:extLst>
          </c:dPt>
          <c:dPt>
            <c:idx val="26"/>
            <c:invertIfNegative val="0"/>
            <c:bubble3D val="0"/>
            <c:spPr>
              <a:solidFill>
                <a:srgbClr val="9B2D2A"/>
              </a:solidFill>
              <a:ln>
                <a:noFill/>
              </a:ln>
              <a:effectLst/>
            </c:spPr>
            <c:extLst>
              <c:ext xmlns:c16="http://schemas.microsoft.com/office/drawing/2014/chart" uri="{C3380CC4-5D6E-409C-BE32-E72D297353CC}">
                <c16:uniqueId val="{00000035-A2D1-4D0F-A7DF-B124A0C5B4C9}"/>
              </c:ext>
            </c:extLst>
          </c:dPt>
          <c:dPt>
            <c:idx val="27"/>
            <c:invertIfNegative val="0"/>
            <c:bubble3D val="0"/>
            <c:spPr>
              <a:solidFill>
                <a:srgbClr val="9B2D2A"/>
              </a:solidFill>
              <a:ln>
                <a:noFill/>
              </a:ln>
              <a:effectLst/>
            </c:spPr>
            <c:extLst>
              <c:ext xmlns:c16="http://schemas.microsoft.com/office/drawing/2014/chart" uri="{C3380CC4-5D6E-409C-BE32-E72D297353CC}">
                <c16:uniqueId val="{00000037-A2D1-4D0F-A7DF-B124A0C5B4C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A2D1-4D0F-A7DF-B124A0C5B4C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A2D1-4D0F-A7DF-B124A0C5B4C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A2D1-4D0F-A7DF-B124A0C5B4C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A2D1-4D0F-A7DF-B124A0C5B4C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A2D1-4D0F-A7DF-B124A0C5B4C9}"/>
              </c:ext>
            </c:extLst>
          </c:dPt>
          <c:dPt>
            <c:idx val="33"/>
            <c:invertIfNegative val="0"/>
            <c:bubble3D val="0"/>
            <c:spPr>
              <a:solidFill>
                <a:srgbClr val="9CC746"/>
              </a:solidFill>
              <a:ln>
                <a:noFill/>
              </a:ln>
              <a:effectLst/>
            </c:spPr>
            <c:extLst>
              <c:ext xmlns:c16="http://schemas.microsoft.com/office/drawing/2014/chart" uri="{C3380CC4-5D6E-409C-BE32-E72D297353CC}">
                <c16:uniqueId val="{00000075-A2D1-4D0F-A7DF-B124A0C5B4C9}"/>
              </c:ext>
            </c:extLst>
          </c:dPt>
          <c:dPt>
            <c:idx val="34"/>
            <c:invertIfNegative val="0"/>
            <c:bubble3D val="0"/>
            <c:spPr>
              <a:solidFill>
                <a:srgbClr val="9B2D2A"/>
              </a:solidFill>
              <a:ln>
                <a:noFill/>
              </a:ln>
              <a:effectLst/>
            </c:spPr>
            <c:extLst>
              <c:ext xmlns:c16="http://schemas.microsoft.com/office/drawing/2014/chart" uri="{C3380CC4-5D6E-409C-BE32-E72D297353CC}">
                <c16:uniqueId val="{00000076-A2D1-4D0F-A7DF-B124A0C5B4C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A2D1-4D0F-A7DF-B124A0C5B4C9}"/>
              </c:ext>
            </c:extLst>
          </c:dPt>
          <c:dPt>
            <c:idx val="36"/>
            <c:invertIfNegative val="0"/>
            <c:bubble3D val="0"/>
            <c:spPr>
              <a:solidFill>
                <a:srgbClr val="9CC746"/>
              </a:solidFill>
              <a:ln>
                <a:noFill/>
              </a:ln>
              <a:effectLst/>
            </c:spPr>
            <c:extLst>
              <c:ext xmlns:c16="http://schemas.microsoft.com/office/drawing/2014/chart" uri="{C3380CC4-5D6E-409C-BE32-E72D297353CC}">
                <c16:uniqueId val="{00000078-A2D1-4D0F-A7DF-B124A0C5B4C9}"/>
              </c:ext>
            </c:extLst>
          </c:dPt>
          <c:dPt>
            <c:idx val="37"/>
            <c:invertIfNegative val="0"/>
            <c:bubble3D val="0"/>
            <c:spPr>
              <a:solidFill>
                <a:srgbClr val="9B2D2A"/>
              </a:solidFill>
              <a:ln>
                <a:noFill/>
              </a:ln>
              <a:effectLst/>
            </c:spPr>
            <c:extLst>
              <c:ext xmlns:c16="http://schemas.microsoft.com/office/drawing/2014/chart" uri="{C3380CC4-5D6E-409C-BE32-E72D297353CC}">
                <c16:uniqueId val="{000000C4-EA54-4187-8FA1-FF1E003F29BA}"/>
              </c:ext>
            </c:extLst>
          </c:dPt>
          <c:dPt>
            <c:idx val="38"/>
            <c:invertIfNegative val="0"/>
            <c:bubble3D val="0"/>
            <c:spPr>
              <a:solidFill>
                <a:srgbClr val="9B2D2A"/>
              </a:solidFill>
              <a:ln>
                <a:noFill/>
              </a:ln>
              <a:effectLst/>
            </c:spPr>
            <c:extLst>
              <c:ext xmlns:c16="http://schemas.microsoft.com/office/drawing/2014/chart" uri="{C3380CC4-5D6E-409C-BE32-E72D297353CC}">
                <c16:uniqueId val="{0000007A-A2D1-4D0F-A7DF-B124A0C5B4C9}"/>
              </c:ext>
            </c:extLst>
          </c:dPt>
          <c:dPt>
            <c:idx val="39"/>
            <c:invertIfNegative val="0"/>
            <c:bubble3D val="0"/>
            <c:spPr>
              <a:solidFill>
                <a:srgbClr val="9B2D2A"/>
              </a:solidFill>
              <a:ln>
                <a:noFill/>
              </a:ln>
              <a:effectLst/>
            </c:spPr>
            <c:extLst>
              <c:ext xmlns:c16="http://schemas.microsoft.com/office/drawing/2014/chart" uri="{C3380CC4-5D6E-409C-BE32-E72D297353CC}">
                <c16:uniqueId val="{0000007B-A2D1-4D0F-A7DF-B124A0C5B4C9}"/>
              </c:ext>
            </c:extLst>
          </c:dPt>
          <c:dPt>
            <c:idx val="40"/>
            <c:invertIfNegative val="0"/>
            <c:bubble3D val="0"/>
            <c:spPr>
              <a:solidFill>
                <a:srgbClr val="9B2D2A"/>
              </a:solidFill>
              <a:ln>
                <a:noFill/>
              </a:ln>
              <a:effectLst/>
            </c:spPr>
            <c:extLst>
              <c:ext xmlns:c16="http://schemas.microsoft.com/office/drawing/2014/chart" uri="{C3380CC4-5D6E-409C-BE32-E72D297353CC}">
                <c16:uniqueId val="{0000007C-A2D1-4D0F-A7DF-B124A0C5B4C9}"/>
              </c:ext>
            </c:extLst>
          </c:dPt>
          <c:dPt>
            <c:idx val="41"/>
            <c:invertIfNegative val="0"/>
            <c:bubble3D val="0"/>
            <c:spPr>
              <a:solidFill>
                <a:srgbClr val="9B2D2A"/>
              </a:solidFill>
              <a:ln>
                <a:noFill/>
              </a:ln>
              <a:effectLst/>
            </c:spPr>
            <c:extLst>
              <c:ext xmlns:c16="http://schemas.microsoft.com/office/drawing/2014/chart" uri="{C3380CC4-5D6E-409C-BE32-E72D297353CC}">
                <c16:uniqueId val="{0000007D-A2D1-4D0F-A7DF-B124A0C5B4C9}"/>
              </c:ext>
            </c:extLst>
          </c:dPt>
          <c:dPt>
            <c:idx val="42"/>
            <c:invertIfNegative val="0"/>
            <c:bubble3D val="0"/>
            <c:spPr>
              <a:solidFill>
                <a:srgbClr val="9B2D2A"/>
              </a:solidFill>
              <a:ln>
                <a:noFill/>
              </a:ln>
              <a:effectLst/>
            </c:spPr>
            <c:extLst>
              <c:ext xmlns:c16="http://schemas.microsoft.com/office/drawing/2014/chart" uri="{C3380CC4-5D6E-409C-BE32-E72D297353CC}">
                <c16:uniqueId val="{0000007E-A2D1-4D0F-A7DF-B124A0C5B4C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A2D1-4D0F-A7DF-B124A0C5B4C9}"/>
              </c:ext>
            </c:extLst>
          </c:dPt>
          <c:dPt>
            <c:idx val="44"/>
            <c:invertIfNegative val="0"/>
            <c:bubble3D val="0"/>
            <c:spPr>
              <a:solidFill>
                <a:srgbClr val="9B2D2A"/>
              </a:solidFill>
              <a:ln>
                <a:noFill/>
              </a:ln>
              <a:effectLst/>
            </c:spPr>
            <c:extLst>
              <c:ext xmlns:c16="http://schemas.microsoft.com/office/drawing/2014/chart" uri="{C3380CC4-5D6E-409C-BE32-E72D297353CC}">
                <c16:uniqueId val="{00000080-A2D1-4D0F-A7DF-B124A0C5B4C9}"/>
              </c:ext>
            </c:extLst>
          </c:dPt>
          <c:dPt>
            <c:idx val="45"/>
            <c:invertIfNegative val="0"/>
            <c:bubble3D val="0"/>
            <c:spPr>
              <a:solidFill>
                <a:srgbClr val="9B2D2A"/>
              </a:solidFill>
              <a:ln>
                <a:noFill/>
              </a:ln>
              <a:effectLst/>
            </c:spPr>
            <c:extLst>
              <c:ext xmlns:c16="http://schemas.microsoft.com/office/drawing/2014/chart" uri="{C3380CC4-5D6E-409C-BE32-E72D297353CC}">
                <c16:uniqueId val="{00000081-A2D1-4D0F-A7DF-B124A0C5B4C9}"/>
              </c:ext>
            </c:extLst>
          </c:dPt>
          <c:dPt>
            <c:idx val="46"/>
            <c:invertIfNegative val="0"/>
            <c:bubble3D val="0"/>
            <c:spPr>
              <a:solidFill>
                <a:srgbClr val="9B2D2A"/>
              </a:solidFill>
              <a:ln>
                <a:noFill/>
              </a:ln>
              <a:effectLst/>
            </c:spPr>
            <c:extLst>
              <c:ext xmlns:c16="http://schemas.microsoft.com/office/drawing/2014/chart" uri="{C3380CC4-5D6E-409C-BE32-E72D297353CC}">
                <c16:uniqueId val="{00000082-A2D1-4D0F-A7DF-B124A0C5B4C9}"/>
              </c:ext>
            </c:extLst>
          </c:dPt>
          <c:dPt>
            <c:idx val="47"/>
            <c:invertIfNegative val="0"/>
            <c:bubble3D val="0"/>
            <c:spPr>
              <a:solidFill>
                <a:srgbClr val="9CC746"/>
              </a:solidFill>
              <a:ln>
                <a:noFill/>
              </a:ln>
              <a:effectLst/>
            </c:spPr>
            <c:extLst>
              <c:ext xmlns:c16="http://schemas.microsoft.com/office/drawing/2014/chart" uri="{C3380CC4-5D6E-409C-BE32-E72D297353CC}">
                <c16:uniqueId val="{00000083-A2D1-4D0F-A7DF-B124A0C5B4C9}"/>
              </c:ext>
            </c:extLst>
          </c:dPt>
          <c:dPt>
            <c:idx val="48"/>
            <c:invertIfNegative val="0"/>
            <c:bubble3D val="0"/>
            <c:extLst>
              <c:ext xmlns:c16="http://schemas.microsoft.com/office/drawing/2014/chart" uri="{C3380CC4-5D6E-409C-BE32-E72D297353CC}">
                <c16:uniqueId val="{00000084-A2D1-4D0F-A7DF-B124A0C5B4C9}"/>
              </c:ext>
            </c:extLst>
          </c:dPt>
          <c:dPt>
            <c:idx val="49"/>
            <c:invertIfNegative val="0"/>
            <c:bubble3D val="0"/>
            <c:extLst>
              <c:ext xmlns:c16="http://schemas.microsoft.com/office/drawing/2014/chart" uri="{C3380CC4-5D6E-409C-BE32-E72D297353CC}">
                <c16:uniqueId val="{00000085-A2D1-4D0F-A7DF-B124A0C5B4C9}"/>
              </c:ext>
            </c:extLst>
          </c:dPt>
          <c:dPt>
            <c:idx val="50"/>
            <c:invertIfNegative val="0"/>
            <c:bubble3D val="0"/>
            <c:extLst>
              <c:ext xmlns:c16="http://schemas.microsoft.com/office/drawing/2014/chart" uri="{C3380CC4-5D6E-409C-BE32-E72D297353CC}">
                <c16:uniqueId val="{00000086-A2D1-4D0F-A7DF-B124A0C5B4C9}"/>
              </c:ext>
            </c:extLst>
          </c:dPt>
          <c:dPt>
            <c:idx val="51"/>
            <c:invertIfNegative val="0"/>
            <c:bubble3D val="0"/>
            <c:extLst>
              <c:ext xmlns:c16="http://schemas.microsoft.com/office/drawing/2014/chart" uri="{C3380CC4-5D6E-409C-BE32-E72D297353CC}">
                <c16:uniqueId val="{00000087-A2D1-4D0F-A7DF-B124A0C5B4C9}"/>
              </c:ext>
            </c:extLst>
          </c:dPt>
          <c:dPt>
            <c:idx val="52"/>
            <c:invertIfNegative val="0"/>
            <c:bubble3D val="0"/>
            <c:extLst>
              <c:ext xmlns:c16="http://schemas.microsoft.com/office/drawing/2014/chart" uri="{C3380CC4-5D6E-409C-BE32-E72D297353CC}">
                <c16:uniqueId val="{00000088-A2D1-4D0F-A7DF-B124A0C5B4C9}"/>
              </c:ext>
            </c:extLst>
          </c:dPt>
          <c:dPt>
            <c:idx val="53"/>
            <c:invertIfNegative val="0"/>
            <c:bubble3D val="0"/>
            <c:extLst>
              <c:ext xmlns:c16="http://schemas.microsoft.com/office/drawing/2014/chart" uri="{C3380CC4-5D6E-409C-BE32-E72D297353CC}">
                <c16:uniqueId val="{00000089-A2D1-4D0F-A7DF-B124A0C5B4C9}"/>
              </c:ext>
            </c:extLst>
          </c:dPt>
          <c:dPt>
            <c:idx val="54"/>
            <c:invertIfNegative val="0"/>
            <c:bubble3D val="0"/>
            <c:extLst>
              <c:ext xmlns:c16="http://schemas.microsoft.com/office/drawing/2014/chart" uri="{C3380CC4-5D6E-409C-BE32-E72D297353CC}">
                <c16:uniqueId val="{0000008A-A2D1-4D0F-A7DF-B124A0C5B4C9}"/>
              </c:ext>
            </c:extLst>
          </c:dPt>
          <c:dPt>
            <c:idx val="55"/>
            <c:invertIfNegative val="0"/>
            <c:bubble3D val="0"/>
            <c:extLst>
              <c:ext xmlns:c16="http://schemas.microsoft.com/office/drawing/2014/chart" uri="{C3380CC4-5D6E-409C-BE32-E72D297353CC}">
                <c16:uniqueId val="{0000008B-A2D1-4D0F-A7DF-B124A0C5B4C9}"/>
              </c:ext>
            </c:extLst>
          </c:dPt>
          <c:dPt>
            <c:idx val="56"/>
            <c:invertIfNegative val="0"/>
            <c:bubble3D val="0"/>
            <c:extLst>
              <c:ext xmlns:c16="http://schemas.microsoft.com/office/drawing/2014/chart" uri="{C3380CC4-5D6E-409C-BE32-E72D297353CC}">
                <c16:uniqueId val="{0000008C-A2D1-4D0F-A7DF-B124A0C5B4C9}"/>
              </c:ext>
            </c:extLst>
          </c:dPt>
          <c:dPt>
            <c:idx val="57"/>
            <c:invertIfNegative val="0"/>
            <c:bubble3D val="0"/>
            <c:extLst>
              <c:ext xmlns:c16="http://schemas.microsoft.com/office/drawing/2014/chart" uri="{C3380CC4-5D6E-409C-BE32-E72D297353CC}">
                <c16:uniqueId val="{000000C5-EA54-4187-8FA1-FF1E003F29BA}"/>
              </c:ext>
            </c:extLst>
          </c:dPt>
          <c:dPt>
            <c:idx val="58"/>
            <c:invertIfNegative val="0"/>
            <c:bubble3D val="0"/>
            <c:extLst>
              <c:ext xmlns:c16="http://schemas.microsoft.com/office/drawing/2014/chart" uri="{C3380CC4-5D6E-409C-BE32-E72D297353CC}">
                <c16:uniqueId val="{0000008E-A2D1-4D0F-A7DF-B124A0C5B4C9}"/>
              </c:ext>
            </c:extLst>
          </c:dPt>
          <c:dPt>
            <c:idx val="59"/>
            <c:invertIfNegative val="0"/>
            <c:bubble3D val="0"/>
            <c:extLst>
              <c:ext xmlns:c16="http://schemas.microsoft.com/office/drawing/2014/chart" uri="{C3380CC4-5D6E-409C-BE32-E72D297353CC}">
                <c16:uniqueId val="{0000008F-A2D1-4D0F-A7DF-B124A0C5B4C9}"/>
              </c:ext>
            </c:extLst>
          </c:dPt>
          <c:dPt>
            <c:idx val="60"/>
            <c:invertIfNegative val="0"/>
            <c:bubble3D val="0"/>
            <c:extLst>
              <c:ext xmlns:c16="http://schemas.microsoft.com/office/drawing/2014/chart" uri="{C3380CC4-5D6E-409C-BE32-E72D297353CC}">
                <c16:uniqueId val="{000000C6-EA54-4187-8FA1-FF1E003F29BA}"/>
              </c:ext>
            </c:extLst>
          </c:dPt>
          <c:dPt>
            <c:idx val="61"/>
            <c:invertIfNegative val="0"/>
            <c:bubble3D val="0"/>
            <c:extLst>
              <c:ext xmlns:c16="http://schemas.microsoft.com/office/drawing/2014/chart" uri="{C3380CC4-5D6E-409C-BE32-E72D297353CC}">
                <c16:uniqueId val="{00000091-A2D1-4D0F-A7DF-B124A0C5B4C9}"/>
              </c:ext>
            </c:extLst>
          </c:dPt>
          <c:dPt>
            <c:idx val="62"/>
            <c:invertIfNegative val="0"/>
            <c:bubble3D val="0"/>
            <c:extLst>
              <c:ext xmlns:c16="http://schemas.microsoft.com/office/drawing/2014/chart" uri="{C3380CC4-5D6E-409C-BE32-E72D297353CC}">
                <c16:uniqueId val="{00000092-A2D1-4D0F-A7DF-B124A0C5B4C9}"/>
              </c:ext>
            </c:extLst>
          </c:dPt>
          <c:dPt>
            <c:idx val="63"/>
            <c:invertIfNegative val="0"/>
            <c:bubble3D val="0"/>
            <c:extLst>
              <c:ext xmlns:c16="http://schemas.microsoft.com/office/drawing/2014/chart" uri="{C3380CC4-5D6E-409C-BE32-E72D297353CC}">
                <c16:uniqueId val="{00000093-A2D1-4D0F-A7DF-B124A0C5B4C9}"/>
              </c:ext>
            </c:extLst>
          </c:dPt>
          <c:dPt>
            <c:idx val="64"/>
            <c:invertIfNegative val="0"/>
            <c:bubble3D val="0"/>
            <c:extLst>
              <c:ext xmlns:c16="http://schemas.microsoft.com/office/drawing/2014/chart" uri="{C3380CC4-5D6E-409C-BE32-E72D297353CC}">
                <c16:uniqueId val="{00000094-A2D1-4D0F-A7DF-B124A0C5B4C9}"/>
              </c:ext>
            </c:extLst>
          </c:dPt>
          <c:dPt>
            <c:idx val="65"/>
            <c:invertIfNegative val="0"/>
            <c:bubble3D val="0"/>
            <c:extLst>
              <c:ext xmlns:c16="http://schemas.microsoft.com/office/drawing/2014/chart" uri="{C3380CC4-5D6E-409C-BE32-E72D297353CC}">
                <c16:uniqueId val="{00000095-A2D1-4D0F-A7DF-B124A0C5B4C9}"/>
              </c:ext>
            </c:extLst>
          </c:dPt>
          <c:dPt>
            <c:idx val="66"/>
            <c:invertIfNegative val="0"/>
            <c:bubble3D val="0"/>
            <c:extLst>
              <c:ext xmlns:c16="http://schemas.microsoft.com/office/drawing/2014/chart" uri="{C3380CC4-5D6E-409C-BE32-E72D297353CC}">
                <c16:uniqueId val="{00000096-A2D1-4D0F-A7DF-B124A0C5B4C9}"/>
              </c:ext>
            </c:extLst>
          </c:dPt>
          <c:dPt>
            <c:idx val="67"/>
            <c:invertIfNegative val="0"/>
            <c:bubble3D val="0"/>
            <c:extLst>
              <c:ext xmlns:c16="http://schemas.microsoft.com/office/drawing/2014/chart" uri="{C3380CC4-5D6E-409C-BE32-E72D297353CC}">
                <c16:uniqueId val="{00000097-A2D1-4D0F-A7DF-B124A0C5B4C9}"/>
              </c:ext>
            </c:extLst>
          </c:dPt>
          <c:dPt>
            <c:idx val="68"/>
            <c:invertIfNegative val="0"/>
            <c:bubble3D val="0"/>
            <c:extLst>
              <c:ext xmlns:c16="http://schemas.microsoft.com/office/drawing/2014/chart" uri="{C3380CC4-5D6E-409C-BE32-E72D297353CC}">
                <c16:uniqueId val="{00000098-A2D1-4D0F-A7DF-B124A0C5B4C9}"/>
              </c:ext>
            </c:extLst>
          </c:dPt>
          <c:dPt>
            <c:idx val="69"/>
            <c:invertIfNegative val="0"/>
            <c:bubble3D val="0"/>
            <c:extLst>
              <c:ext xmlns:c16="http://schemas.microsoft.com/office/drawing/2014/chart" uri="{C3380CC4-5D6E-409C-BE32-E72D297353CC}">
                <c16:uniqueId val="{00000099-A2D1-4D0F-A7DF-B124A0C5B4C9}"/>
              </c:ext>
            </c:extLst>
          </c:dPt>
          <c:dPt>
            <c:idx val="70"/>
            <c:invertIfNegative val="0"/>
            <c:bubble3D val="0"/>
            <c:extLst>
              <c:ext xmlns:c16="http://schemas.microsoft.com/office/drawing/2014/chart" uri="{C3380CC4-5D6E-409C-BE32-E72D297353CC}">
                <c16:uniqueId val="{00000086-9A13-4CF4-9B60-BD7A91D45616}"/>
              </c:ext>
            </c:extLst>
          </c:dPt>
          <c:dPt>
            <c:idx val="71"/>
            <c:invertIfNegative val="0"/>
            <c:bubble3D val="0"/>
            <c:extLst>
              <c:ext xmlns:c16="http://schemas.microsoft.com/office/drawing/2014/chart" uri="{C3380CC4-5D6E-409C-BE32-E72D297353CC}">
                <c16:uniqueId val="{00000088-9A13-4CF4-9B60-BD7A91D45616}"/>
              </c:ext>
            </c:extLst>
          </c:dPt>
          <c:dPt>
            <c:idx val="72"/>
            <c:invertIfNegative val="0"/>
            <c:bubble3D val="0"/>
            <c:extLst>
              <c:ext xmlns:c16="http://schemas.microsoft.com/office/drawing/2014/chart" uri="{C3380CC4-5D6E-409C-BE32-E72D297353CC}">
                <c16:uniqueId val="{0000008A-9A13-4CF4-9B60-BD7A91D45616}"/>
              </c:ext>
            </c:extLst>
          </c:dPt>
          <c:dPt>
            <c:idx val="73"/>
            <c:invertIfNegative val="0"/>
            <c:bubble3D val="0"/>
            <c:extLst>
              <c:ext xmlns:c16="http://schemas.microsoft.com/office/drawing/2014/chart" uri="{C3380CC4-5D6E-409C-BE32-E72D297353CC}">
                <c16:uniqueId val="{0000008C-9A13-4CF4-9B60-BD7A91D45616}"/>
              </c:ext>
            </c:extLst>
          </c:dPt>
          <c:dPt>
            <c:idx val="74"/>
            <c:invertIfNegative val="0"/>
            <c:bubble3D val="0"/>
            <c:extLst>
              <c:ext xmlns:c16="http://schemas.microsoft.com/office/drawing/2014/chart" uri="{C3380CC4-5D6E-409C-BE32-E72D297353CC}">
                <c16:uniqueId val="{0000008E-9A13-4CF4-9B60-BD7A91D45616}"/>
              </c:ext>
            </c:extLst>
          </c:dPt>
          <c:dPt>
            <c:idx val="75"/>
            <c:invertIfNegative val="0"/>
            <c:bubble3D val="0"/>
            <c:extLst>
              <c:ext xmlns:c16="http://schemas.microsoft.com/office/drawing/2014/chart" uri="{C3380CC4-5D6E-409C-BE32-E72D297353CC}">
                <c16:uniqueId val="{00000090-9A13-4CF4-9B60-BD7A91D45616}"/>
              </c:ext>
            </c:extLst>
          </c:dPt>
          <c:dPt>
            <c:idx val="76"/>
            <c:invertIfNegative val="0"/>
            <c:bubble3D val="0"/>
            <c:extLst>
              <c:ext xmlns:c16="http://schemas.microsoft.com/office/drawing/2014/chart" uri="{C3380CC4-5D6E-409C-BE32-E72D297353CC}">
                <c16:uniqueId val="{00000092-9A13-4CF4-9B60-BD7A91D45616}"/>
              </c:ext>
            </c:extLst>
          </c:dPt>
          <c:dPt>
            <c:idx val="77"/>
            <c:invertIfNegative val="0"/>
            <c:bubble3D val="0"/>
            <c:extLst>
              <c:ext xmlns:c16="http://schemas.microsoft.com/office/drawing/2014/chart" uri="{C3380CC4-5D6E-409C-BE32-E72D297353CC}">
                <c16:uniqueId val="{00000094-9A13-4CF4-9B60-BD7A91D45616}"/>
              </c:ext>
            </c:extLst>
          </c:dPt>
          <c:dPt>
            <c:idx val="78"/>
            <c:invertIfNegative val="0"/>
            <c:bubble3D val="0"/>
            <c:extLst>
              <c:ext xmlns:c16="http://schemas.microsoft.com/office/drawing/2014/chart" uri="{C3380CC4-5D6E-409C-BE32-E72D297353CC}">
                <c16:uniqueId val="{00000138-16F3-4F7F-8719-60249B9981AD}"/>
              </c:ext>
            </c:extLst>
          </c:dPt>
          <c:dPt>
            <c:idx val="79"/>
            <c:invertIfNegative val="0"/>
            <c:bubble3D val="0"/>
            <c:extLst>
              <c:ext xmlns:c16="http://schemas.microsoft.com/office/drawing/2014/chart" uri="{C3380CC4-5D6E-409C-BE32-E72D297353CC}">
                <c16:uniqueId val="{00000139-16F3-4F7F-8719-60249B9981AD}"/>
              </c:ext>
            </c:extLst>
          </c:dPt>
          <c:dPt>
            <c:idx val="80"/>
            <c:invertIfNegative val="0"/>
            <c:bubble3D val="0"/>
            <c:extLst>
              <c:ext xmlns:c16="http://schemas.microsoft.com/office/drawing/2014/chart" uri="{C3380CC4-5D6E-409C-BE32-E72D297353CC}">
                <c16:uniqueId val="{0000013A-16F3-4F7F-8719-60249B9981AD}"/>
              </c:ext>
            </c:extLst>
          </c:dPt>
          <c:dPt>
            <c:idx val="81"/>
            <c:invertIfNegative val="0"/>
            <c:bubble3D val="0"/>
            <c:extLst>
              <c:ext xmlns:c16="http://schemas.microsoft.com/office/drawing/2014/chart" uri="{C3380CC4-5D6E-409C-BE32-E72D297353CC}">
                <c16:uniqueId val="{0000013B-16F3-4F7F-8719-60249B9981AD}"/>
              </c:ext>
            </c:extLst>
          </c:dPt>
          <c:dPt>
            <c:idx val="82"/>
            <c:invertIfNegative val="0"/>
            <c:bubble3D val="0"/>
            <c:extLst>
              <c:ext xmlns:c16="http://schemas.microsoft.com/office/drawing/2014/chart" uri="{C3380CC4-5D6E-409C-BE32-E72D297353CC}">
                <c16:uniqueId val="{0000013C-16F3-4F7F-8719-60249B9981AD}"/>
              </c:ext>
            </c:extLst>
          </c:dPt>
          <c:dPt>
            <c:idx val="83"/>
            <c:invertIfNegative val="0"/>
            <c:bubble3D val="0"/>
            <c:extLst>
              <c:ext xmlns:c16="http://schemas.microsoft.com/office/drawing/2014/chart" uri="{C3380CC4-5D6E-409C-BE32-E72D297353CC}">
                <c16:uniqueId val="{0000013D-16F3-4F7F-8719-60249B9981AD}"/>
              </c:ext>
            </c:extLst>
          </c:dPt>
          <c:dPt>
            <c:idx val="84"/>
            <c:invertIfNegative val="0"/>
            <c:bubble3D val="0"/>
            <c:extLst>
              <c:ext xmlns:c16="http://schemas.microsoft.com/office/drawing/2014/chart" uri="{C3380CC4-5D6E-409C-BE32-E72D297353CC}">
                <c16:uniqueId val="{0000013E-16F3-4F7F-8719-60249B9981AD}"/>
              </c:ext>
            </c:extLst>
          </c:dPt>
          <c:dPt>
            <c:idx val="85"/>
            <c:invertIfNegative val="0"/>
            <c:bubble3D val="0"/>
            <c:extLst>
              <c:ext xmlns:c16="http://schemas.microsoft.com/office/drawing/2014/chart" uri="{C3380CC4-5D6E-409C-BE32-E72D297353CC}">
                <c16:uniqueId val="{0000013F-16F3-4F7F-8719-60249B9981AD}"/>
              </c:ext>
            </c:extLst>
          </c:dPt>
          <c:dPt>
            <c:idx val="86"/>
            <c:invertIfNegative val="0"/>
            <c:bubble3D val="0"/>
            <c:extLst>
              <c:ext xmlns:c16="http://schemas.microsoft.com/office/drawing/2014/chart" uri="{C3380CC4-5D6E-409C-BE32-E72D297353CC}">
                <c16:uniqueId val="{00000140-16F3-4F7F-8719-60249B9981AD}"/>
              </c:ext>
            </c:extLst>
          </c:dPt>
          <c:dPt>
            <c:idx val="87"/>
            <c:invertIfNegative val="0"/>
            <c:bubble3D val="0"/>
            <c:extLst>
              <c:ext xmlns:c16="http://schemas.microsoft.com/office/drawing/2014/chart" uri="{C3380CC4-5D6E-409C-BE32-E72D297353CC}">
                <c16:uniqueId val="{00000141-16F3-4F7F-8719-60249B9981AD}"/>
              </c:ext>
            </c:extLst>
          </c:dPt>
          <c:dPt>
            <c:idx val="88"/>
            <c:invertIfNegative val="0"/>
            <c:bubble3D val="0"/>
            <c:extLst>
              <c:ext xmlns:c16="http://schemas.microsoft.com/office/drawing/2014/chart" uri="{C3380CC4-5D6E-409C-BE32-E72D297353CC}">
                <c16:uniqueId val="{00000142-16F3-4F7F-8719-60249B9981AD}"/>
              </c:ext>
            </c:extLst>
          </c:dPt>
          <c:dPt>
            <c:idx val="89"/>
            <c:invertIfNegative val="0"/>
            <c:bubble3D val="0"/>
            <c:extLst>
              <c:ext xmlns:c16="http://schemas.microsoft.com/office/drawing/2014/chart" uri="{C3380CC4-5D6E-409C-BE32-E72D297353CC}">
                <c16:uniqueId val="{00000143-16F3-4F7F-8719-60249B9981AD}"/>
              </c:ext>
            </c:extLst>
          </c:dPt>
          <c:dPt>
            <c:idx val="90"/>
            <c:invertIfNegative val="0"/>
            <c:bubble3D val="0"/>
            <c:extLst>
              <c:ext xmlns:c16="http://schemas.microsoft.com/office/drawing/2014/chart" uri="{C3380CC4-5D6E-409C-BE32-E72D297353CC}">
                <c16:uniqueId val="{00000144-16F3-4F7F-8719-60249B9981AD}"/>
              </c:ext>
            </c:extLst>
          </c:dPt>
          <c:dPt>
            <c:idx val="91"/>
            <c:invertIfNegative val="0"/>
            <c:bubble3D val="0"/>
            <c:extLst>
              <c:ext xmlns:c16="http://schemas.microsoft.com/office/drawing/2014/chart" uri="{C3380CC4-5D6E-409C-BE32-E72D297353CC}">
                <c16:uniqueId val="{00000145-16F3-4F7F-8719-60249B9981AD}"/>
              </c:ext>
            </c:extLst>
          </c:dPt>
          <c:dPt>
            <c:idx val="92"/>
            <c:invertIfNegative val="0"/>
            <c:bubble3D val="0"/>
            <c:extLst>
              <c:ext xmlns:c16="http://schemas.microsoft.com/office/drawing/2014/chart" uri="{C3380CC4-5D6E-409C-BE32-E72D297353CC}">
                <c16:uniqueId val="{00000146-16F3-4F7F-8719-60249B9981AD}"/>
              </c:ext>
            </c:extLst>
          </c:dPt>
          <c:dPt>
            <c:idx val="93"/>
            <c:invertIfNegative val="0"/>
            <c:bubble3D val="0"/>
            <c:extLst>
              <c:ext xmlns:c16="http://schemas.microsoft.com/office/drawing/2014/chart" uri="{C3380CC4-5D6E-409C-BE32-E72D297353CC}">
                <c16:uniqueId val="{00000147-16F3-4F7F-8719-60249B9981AD}"/>
              </c:ext>
            </c:extLst>
          </c:dPt>
          <c:dPt>
            <c:idx val="94"/>
            <c:invertIfNegative val="0"/>
            <c:bubble3D val="0"/>
            <c:extLst>
              <c:ext xmlns:c16="http://schemas.microsoft.com/office/drawing/2014/chart" uri="{C3380CC4-5D6E-409C-BE32-E72D297353CC}">
                <c16:uniqueId val="{00000148-16F3-4F7F-8719-60249B9981AD}"/>
              </c:ext>
            </c:extLst>
          </c:dPt>
          <c:dPt>
            <c:idx val="95"/>
            <c:invertIfNegative val="0"/>
            <c:bubble3D val="0"/>
            <c:extLst>
              <c:ext xmlns:c16="http://schemas.microsoft.com/office/drawing/2014/chart" uri="{C3380CC4-5D6E-409C-BE32-E72D297353CC}">
                <c16:uniqueId val="{00000149-16F3-4F7F-8719-60249B9981AD}"/>
              </c:ext>
            </c:extLst>
          </c:dPt>
          <c:dPt>
            <c:idx val="96"/>
            <c:invertIfNegative val="0"/>
            <c:bubble3D val="0"/>
            <c:extLst>
              <c:ext xmlns:c16="http://schemas.microsoft.com/office/drawing/2014/chart" uri="{C3380CC4-5D6E-409C-BE32-E72D297353CC}">
                <c16:uniqueId val="{0000014A-16F3-4F7F-8719-60249B9981AD}"/>
              </c:ext>
            </c:extLst>
          </c:dPt>
          <c:dPt>
            <c:idx val="97"/>
            <c:invertIfNegative val="0"/>
            <c:bubble3D val="0"/>
            <c:extLst>
              <c:ext xmlns:c16="http://schemas.microsoft.com/office/drawing/2014/chart" uri="{C3380CC4-5D6E-409C-BE32-E72D297353CC}">
                <c16:uniqueId val="{0000014B-16F3-4F7F-8719-60249B9981AD}"/>
              </c:ext>
            </c:extLst>
          </c:dPt>
          <c:dPt>
            <c:idx val="98"/>
            <c:invertIfNegative val="0"/>
            <c:bubble3D val="0"/>
            <c:extLst>
              <c:ext xmlns:c16="http://schemas.microsoft.com/office/drawing/2014/chart" uri="{C3380CC4-5D6E-409C-BE32-E72D297353CC}">
                <c16:uniqueId val="{0000014C-16F3-4F7F-8719-60249B9981AD}"/>
              </c:ext>
            </c:extLst>
          </c:dPt>
          <c:dPt>
            <c:idx val="99"/>
            <c:invertIfNegative val="0"/>
            <c:bubble3D val="0"/>
            <c:extLst>
              <c:ext xmlns:c16="http://schemas.microsoft.com/office/drawing/2014/chart" uri="{C3380CC4-5D6E-409C-BE32-E72D297353CC}">
                <c16:uniqueId val="{0000014D-16F3-4F7F-8719-60249B9981AD}"/>
              </c:ext>
            </c:extLst>
          </c:dPt>
          <c:dPt>
            <c:idx val="100"/>
            <c:invertIfNegative val="0"/>
            <c:bubble3D val="0"/>
            <c:extLst>
              <c:ext xmlns:c16="http://schemas.microsoft.com/office/drawing/2014/chart" uri="{C3380CC4-5D6E-409C-BE32-E72D297353CC}">
                <c16:uniqueId val="{0000014E-16F3-4F7F-8719-60249B9981AD}"/>
              </c:ext>
            </c:extLst>
          </c:dPt>
          <c:dPt>
            <c:idx val="101"/>
            <c:invertIfNegative val="0"/>
            <c:bubble3D val="0"/>
            <c:extLst>
              <c:ext xmlns:c16="http://schemas.microsoft.com/office/drawing/2014/chart" uri="{C3380CC4-5D6E-409C-BE32-E72D297353CC}">
                <c16:uniqueId val="{0000014F-16F3-4F7F-8719-60249B9981AD}"/>
              </c:ext>
            </c:extLst>
          </c:dPt>
          <c:dPt>
            <c:idx val="102"/>
            <c:invertIfNegative val="0"/>
            <c:bubble3D val="0"/>
            <c:extLst>
              <c:ext xmlns:c16="http://schemas.microsoft.com/office/drawing/2014/chart" uri="{C3380CC4-5D6E-409C-BE32-E72D297353CC}">
                <c16:uniqueId val="{00000150-16F3-4F7F-8719-60249B9981AD}"/>
              </c:ext>
            </c:extLst>
          </c:dPt>
          <c:dPt>
            <c:idx val="103"/>
            <c:invertIfNegative val="0"/>
            <c:bubble3D val="0"/>
            <c:extLst>
              <c:ext xmlns:c16="http://schemas.microsoft.com/office/drawing/2014/chart" uri="{C3380CC4-5D6E-409C-BE32-E72D297353CC}">
                <c16:uniqueId val="{00000151-16F3-4F7F-8719-60249B9981AD}"/>
              </c:ext>
            </c:extLst>
          </c:dPt>
          <c:dPt>
            <c:idx val="104"/>
            <c:invertIfNegative val="0"/>
            <c:bubble3D val="0"/>
            <c:extLst>
              <c:ext xmlns:c16="http://schemas.microsoft.com/office/drawing/2014/chart" uri="{C3380CC4-5D6E-409C-BE32-E72D297353CC}">
                <c16:uniqueId val="{00000152-16F3-4F7F-8719-60249B9981AD}"/>
              </c:ext>
            </c:extLst>
          </c:dPt>
          <c:dPt>
            <c:idx val="105"/>
            <c:invertIfNegative val="0"/>
            <c:bubble3D val="0"/>
            <c:extLst>
              <c:ext xmlns:c16="http://schemas.microsoft.com/office/drawing/2014/chart" uri="{C3380CC4-5D6E-409C-BE32-E72D297353CC}">
                <c16:uniqueId val="{000001A4-070C-4156-BEF9-A06B340D49A6}"/>
              </c:ext>
            </c:extLst>
          </c:dPt>
          <c:dPt>
            <c:idx val="106"/>
            <c:invertIfNegative val="0"/>
            <c:bubble3D val="0"/>
            <c:extLst>
              <c:ext xmlns:c16="http://schemas.microsoft.com/office/drawing/2014/chart" uri="{C3380CC4-5D6E-409C-BE32-E72D297353CC}">
                <c16:uniqueId val="{000001A5-070C-4156-BEF9-A06B340D49A6}"/>
              </c:ext>
            </c:extLst>
          </c:dPt>
          <c:dPt>
            <c:idx val="107"/>
            <c:invertIfNegative val="0"/>
            <c:bubble3D val="0"/>
            <c:extLst>
              <c:ext xmlns:c16="http://schemas.microsoft.com/office/drawing/2014/chart" uri="{C3380CC4-5D6E-409C-BE32-E72D297353CC}">
                <c16:uniqueId val="{000001AC-9B1B-4C86-ABC1-A978BD95018F}"/>
              </c:ext>
            </c:extLst>
          </c:dPt>
          <c:dPt>
            <c:idx val="108"/>
            <c:invertIfNegative val="0"/>
            <c:bubble3D val="0"/>
            <c:extLst>
              <c:ext xmlns:c16="http://schemas.microsoft.com/office/drawing/2014/chart" uri="{C3380CC4-5D6E-409C-BE32-E72D297353CC}">
                <c16:uniqueId val="{000001AD-9B1B-4C86-ABC1-A978BD95018F}"/>
              </c:ext>
            </c:extLst>
          </c:dPt>
          <c:dPt>
            <c:idx val="109"/>
            <c:invertIfNegative val="0"/>
            <c:bubble3D val="0"/>
            <c:extLst>
              <c:ext xmlns:c16="http://schemas.microsoft.com/office/drawing/2014/chart" uri="{C3380CC4-5D6E-409C-BE32-E72D297353CC}">
                <c16:uniqueId val="{000001AE-9B1B-4C86-ABC1-A978BD95018F}"/>
              </c:ext>
            </c:extLst>
          </c:dPt>
          <c:dPt>
            <c:idx val="110"/>
            <c:invertIfNegative val="0"/>
            <c:bubble3D val="0"/>
            <c:extLst>
              <c:ext xmlns:c16="http://schemas.microsoft.com/office/drawing/2014/chart" uri="{C3380CC4-5D6E-409C-BE32-E72D297353CC}">
                <c16:uniqueId val="{000001AF-9B1B-4C86-ABC1-A978BD95018F}"/>
              </c:ext>
            </c:extLst>
          </c:dPt>
          <c:dPt>
            <c:idx val="111"/>
            <c:invertIfNegative val="0"/>
            <c:bubble3D val="0"/>
            <c:extLst>
              <c:ext xmlns:c16="http://schemas.microsoft.com/office/drawing/2014/chart" uri="{C3380CC4-5D6E-409C-BE32-E72D297353CC}">
                <c16:uniqueId val="{000001B0-9B1B-4C86-ABC1-A978BD95018F}"/>
              </c:ext>
            </c:extLst>
          </c:dPt>
          <c:dPt>
            <c:idx val="112"/>
            <c:invertIfNegative val="0"/>
            <c:bubble3D val="0"/>
            <c:extLst>
              <c:ext xmlns:c16="http://schemas.microsoft.com/office/drawing/2014/chart" uri="{C3380CC4-5D6E-409C-BE32-E72D297353CC}">
                <c16:uniqueId val="{000001B1-9B1B-4C86-ABC1-A978BD95018F}"/>
              </c:ext>
            </c:extLst>
          </c:dPt>
          <c:dPt>
            <c:idx val="113"/>
            <c:invertIfNegative val="0"/>
            <c:bubble3D val="0"/>
            <c:extLst>
              <c:ext xmlns:c16="http://schemas.microsoft.com/office/drawing/2014/chart" uri="{C3380CC4-5D6E-409C-BE32-E72D297353CC}">
                <c16:uniqueId val="{000001B2-9B1B-4C86-ABC1-A978BD95018F}"/>
              </c:ext>
            </c:extLst>
          </c:dPt>
          <c:dPt>
            <c:idx val="114"/>
            <c:invertIfNegative val="0"/>
            <c:bubble3D val="0"/>
            <c:extLst>
              <c:ext xmlns:c16="http://schemas.microsoft.com/office/drawing/2014/chart" uri="{C3380CC4-5D6E-409C-BE32-E72D297353CC}">
                <c16:uniqueId val="{000001B3-9B1B-4C86-ABC1-A978BD95018F}"/>
              </c:ext>
            </c:extLst>
          </c:dPt>
          <c:dPt>
            <c:idx val="115"/>
            <c:invertIfNegative val="0"/>
            <c:bubble3D val="0"/>
            <c:extLst>
              <c:ext xmlns:c16="http://schemas.microsoft.com/office/drawing/2014/chart" uri="{C3380CC4-5D6E-409C-BE32-E72D297353CC}">
                <c16:uniqueId val="{000001B4-9B1B-4C86-ABC1-A978BD95018F}"/>
              </c:ext>
            </c:extLst>
          </c:dPt>
          <c:dPt>
            <c:idx val="116"/>
            <c:invertIfNegative val="0"/>
            <c:bubble3D val="0"/>
            <c:extLst>
              <c:ext xmlns:c16="http://schemas.microsoft.com/office/drawing/2014/chart" uri="{C3380CC4-5D6E-409C-BE32-E72D297353CC}">
                <c16:uniqueId val="{000001B5-9B1B-4C86-ABC1-A978BD95018F}"/>
              </c:ext>
            </c:extLst>
          </c:dPt>
          <c:dPt>
            <c:idx val="117"/>
            <c:invertIfNegative val="0"/>
            <c:bubble3D val="0"/>
            <c:extLst>
              <c:ext xmlns:c16="http://schemas.microsoft.com/office/drawing/2014/chart" uri="{C3380CC4-5D6E-409C-BE32-E72D297353CC}">
                <c16:uniqueId val="{000001B6-9B1B-4C86-ABC1-A978BD95018F}"/>
              </c:ext>
            </c:extLst>
          </c:dPt>
          <c:dPt>
            <c:idx val="118"/>
            <c:invertIfNegative val="0"/>
            <c:bubble3D val="0"/>
            <c:extLst>
              <c:ext xmlns:c16="http://schemas.microsoft.com/office/drawing/2014/chart" uri="{C3380CC4-5D6E-409C-BE32-E72D297353CC}">
                <c16:uniqueId val="{000001B7-9B1B-4C86-ABC1-A978BD95018F}"/>
              </c:ext>
            </c:extLst>
          </c:dPt>
          <c:dPt>
            <c:idx val="119"/>
            <c:invertIfNegative val="0"/>
            <c:bubble3D val="0"/>
            <c:extLst>
              <c:ext xmlns:c16="http://schemas.microsoft.com/office/drawing/2014/chart" uri="{C3380CC4-5D6E-409C-BE32-E72D297353CC}">
                <c16:uniqueId val="{000001B8-9B1B-4C86-ABC1-A978BD95018F}"/>
              </c:ext>
            </c:extLst>
          </c:dPt>
          <c:dPt>
            <c:idx val="120"/>
            <c:invertIfNegative val="0"/>
            <c:bubble3D val="0"/>
            <c:extLst>
              <c:ext xmlns:c16="http://schemas.microsoft.com/office/drawing/2014/chart" uri="{C3380CC4-5D6E-409C-BE32-E72D297353CC}">
                <c16:uniqueId val="{000001B9-9B1B-4C86-ABC1-A978BD95018F}"/>
              </c:ext>
            </c:extLst>
          </c:dPt>
          <c:dPt>
            <c:idx val="121"/>
            <c:invertIfNegative val="0"/>
            <c:bubble3D val="0"/>
            <c:extLst>
              <c:ext xmlns:c16="http://schemas.microsoft.com/office/drawing/2014/chart" uri="{C3380CC4-5D6E-409C-BE32-E72D297353CC}">
                <c16:uniqueId val="{000001C7-9B1B-4C86-ABC1-A978BD95018F}"/>
              </c:ext>
            </c:extLst>
          </c:dPt>
          <c:dPt>
            <c:idx val="122"/>
            <c:invertIfNegative val="0"/>
            <c:bubble3D val="0"/>
            <c:extLst>
              <c:ext xmlns:c16="http://schemas.microsoft.com/office/drawing/2014/chart" uri="{C3380CC4-5D6E-409C-BE32-E72D297353CC}">
                <c16:uniqueId val="{000001C8-9B1B-4C86-ABC1-A978BD95018F}"/>
              </c:ext>
            </c:extLst>
          </c:dPt>
          <c:dPt>
            <c:idx val="123"/>
            <c:invertIfNegative val="0"/>
            <c:bubble3D val="0"/>
            <c:extLst>
              <c:ext xmlns:c16="http://schemas.microsoft.com/office/drawing/2014/chart" uri="{C3380CC4-5D6E-409C-BE32-E72D297353CC}">
                <c16:uniqueId val="{000001C9-9B1B-4C86-ABC1-A978BD95018F}"/>
              </c:ext>
            </c:extLst>
          </c:dPt>
          <c:dPt>
            <c:idx val="124"/>
            <c:invertIfNegative val="0"/>
            <c:bubble3D val="0"/>
            <c:extLst>
              <c:ext xmlns:c16="http://schemas.microsoft.com/office/drawing/2014/chart" uri="{C3380CC4-5D6E-409C-BE32-E72D297353CC}">
                <c16:uniqueId val="{000001CA-9B1B-4C86-ABC1-A978BD95018F}"/>
              </c:ext>
            </c:extLst>
          </c:dPt>
          <c:dPt>
            <c:idx val="125"/>
            <c:invertIfNegative val="0"/>
            <c:bubble3D val="0"/>
            <c:extLst>
              <c:ext xmlns:c16="http://schemas.microsoft.com/office/drawing/2014/chart" uri="{C3380CC4-5D6E-409C-BE32-E72D297353CC}">
                <c16:uniqueId val="{000001CB-9B1B-4C86-ABC1-A978BD95018F}"/>
              </c:ext>
            </c:extLst>
          </c:dPt>
          <c:dPt>
            <c:idx val="126"/>
            <c:invertIfNegative val="0"/>
            <c:bubble3D val="0"/>
            <c:extLst>
              <c:ext xmlns:c16="http://schemas.microsoft.com/office/drawing/2014/chart" uri="{C3380CC4-5D6E-409C-BE32-E72D297353CC}">
                <c16:uniqueId val="{000001CC-9B1B-4C86-ABC1-A978BD95018F}"/>
              </c:ext>
            </c:extLst>
          </c:dPt>
          <c:dPt>
            <c:idx val="127"/>
            <c:invertIfNegative val="0"/>
            <c:bubble3D val="0"/>
            <c:extLst>
              <c:ext xmlns:c16="http://schemas.microsoft.com/office/drawing/2014/chart" uri="{C3380CC4-5D6E-409C-BE32-E72D297353CC}">
                <c16:uniqueId val="{000001CD-9B1B-4C86-ABC1-A978BD95018F}"/>
              </c:ext>
            </c:extLst>
          </c:dPt>
          <c:dPt>
            <c:idx val="128"/>
            <c:invertIfNegative val="0"/>
            <c:bubble3D val="0"/>
            <c:extLst>
              <c:ext xmlns:c16="http://schemas.microsoft.com/office/drawing/2014/chart" uri="{C3380CC4-5D6E-409C-BE32-E72D297353CC}">
                <c16:uniqueId val="{000001CE-9B1B-4C86-ABC1-A978BD95018F}"/>
              </c:ext>
            </c:extLst>
          </c:dPt>
          <c:dPt>
            <c:idx val="129"/>
            <c:invertIfNegative val="0"/>
            <c:bubble3D val="0"/>
            <c:extLst>
              <c:ext xmlns:c16="http://schemas.microsoft.com/office/drawing/2014/chart" uri="{C3380CC4-5D6E-409C-BE32-E72D297353CC}">
                <c16:uniqueId val="{00000204-77A6-4263-8D83-9A359641E017}"/>
              </c:ext>
            </c:extLst>
          </c:dPt>
          <c:dPt>
            <c:idx val="130"/>
            <c:invertIfNegative val="0"/>
            <c:bubble3D val="0"/>
            <c:extLst>
              <c:ext xmlns:c16="http://schemas.microsoft.com/office/drawing/2014/chart" uri="{C3380CC4-5D6E-409C-BE32-E72D297353CC}">
                <c16:uniqueId val="{00000205-77A6-4263-8D83-9A359641E017}"/>
              </c:ext>
            </c:extLst>
          </c:dPt>
          <c:dPt>
            <c:idx val="131"/>
            <c:invertIfNegative val="0"/>
            <c:bubble3D val="0"/>
            <c:extLst>
              <c:ext xmlns:c16="http://schemas.microsoft.com/office/drawing/2014/chart" uri="{C3380CC4-5D6E-409C-BE32-E72D297353CC}">
                <c16:uniqueId val="{00000206-77A6-4263-8D83-9A359641E017}"/>
              </c:ext>
            </c:extLst>
          </c:dPt>
          <c:dPt>
            <c:idx val="132"/>
            <c:invertIfNegative val="0"/>
            <c:bubble3D val="0"/>
            <c:extLst>
              <c:ext xmlns:c16="http://schemas.microsoft.com/office/drawing/2014/chart" uri="{C3380CC4-5D6E-409C-BE32-E72D297353CC}">
                <c16:uniqueId val="{00000207-77A6-4263-8D83-9A359641E017}"/>
              </c:ext>
            </c:extLst>
          </c:dPt>
          <c:dPt>
            <c:idx val="133"/>
            <c:invertIfNegative val="0"/>
            <c:bubble3D val="0"/>
            <c:extLst>
              <c:ext xmlns:c16="http://schemas.microsoft.com/office/drawing/2014/chart" uri="{C3380CC4-5D6E-409C-BE32-E72D297353CC}">
                <c16:uniqueId val="{00000214-05DC-43E2-B1BE-9F3ADC0D4C26}"/>
              </c:ext>
            </c:extLst>
          </c:dPt>
          <c:dPt>
            <c:idx val="134"/>
            <c:invertIfNegative val="0"/>
            <c:bubble3D val="0"/>
            <c:extLst>
              <c:ext xmlns:c16="http://schemas.microsoft.com/office/drawing/2014/chart" uri="{C3380CC4-5D6E-409C-BE32-E72D297353CC}">
                <c16:uniqueId val="{00000215-05DC-43E2-B1BE-9F3ADC0D4C26}"/>
              </c:ext>
            </c:extLst>
          </c:dPt>
          <c:dPt>
            <c:idx val="135"/>
            <c:invertIfNegative val="0"/>
            <c:bubble3D val="0"/>
            <c:extLst>
              <c:ext xmlns:c16="http://schemas.microsoft.com/office/drawing/2014/chart" uri="{C3380CC4-5D6E-409C-BE32-E72D297353CC}">
                <c16:uniqueId val="{0000021C-2564-476E-9B63-ED228B641C3B}"/>
              </c:ext>
            </c:extLst>
          </c:dPt>
          <c:dPt>
            <c:idx val="136"/>
            <c:invertIfNegative val="0"/>
            <c:bubble3D val="0"/>
            <c:extLst>
              <c:ext xmlns:c16="http://schemas.microsoft.com/office/drawing/2014/chart" uri="{C3380CC4-5D6E-409C-BE32-E72D297353CC}">
                <c16:uniqueId val="{0000021D-2564-476E-9B63-ED228B641C3B}"/>
              </c:ext>
            </c:extLst>
          </c:dPt>
          <c:dPt>
            <c:idx val="137"/>
            <c:invertIfNegative val="0"/>
            <c:bubble3D val="0"/>
            <c:extLst>
              <c:ext xmlns:c16="http://schemas.microsoft.com/office/drawing/2014/chart" uri="{C3380CC4-5D6E-409C-BE32-E72D297353CC}">
                <c16:uniqueId val="{00000224-59C9-42F8-9059-90EB4F2E633D}"/>
              </c:ext>
            </c:extLst>
          </c:dPt>
          <c:dPt>
            <c:idx val="138"/>
            <c:invertIfNegative val="0"/>
            <c:bubble3D val="0"/>
            <c:extLst>
              <c:ext xmlns:c16="http://schemas.microsoft.com/office/drawing/2014/chart" uri="{C3380CC4-5D6E-409C-BE32-E72D297353CC}">
                <c16:uniqueId val="{00000225-59C9-42F8-9059-90EB4F2E633D}"/>
              </c:ext>
            </c:extLst>
          </c:dPt>
          <c:dPt>
            <c:idx val="139"/>
            <c:invertIfNegative val="0"/>
            <c:bubble3D val="0"/>
            <c:extLst>
              <c:ext xmlns:c16="http://schemas.microsoft.com/office/drawing/2014/chart" uri="{C3380CC4-5D6E-409C-BE32-E72D297353CC}">
                <c16:uniqueId val="{00000226-59C9-42F8-9059-90EB4F2E633D}"/>
              </c:ext>
            </c:extLst>
          </c:dPt>
          <c:dPt>
            <c:idx val="140"/>
            <c:invertIfNegative val="0"/>
            <c:bubble3D val="0"/>
            <c:extLst>
              <c:ext xmlns:c16="http://schemas.microsoft.com/office/drawing/2014/chart" uri="{C3380CC4-5D6E-409C-BE32-E72D297353CC}">
                <c16:uniqueId val="{00000227-59C9-42F8-9059-90EB4F2E633D}"/>
              </c:ext>
            </c:extLst>
          </c:dPt>
          <c:dPt>
            <c:idx val="141"/>
            <c:invertIfNegative val="0"/>
            <c:bubble3D val="0"/>
            <c:extLst>
              <c:ext xmlns:c16="http://schemas.microsoft.com/office/drawing/2014/chart" uri="{C3380CC4-5D6E-409C-BE32-E72D297353CC}">
                <c16:uniqueId val="{00000228-59C9-42F8-9059-90EB4F2E633D}"/>
              </c:ext>
            </c:extLst>
          </c:dPt>
          <c:dPt>
            <c:idx val="142"/>
            <c:invertIfNegative val="0"/>
            <c:bubble3D val="0"/>
            <c:extLst>
              <c:ext xmlns:c16="http://schemas.microsoft.com/office/drawing/2014/chart" uri="{C3380CC4-5D6E-409C-BE32-E72D297353CC}">
                <c16:uniqueId val="{00000229-59C9-42F8-9059-90EB4F2E633D}"/>
              </c:ext>
            </c:extLst>
          </c:dPt>
          <c:dPt>
            <c:idx val="143"/>
            <c:invertIfNegative val="0"/>
            <c:bubble3D val="0"/>
            <c:extLst>
              <c:ext xmlns:c16="http://schemas.microsoft.com/office/drawing/2014/chart" uri="{C3380CC4-5D6E-409C-BE32-E72D297353CC}">
                <c16:uniqueId val="{0000022A-59C9-42F8-9059-90EB4F2E633D}"/>
              </c:ext>
            </c:extLst>
          </c:dPt>
          <c:dPt>
            <c:idx val="144"/>
            <c:invertIfNegative val="0"/>
            <c:bubble3D val="0"/>
            <c:extLst>
              <c:ext xmlns:c16="http://schemas.microsoft.com/office/drawing/2014/chart" uri="{C3380CC4-5D6E-409C-BE32-E72D297353CC}">
                <c16:uniqueId val="{0000022B-59C9-42F8-9059-90EB4F2E633D}"/>
              </c:ext>
            </c:extLst>
          </c:dPt>
          <c:dPt>
            <c:idx val="145"/>
            <c:invertIfNegative val="0"/>
            <c:bubble3D val="0"/>
            <c:extLst>
              <c:ext xmlns:c16="http://schemas.microsoft.com/office/drawing/2014/chart" uri="{C3380CC4-5D6E-409C-BE32-E72D297353CC}">
                <c16:uniqueId val="{0000022C-59C9-42F8-9059-90EB4F2E633D}"/>
              </c:ext>
            </c:extLst>
          </c:dPt>
          <c:dPt>
            <c:idx val="146"/>
            <c:invertIfNegative val="0"/>
            <c:bubble3D val="0"/>
            <c:extLst>
              <c:ext xmlns:c16="http://schemas.microsoft.com/office/drawing/2014/chart" uri="{C3380CC4-5D6E-409C-BE32-E72D297353CC}">
                <c16:uniqueId val="{0000022D-59C9-42F8-9059-90EB4F2E633D}"/>
              </c:ext>
            </c:extLst>
          </c:dPt>
          <c:dPt>
            <c:idx val="147"/>
            <c:invertIfNegative val="0"/>
            <c:bubble3D val="0"/>
            <c:extLst>
              <c:ext xmlns:c16="http://schemas.microsoft.com/office/drawing/2014/chart" uri="{C3380CC4-5D6E-409C-BE32-E72D297353CC}">
                <c16:uniqueId val="{0000022E-59C9-42F8-9059-90EB4F2E633D}"/>
              </c:ext>
            </c:extLst>
          </c:dPt>
          <c:dPt>
            <c:idx val="148"/>
            <c:invertIfNegative val="0"/>
            <c:bubble3D val="0"/>
            <c:extLst>
              <c:ext xmlns:c16="http://schemas.microsoft.com/office/drawing/2014/chart" uri="{C3380CC4-5D6E-409C-BE32-E72D297353CC}">
                <c16:uniqueId val="{0000022F-59C9-42F8-9059-90EB4F2E633D}"/>
              </c:ext>
            </c:extLst>
          </c:dPt>
          <c:dPt>
            <c:idx val="149"/>
            <c:invertIfNegative val="0"/>
            <c:bubble3D val="0"/>
            <c:extLst>
              <c:ext xmlns:c16="http://schemas.microsoft.com/office/drawing/2014/chart" uri="{C3380CC4-5D6E-409C-BE32-E72D297353CC}">
                <c16:uniqueId val="{00000230-59C9-42F8-9059-90EB4F2E633D}"/>
              </c:ext>
            </c:extLst>
          </c:dPt>
          <c:dPt>
            <c:idx val="150"/>
            <c:invertIfNegative val="0"/>
            <c:bubble3D val="0"/>
            <c:extLst>
              <c:ext xmlns:c16="http://schemas.microsoft.com/office/drawing/2014/chart" uri="{C3380CC4-5D6E-409C-BE32-E72D297353CC}">
                <c16:uniqueId val="{00000231-59C9-42F8-9059-90EB4F2E633D}"/>
              </c:ext>
            </c:extLst>
          </c:dPt>
          <c:dPt>
            <c:idx val="151"/>
            <c:invertIfNegative val="0"/>
            <c:bubble3D val="0"/>
            <c:extLst>
              <c:ext xmlns:c16="http://schemas.microsoft.com/office/drawing/2014/chart" uri="{C3380CC4-5D6E-409C-BE32-E72D297353CC}">
                <c16:uniqueId val="{00000232-59C9-42F8-9059-90EB4F2E633D}"/>
              </c:ext>
            </c:extLst>
          </c:dPt>
          <c:dPt>
            <c:idx val="152"/>
            <c:invertIfNegative val="0"/>
            <c:bubble3D val="0"/>
            <c:extLst>
              <c:ext xmlns:c16="http://schemas.microsoft.com/office/drawing/2014/chart" uri="{C3380CC4-5D6E-409C-BE32-E72D297353CC}">
                <c16:uniqueId val="{00000233-59C9-42F8-9059-90EB4F2E633D}"/>
              </c:ext>
            </c:extLst>
          </c:dPt>
          <c:dPt>
            <c:idx val="153"/>
            <c:invertIfNegative val="0"/>
            <c:bubble3D val="0"/>
            <c:extLst>
              <c:ext xmlns:c16="http://schemas.microsoft.com/office/drawing/2014/chart" uri="{C3380CC4-5D6E-409C-BE32-E72D297353CC}">
                <c16:uniqueId val="{00000234-59C9-42F8-9059-90EB4F2E633D}"/>
              </c:ext>
            </c:extLst>
          </c:dPt>
          <c:dPt>
            <c:idx val="154"/>
            <c:invertIfNegative val="0"/>
            <c:bubble3D val="0"/>
            <c:extLst>
              <c:ext xmlns:c16="http://schemas.microsoft.com/office/drawing/2014/chart" uri="{C3380CC4-5D6E-409C-BE32-E72D297353CC}">
                <c16:uniqueId val="{00000235-59C9-42F8-9059-90EB4F2E633D}"/>
              </c:ext>
            </c:extLst>
          </c:dPt>
          <c:dPt>
            <c:idx val="155"/>
            <c:invertIfNegative val="0"/>
            <c:bubble3D val="0"/>
            <c:extLst>
              <c:ext xmlns:c16="http://schemas.microsoft.com/office/drawing/2014/chart" uri="{C3380CC4-5D6E-409C-BE32-E72D297353CC}">
                <c16:uniqueId val="{00000236-59C9-42F8-9059-90EB4F2E633D}"/>
              </c:ext>
            </c:extLst>
          </c:dPt>
          <c:dPt>
            <c:idx val="156"/>
            <c:invertIfNegative val="0"/>
            <c:bubble3D val="0"/>
            <c:extLst>
              <c:ext xmlns:c16="http://schemas.microsoft.com/office/drawing/2014/chart" uri="{C3380CC4-5D6E-409C-BE32-E72D297353CC}">
                <c16:uniqueId val="{00000237-59C9-42F8-9059-90EB4F2E633D}"/>
              </c:ext>
            </c:extLst>
          </c:dPt>
          <c:dPt>
            <c:idx val="157"/>
            <c:invertIfNegative val="0"/>
            <c:bubble3D val="0"/>
            <c:extLst>
              <c:ext xmlns:c16="http://schemas.microsoft.com/office/drawing/2014/chart" uri="{C3380CC4-5D6E-409C-BE32-E72D297353CC}">
                <c16:uniqueId val="{00000238-59C9-42F8-9059-90EB4F2E633D}"/>
              </c:ext>
            </c:extLst>
          </c:dPt>
          <c:dPt>
            <c:idx val="158"/>
            <c:invertIfNegative val="0"/>
            <c:bubble3D val="0"/>
            <c:extLst>
              <c:ext xmlns:c16="http://schemas.microsoft.com/office/drawing/2014/chart" uri="{C3380CC4-5D6E-409C-BE32-E72D297353CC}">
                <c16:uniqueId val="{00000239-59C9-42F8-9059-90EB4F2E633D}"/>
              </c:ext>
            </c:extLst>
          </c:dPt>
          <c:dPt>
            <c:idx val="159"/>
            <c:invertIfNegative val="0"/>
            <c:bubble3D val="0"/>
            <c:extLst>
              <c:ext xmlns:c16="http://schemas.microsoft.com/office/drawing/2014/chart" uri="{C3380CC4-5D6E-409C-BE32-E72D297353CC}">
                <c16:uniqueId val="{0000023A-59C9-42F8-9059-90EB4F2E633D}"/>
              </c:ext>
            </c:extLst>
          </c:dPt>
          <c:dPt>
            <c:idx val="160"/>
            <c:invertIfNegative val="0"/>
            <c:bubble3D val="0"/>
            <c:extLst>
              <c:ext xmlns:c16="http://schemas.microsoft.com/office/drawing/2014/chart" uri="{C3380CC4-5D6E-409C-BE32-E72D297353CC}">
                <c16:uniqueId val="{0000023B-59C9-42F8-9059-90EB4F2E633D}"/>
              </c:ext>
            </c:extLst>
          </c:dPt>
          <c:dPt>
            <c:idx val="161"/>
            <c:invertIfNegative val="0"/>
            <c:bubble3D val="0"/>
            <c:extLst>
              <c:ext xmlns:c16="http://schemas.microsoft.com/office/drawing/2014/chart" uri="{C3380CC4-5D6E-409C-BE32-E72D297353CC}">
                <c16:uniqueId val="{0000023C-59C9-42F8-9059-90EB4F2E633D}"/>
              </c:ext>
            </c:extLst>
          </c:dPt>
          <c:dPt>
            <c:idx val="162"/>
            <c:invertIfNegative val="0"/>
            <c:bubble3D val="0"/>
            <c:extLst>
              <c:ext xmlns:c16="http://schemas.microsoft.com/office/drawing/2014/chart" uri="{C3380CC4-5D6E-409C-BE32-E72D297353CC}">
                <c16:uniqueId val="{0000023D-59C9-42F8-9059-90EB4F2E633D}"/>
              </c:ext>
            </c:extLst>
          </c:dPt>
          <c:dPt>
            <c:idx val="163"/>
            <c:invertIfNegative val="0"/>
            <c:bubble3D val="0"/>
            <c:extLst>
              <c:ext xmlns:c16="http://schemas.microsoft.com/office/drawing/2014/chart" uri="{C3380CC4-5D6E-409C-BE32-E72D297353CC}">
                <c16:uniqueId val="{0000023E-59C9-42F8-9059-90EB4F2E633D}"/>
              </c:ext>
            </c:extLst>
          </c:dPt>
          <c:dPt>
            <c:idx val="164"/>
            <c:invertIfNegative val="0"/>
            <c:bubble3D val="0"/>
            <c:extLst>
              <c:ext xmlns:c16="http://schemas.microsoft.com/office/drawing/2014/chart" uri="{C3380CC4-5D6E-409C-BE32-E72D297353CC}">
                <c16:uniqueId val="{0000023F-59C9-42F8-9059-90EB4F2E633D}"/>
              </c:ext>
            </c:extLst>
          </c:dPt>
          <c:dPt>
            <c:idx val="165"/>
            <c:invertIfNegative val="0"/>
            <c:bubble3D val="0"/>
            <c:extLst>
              <c:ext xmlns:c16="http://schemas.microsoft.com/office/drawing/2014/chart" uri="{C3380CC4-5D6E-409C-BE32-E72D297353CC}">
                <c16:uniqueId val="{00000240-59C9-42F8-9059-90EB4F2E633D}"/>
              </c:ext>
            </c:extLst>
          </c:dPt>
          <c:dPt>
            <c:idx val="166"/>
            <c:invertIfNegative val="0"/>
            <c:bubble3D val="0"/>
            <c:extLst>
              <c:ext xmlns:c16="http://schemas.microsoft.com/office/drawing/2014/chart" uri="{C3380CC4-5D6E-409C-BE32-E72D297353CC}">
                <c16:uniqueId val="{00000241-59C9-42F8-9059-90EB4F2E633D}"/>
              </c:ext>
            </c:extLst>
          </c:dPt>
          <c:dPt>
            <c:idx val="167"/>
            <c:invertIfNegative val="0"/>
            <c:bubble3D val="0"/>
            <c:extLst>
              <c:ext xmlns:c16="http://schemas.microsoft.com/office/drawing/2014/chart" uri="{C3380CC4-5D6E-409C-BE32-E72D297353CC}">
                <c16:uniqueId val="{00000242-59C9-42F8-9059-90EB4F2E633D}"/>
              </c:ext>
            </c:extLst>
          </c:dPt>
          <c:dPt>
            <c:idx val="168"/>
            <c:invertIfNegative val="0"/>
            <c:bubble3D val="0"/>
            <c:extLst>
              <c:ext xmlns:c16="http://schemas.microsoft.com/office/drawing/2014/chart" uri="{C3380CC4-5D6E-409C-BE32-E72D297353CC}">
                <c16:uniqueId val="{00000243-59C9-42F8-9059-90EB4F2E633D}"/>
              </c:ext>
            </c:extLst>
          </c:dPt>
          <c:dPt>
            <c:idx val="169"/>
            <c:invertIfNegative val="0"/>
            <c:bubble3D val="0"/>
            <c:extLst>
              <c:ext xmlns:c16="http://schemas.microsoft.com/office/drawing/2014/chart" uri="{C3380CC4-5D6E-409C-BE32-E72D297353CC}">
                <c16:uniqueId val="{00000244-59C9-42F8-9059-90EB4F2E633D}"/>
              </c:ext>
            </c:extLst>
          </c:dPt>
          <c:dPt>
            <c:idx val="170"/>
            <c:invertIfNegative val="0"/>
            <c:bubble3D val="0"/>
            <c:extLst>
              <c:ext xmlns:c16="http://schemas.microsoft.com/office/drawing/2014/chart" uri="{C3380CC4-5D6E-409C-BE32-E72D297353CC}">
                <c16:uniqueId val="{00000245-59C9-42F8-9059-90EB4F2E633D}"/>
              </c:ext>
            </c:extLst>
          </c:dPt>
          <c:dPt>
            <c:idx val="171"/>
            <c:invertIfNegative val="0"/>
            <c:bubble3D val="0"/>
            <c:extLst>
              <c:ext xmlns:c16="http://schemas.microsoft.com/office/drawing/2014/chart" uri="{C3380CC4-5D6E-409C-BE32-E72D297353CC}">
                <c16:uniqueId val="{00000246-59C9-42F8-9059-90EB4F2E633D}"/>
              </c:ext>
            </c:extLst>
          </c:dPt>
          <c:dPt>
            <c:idx val="172"/>
            <c:invertIfNegative val="0"/>
            <c:bubble3D val="0"/>
            <c:extLst>
              <c:ext xmlns:c16="http://schemas.microsoft.com/office/drawing/2014/chart" uri="{C3380CC4-5D6E-409C-BE32-E72D297353CC}">
                <c16:uniqueId val="{00000247-59C9-42F8-9059-90EB4F2E633D}"/>
              </c:ext>
            </c:extLst>
          </c:dPt>
          <c:dPt>
            <c:idx val="173"/>
            <c:invertIfNegative val="0"/>
            <c:bubble3D val="0"/>
            <c:extLst>
              <c:ext xmlns:c16="http://schemas.microsoft.com/office/drawing/2014/chart" uri="{C3380CC4-5D6E-409C-BE32-E72D297353CC}">
                <c16:uniqueId val="{00000248-59C9-42F8-9059-90EB4F2E633D}"/>
              </c:ext>
            </c:extLst>
          </c:dPt>
          <c:dPt>
            <c:idx val="174"/>
            <c:invertIfNegative val="0"/>
            <c:bubble3D val="0"/>
            <c:extLst>
              <c:ext xmlns:c16="http://schemas.microsoft.com/office/drawing/2014/chart" uri="{C3380CC4-5D6E-409C-BE32-E72D297353CC}">
                <c16:uniqueId val="{00000249-59C9-42F8-9059-90EB4F2E633D}"/>
              </c:ext>
            </c:extLst>
          </c:dPt>
          <c:dPt>
            <c:idx val="175"/>
            <c:invertIfNegative val="0"/>
            <c:bubble3D val="0"/>
            <c:extLst>
              <c:ext xmlns:c16="http://schemas.microsoft.com/office/drawing/2014/chart" uri="{C3380CC4-5D6E-409C-BE32-E72D297353CC}">
                <c16:uniqueId val="{0000024A-59C9-42F8-9059-90EB4F2E633D}"/>
              </c:ext>
            </c:extLst>
          </c:dPt>
          <c:dPt>
            <c:idx val="176"/>
            <c:invertIfNegative val="0"/>
            <c:bubble3D val="0"/>
            <c:extLst>
              <c:ext xmlns:c16="http://schemas.microsoft.com/office/drawing/2014/chart" uri="{C3380CC4-5D6E-409C-BE32-E72D297353CC}">
                <c16:uniqueId val="{0000024B-59C9-42F8-9059-90EB4F2E633D}"/>
              </c:ext>
            </c:extLst>
          </c:dPt>
          <c:dPt>
            <c:idx val="177"/>
            <c:invertIfNegative val="0"/>
            <c:bubble3D val="0"/>
            <c:extLst>
              <c:ext xmlns:c16="http://schemas.microsoft.com/office/drawing/2014/chart" uri="{C3380CC4-5D6E-409C-BE32-E72D297353CC}">
                <c16:uniqueId val="{0000024C-59C9-42F8-9059-90EB4F2E633D}"/>
              </c:ext>
            </c:extLst>
          </c:dPt>
          <c:dPt>
            <c:idx val="178"/>
            <c:invertIfNegative val="0"/>
            <c:bubble3D val="0"/>
            <c:extLst>
              <c:ext xmlns:c16="http://schemas.microsoft.com/office/drawing/2014/chart" uri="{C3380CC4-5D6E-409C-BE32-E72D297353CC}">
                <c16:uniqueId val="{0000024D-59C9-42F8-9059-90EB4F2E633D}"/>
              </c:ext>
            </c:extLst>
          </c:dPt>
          <c:dPt>
            <c:idx val="179"/>
            <c:invertIfNegative val="0"/>
            <c:bubble3D val="0"/>
            <c:extLst>
              <c:ext xmlns:c16="http://schemas.microsoft.com/office/drawing/2014/chart" uri="{C3380CC4-5D6E-409C-BE32-E72D297353CC}">
                <c16:uniqueId val="{0000024E-59C9-42F8-9059-90EB4F2E633D}"/>
              </c:ext>
            </c:extLst>
          </c:dPt>
          <c:dPt>
            <c:idx val="180"/>
            <c:invertIfNegative val="0"/>
            <c:bubble3D val="0"/>
            <c:extLst>
              <c:ext xmlns:c16="http://schemas.microsoft.com/office/drawing/2014/chart" uri="{C3380CC4-5D6E-409C-BE32-E72D297353CC}">
                <c16:uniqueId val="{0000024F-59C9-42F8-9059-90EB4F2E633D}"/>
              </c:ext>
            </c:extLst>
          </c:dPt>
          <c:dPt>
            <c:idx val="181"/>
            <c:invertIfNegative val="0"/>
            <c:bubble3D val="0"/>
            <c:extLst>
              <c:ext xmlns:c16="http://schemas.microsoft.com/office/drawing/2014/chart" uri="{C3380CC4-5D6E-409C-BE32-E72D297353CC}">
                <c16:uniqueId val="{00000250-59C9-42F8-9059-90EB4F2E633D}"/>
              </c:ext>
            </c:extLst>
          </c:dPt>
          <c:dPt>
            <c:idx val="182"/>
            <c:invertIfNegative val="0"/>
            <c:bubble3D val="0"/>
            <c:extLst>
              <c:ext xmlns:c16="http://schemas.microsoft.com/office/drawing/2014/chart" uri="{C3380CC4-5D6E-409C-BE32-E72D297353CC}">
                <c16:uniqueId val="{00000251-59C9-42F8-9059-90EB4F2E633D}"/>
              </c:ext>
            </c:extLst>
          </c:dPt>
          <c:dPt>
            <c:idx val="183"/>
            <c:invertIfNegative val="0"/>
            <c:bubble3D val="0"/>
            <c:extLst>
              <c:ext xmlns:c16="http://schemas.microsoft.com/office/drawing/2014/chart" uri="{C3380CC4-5D6E-409C-BE32-E72D297353CC}">
                <c16:uniqueId val="{00000252-59C9-42F8-9059-90EB4F2E633D}"/>
              </c:ext>
            </c:extLst>
          </c:dPt>
          <c:dPt>
            <c:idx val="184"/>
            <c:invertIfNegative val="0"/>
            <c:bubble3D val="0"/>
            <c:extLst>
              <c:ext xmlns:c16="http://schemas.microsoft.com/office/drawing/2014/chart" uri="{C3380CC4-5D6E-409C-BE32-E72D297353CC}">
                <c16:uniqueId val="{00000253-59C9-42F8-9059-90EB4F2E633D}"/>
              </c:ext>
            </c:extLst>
          </c:dPt>
          <c:dPt>
            <c:idx val="185"/>
            <c:invertIfNegative val="0"/>
            <c:bubble3D val="0"/>
            <c:extLst>
              <c:ext xmlns:c16="http://schemas.microsoft.com/office/drawing/2014/chart" uri="{C3380CC4-5D6E-409C-BE32-E72D297353CC}">
                <c16:uniqueId val="{00000254-59C9-42F8-9059-90EB4F2E633D}"/>
              </c:ext>
            </c:extLst>
          </c:dPt>
          <c:dPt>
            <c:idx val="186"/>
            <c:invertIfNegative val="0"/>
            <c:bubble3D val="0"/>
            <c:extLst>
              <c:ext xmlns:c16="http://schemas.microsoft.com/office/drawing/2014/chart" uri="{C3380CC4-5D6E-409C-BE32-E72D297353CC}">
                <c16:uniqueId val="{00000255-59C9-42F8-9059-90EB4F2E633D}"/>
              </c:ext>
            </c:extLst>
          </c:dPt>
          <c:dPt>
            <c:idx val="187"/>
            <c:invertIfNegative val="0"/>
            <c:bubble3D val="0"/>
            <c:extLst>
              <c:ext xmlns:c16="http://schemas.microsoft.com/office/drawing/2014/chart" uri="{C3380CC4-5D6E-409C-BE32-E72D297353CC}">
                <c16:uniqueId val="{00000256-59C9-42F8-9059-90EB4F2E633D}"/>
              </c:ext>
            </c:extLst>
          </c:dPt>
          <c:dPt>
            <c:idx val="188"/>
            <c:invertIfNegative val="0"/>
            <c:bubble3D val="0"/>
            <c:extLst>
              <c:ext xmlns:c16="http://schemas.microsoft.com/office/drawing/2014/chart" uri="{C3380CC4-5D6E-409C-BE32-E72D297353CC}">
                <c16:uniqueId val="{00000257-59C9-42F8-9059-90EB4F2E633D}"/>
              </c:ext>
            </c:extLst>
          </c:dPt>
          <c:dPt>
            <c:idx val="189"/>
            <c:invertIfNegative val="0"/>
            <c:bubble3D val="0"/>
            <c:extLst>
              <c:ext xmlns:c16="http://schemas.microsoft.com/office/drawing/2014/chart" uri="{C3380CC4-5D6E-409C-BE32-E72D297353CC}">
                <c16:uniqueId val="{00000258-59C9-42F8-9059-90EB4F2E633D}"/>
              </c:ext>
            </c:extLst>
          </c:dPt>
          <c:dPt>
            <c:idx val="190"/>
            <c:invertIfNegative val="0"/>
            <c:bubble3D val="0"/>
            <c:extLst>
              <c:ext xmlns:c16="http://schemas.microsoft.com/office/drawing/2014/chart" uri="{C3380CC4-5D6E-409C-BE32-E72D297353CC}">
                <c16:uniqueId val="{00000259-59C9-42F8-9059-90EB4F2E633D}"/>
              </c:ext>
            </c:extLst>
          </c:dPt>
          <c:dPt>
            <c:idx val="191"/>
            <c:invertIfNegative val="0"/>
            <c:bubble3D val="0"/>
            <c:extLst>
              <c:ext xmlns:c16="http://schemas.microsoft.com/office/drawing/2014/chart" uri="{C3380CC4-5D6E-409C-BE32-E72D297353CC}">
                <c16:uniqueId val="{0000025A-59C9-42F8-9059-90EB4F2E633D}"/>
              </c:ext>
            </c:extLst>
          </c:dPt>
          <c:dPt>
            <c:idx val="192"/>
            <c:invertIfNegative val="0"/>
            <c:bubble3D val="0"/>
            <c:extLst>
              <c:ext xmlns:c16="http://schemas.microsoft.com/office/drawing/2014/chart" uri="{C3380CC4-5D6E-409C-BE32-E72D297353CC}">
                <c16:uniqueId val="{0000025B-59C9-42F8-9059-90EB4F2E633D}"/>
              </c:ext>
            </c:extLst>
          </c:dPt>
          <c:dPt>
            <c:idx val="193"/>
            <c:invertIfNegative val="0"/>
            <c:bubble3D val="0"/>
            <c:extLst>
              <c:ext xmlns:c16="http://schemas.microsoft.com/office/drawing/2014/chart" uri="{C3380CC4-5D6E-409C-BE32-E72D297353CC}">
                <c16:uniqueId val="{0000025C-59C9-42F8-9059-90EB4F2E633D}"/>
              </c:ext>
            </c:extLst>
          </c:dPt>
          <c:dPt>
            <c:idx val="194"/>
            <c:invertIfNegative val="0"/>
            <c:bubble3D val="0"/>
            <c:extLst>
              <c:ext xmlns:c16="http://schemas.microsoft.com/office/drawing/2014/chart" uri="{C3380CC4-5D6E-409C-BE32-E72D297353CC}">
                <c16:uniqueId val="{0000025D-59C9-42F8-9059-90EB4F2E633D}"/>
              </c:ext>
            </c:extLst>
          </c:dPt>
          <c:dPt>
            <c:idx val="195"/>
            <c:invertIfNegative val="0"/>
            <c:bubble3D val="0"/>
            <c:extLst>
              <c:ext xmlns:c16="http://schemas.microsoft.com/office/drawing/2014/chart" uri="{C3380CC4-5D6E-409C-BE32-E72D297353CC}">
                <c16:uniqueId val="{0000025E-59C9-42F8-9059-90EB4F2E633D}"/>
              </c:ext>
            </c:extLst>
          </c:dPt>
          <c:dPt>
            <c:idx val="196"/>
            <c:invertIfNegative val="0"/>
            <c:bubble3D val="0"/>
            <c:extLst>
              <c:ext xmlns:c16="http://schemas.microsoft.com/office/drawing/2014/chart" uri="{C3380CC4-5D6E-409C-BE32-E72D297353CC}">
                <c16:uniqueId val="{0000025F-59C9-42F8-9059-90EB4F2E633D}"/>
              </c:ext>
            </c:extLst>
          </c:dPt>
          <c:dPt>
            <c:idx val="197"/>
            <c:invertIfNegative val="0"/>
            <c:bubble3D val="0"/>
            <c:extLst>
              <c:ext xmlns:c16="http://schemas.microsoft.com/office/drawing/2014/chart" uri="{C3380CC4-5D6E-409C-BE32-E72D297353CC}">
                <c16:uniqueId val="{00000260-59C9-42F8-9059-90EB4F2E633D}"/>
              </c:ext>
            </c:extLst>
          </c:dPt>
          <c:dPt>
            <c:idx val="198"/>
            <c:invertIfNegative val="0"/>
            <c:bubble3D val="0"/>
            <c:extLst>
              <c:ext xmlns:c16="http://schemas.microsoft.com/office/drawing/2014/chart" uri="{C3380CC4-5D6E-409C-BE32-E72D297353CC}">
                <c16:uniqueId val="{00000261-59C9-42F8-9059-90EB4F2E633D}"/>
              </c:ext>
            </c:extLst>
          </c:dPt>
          <c:dPt>
            <c:idx val="199"/>
            <c:invertIfNegative val="0"/>
            <c:bubble3D val="0"/>
            <c:extLst>
              <c:ext xmlns:c16="http://schemas.microsoft.com/office/drawing/2014/chart" uri="{C3380CC4-5D6E-409C-BE32-E72D297353CC}">
                <c16:uniqueId val="{00000262-59C9-42F8-9059-90EB4F2E633D}"/>
              </c:ext>
            </c:extLst>
          </c:dPt>
          <c:dPt>
            <c:idx val="200"/>
            <c:invertIfNegative val="0"/>
            <c:bubble3D val="0"/>
            <c:extLst>
              <c:ext xmlns:c16="http://schemas.microsoft.com/office/drawing/2014/chart" uri="{C3380CC4-5D6E-409C-BE32-E72D297353CC}">
                <c16:uniqueId val="{00000263-59C9-42F8-9059-90EB4F2E633D}"/>
              </c:ext>
            </c:extLst>
          </c:dPt>
          <c:dPt>
            <c:idx val="201"/>
            <c:invertIfNegative val="0"/>
            <c:bubble3D val="0"/>
            <c:extLst>
              <c:ext xmlns:c16="http://schemas.microsoft.com/office/drawing/2014/chart" uri="{C3380CC4-5D6E-409C-BE32-E72D297353CC}">
                <c16:uniqueId val="{00000264-59C9-42F8-9059-90EB4F2E633D}"/>
              </c:ext>
            </c:extLst>
          </c:dPt>
          <c:dPt>
            <c:idx val="202"/>
            <c:invertIfNegative val="0"/>
            <c:bubble3D val="0"/>
            <c:extLst>
              <c:ext xmlns:c16="http://schemas.microsoft.com/office/drawing/2014/chart" uri="{C3380CC4-5D6E-409C-BE32-E72D297353CC}">
                <c16:uniqueId val="{00000265-59C9-42F8-9059-90EB4F2E633D}"/>
              </c:ext>
            </c:extLst>
          </c:dPt>
          <c:dPt>
            <c:idx val="203"/>
            <c:invertIfNegative val="0"/>
            <c:bubble3D val="0"/>
            <c:extLst>
              <c:ext xmlns:c16="http://schemas.microsoft.com/office/drawing/2014/chart" uri="{C3380CC4-5D6E-409C-BE32-E72D297353CC}">
                <c16:uniqueId val="{00000266-59C9-42F8-9059-90EB4F2E633D}"/>
              </c:ext>
            </c:extLst>
          </c:dPt>
          <c:dPt>
            <c:idx val="204"/>
            <c:invertIfNegative val="0"/>
            <c:bubble3D val="0"/>
            <c:extLst>
              <c:ext xmlns:c16="http://schemas.microsoft.com/office/drawing/2014/chart" uri="{C3380CC4-5D6E-409C-BE32-E72D297353CC}">
                <c16:uniqueId val="{00000267-59C9-42F8-9059-90EB4F2E633D}"/>
              </c:ext>
            </c:extLst>
          </c:dPt>
          <c:dPt>
            <c:idx val="205"/>
            <c:invertIfNegative val="0"/>
            <c:bubble3D val="0"/>
            <c:extLst>
              <c:ext xmlns:c16="http://schemas.microsoft.com/office/drawing/2014/chart" uri="{C3380CC4-5D6E-409C-BE32-E72D297353CC}">
                <c16:uniqueId val="{00000268-59C9-42F8-9059-90EB4F2E633D}"/>
              </c:ext>
            </c:extLst>
          </c:dPt>
          <c:dPt>
            <c:idx val="206"/>
            <c:invertIfNegative val="0"/>
            <c:bubble3D val="0"/>
            <c:extLst>
              <c:ext xmlns:c16="http://schemas.microsoft.com/office/drawing/2014/chart" uri="{C3380CC4-5D6E-409C-BE32-E72D297353CC}">
                <c16:uniqueId val="{00000269-59C9-42F8-9059-90EB4F2E633D}"/>
              </c:ext>
            </c:extLst>
          </c:dPt>
          <c:dPt>
            <c:idx val="207"/>
            <c:invertIfNegative val="0"/>
            <c:bubble3D val="0"/>
            <c:extLst>
              <c:ext xmlns:c16="http://schemas.microsoft.com/office/drawing/2014/chart" uri="{C3380CC4-5D6E-409C-BE32-E72D297353CC}">
                <c16:uniqueId val="{0000026A-59C9-42F8-9059-90EB4F2E633D}"/>
              </c:ext>
            </c:extLst>
          </c:dPt>
          <c:dPt>
            <c:idx val="208"/>
            <c:invertIfNegative val="0"/>
            <c:bubble3D val="0"/>
            <c:extLst>
              <c:ext xmlns:c16="http://schemas.microsoft.com/office/drawing/2014/chart" uri="{C3380CC4-5D6E-409C-BE32-E72D297353CC}">
                <c16:uniqueId val="{0000026B-59C9-42F8-9059-90EB4F2E633D}"/>
              </c:ext>
            </c:extLst>
          </c:dPt>
          <c:dPt>
            <c:idx val="209"/>
            <c:invertIfNegative val="0"/>
            <c:bubble3D val="0"/>
            <c:extLst>
              <c:ext xmlns:c16="http://schemas.microsoft.com/office/drawing/2014/chart" uri="{C3380CC4-5D6E-409C-BE32-E72D297353CC}">
                <c16:uniqueId val="{0000026C-59C9-42F8-9059-90EB4F2E633D}"/>
              </c:ext>
            </c:extLst>
          </c:dPt>
          <c:dPt>
            <c:idx val="210"/>
            <c:invertIfNegative val="0"/>
            <c:bubble3D val="0"/>
            <c:extLst>
              <c:ext xmlns:c16="http://schemas.microsoft.com/office/drawing/2014/chart" uri="{C3380CC4-5D6E-409C-BE32-E72D297353CC}">
                <c16:uniqueId val="{0000026D-59C9-42F8-9059-90EB4F2E633D}"/>
              </c:ext>
            </c:extLst>
          </c:dPt>
          <c:dPt>
            <c:idx val="211"/>
            <c:invertIfNegative val="0"/>
            <c:bubble3D val="0"/>
            <c:extLst>
              <c:ext xmlns:c16="http://schemas.microsoft.com/office/drawing/2014/chart" uri="{C3380CC4-5D6E-409C-BE32-E72D297353CC}">
                <c16:uniqueId val="{0000026E-59C9-42F8-9059-90EB4F2E633D}"/>
              </c:ext>
            </c:extLst>
          </c:dPt>
          <c:dPt>
            <c:idx val="212"/>
            <c:invertIfNegative val="0"/>
            <c:bubble3D val="0"/>
            <c:extLst>
              <c:ext xmlns:c16="http://schemas.microsoft.com/office/drawing/2014/chart" uri="{C3380CC4-5D6E-409C-BE32-E72D297353CC}">
                <c16:uniqueId val="{0000026F-59C9-42F8-9059-90EB4F2E633D}"/>
              </c:ext>
            </c:extLst>
          </c:dPt>
          <c:dPt>
            <c:idx val="213"/>
            <c:invertIfNegative val="0"/>
            <c:bubble3D val="0"/>
            <c:extLst>
              <c:ext xmlns:c16="http://schemas.microsoft.com/office/drawing/2014/chart" uri="{C3380CC4-5D6E-409C-BE32-E72D297353CC}">
                <c16:uniqueId val="{00000270-59C9-42F8-9059-90EB4F2E633D}"/>
              </c:ext>
            </c:extLst>
          </c:dPt>
          <c:dPt>
            <c:idx val="214"/>
            <c:invertIfNegative val="0"/>
            <c:bubble3D val="0"/>
            <c:extLst>
              <c:ext xmlns:c16="http://schemas.microsoft.com/office/drawing/2014/chart" uri="{C3380CC4-5D6E-409C-BE32-E72D297353CC}">
                <c16:uniqueId val="{00000271-59C9-42F8-9059-90EB4F2E633D}"/>
              </c:ext>
            </c:extLst>
          </c:dPt>
          <c:dPt>
            <c:idx val="215"/>
            <c:invertIfNegative val="0"/>
            <c:bubble3D val="0"/>
            <c:extLst>
              <c:ext xmlns:c16="http://schemas.microsoft.com/office/drawing/2014/chart" uri="{C3380CC4-5D6E-409C-BE32-E72D297353CC}">
                <c16:uniqueId val="{00000272-59C9-42F8-9059-90EB4F2E633D}"/>
              </c:ext>
            </c:extLst>
          </c:dPt>
          <c:dPt>
            <c:idx val="216"/>
            <c:invertIfNegative val="0"/>
            <c:bubble3D val="0"/>
            <c:extLst>
              <c:ext xmlns:c16="http://schemas.microsoft.com/office/drawing/2014/chart" uri="{C3380CC4-5D6E-409C-BE32-E72D297353CC}">
                <c16:uniqueId val="{00000273-59C9-42F8-9059-90EB4F2E633D}"/>
              </c:ext>
            </c:extLst>
          </c:dPt>
          <c:dPt>
            <c:idx val="217"/>
            <c:invertIfNegative val="0"/>
            <c:bubble3D val="0"/>
            <c:extLst>
              <c:ext xmlns:c16="http://schemas.microsoft.com/office/drawing/2014/chart" uri="{C3380CC4-5D6E-409C-BE32-E72D297353CC}">
                <c16:uniqueId val="{00000274-59C9-42F8-9059-90EB4F2E633D}"/>
              </c:ext>
            </c:extLst>
          </c:dPt>
          <c:dPt>
            <c:idx val="218"/>
            <c:invertIfNegative val="0"/>
            <c:bubble3D val="0"/>
            <c:extLst>
              <c:ext xmlns:c16="http://schemas.microsoft.com/office/drawing/2014/chart" uri="{C3380CC4-5D6E-409C-BE32-E72D297353CC}">
                <c16:uniqueId val="{00000275-59C9-42F8-9059-90EB4F2E633D}"/>
              </c:ext>
            </c:extLst>
          </c:dPt>
          <c:dPt>
            <c:idx val="219"/>
            <c:invertIfNegative val="0"/>
            <c:bubble3D val="0"/>
            <c:extLst>
              <c:ext xmlns:c16="http://schemas.microsoft.com/office/drawing/2014/chart" uri="{C3380CC4-5D6E-409C-BE32-E72D297353CC}">
                <c16:uniqueId val="{00000276-59C9-42F8-9059-90EB4F2E633D}"/>
              </c:ext>
            </c:extLst>
          </c:dPt>
          <c:dPt>
            <c:idx val="220"/>
            <c:invertIfNegative val="0"/>
            <c:bubble3D val="0"/>
            <c:extLst>
              <c:ext xmlns:c16="http://schemas.microsoft.com/office/drawing/2014/chart" uri="{C3380CC4-5D6E-409C-BE32-E72D297353CC}">
                <c16:uniqueId val="{00000277-59C9-42F8-9059-90EB4F2E633D}"/>
              </c:ext>
            </c:extLst>
          </c:dPt>
          <c:dPt>
            <c:idx val="221"/>
            <c:invertIfNegative val="0"/>
            <c:bubble3D val="0"/>
            <c:extLst>
              <c:ext xmlns:c16="http://schemas.microsoft.com/office/drawing/2014/chart" uri="{C3380CC4-5D6E-409C-BE32-E72D297353CC}">
                <c16:uniqueId val="{00000278-59C9-42F8-9059-90EB4F2E633D}"/>
              </c:ext>
            </c:extLst>
          </c:dPt>
          <c:dPt>
            <c:idx val="222"/>
            <c:invertIfNegative val="0"/>
            <c:bubble3D val="0"/>
            <c:extLst>
              <c:ext xmlns:c16="http://schemas.microsoft.com/office/drawing/2014/chart" uri="{C3380CC4-5D6E-409C-BE32-E72D297353CC}">
                <c16:uniqueId val="{00000279-59C9-42F8-9059-90EB4F2E633D}"/>
              </c:ext>
            </c:extLst>
          </c:dPt>
          <c:dPt>
            <c:idx val="223"/>
            <c:invertIfNegative val="0"/>
            <c:bubble3D val="0"/>
            <c:extLst>
              <c:ext xmlns:c16="http://schemas.microsoft.com/office/drawing/2014/chart" uri="{C3380CC4-5D6E-409C-BE32-E72D297353CC}">
                <c16:uniqueId val="{0000027A-59C9-42F8-9059-90EB4F2E633D}"/>
              </c:ext>
            </c:extLst>
          </c:dPt>
          <c:dPt>
            <c:idx val="224"/>
            <c:invertIfNegative val="0"/>
            <c:bubble3D val="0"/>
            <c:extLst>
              <c:ext xmlns:c16="http://schemas.microsoft.com/office/drawing/2014/chart" uri="{C3380CC4-5D6E-409C-BE32-E72D297353CC}">
                <c16:uniqueId val="{0000027B-59C9-42F8-9059-90EB4F2E633D}"/>
              </c:ext>
            </c:extLst>
          </c:dPt>
          <c:dPt>
            <c:idx val="225"/>
            <c:invertIfNegative val="0"/>
            <c:bubble3D val="0"/>
            <c:extLst>
              <c:ext xmlns:c16="http://schemas.microsoft.com/office/drawing/2014/chart" uri="{C3380CC4-5D6E-409C-BE32-E72D297353CC}">
                <c16:uniqueId val="{0000027C-59C9-42F8-9059-90EB4F2E633D}"/>
              </c:ext>
            </c:extLst>
          </c:dPt>
          <c:dPt>
            <c:idx val="226"/>
            <c:invertIfNegative val="0"/>
            <c:bubble3D val="0"/>
            <c:extLst>
              <c:ext xmlns:c16="http://schemas.microsoft.com/office/drawing/2014/chart" uri="{C3380CC4-5D6E-409C-BE32-E72D297353CC}">
                <c16:uniqueId val="{0000027D-59C9-42F8-9059-90EB4F2E633D}"/>
              </c:ext>
            </c:extLst>
          </c:dPt>
          <c:dPt>
            <c:idx val="227"/>
            <c:invertIfNegative val="0"/>
            <c:bubble3D val="0"/>
            <c:extLst>
              <c:ext xmlns:c16="http://schemas.microsoft.com/office/drawing/2014/chart" uri="{C3380CC4-5D6E-409C-BE32-E72D297353CC}">
                <c16:uniqueId val="{0000027E-59C9-42F8-9059-90EB4F2E633D}"/>
              </c:ext>
            </c:extLst>
          </c:dPt>
          <c:dPt>
            <c:idx val="228"/>
            <c:invertIfNegative val="0"/>
            <c:bubble3D val="0"/>
            <c:extLst>
              <c:ext xmlns:c16="http://schemas.microsoft.com/office/drawing/2014/chart" uri="{C3380CC4-5D6E-409C-BE32-E72D297353CC}">
                <c16:uniqueId val="{0000027F-59C9-42F8-9059-90EB4F2E633D}"/>
              </c:ext>
            </c:extLst>
          </c:dPt>
          <c:dPt>
            <c:idx val="229"/>
            <c:invertIfNegative val="0"/>
            <c:bubble3D val="0"/>
            <c:extLst>
              <c:ext xmlns:c16="http://schemas.microsoft.com/office/drawing/2014/chart" uri="{C3380CC4-5D6E-409C-BE32-E72D297353CC}">
                <c16:uniqueId val="{00000280-59C9-42F8-9059-90EB4F2E633D}"/>
              </c:ext>
            </c:extLst>
          </c:dPt>
          <c:dPt>
            <c:idx val="230"/>
            <c:invertIfNegative val="0"/>
            <c:bubble3D val="0"/>
            <c:extLst>
              <c:ext xmlns:c16="http://schemas.microsoft.com/office/drawing/2014/chart" uri="{C3380CC4-5D6E-409C-BE32-E72D297353CC}">
                <c16:uniqueId val="{00000281-59C9-42F8-9059-90EB4F2E633D}"/>
              </c:ext>
            </c:extLst>
          </c:dPt>
          <c:dPt>
            <c:idx val="231"/>
            <c:invertIfNegative val="0"/>
            <c:bubble3D val="0"/>
            <c:extLst>
              <c:ext xmlns:c16="http://schemas.microsoft.com/office/drawing/2014/chart" uri="{C3380CC4-5D6E-409C-BE32-E72D297353CC}">
                <c16:uniqueId val="{00000282-59C9-42F8-9059-90EB4F2E633D}"/>
              </c:ext>
            </c:extLst>
          </c:dPt>
          <c:dPt>
            <c:idx val="232"/>
            <c:invertIfNegative val="0"/>
            <c:bubble3D val="0"/>
            <c:extLst>
              <c:ext xmlns:c16="http://schemas.microsoft.com/office/drawing/2014/chart" uri="{C3380CC4-5D6E-409C-BE32-E72D297353CC}">
                <c16:uniqueId val="{00000283-59C9-42F8-9059-90EB4F2E633D}"/>
              </c:ext>
            </c:extLst>
          </c:dPt>
          <c:dPt>
            <c:idx val="233"/>
            <c:invertIfNegative val="0"/>
            <c:bubble3D val="0"/>
            <c:extLst>
              <c:ext xmlns:c16="http://schemas.microsoft.com/office/drawing/2014/chart" uri="{C3380CC4-5D6E-409C-BE32-E72D297353CC}">
                <c16:uniqueId val="{00000284-59C9-42F8-9059-90EB4F2E633D}"/>
              </c:ext>
            </c:extLst>
          </c:dPt>
          <c:dPt>
            <c:idx val="234"/>
            <c:invertIfNegative val="0"/>
            <c:bubble3D val="0"/>
            <c:extLst>
              <c:ext xmlns:c16="http://schemas.microsoft.com/office/drawing/2014/chart" uri="{C3380CC4-5D6E-409C-BE32-E72D297353CC}">
                <c16:uniqueId val="{00000285-59C9-42F8-9059-90EB4F2E633D}"/>
              </c:ext>
            </c:extLst>
          </c:dPt>
          <c:dPt>
            <c:idx val="235"/>
            <c:invertIfNegative val="0"/>
            <c:bubble3D val="0"/>
            <c:extLst>
              <c:ext xmlns:c16="http://schemas.microsoft.com/office/drawing/2014/chart" uri="{C3380CC4-5D6E-409C-BE32-E72D297353CC}">
                <c16:uniqueId val="{00000286-59C9-42F8-9059-90EB4F2E633D}"/>
              </c:ext>
            </c:extLst>
          </c:dPt>
          <c:dPt>
            <c:idx val="236"/>
            <c:invertIfNegative val="0"/>
            <c:bubble3D val="0"/>
            <c:extLst>
              <c:ext xmlns:c16="http://schemas.microsoft.com/office/drawing/2014/chart" uri="{C3380CC4-5D6E-409C-BE32-E72D297353CC}">
                <c16:uniqueId val="{00000287-59C9-42F8-9059-90EB4F2E633D}"/>
              </c:ext>
            </c:extLst>
          </c:dPt>
          <c:dPt>
            <c:idx val="237"/>
            <c:invertIfNegative val="0"/>
            <c:bubble3D val="0"/>
            <c:extLst>
              <c:ext xmlns:c16="http://schemas.microsoft.com/office/drawing/2014/chart" uri="{C3380CC4-5D6E-409C-BE32-E72D297353CC}">
                <c16:uniqueId val="{00000288-59C9-42F8-9059-90EB4F2E633D}"/>
              </c:ext>
            </c:extLst>
          </c:dPt>
          <c:dPt>
            <c:idx val="238"/>
            <c:invertIfNegative val="0"/>
            <c:bubble3D val="0"/>
            <c:extLst>
              <c:ext xmlns:c16="http://schemas.microsoft.com/office/drawing/2014/chart" uri="{C3380CC4-5D6E-409C-BE32-E72D297353CC}">
                <c16:uniqueId val="{00000289-59C9-42F8-9059-90EB4F2E633D}"/>
              </c:ext>
            </c:extLst>
          </c:dPt>
          <c:dPt>
            <c:idx val="239"/>
            <c:invertIfNegative val="0"/>
            <c:bubble3D val="0"/>
            <c:extLst>
              <c:ext xmlns:c16="http://schemas.microsoft.com/office/drawing/2014/chart" uri="{C3380CC4-5D6E-409C-BE32-E72D297353CC}">
                <c16:uniqueId val="{0000028A-59C9-42F8-9059-90EB4F2E633D}"/>
              </c:ext>
            </c:extLst>
          </c:dPt>
          <c:dPt>
            <c:idx val="240"/>
            <c:invertIfNegative val="0"/>
            <c:bubble3D val="0"/>
            <c:extLst>
              <c:ext xmlns:c16="http://schemas.microsoft.com/office/drawing/2014/chart" uri="{C3380CC4-5D6E-409C-BE32-E72D297353CC}">
                <c16:uniqueId val="{0000028B-59C9-42F8-9059-90EB4F2E633D}"/>
              </c:ext>
            </c:extLst>
          </c:dPt>
          <c:dPt>
            <c:idx val="241"/>
            <c:invertIfNegative val="0"/>
            <c:bubble3D val="0"/>
            <c:extLst>
              <c:ext xmlns:c16="http://schemas.microsoft.com/office/drawing/2014/chart" uri="{C3380CC4-5D6E-409C-BE32-E72D297353CC}">
                <c16:uniqueId val="{0000028C-59C9-42F8-9059-90EB4F2E633D}"/>
              </c:ext>
            </c:extLst>
          </c:dPt>
          <c:dPt>
            <c:idx val="242"/>
            <c:invertIfNegative val="0"/>
            <c:bubble3D val="0"/>
            <c:extLst>
              <c:ext xmlns:c16="http://schemas.microsoft.com/office/drawing/2014/chart" uri="{C3380CC4-5D6E-409C-BE32-E72D297353CC}">
                <c16:uniqueId val="{0000028D-59C9-42F8-9059-90EB4F2E633D}"/>
              </c:ext>
            </c:extLst>
          </c:dPt>
          <c:dPt>
            <c:idx val="243"/>
            <c:invertIfNegative val="0"/>
            <c:bubble3D val="0"/>
            <c:extLst>
              <c:ext xmlns:c16="http://schemas.microsoft.com/office/drawing/2014/chart" uri="{C3380CC4-5D6E-409C-BE32-E72D297353CC}">
                <c16:uniqueId val="{0000028E-59C9-42F8-9059-90EB4F2E633D}"/>
              </c:ext>
            </c:extLst>
          </c:dPt>
          <c:dPt>
            <c:idx val="244"/>
            <c:invertIfNegative val="0"/>
            <c:bubble3D val="0"/>
            <c:extLst>
              <c:ext xmlns:c16="http://schemas.microsoft.com/office/drawing/2014/chart" uri="{C3380CC4-5D6E-409C-BE32-E72D297353CC}">
                <c16:uniqueId val="{0000028F-59C9-42F8-9059-90EB4F2E633D}"/>
              </c:ext>
            </c:extLst>
          </c:dPt>
          <c:dPt>
            <c:idx val="245"/>
            <c:invertIfNegative val="0"/>
            <c:bubble3D val="0"/>
            <c:extLst>
              <c:ext xmlns:c16="http://schemas.microsoft.com/office/drawing/2014/chart" uri="{C3380CC4-5D6E-409C-BE32-E72D297353CC}">
                <c16:uniqueId val="{00000290-59C9-42F8-9059-90EB4F2E633D}"/>
              </c:ext>
            </c:extLst>
          </c:dPt>
          <c:dPt>
            <c:idx val="246"/>
            <c:invertIfNegative val="0"/>
            <c:bubble3D val="0"/>
            <c:extLst>
              <c:ext xmlns:c16="http://schemas.microsoft.com/office/drawing/2014/chart" uri="{C3380CC4-5D6E-409C-BE32-E72D297353CC}">
                <c16:uniqueId val="{00000291-59C9-42F8-9059-90EB4F2E633D}"/>
              </c:ext>
            </c:extLst>
          </c:dPt>
          <c:dPt>
            <c:idx val="247"/>
            <c:invertIfNegative val="0"/>
            <c:bubble3D val="0"/>
            <c:extLst>
              <c:ext xmlns:c16="http://schemas.microsoft.com/office/drawing/2014/chart" uri="{C3380CC4-5D6E-409C-BE32-E72D297353CC}">
                <c16:uniqueId val="{00000292-59C9-42F8-9059-90EB4F2E633D}"/>
              </c:ext>
            </c:extLst>
          </c:dPt>
          <c:dPt>
            <c:idx val="248"/>
            <c:invertIfNegative val="0"/>
            <c:bubble3D val="0"/>
            <c:extLst>
              <c:ext xmlns:c16="http://schemas.microsoft.com/office/drawing/2014/chart" uri="{C3380CC4-5D6E-409C-BE32-E72D297353CC}">
                <c16:uniqueId val="{00000293-59C9-42F8-9059-90EB4F2E633D}"/>
              </c:ext>
            </c:extLst>
          </c:dPt>
          <c:dPt>
            <c:idx val="249"/>
            <c:invertIfNegative val="0"/>
            <c:bubble3D val="0"/>
            <c:extLst>
              <c:ext xmlns:c16="http://schemas.microsoft.com/office/drawing/2014/chart" uri="{C3380CC4-5D6E-409C-BE32-E72D297353CC}">
                <c16:uniqueId val="{00000294-59C9-42F8-9059-90EB4F2E633D}"/>
              </c:ext>
            </c:extLst>
          </c:dPt>
          <c:dPt>
            <c:idx val="250"/>
            <c:invertIfNegative val="0"/>
            <c:bubble3D val="0"/>
            <c:extLst>
              <c:ext xmlns:c16="http://schemas.microsoft.com/office/drawing/2014/chart" uri="{C3380CC4-5D6E-409C-BE32-E72D297353CC}">
                <c16:uniqueId val="{00000295-59C9-42F8-9059-90EB4F2E633D}"/>
              </c:ext>
            </c:extLst>
          </c:dPt>
          <c:dPt>
            <c:idx val="251"/>
            <c:invertIfNegative val="0"/>
            <c:bubble3D val="0"/>
            <c:extLst>
              <c:ext xmlns:c16="http://schemas.microsoft.com/office/drawing/2014/chart" uri="{C3380CC4-5D6E-409C-BE32-E72D297353CC}">
                <c16:uniqueId val="{00000296-59C9-42F8-9059-90EB4F2E633D}"/>
              </c:ext>
            </c:extLst>
          </c:dPt>
          <c:dPt>
            <c:idx val="252"/>
            <c:invertIfNegative val="0"/>
            <c:bubble3D val="0"/>
            <c:extLst>
              <c:ext xmlns:c16="http://schemas.microsoft.com/office/drawing/2014/chart" uri="{C3380CC4-5D6E-409C-BE32-E72D297353CC}">
                <c16:uniqueId val="{00000297-59C9-42F8-9059-90EB4F2E633D}"/>
              </c:ext>
            </c:extLst>
          </c:dPt>
          <c:dPt>
            <c:idx val="253"/>
            <c:invertIfNegative val="0"/>
            <c:bubble3D val="0"/>
            <c:extLst>
              <c:ext xmlns:c16="http://schemas.microsoft.com/office/drawing/2014/chart" uri="{C3380CC4-5D6E-409C-BE32-E72D297353CC}">
                <c16:uniqueId val="{00000298-59C9-42F8-9059-90EB4F2E633D}"/>
              </c:ext>
            </c:extLst>
          </c:dPt>
          <c:dPt>
            <c:idx val="254"/>
            <c:invertIfNegative val="0"/>
            <c:bubble3D val="0"/>
            <c:extLst>
              <c:ext xmlns:c16="http://schemas.microsoft.com/office/drawing/2014/chart" uri="{C3380CC4-5D6E-409C-BE32-E72D297353CC}">
                <c16:uniqueId val="{00000299-59C9-42F8-9059-90EB4F2E633D}"/>
              </c:ext>
            </c:extLst>
          </c:dPt>
          <c:dPt>
            <c:idx val="255"/>
            <c:invertIfNegative val="0"/>
            <c:bubble3D val="0"/>
            <c:extLst>
              <c:ext xmlns:c16="http://schemas.microsoft.com/office/drawing/2014/chart" uri="{C3380CC4-5D6E-409C-BE32-E72D297353CC}">
                <c16:uniqueId val="{0000029A-59C9-42F8-9059-90EB4F2E633D}"/>
              </c:ext>
            </c:extLst>
          </c:dPt>
          <c:dPt>
            <c:idx val="256"/>
            <c:invertIfNegative val="0"/>
            <c:bubble3D val="0"/>
            <c:extLst>
              <c:ext xmlns:c16="http://schemas.microsoft.com/office/drawing/2014/chart" uri="{C3380CC4-5D6E-409C-BE32-E72D297353CC}">
                <c16:uniqueId val="{0000029B-59C9-42F8-9059-90EB4F2E633D}"/>
              </c:ext>
            </c:extLst>
          </c:dPt>
          <c:dPt>
            <c:idx val="257"/>
            <c:invertIfNegative val="0"/>
            <c:bubble3D val="0"/>
            <c:extLst>
              <c:ext xmlns:c16="http://schemas.microsoft.com/office/drawing/2014/chart" uri="{C3380CC4-5D6E-409C-BE32-E72D297353CC}">
                <c16:uniqueId val="{0000029C-59C9-42F8-9059-90EB4F2E633D}"/>
              </c:ext>
            </c:extLst>
          </c:dPt>
          <c:dPt>
            <c:idx val="258"/>
            <c:invertIfNegative val="0"/>
            <c:bubble3D val="0"/>
            <c:extLst>
              <c:ext xmlns:c16="http://schemas.microsoft.com/office/drawing/2014/chart" uri="{C3380CC4-5D6E-409C-BE32-E72D297353CC}">
                <c16:uniqueId val="{0000029D-59C9-42F8-9059-90EB4F2E633D}"/>
              </c:ext>
            </c:extLst>
          </c:dPt>
          <c:dPt>
            <c:idx val="259"/>
            <c:invertIfNegative val="0"/>
            <c:bubble3D val="0"/>
            <c:extLst>
              <c:ext xmlns:c16="http://schemas.microsoft.com/office/drawing/2014/chart" uri="{C3380CC4-5D6E-409C-BE32-E72D297353CC}">
                <c16:uniqueId val="{0000029E-59C9-42F8-9059-90EB4F2E633D}"/>
              </c:ext>
            </c:extLst>
          </c:dPt>
          <c:dPt>
            <c:idx val="260"/>
            <c:invertIfNegative val="0"/>
            <c:bubble3D val="0"/>
            <c:extLst>
              <c:ext xmlns:c16="http://schemas.microsoft.com/office/drawing/2014/chart" uri="{C3380CC4-5D6E-409C-BE32-E72D297353CC}">
                <c16:uniqueId val="{0000029F-59C9-42F8-9059-90EB4F2E633D}"/>
              </c:ext>
            </c:extLst>
          </c:dPt>
          <c:dPt>
            <c:idx val="261"/>
            <c:invertIfNegative val="0"/>
            <c:bubble3D val="0"/>
            <c:extLst>
              <c:ext xmlns:c16="http://schemas.microsoft.com/office/drawing/2014/chart" uri="{C3380CC4-5D6E-409C-BE32-E72D297353CC}">
                <c16:uniqueId val="{000002A0-59C9-42F8-9059-90EB4F2E633D}"/>
              </c:ext>
            </c:extLst>
          </c:dPt>
          <c:dPt>
            <c:idx val="262"/>
            <c:invertIfNegative val="0"/>
            <c:bubble3D val="0"/>
            <c:extLst>
              <c:ext xmlns:c16="http://schemas.microsoft.com/office/drawing/2014/chart" uri="{C3380CC4-5D6E-409C-BE32-E72D297353CC}">
                <c16:uniqueId val="{000002A1-59C9-42F8-9059-90EB4F2E633D}"/>
              </c:ext>
            </c:extLst>
          </c:dPt>
          <c:dPt>
            <c:idx val="263"/>
            <c:invertIfNegative val="0"/>
            <c:bubble3D val="0"/>
            <c:extLst>
              <c:ext xmlns:c16="http://schemas.microsoft.com/office/drawing/2014/chart" uri="{C3380CC4-5D6E-409C-BE32-E72D297353CC}">
                <c16:uniqueId val="{000002A2-59C9-42F8-9059-90EB4F2E633D}"/>
              </c:ext>
            </c:extLst>
          </c:dPt>
          <c:dPt>
            <c:idx val="264"/>
            <c:invertIfNegative val="0"/>
            <c:bubble3D val="0"/>
            <c:extLst>
              <c:ext xmlns:c16="http://schemas.microsoft.com/office/drawing/2014/chart" uri="{C3380CC4-5D6E-409C-BE32-E72D297353CC}">
                <c16:uniqueId val="{000002A3-59C9-42F8-9059-90EB4F2E633D}"/>
              </c:ext>
            </c:extLst>
          </c:dPt>
          <c:dPt>
            <c:idx val="265"/>
            <c:invertIfNegative val="0"/>
            <c:bubble3D val="0"/>
            <c:extLst>
              <c:ext xmlns:c16="http://schemas.microsoft.com/office/drawing/2014/chart" uri="{C3380CC4-5D6E-409C-BE32-E72D297353CC}">
                <c16:uniqueId val="{000002A4-59C9-42F8-9059-90EB4F2E633D}"/>
              </c:ext>
            </c:extLst>
          </c:dPt>
          <c:dPt>
            <c:idx val="266"/>
            <c:invertIfNegative val="0"/>
            <c:bubble3D val="0"/>
            <c:extLst>
              <c:ext xmlns:c16="http://schemas.microsoft.com/office/drawing/2014/chart" uri="{C3380CC4-5D6E-409C-BE32-E72D297353CC}">
                <c16:uniqueId val="{000002A5-59C9-42F8-9059-90EB4F2E633D}"/>
              </c:ext>
            </c:extLst>
          </c:dPt>
          <c:dPt>
            <c:idx val="267"/>
            <c:invertIfNegative val="0"/>
            <c:bubble3D val="0"/>
            <c:extLst>
              <c:ext xmlns:c16="http://schemas.microsoft.com/office/drawing/2014/chart" uri="{C3380CC4-5D6E-409C-BE32-E72D297353CC}">
                <c16:uniqueId val="{000002A6-59C9-42F8-9059-90EB4F2E633D}"/>
              </c:ext>
            </c:extLst>
          </c:dPt>
          <c:dPt>
            <c:idx val="268"/>
            <c:invertIfNegative val="0"/>
            <c:bubble3D val="0"/>
            <c:extLst>
              <c:ext xmlns:c16="http://schemas.microsoft.com/office/drawing/2014/chart" uri="{C3380CC4-5D6E-409C-BE32-E72D297353CC}">
                <c16:uniqueId val="{000002A7-59C9-42F8-9059-90EB4F2E633D}"/>
              </c:ext>
            </c:extLst>
          </c:dPt>
          <c:dPt>
            <c:idx val="269"/>
            <c:invertIfNegative val="0"/>
            <c:bubble3D val="0"/>
            <c:extLst>
              <c:ext xmlns:c16="http://schemas.microsoft.com/office/drawing/2014/chart" uri="{C3380CC4-5D6E-409C-BE32-E72D297353CC}">
                <c16:uniqueId val="{000002A8-59C9-42F8-9059-90EB4F2E633D}"/>
              </c:ext>
            </c:extLst>
          </c:dPt>
          <c:dPt>
            <c:idx val="270"/>
            <c:invertIfNegative val="0"/>
            <c:bubble3D val="0"/>
            <c:extLst>
              <c:ext xmlns:c16="http://schemas.microsoft.com/office/drawing/2014/chart" uri="{C3380CC4-5D6E-409C-BE32-E72D297353CC}">
                <c16:uniqueId val="{000002A9-59C9-42F8-9059-90EB4F2E633D}"/>
              </c:ext>
            </c:extLst>
          </c:dPt>
          <c:dPt>
            <c:idx val="271"/>
            <c:invertIfNegative val="0"/>
            <c:bubble3D val="0"/>
            <c:extLst>
              <c:ext xmlns:c16="http://schemas.microsoft.com/office/drawing/2014/chart" uri="{C3380CC4-5D6E-409C-BE32-E72D297353CC}">
                <c16:uniqueId val="{000002AA-59C9-42F8-9059-90EB4F2E633D}"/>
              </c:ext>
            </c:extLst>
          </c:dPt>
          <c:dPt>
            <c:idx val="272"/>
            <c:invertIfNegative val="0"/>
            <c:bubble3D val="0"/>
            <c:extLst>
              <c:ext xmlns:c16="http://schemas.microsoft.com/office/drawing/2014/chart" uri="{C3380CC4-5D6E-409C-BE32-E72D297353CC}">
                <c16:uniqueId val="{000002AB-59C9-42F8-9059-90EB4F2E633D}"/>
              </c:ext>
            </c:extLst>
          </c:dPt>
          <c:dPt>
            <c:idx val="273"/>
            <c:invertIfNegative val="0"/>
            <c:bubble3D val="0"/>
            <c:extLst>
              <c:ext xmlns:c16="http://schemas.microsoft.com/office/drawing/2014/chart" uri="{C3380CC4-5D6E-409C-BE32-E72D297353CC}">
                <c16:uniqueId val="{000002AC-59C9-42F8-9059-90EB4F2E633D}"/>
              </c:ext>
            </c:extLst>
          </c:dPt>
          <c:dPt>
            <c:idx val="274"/>
            <c:invertIfNegative val="0"/>
            <c:bubble3D val="0"/>
            <c:extLst>
              <c:ext xmlns:c16="http://schemas.microsoft.com/office/drawing/2014/chart" uri="{C3380CC4-5D6E-409C-BE32-E72D297353CC}">
                <c16:uniqueId val="{000002AD-59C9-42F8-9059-90EB4F2E633D}"/>
              </c:ext>
            </c:extLst>
          </c:dPt>
          <c:dPt>
            <c:idx val="275"/>
            <c:invertIfNegative val="0"/>
            <c:bubble3D val="0"/>
            <c:extLst>
              <c:ext xmlns:c16="http://schemas.microsoft.com/office/drawing/2014/chart" uri="{C3380CC4-5D6E-409C-BE32-E72D297353CC}">
                <c16:uniqueId val="{000002AE-59C9-42F8-9059-90EB4F2E633D}"/>
              </c:ext>
            </c:extLst>
          </c:dPt>
          <c:dPt>
            <c:idx val="276"/>
            <c:invertIfNegative val="0"/>
            <c:bubble3D val="0"/>
            <c:extLst>
              <c:ext xmlns:c16="http://schemas.microsoft.com/office/drawing/2014/chart" uri="{C3380CC4-5D6E-409C-BE32-E72D297353CC}">
                <c16:uniqueId val="{000002AF-59C9-42F8-9059-90EB4F2E633D}"/>
              </c:ext>
            </c:extLst>
          </c:dPt>
          <c:dPt>
            <c:idx val="277"/>
            <c:invertIfNegative val="0"/>
            <c:bubble3D val="0"/>
            <c:extLst>
              <c:ext xmlns:c16="http://schemas.microsoft.com/office/drawing/2014/chart" uri="{C3380CC4-5D6E-409C-BE32-E72D297353CC}">
                <c16:uniqueId val="{000002B0-59C9-42F8-9059-90EB4F2E633D}"/>
              </c:ext>
            </c:extLst>
          </c:dPt>
          <c:dPt>
            <c:idx val="278"/>
            <c:invertIfNegative val="0"/>
            <c:bubble3D val="0"/>
            <c:extLst>
              <c:ext xmlns:c16="http://schemas.microsoft.com/office/drawing/2014/chart" uri="{C3380CC4-5D6E-409C-BE32-E72D297353CC}">
                <c16:uniqueId val="{000002B1-59C9-42F8-9059-90EB4F2E633D}"/>
              </c:ext>
            </c:extLst>
          </c:dPt>
          <c:dPt>
            <c:idx val="279"/>
            <c:invertIfNegative val="0"/>
            <c:bubble3D val="0"/>
            <c:extLst>
              <c:ext xmlns:c16="http://schemas.microsoft.com/office/drawing/2014/chart" uri="{C3380CC4-5D6E-409C-BE32-E72D297353CC}">
                <c16:uniqueId val="{000002B2-59C9-42F8-9059-90EB4F2E633D}"/>
              </c:ext>
            </c:extLst>
          </c:dPt>
          <c:dPt>
            <c:idx val="280"/>
            <c:invertIfNegative val="0"/>
            <c:bubble3D val="0"/>
            <c:extLst>
              <c:ext xmlns:c16="http://schemas.microsoft.com/office/drawing/2014/chart" uri="{C3380CC4-5D6E-409C-BE32-E72D297353CC}">
                <c16:uniqueId val="{000002B3-59C9-42F8-9059-90EB4F2E633D}"/>
              </c:ext>
            </c:extLst>
          </c:dPt>
          <c:dPt>
            <c:idx val="281"/>
            <c:invertIfNegative val="0"/>
            <c:bubble3D val="0"/>
            <c:extLst>
              <c:ext xmlns:c16="http://schemas.microsoft.com/office/drawing/2014/chart" uri="{C3380CC4-5D6E-409C-BE32-E72D297353CC}">
                <c16:uniqueId val="{000002B4-59C9-42F8-9059-90EB4F2E633D}"/>
              </c:ext>
            </c:extLst>
          </c:dPt>
          <c:dPt>
            <c:idx val="282"/>
            <c:invertIfNegative val="0"/>
            <c:bubble3D val="0"/>
            <c:extLst>
              <c:ext xmlns:c16="http://schemas.microsoft.com/office/drawing/2014/chart" uri="{C3380CC4-5D6E-409C-BE32-E72D297353CC}">
                <c16:uniqueId val="{000002B5-59C9-42F8-9059-90EB4F2E633D}"/>
              </c:ext>
            </c:extLst>
          </c:dPt>
          <c:dPt>
            <c:idx val="283"/>
            <c:invertIfNegative val="0"/>
            <c:bubble3D val="0"/>
            <c:extLst>
              <c:ext xmlns:c16="http://schemas.microsoft.com/office/drawing/2014/chart" uri="{C3380CC4-5D6E-409C-BE32-E72D297353CC}">
                <c16:uniqueId val="{000002B6-59C9-42F8-9059-90EB4F2E633D}"/>
              </c:ext>
            </c:extLst>
          </c:dPt>
          <c:dPt>
            <c:idx val="284"/>
            <c:invertIfNegative val="0"/>
            <c:bubble3D val="0"/>
            <c:extLst>
              <c:ext xmlns:c16="http://schemas.microsoft.com/office/drawing/2014/chart" uri="{C3380CC4-5D6E-409C-BE32-E72D297353CC}">
                <c16:uniqueId val="{000002B7-59C9-42F8-9059-90EB4F2E633D}"/>
              </c:ext>
            </c:extLst>
          </c:dPt>
          <c:dPt>
            <c:idx val="285"/>
            <c:invertIfNegative val="0"/>
            <c:bubble3D val="0"/>
            <c:extLst>
              <c:ext xmlns:c16="http://schemas.microsoft.com/office/drawing/2014/chart" uri="{C3380CC4-5D6E-409C-BE32-E72D297353CC}">
                <c16:uniqueId val="{000002B8-59C9-42F8-9059-90EB4F2E633D}"/>
              </c:ext>
            </c:extLst>
          </c:dPt>
          <c:dPt>
            <c:idx val="286"/>
            <c:invertIfNegative val="0"/>
            <c:bubble3D val="0"/>
            <c:extLst>
              <c:ext xmlns:c16="http://schemas.microsoft.com/office/drawing/2014/chart" uri="{C3380CC4-5D6E-409C-BE32-E72D297353CC}">
                <c16:uniqueId val="{000002B9-59C9-42F8-9059-90EB4F2E633D}"/>
              </c:ext>
            </c:extLst>
          </c:dPt>
          <c:dPt>
            <c:idx val="287"/>
            <c:invertIfNegative val="0"/>
            <c:bubble3D val="0"/>
            <c:extLst>
              <c:ext xmlns:c16="http://schemas.microsoft.com/office/drawing/2014/chart" uri="{C3380CC4-5D6E-409C-BE32-E72D297353CC}">
                <c16:uniqueId val="{000002BA-59C9-42F8-9059-90EB4F2E633D}"/>
              </c:ext>
            </c:extLst>
          </c:dPt>
          <c:dPt>
            <c:idx val="288"/>
            <c:invertIfNegative val="0"/>
            <c:bubble3D val="0"/>
            <c:extLst>
              <c:ext xmlns:c16="http://schemas.microsoft.com/office/drawing/2014/chart" uri="{C3380CC4-5D6E-409C-BE32-E72D297353CC}">
                <c16:uniqueId val="{000002BB-59C9-42F8-9059-90EB4F2E633D}"/>
              </c:ext>
            </c:extLst>
          </c:dPt>
          <c:dPt>
            <c:idx val="289"/>
            <c:invertIfNegative val="0"/>
            <c:bubble3D val="0"/>
            <c:extLst>
              <c:ext xmlns:c16="http://schemas.microsoft.com/office/drawing/2014/chart" uri="{C3380CC4-5D6E-409C-BE32-E72D297353CC}">
                <c16:uniqueId val="{000002BC-59C9-42F8-9059-90EB4F2E633D}"/>
              </c:ext>
            </c:extLst>
          </c:dPt>
          <c:dPt>
            <c:idx val="290"/>
            <c:invertIfNegative val="0"/>
            <c:bubble3D val="0"/>
            <c:extLst>
              <c:ext xmlns:c16="http://schemas.microsoft.com/office/drawing/2014/chart" uri="{C3380CC4-5D6E-409C-BE32-E72D297353CC}">
                <c16:uniqueId val="{000002BD-59C9-42F8-9059-90EB4F2E633D}"/>
              </c:ext>
            </c:extLst>
          </c:dPt>
          <c:dPt>
            <c:idx val="291"/>
            <c:invertIfNegative val="0"/>
            <c:bubble3D val="0"/>
            <c:extLst>
              <c:ext xmlns:c16="http://schemas.microsoft.com/office/drawing/2014/chart" uri="{C3380CC4-5D6E-409C-BE32-E72D297353CC}">
                <c16:uniqueId val="{000002BE-59C9-42F8-9059-90EB4F2E633D}"/>
              </c:ext>
            </c:extLst>
          </c:dPt>
          <c:dPt>
            <c:idx val="292"/>
            <c:invertIfNegative val="0"/>
            <c:bubble3D val="0"/>
            <c:extLst>
              <c:ext xmlns:c16="http://schemas.microsoft.com/office/drawing/2014/chart" uri="{C3380CC4-5D6E-409C-BE32-E72D297353CC}">
                <c16:uniqueId val="{000002BF-59C9-42F8-9059-90EB4F2E633D}"/>
              </c:ext>
            </c:extLst>
          </c:dPt>
          <c:dPt>
            <c:idx val="293"/>
            <c:invertIfNegative val="0"/>
            <c:bubble3D val="0"/>
            <c:extLst>
              <c:ext xmlns:c16="http://schemas.microsoft.com/office/drawing/2014/chart" uri="{C3380CC4-5D6E-409C-BE32-E72D297353CC}">
                <c16:uniqueId val="{000002C0-59C9-42F8-9059-90EB4F2E633D}"/>
              </c:ext>
            </c:extLst>
          </c:dPt>
          <c:dPt>
            <c:idx val="294"/>
            <c:invertIfNegative val="0"/>
            <c:bubble3D val="0"/>
            <c:extLst>
              <c:ext xmlns:c16="http://schemas.microsoft.com/office/drawing/2014/chart" uri="{C3380CC4-5D6E-409C-BE32-E72D297353CC}">
                <c16:uniqueId val="{000002C1-59C9-42F8-9059-90EB4F2E633D}"/>
              </c:ext>
            </c:extLst>
          </c:dPt>
          <c:dPt>
            <c:idx val="295"/>
            <c:invertIfNegative val="0"/>
            <c:bubble3D val="0"/>
            <c:extLst>
              <c:ext xmlns:c16="http://schemas.microsoft.com/office/drawing/2014/chart" uri="{C3380CC4-5D6E-409C-BE32-E72D297353CC}">
                <c16:uniqueId val="{000002C2-59C9-42F8-9059-90EB4F2E633D}"/>
              </c:ext>
            </c:extLst>
          </c:dPt>
          <c:dPt>
            <c:idx val="296"/>
            <c:invertIfNegative val="0"/>
            <c:bubble3D val="0"/>
            <c:extLst>
              <c:ext xmlns:c16="http://schemas.microsoft.com/office/drawing/2014/chart" uri="{C3380CC4-5D6E-409C-BE32-E72D297353CC}">
                <c16:uniqueId val="{000002C3-59C9-42F8-9059-90EB4F2E633D}"/>
              </c:ext>
            </c:extLst>
          </c:dPt>
          <c:dPt>
            <c:idx val="297"/>
            <c:invertIfNegative val="0"/>
            <c:bubble3D val="0"/>
            <c:extLst>
              <c:ext xmlns:c16="http://schemas.microsoft.com/office/drawing/2014/chart" uri="{C3380CC4-5D6E-409C-BE32-E72D297353CC}">
                <c16:uniqueId val="{000002C4-59C9-42F8-9059-90EB4F2E633D}"/>
              </c:ext>
            </c:extLst>
          </c:dPt>
          <c:dPt>
            <c:idx val="298"/>
            <c:invertIfNegative val="0"/>
            <c:bubble3D val="0"/>
            <c:extLst>
              <c:ext xmlns:c16="http://schemas.microsoft.com/office/drawing/2014/chart" uri="{C3380CC4-5D6E-409C-BE32-E72D297353CC}">
                <c16:uniqueId val="{000002C5-59C9-42F8-9059-90EB4F2E633D}"/>
              </c:ext>
            </c:extLst>
          </c:dPt>
          <c:dPt>
            <c:idx val="299"/>
            <c:invertIfNegative val="0"/>
            <c:bubble3D val="0"/>
            <c:extLst>
              <c:ext xmlns:c16="http://schemas.microsoft.com/office/drawing/2014/chart" uri="{C3380CC4-5D6E-409C-BE32-E72D297353CC}">
                <c16:uniqueId val="{000002C6-59C9-42F8-9059-90EB4F2E633D}"/>
              </c:ext>
            </c:extLst>
          </c:dPt>
          <c:dPt>
            <c:idx val="300"/>
            <c:invertIfNegative val="0"/>
            <c:bubble3D val="0"/>
            <c:extLst>
              <c:ext xmlns:c16="http://schemas.microsoft.com/office/drawing/2014/chart" uri="{C3380CC4-5D6E-409C-BE32-E72D297353CC}">
                <c16:uniqueId val="{000002C7-59C9-42F8-9059-90EB4F2E633D}"/>
              </c:ext>
            </c:extLst>
          </c:dPt>
          <c:dPt>
            <c:idx val="301"/>
            <c:invertIfNegative val="0"/>
            <c:bubble3D val="0"/>
            <c:extLst>
              <c:ext xmlns:c16="http://schemas.microsoft.com/office/drawing/2014/chart" uri="{C3380CC4-5D6E-409C-BE32-E72D297353CC}">
                <c16:uniqueId val="{000002C8-59C9-42F8-9059-90EB4F2E633D}"/>
              </c:ext>
            </c:extLst>
          </c:dPt>
          <c:dPt>
            <c:idx val="302"/>
            <c:invertIfNegative val="0"/>
            <c:bubble3D val="0"/>
            <c:extLst>
              <c:ext xmlns:c16="http://schemas.microsoft.com/office/drawing/2014/chart" uri="{C3380CC4-5D6E-409C-BE32-E72D297353CC}">
                <c16:uniqueId val="{000002C9-59C9-42F8-9059-90EB4F2E633D}"/>
              </c:ext>
            </c:extLst>
          </c:dPt>
          <c:dPt>
            <c:idx val="303"/>
            <c:invertIfNegative val="0"/>
            <c:bubble3D val="0"/>
            <c:extLst>
              <c:ext xmlns:c16="http://schemas.microsoft.com/office/drawing/2014/chart" uri="{C3380CC4-5D6E-409C-BE32-E72D297353CC}">
                <c16:uniqueId val="{000002CA-59C9-42F8-9059-90EB4F2E633D}"/>
              </c:ext>
            </c:extLst>
          </c:dPt>
          <c:dPt>
            <c:idx val="304"/>
            <c:invertIfNegative val="0"/>
            <c:bubble3D val="0"/>
            <c:extLst>
              <c:ext xmlns:c16="http://schemas.microsoft.com/office/drawing/2014/chart" uri="{C3380CC4-5D6E-409C-BE32-E72D297353CC}">
                <c16:uniqueId val="{000002CB-59C9-42F8-9059-90EB4F2E633D}"/>
              </c:ext>
            </c:extLst>
          </c:dPt>
          <c:dPt>
            <c:idx val="305"/>
            <c:invertIfNegative val="0"/>
            <c:bubble3D val="0"/>
            <c:extLst>
              <c:ext xmlns:c16="http://schemas.microsoft.com/office/drawing/2014/chart" uri="{C3380CC4-5D6E-409C-BE32-E72D297353CC}">
                <c16:uniqueId val="{000002CC-59C9-42F8-9059-90EB4F2E633D}"/>
              </c:ext>
            </c:extLst>
          </c:dPt>
          <c:dPt>
            <c:idx val="306"/>
            <c:invertIfNegative val="0"/>
            <c:bubble3D val="0"/>
            <c:extLst>
              <c:ext xmlns:c16="http://schemas.microsoft.com/office/drawing/2014/chart" uri="{C3380CC4-5D6E-409C-BE32-E72D297353CC}">
                <c16:uniqueId val="{000002CD-59C9-42F8-9059-90EB4F2E633D}"/>
              </c:ext>
            </c:extLst>
          </c:dPt>
          <c:dPt>
            <c:idx val="307"/>
            <c:invertIfNegative val="0"/>
            <c:bubble3D val="0"/>
            <c:extLst>
              <c:ext xmlns:c16="http://schemas.microsoft.com/office/drawing/2014/chart" uri="{C3380CC4-5D6E-409C-BE32-E72D297353CC}">
                <c16:uniqueId val="{000002CE-59C9-42F8-9059-90EB4F2E633D}"/>
              </c:ext>
            </c:extLst>
          </c:dPt>
          <c:dPt>
            <c:idx val="308"/>
            <c:invertIfNegative val="0"/>
            <c:bubble3D val="0"/>
            <c:extLst>
              <c:ext xmlns:c16="http://schemas.microsoft.com/office/drawing/2014/chart" uri="{C3380CC4-5D6E-409C-BE32-E72D297353CC}">
                <c16:uniqueId val="{000002CF-59C9-42F8-9059-90EB4F2E633D}"/>
              </c:ext>
            </c:extLst>
          </c:dPt>
          <c:dPt>
            <c:idx val="309"/>
            <c:invertIfNegative val="0"/>
            <c:bubble3D val="0"/>
            <c:extLst>
              <c:ext xmlns:c16="http://schemas.microsoft.com/office/drawing/2014/chart" uri="{C3380CC4-5D6E-409C-BE32-E72D297353CC}">
                <c16:uniqueId val="{000002D0-59C9-42F8-9059-90EB4F2E633D}"/>
              </c:ext>
            </c:extLst>
          </c:dPt>
          <c:dPt>
            <c:idx val="310"/>
            <c:invertIfNegative val="0"/>
            <c:bubble3D val="0"/>
            <c:extLst>
              <c:ext xmlns:c16="http://schemas.microsoft.com/office/drawing/2014/chart" uri="{C3380CC4-5D6E-409C-BE32-E72D297353CC}">
                <c16:uniqueId val="{000002D1-59C9-42F8-9059-90EB4F2E633D}"/>
              </c:ext>
            </c:extLst>
          </c:dPt>
          <c:dPt>
            <c:idx val="311"/>
            <c:invertIfNegative val="0"/>
            <c:bubble3D val="0"/>
            <c:extLst>
              <c:ext xmlns:c16="http://schemas.microsoft.com/office/drawing/2014/chart" uri="{C3380CC4-5D6E-409C-BE32-E72D297353CC}">
                <c16:uniqueId val="{000002D2-59C9-42F8-9059-90EB4F2E633D}"/>
              </c:ext>
            </c:extLst>
          </c:dPt>
          <c:dPt>
            <c:idx val="312"/>
            <c:invertIfNegative val="0"/>
            <c:bubble3D val="0"/>
            <c:extLst>
              <c:ext xmlns:c16="http://schemas.microsoft.com/office/drawing/2014/chart" uri="{C3380CC4-5D6E-409C-BE32-E72D297353CC}">
                <c16:uniqueId val="{000002D3-59C9-42F8-9059-90EB4F2E633D}"/>
              </c:ext>
            </c:extLst>
          </c:dPt>
          <c:dPt>
            <c:idx val="313"/>
            <c:invertIfNegative val="0"/>
            <c:bubble3D val="0"/>
            <c:extLst>
              <c:ext xmlns:c16="http://schemas.microsoft.com/office/drawing/2014/chart" uri="{C3380CC4-5D6E-409C-BE32-E72D297353CC}">
                <c16:uniqueId val="{000002D4-59C9-42F8-9059-90EB4F2E633D}"/>
              </c:ext>
            </c:extLst>
          </c:dPt>
          <c:dPt>
            <c:idx val="314"/>
            <c:invertIfNegative val="0"/>
            <c:bubble3D val="0"/>
            <c:extLst>
              <c:ext xmlns:c16="http://schemas.microsoft.com/office/drawing/2014/chart" uri="{C3380CC4-5D6E-409C-BE32-E72D297353CC}">
                <c16:uniqueId val="{000002D5-59C9-42F8-9059-90EB4F2E633D}"/>
              </c:ext>
            </c:extLst>
          </c:dPt>
          <c:dPt>
            <c:idx val="315"/>
            <c:invertIfNegative val="0"/>
            <c:bubble3D val="0"/>
            <c:extLst>
              <c:ext xmlns:c16="http://schemas.microsoft.com/office/drawing/2014/chart" uri="{C3380CC4-5D6E-409C-BE32-E72D297353CC}">
                <c16:uniqueId val="{000002D6-59C9-42F8-9059-90EB4F2E633D}"/>
              </c:ext>
            </c:extLst>
          </c:dPt>
          <c:dPt>
            <c:idx val="316"/>
            <c:invertIfNegative val="0"/>
            <c:bubble3D val="0"/>
            <c:extLst>
              <c:ext xmlns:c16="http://schemas.microsoft.com/office/drawing/2014/chart" uri="{C3380CC4-5D6E-409C-BE32-E72D297353CC}">
                <c16:uniqueId val="{000002D7-59C9-42F8-9059-90EB4F2E633D}"/>
              </c:ext>
            </c:extLst>
          </c:dPt>
          <c:dPt>
            <c:idx val="317"/>
            <c:invertIfNegative val="0"/>
            <c:bubble3D val="0"/>
            <c:extLst>
              <c:ext xmlns:c16="http://schemas.microsoft.com/office/drawing/2014/chart" uri="{C3380CC4-5D6E-409C-BE32-E72D297353CC}">
                <c16:uniqueId val="{000002D8-59C9-42F8-9059-90EB4F2E633D}"/>
              </c:ext>
            </c:extLst>
          </c:dPt>
          <c:dPt>
            <c:idx val="318"/>
            <c:invertIfNegative val="0"/>
            <c:bubble3D val="0"/>
            <c:extLst>
              <c:ext xmlns:c16="http://schemas.microsoft.com/office/drawing/2014/chart" uri="{C3380CC4-5D6E-409C-BE32-E72D297353CC}">
                <c16:uniqueId val="{000002D9-59C9-42F8-9059-90EB4F2E633D}"/>
              </c:ext>
            </c:extLst>
          </c:dPt>
          <c:dPt>
            <c:idx val="319"/>
            <c:invertIfNegative val="0"/>
            <c:bubble3D val="0"/>
            <c:extLst>
              <c:ext xmlns:c16="http://schemas.microsoft.com/office/drawing/2014/chart" uri="{C3380CC4-5D6E-409C-BE32-E72D297353CC}">
                <c16:uniqueId val="{000002DA-59C9-42F8-9059-90EB4F2E633D}"/>
              </c:ext>
            </c:extLst>
          </c:dPt>
          <c:dPt>
            <c:idx val="320"/>
            <c:invertIfNegative val="0"/>
            <c:bubble3D val="0"/>
            <c:extLst>
              <c:ext xmlns:c16="http://schemas.microsoft.com/office/drawing/2014/chart" uri="{C3380CC4-5D6E-409C-BE32-E72D297353CC}">
                <c16:uniqueId val="{000002DB-59C9-42F8-9059-90EB4F2E633D}"/>
              </c:ext>
            </c:extLst>
          </c:dPt>
          <c:dPt>
            <c:idx val="321"/>
            <c:invertIfNegative val="0"/>
            <c:bubble3D val="0"/>
            <c:extLst>
              <c:ext xmlns:c16="http://schemas.microsoft.com/office/drawing/2014/chart" uri="{C3380CC4-5D6E-409C-BE32-E72D297353CC}">
                <c16:uniqueId val="{000002DC-59C9-42F8-9059-90EB4F2E633D}"/>
              </c:ext>
            </c:extLst>
          </c:dPt>
          <c:dPt>
            <c:idx val="322"/>
            <c:invertIfNegative val="0"/>
            <c:bubble3D val="0"/>
            <c:extLst>
              <c:ext xmlns:c16="http://schemas.microsoft.com/office/drawing/2014/chart" uri="{C3380CC4-5D6E-409C-BE32-E72D297353CC}">
                <c16:uniqueId val="{000002DD-59C9-42F8-9059-90EB4F2E633D}"/>
              </c:ext>
            </c:extLst>
          </c:dPt>
          <c:dPt>
            <c:idx val="323"/>
            <c:invertIfNegative val="0"/>
            <c:bubble3D val="0"/>
            <c:extLst>
              <c:ext xmlns:c16="http://schemas.microsoft.com/office/drawing/2014/chart" uri="{C3380CC4-5D6E-409C-BE32-E72D297353CC}">
                <c16:uniqueId val="{000002DE-59C9-42F8-9059-90EB4F2E633D}"/>
              </c:ext>
            </c:extLst>
          </c:dPt>
          <c:dPt>
            <c:idx val="324"/>
            <c:invertIfNegative val="0"/>
            <c:bubble3D val="0"/>
            <c:extLst>
              <c:ext xmlns:c16="http://schemas.microsoft.com/office/drawing/2014/chart" uri="{C3380CC4-5D6E-409C-BE32-E72D297353CC}">
                <c16:uniqueId val="{000002DF-59C9-42F8-9059-90EB4F2E633D}"/>
              </c:ext>
            </c:extLst>
          </c:dPt>
          <c:dPt>
            <c:idx val="325"/>
            <c:invertIfNegative val="0"/>
            <c:bubble3D val="0"/>
            <c:extLst>
              <c:ext xmlns:c16="http://schemas.microsoft.com/office/drawing/2014/chart" uri="{C3380CC4-5D6E-409C-BE32-E72D297353CC}">
                <c16:uniqueId val="{000002E0-59C9-42F8-9059-90EB4F2E633D}"/>
              </c:ext>
            </c:extLst>
          </c:dPt>
          <c:dPt>
            <c:idx val="326"/>
            <c:invertIfNegative val="0"/>
            <c:bubble3D val="0"/>
            <c:extLst>
              <c:ext xmlns:c16="http://schemas.microsoft.com/office/drawing/2014/chart" uri="{C3380CC4-5D6E-409C-BE32-E72D297353CC}">
                <c16:uniqueId val="{000002E1-59C9-42F8-9059-90EB4F2E633D}"/>
              </c:ext>
            </c:extLst>
          </c:dPt>
          <c:dPt>
            <c:idx val="327"/>
            <c:invertIfNegative val="0"/>
            <c:bubble3D val="0"/>
            <c:extLst>
              <c:ext xmlns:c16="http://schemas.microsoft.com/office/drawing/2014/chart" uri="{C3380CC4-5D6E-409C-BE32-E72D297353CC}">
                <c16:uniqueId val="{000002E2-59C9-42F8-9059-90EB4F2E633D}"/>
              </c:ext>
            </c:extLst>
          </c:dPt>
          <c:dPt>
            <c:idx val="328"/>
            <c:invertIfNegative val="0"/>
            <c:bubble3D val="0"/>
            <c:extLst>
              <c:ext xmlns:c16="http://schemas.microsoft.com/office/drawing/2014/chart" uri="{C3380CC4-5D6E-409C-BE32-E72D297353CC}">
                <c16:uniqueId val="{000002E3-59C9-42F8-9059-90EB4F2E633D}"/>
              </c:ext>
            </c:extLst>
          </c:dPt>
          <c:dPt>
            <c:idx val="329"/>
            <c:invertIfNegative val="0"/>
            <c:bubble3D val="0"/>
            <c:extLst>
              <c:ext xmlns:c16="http://schemas.microsoft.com/office/drawing/2014/chart" uri="{C3380CC4-5D6E-409C-BE32-E72D297353CC}">
                <c16:uniqueId val="{000002E4-59C9-42F8-9059-90EB4F2E633D}"/>
              </c:ext>
            </c:extLst>
          </c:dPt>
          <c:dPt>
            <c:idx val="330"/>
            <c:invertIfNegative val="0"/>
            <c:bubble3D val="0"/>
            <c:extLst>
              <c:ext xmlns:c16="http://schemas.microsoft.com/office/drawing/2014/chart" uri="{C3380CC4-5D6E-409C-BE32-E72D297353CC}">
                <c16:uniqueId val="{000002E5-59C9-42F8-9059-90EB4F2E633D}"/>
              </c:ext>
            </c:extLst>
          </c:dPt>
          <c:dPt>
            <c:idx val="331"/>
            <c:invertIfNegative val="0"/>
            <c:bubble3D val="0"/>
            <c:extLst>
              <c:ext xmlns:c16="http://schemas.microsoft.com/office/drawing/2014/chart" uri="{C3380CC4-5D6E-409C-BE32-E72D297353CC}">
                <c16:uniqueId val="{000002E6-59C9-42F8-9059-90EB4F2E633D}"/>
              </c:ext>
            </c:extLst>
          </c:dPt>
          <c:dPt>
            <c:idx val="332"/>
            <c:invertIfNegative val="0"/>
            <c:bubble3D val="0"/>
            <c:extLst>
              <c:ext xmlns:c16="http://schemas.microsoft.com/office/drawing/2014/chart" uri="{C3380CC4-5D6E-409C-BE32-E72D297353CC}">
                <c16:uniqueId val="{000002E7-59C9-42F8-9059-90EB4F2E633D}"/>
              </c:ext>
            </c:extLst>
          </c:dPt>
          <c:dPt>
            <c:idx val="333"/>
            <c:invertIfNegative val="0"/>
            <c:bubble3D val="0"/>
            <c:extLst>
              <c:ext xmlns:c16="http://schemas.microsoft.com/office/drawing/2014/chart" uri="{C3380CC4-5D6E-409C-BE32-E72D297353CC}">
                <c16:uniqueId val="{000002E8-59C9-42F8-9059-90EB4F2E633D}"/>
              </c:ext>
            </c:extLst>
          </c:dPt>
          <c:dPt>
            <c:idx val="334"/>
            <c:invertIfNegative val="0"/>
            <c:bubble3D val="0"/>
            <c:extLst>
              <c:ext xmlns:c16="http://schemas.microsoft.com/office/drawing/2014/chart" uri="{C3380CC4-5D6E-409C-BE32-E72D297353CC}">
                <c16:uniqueId val="{000002E9-59C9-42F8-9059-90EB4F2E633D}"/>
              </c:ext>
            </c:extLst>
          </c:dPt>
          <c:dPt>
            <c:idx val="335"/>
            <c:invertIfNegative val="0"/>
            <c:bubble3D val="0"/>
            <c:extLst>
              <c:ext xmlns:c16="http://schemas.microsoft.com/office/drawing/2014/chart" uri="{C3380CC4-5D6E-409C-BE32-E72D297353CC}">
                <c16:uniqueId val="{000002EA-59C9-42F8-9059-90EB4F2E633D}"/>
              </c:ext>
            </c:extLst>
          </c:dPt>
          <c:dPt>
            <c:idx val="336"/>
            <c:invertIfNegative val="0"/>
            <c:bubble3D val="0"/>
            <c:extLst>
              <c:ext xmlns:c16="http://schemas.microsoft.com/office/drawing/2014/chart" uri="{C3380CC4-5D6E-409C-BE32-E72D297353CC}">
                <c16:uniqueId val="{000002EB-59C9-42F8-9059-90EB4F2E633D}"/>
              </c:ext>
            </c:extLst>
          </c:dPt>
          <c:dPt>
            <c:idx val="337"/>
            <c:invertIfNegative val="0"/>
            <c:bubble3D val="0"/>
            <c:extLst>
              <c:ext xmlns:c16="http://schemas.microsoft.com/office/drawing/2014/chart" uri="{C3380CC4-5D6E-409C-BE32-E72D297353CC}">
                <c16:uniqueId val="{000002EC-59C9-42F8-9059-90EB4F2E633D}"/>
              </c:ext>
            </c:extLst>
          </c:dPt>
          <c:dPt>
            <c:idx val="338"/>
            <c:invertIfNegative val="0"/>
            <c:bubble3D val="0"/>
            <c:extLst>
              <c:ext xmlns:c16="http://schemas.microsoft.com/office/drawing/2014/chart" uri="{C3380CC4-5D6E-409C-BE32-E72D297353CC}">
                <c16:uniqueId val="{000002ED-59C9-42F8-9059-90EB4F2E633D}"/>
              </c:ext>
            </c:extLst>
          </c:dPt>
          <c:dPt>
            <c:idx val="339"/>
            <c:invertIfNegative val="0"/>
            <c:bubble3D val="0"/>
            <c:extLst>
              <c:ext xmlns:c16="http://schemas.microsoft.com/office/drawing/2014/chart" uri="{C3380CC4-5D6E-409C-BE32-E72D297353CC}">
                <c16:uniqueId val="{000002EE-59C9-42F8-9059-90EB4F2E633D}"/>
              </c:ext>
            </c:extLst>
          </c:dPt>
          <c:dPt>
            <c:idx val="340"/>
            <c:invertIfNegative val="0"/>
            <c:bubble3D val="0"/>
            <c:extLst>
              <c:ext xmlns:c16="http://schemas.microsoft.com/office/drawing/2014/chart" uri="{C3380CC4-5D6E-409C-BE32-E72D297353CC}">
                <c16:uniqueId val="{000002EF-59C9-42F8-9059-90EB4F2E633D}"/>
              </c:ext>
            </c:extLst>
          </c:dPt>
          <c:dPt>
            <c:idx val="341"/>
            <c:invertIfNegative val="0"/>
            <c:bubble3D val="0"/>
            <c:extLst>
              <c:ext xmlns:c16="http://schemas.microsoft.com/office/drawing/2014/chart" uri="{C3380CC4-5D6E-409C-BE32-E72D297353CC}">
                <c16:uniqueId val="{000002F0-59C9-42F8-9059-90EB4F2E633D}"/>
              </c:ext>
            </c:extLst>
          </c:dPt>
          <c:dPt>
            <c:idx val="342"/>
            <c:invertIfNegative val="0"/>
            <c:bubble3D val="0"/>
            <c:extLst>
              <c:ext xmlns:c16="http://schemas.microsoft.com/office/drawing/2014/chart" uri="{C3380CC4-5D6E-409C-BE32-E72D297353CC}">
                <c16:uniqueId val="{000002F1-59C9-42F8-9059-90EB4F2E633D}"/>
              </c:ext>
            </c:extLst>
          </c:dPt>
          <c:dPt>
            <c:idx val="343"/>
            <c:invertIfNegative val="0"/>
            <c:bubble3D val="0"/>
            <c:extLst>
              <c:ext xmlns:c16="http://schemas.microsoft.com/office/drawing/2014/chart" uri="{C3380CC4-5D6E-409C-BE32-E72D297353CC}">
                <c16:uniqueId val="{000002F2-59C9-42F8-9059-90EB4F2E633D}"/>
              </c:ext>
            </c:extLst>
          </c:dPt>
          <c:dPt>
            <c:idx val="344"/>
            <c:invertIfNegative val="0"/>
            <c:bubble3D val="0"/>
            <c:extLst>
              <c:ext xmlns:c16="http://schemas.microsoft.com/office/drawing/2014/chart" uri="{C3380CC4-5D6E-409C-BE32-E72D297353CC}">
                <c16:uniqueId val="{000002F3-59C9-42F8-9059-90EB4F2E633D}"/>
              </c:ext>
            </c:extLst>
          </c:dPt>
          <c:dPt>
            <c:idx val="345"/>
            <c:invertIfNegative val="0"/>
            <c:bubble3D val="0"/>
            <c:extLst>
              <c:ext xmlns:c16="http://schemas.microsoft.com/office/drawing/2014/chart" uri="{C3380CC4-5D6E-409C-BE32-E72D297353CC}">
                <c16:uniqueId val="{000002F4-59C9-42F8-9059-90EB4F2E633D}"/>
              </c:ext>
            </c:extLst>
          </c:dPt>
          <c:dPt>
            <c:idx val="346"/>
            <c:invertIfNegative val="0"/>
            <c:bubble3D val="0"/>
            <c:extLst>
              <c:ext xmlns:c16="http://schemas.microsoft.com/office/drawing/2014/chart" uri="{C3380CC4-5D6E-409C-BE32-E72D297353CC}">
                <c16:uniqueId val="{000002F5-59C9-42F8-9059-90EB4F2E633D}"/>
              </c:ext>
            </c:extLst>
          </c:dPt>
          <c:dPt>
            <c:idx val="347"/>
            <c:invertIfNegative val="0"/>
            <c:bubble3D val="0"/>
            <c:extLst>
              <c:ext xmlns:c16="http://schemas.microsoft.com/office/drawing/2014/chart" uri="{C3380CC4-5D6E-409C-BE32-E72D297353CC}">
                <c16:uniqueId val="{000002F6-59C9-42F8-9059-90EB4F2E633D}"/>
              </c:ext>
            </c:extLst>
          </c:dPt>
          <c:dPt>
            <c:idx val="348"/>
            <c:invertIfNegative val="0"/>
            <c:bubble3D val="0"/>
            <c:extLst>
              <c:ext xmlns:c16="http://schemas.microsoft.com/office/drawing/2014/chart" uri="{C3380CC4-5D6E-409C-BE32-E72D297353CC}">
                <c16:uniqueId val="{000002F7-59C9-42F8-9059-90EB4F2E633D}"/>
              </c:ext>
            </c:extLst>
          </c:dPt>
          <c:dPt>
            <c:idx val="349"/>
            <c:invertIfNegative val="0"/>
            <c:bubble3D val="0"/>
            <c:extLst>
              <c:ext xmlns:c16="http://schemas.microsoft.com/office/drawing/2014/chart" uri="{C3380CC4-5D6E-409C-BE32-E72D297353CC}">
                <c16:uniqueId val="{000002F8-59C9-42F8-9059-90EB4F2E633D}"/>
              </c:ext>
            </c:extLst>
          </c:dPt>
          <c:dPt>
            <c:idx val="350"/>
            <c:invertIfNegative val="0"/>
            <c:bubble3D val="0"/>
            <c:extLst>
              <c:ext xmlns:c16="http://schemas.microsoft.com/office/drawing/2014/chart" uri="{C3380CC4-5D6E-409C-BE32-E72D297353CC}">
                <c16:uniqueId val="{000002F9-59C9-42F8-9059-90EB4F2E633D}"/>
              </c:ext>
            </c:extLst>
          </c:dPt>
          <c:dPt>
            <c:idx val="351"/>
            <c:invertIfNegative val="0"/>
            <c:bubble3D val="0"/>
            <c:extLst>
              <c:ext xmlns:c16="http://schemas.microsoft.com/office/drawing/2014/chart" uri="{C3380CC4-5D6E-409C-BE32-E72D297353CC}">
                <c16:uniqueId val="{000002FA-59C9-42F8-9059-90EB4F2E633D}"/>
              </c:ext>
            </c:extLst>
          </c:dPt>
          <c:dPt>
            <c:idx val="352"/>
            <c:invertIfNegative val="0"/>
            <c:bubble3D val="0"/>
            <c:extLst>
              <c:ext xmlns:c16="http://schemas.microsoft.com/office/drawing/2014/chart" uri="{C3380CC4-5D6E-409C-BE32-E72D297353CC}">
                <c16:uniqueId val="{000002FB-59C9-42F8-9059-90EB4F2E633D}"/>
              </c:ext>
            </c:extLst>
          </c:dPt>
          <c:dPt>
            <c:idx val="353"/>
            <c:invertIfNegative val="0"/>
            <c:bubble3D val="0"/>
            <c:extLst>
              <c:ext xmlns:c16="http://schemas.microsoft.com/office/drawing/2014/chart" uri="{C3380CC4-5D6E-409C-BE32-E72D297353CC}">
                <c16:uniqueId val="{000002FC-59C9-42F8-9059-90EB4F2E633D}"/>
              </c:ext>
            </c:extLst>
          </c:dPt>
          <c:dPt>
            <c:idx val="354"/>
            <c:invertIfNegative val="0"/>
            <c:bubble3D val="0"/>
            <c:extLst>
              <c:ext xmlns:c16="http://schemas.microsoft.com/office/drawing/2014/chart" uri="{C3380CC4-5D6E-409C-BE32-E72D297353CC}">
                <c16:uniqueId val="{000002FD-59C9-42F8-9059-90EB4F2E633D}"/>
              </c:ext>
            </c:extLst>
          </c:dPt>
          <c:dPt>
            <c:idx val="355"/>
            <c:invertIfNegative val="0"/>
            <c:bubble3D val="0"/>
            <c:extLst>
              <c:ext xmlns:c16="http://schemas.microsoft.com/office/drawing/2014/chart" uri="{C3380CC4-5D6E-409C-BE32-E72D297353CC}">
                <c16:uniqueId val="{000002FE-59C9-42F8-9059-90EB4F2E633D}"/>
              </c:ext>
            </c:extLst>
          </c:dPt>
          <c:dPt>
            <c:idx val="356"/>
            <c:invertIfNegative val="0"/>
            <c:bubble3D val="0"/>
            <c:extLst>
              <c:ext xmlns:c16="http://schemas.microsoft.com/office/drawing/2014/chart" uri="{C3380CC4-5D6E-409C-BE32-E72D297353CC}">
                <c16:uniqueId val="{000002FF-59C9-42F8-9059-90EB4F2E633D}"/>
              </c:ext>
            </c:extLst>
          </c:dPt>
          <c:dPt>
            <c:idx val="357"/>
            <c:invertIfNegative val="0"/>
            <c:bubble3D val="0"/>
            <c:extLst>
              <c:ext xmlns:c16="http://schemas.microsoft.com/office/drawing/2014/chart" uri="{C3380CC4-5D6E-409C-BE32-E72D297353CC}">
                <c16:uniqueId val="{00000300-59C9-42F8-9059-90EB4F2E633D}"/>
              </c:ext>
            </c:extLst>
          </c:dPt>
          <c:dPt>
            <c:idx val="358"/>
            <c:invertIfNegative val="0"/>
            <c:bubble3D val="0"/>
            <c:extLst>
              <c:ext xmlns:c16="http://schemas.microsoft.com/office/drawing/2014/chart" uri="{C3380CC4-5D6E-409C-BE32-E72D297353CC}">
                <c16:uniqueId val="{00000301-59C9-42F8-9059-90EB4F2E633D}"/>
              </c:ext>
            </c:extLst>
          </c:dPt>
          <c:dPt>
            <c:idx val="359"/>
            <c:invertIfNegative val="0"/>
            <c:bubble3D val="0"/>
            <c:extLst>
              <c:ext xmlns:c16="http://schemas.microsoft.com/office/drawing/2014/chart" uri="{C3380CC4-5D6E-409C-BE32-E72D297353CC}">
                <c16:uniqueId val="{00000302-59C9-42F8-9059-90EB4F2E633D}"/>
              </c:ext>
            </c:extLst>
          </c:dPt>
          <c:dPt>
            <c:idx val="360"/>
            <c:invertIfNegative val="0"/>
            <c:bubble3D val="0"/>
            <c:extLst>
              <c:ext xmlns:c16="http://schemas.microsoft.com/office/drawing/2014/chart" uri="{C3380CC4-5D6E-409C-BE32-E72D297353CC}">
                <c16:uniqueId val="{00000303-59C9-42F8-9059-90EB4F2E633D}"/>
              </c:ext>
            </c:extLst>
          </c:dPt>
          <c:dPt>
            <c:idx val="361"/>
            <c:invertIfNegative val="0"/>
            <c:bubble3D val="0"/>
            <c:extLst>
              <c:ext xmlns:c16="http://schemas.microsoft.com/office/drawing/2014/chart" uri="{C3380CC4-5D6E-409C-BE32-E72D297353CC}">
                <c16:uniqueId val="{00000304-59C9-42F8-9059-90EB4F2E633D}"/>
              </c:ext>
            </c:extLst>
          </c:dPt>
          <c:dPt>
            <c:idx val="362"/>
            <c:invertIfNegative val="0"/>
            <c:bubble3D val="0"/>
            <c:extLst>
              <c:ext xmlns:c16="http://schemas.microsoft.com/office/drawing/2014/chart" uri="{C3380CC4-5D6E-409C-BE32-E72D297353CC}">
                <c16:uniqueId val="{00000305-59C9-42F8-9059-90EB4F2E633D}"/>
              </c:ext>
            </c:extLst>
          </c:dPt>
          <c:dPt>
            <c:idx val="363"/>
            <c:invertIfNegative val="0"/>
            <c:bubble3D val="0"/>
            <c:extLst>
              <c:ext xmlns:c16="http://schemas.microsoft.com/office/drawing/2014/chart" uri="{C3380CC4-5D6E-409C-BE32-E72D297353CC}">
                <c16:uniqueId val="{00000306-59C9-42F8-9059-90EB4F2E633D}"/>
              </c:ext>
            </c:extLst>
          </c:dPt>
          <c:dPt>
            <c:idx val="364"/>
            <c:invertIfNegative val="0"/>
            <c:bubble3D val="0"/>
            <c:extLst>
              <c:ext xmlns:c16="http://schemas.microsoft.com/office/drawing/2014/chart" uri="{C3380CC4-5D6E-409C-BE32-E72D297353CC}">
                <c16:uniqueId val="{00000307-59C9-42F8-9059-90EB4F2E633D}"/>
              </c:ext>
            </c:extLst>
          </c:dPt>
          <c:dPt>
            <c:idx val="365"/>
            <c:invertIfNegative val="0"/>
            <c:bubble3D val="0"/>
            <c:extLst>
              <c:ext xmlns:c16="http://schemas.microsoft.com/office/drawing/2014/chart" uri="{C3380CC4-5D6E-409C-BE32-E72D297353CC}">
                <c16:uniqueId val="{00000308-59C9-42F8-9059-90EB4F2E633D}"/>
              </c:ext>
            </c:extLst>
          </c:dPt>
          <c:dPt>
            <c:idx val="366"/>
            <c:invertIfNegative val="0"/>
            <c:bubble3D val="0"/>
            <c:extLst>
              <c:ext xmlns:c16="http://schemas.microsoft.com/office/drawing/2014/chart" uri="{C3380CC4-5D6E-409C-BE32-E72D297353CC}">
                <c16:uniqueId val="{00000309-59C9-42F8-9059-90EB4F2E633D}"/>
              </c:ext>
            </c:extLst>
          </c:dPt>
          <c:dPt>
            <c:idx val="367"/>
            <c:invertIfNegative val="0"/>
            <c:bubble3D val="0"/>
            <c:extLst>
              <c:ext xmlns:c16="http://schemas.microsoft.com/office/drawing/2014/chart" uri="{C3380CC4-5D6E-409C-BE32-E72D297353CC}">
                <c16:uniqueId val="{0000030A-59C9-42F8-9059-90EB4F2E633D}"/>
              </c:ext>
            </c:extLst>
          </c:dPt>
          <c:dPt>
            <c:idx val="368"/>
            <c:invertIfNegative val="0"/>
            <c:bubble3D val="0"/>
            <c:extLst>
              <c:ext xmlns:c16="http://schemas.microsoft.com/office/drawing/2014/chart" uri="{C3380CC4-5D6E-409C-BE32-E72D297353CC}">
                <c16:uniqueId val="{0000030B-59C9-42F8-9059-90EB4F2E633D}"/>
              </c:ext>
            </c:extLst>
          </c:dPt>
          <c:dPt>
            <c:idx val="369"/>
            <c:invertIfNegative val="0"/>
            <c:bubble3D val="0"/>
            <c:extLst>
              <c:ext xmlns:c16="http://schemas.microsoft.com/office/drawing/2014/chart" uri="{C3380CC4-5D6E-409C-BE32-E72D297353CC}">
                <c16:uniqueId val="{0000030C-59C9-42F8-9059-90EB4F2E633D}"/>
              </c:ext>
            </c:extLst>
          </c:dPt>
          <c:dPt>
            <c:idx val="370"/>
            <c:invertIfNegative val="0"/>
            <c:bubble3D val="0"/>
            <c:extLst>
              <c:ext xmlns:c16="http://schemas.microsoft.com/office/drawing/2014/chart" uri="{C3380CC4-5D6E-409C-BE32-E72D297353CC}">
                <c16:uniqueId val="{0000030D-59C9-42F8-9059-90EB4F2E633D}"/>
              </c:ext>
            </c:extLst>
          </c:dPt>
          <c:dPt>
            <c:idx val="371"/>
            <c:invertIfNegative val="0"/>
            <c:bubble3D val="0"/>
            <c:extLst>
              <c:ext xmlns:c16="http://schemas.microsoft.com/office/drawing/2014/chart" uri="{C3380CC4-5D6E-409C-BE32-E72D297353CC}">
                <c16:uniqueId val="{0000030E-59C9-42F8-9059-90EB4F2E633D}"/>
              </c:ext>
            </c:extLst>
          </c:dPt>
          <c:dPt>
            <c:idx val="372"/>
            <c:invertIfNegative val="0"/>
            <c:bubble3D val="0"/>
            <c:extLst>
              <c:ext xmlns:c16="http://schemas.microsoft.com/office/drawing/2014/chart" uri="{C3380CC4-5D6E-409C-BE32-E72D297353CC}">
                <c16:uniqueId val="{0000030F-59C9-42F8-9059-90EB4F2E633D}"/>
              </c:ext>
            </c:extLst>
          </c:dPt>
          <c:dPt>
            <c:idx val="373"/>
            <c:invertIfNegative val="0"/>
            <c:bubble3D val="0"/>
            <c:extLst>
              <c:ext xmlns:c16="http://schemas.microsoft.com/office/drawing/2014/chart" uri="{C3380CC4-5D6E-409C-BE32-E72D297353CC}">
                <c16:uniqueId val="{00000310-59C9-42F8-9059-90EB4F2E633D}"/>
              </c:ext>
            </c:extLst>
          </c:dPt>
          <c:dPt>
            <c:idx val="374"/>
            <c:invertIfNegative val="0"/>
            <c:bubble3D val="0"/>
            <c:extLst>
              <c:ext xmlns:c16="http://schemas.microsoft.com/office/drawing/2014/chart" uri="{C3380CC4-5D6E-409C-BE32-E72D297353CC}">
                <c16:uniqueId val="{00000311-59C9-42F8-9059-90EB4F2E633D}"/>
              </c:ext>
            </c:extLst>
          </c:dPt>
          <c:dPt>
            <c:idx val="375"/>
            <c:invertIfNegative val="0"/>
            <c:bubble3D val="0"/>
            <c:extLst>
              <c:ext xmlns:c16="http://schemas.microsoft.com/office/drawing/2014/chart" uri="{C3380CC4-5D6E-409C-BE32-E72D297353CC}">
                <c16:uniqueId val="{00000312-59C9-42F8-9059-90EB4F2E633D}"/>
              </c:ext>
            </c:extLst>
          </c:dPt>
          <c:dPt>
            <c:idx val="376"/>
            <c:invertIfNegative val="0"/>
            <c:bubble3D val="0"/>
            <c:extLst>
              <c:ext xmlns:c16="http://schemas.microsoft.com/office/drawing/2014/chart" uri="{C3380CC4-5D6E-409C-BE32-E72D297353CC}">
                <c16:uniqueId val="{00000313-59C9-42F8-9059-90EB4F2E633D}"/>
              </c:ext>
            </c:extLst>
          </c:dPt>
          <c:dPt>
            <c:idx val="377"/>
            <c:invertIfNegative val="0"/>
            <c:bubble3D val="0"/>
            <c:extLst>
              <c:ext xmlns:c16="http://schemas.microsoft.com/office/drawing/2014/chart" uri="{C3380CC4-5D6E-409C-BE32-E72D297353CC}">
                <c16:uniqueId val="{00000314-59C9-42F8-9059-90EB4F2E633D}"/>
              </c:ext>
            </c:extLst>
          </c:dPt>
          <c:dPt>
            <c:idx val="378"/>
            <c:invertIfNegative val="0"/>
            <c:bubble3D val="0"/>
            <c:extLst>
              <c:ext xmlns:c16="http://schemas.microsoft.com/office/drawing/2014/chart" uri="{C3380CC4-5D6E-409C-BE32-E72D297353CC}">
                <c16:uniqueId val="{00000315-59C9-42F8-9059-90EB4F2E633D}"/>
              </c:ext>
            </c:extLst>
          </c:dPt>
          <c:dPt>
            <c:idx val="379"/>
            <c:invertIfNegative val="0"/>
            <c:bubble3D val="0"/>
            <c:extLst>
              <c:ext xmlns:c16="http://schemas.microsoft.com/office/drawing/2014/chart" uri="{C3380CC4-5D6E-409C-BE32-E72D297353CC}">
                <c16:uniqueId val="{00000316-59C9-42F8-9059-90EB4F2E633D}"/>
              </c:ext>
            </c:extLst>
          </c:dPt>
          <c:dPt>
            <c:idx val="380"/>
            <c:invertIfNegative val="0"/>
            <c:bubble3D val="0"/>
            <c:extLst>
              <c:ext xmlns:c16="http://schemas.microsoft.com/office/drawing/2014/chart" uri="{C3380CC4-5D6E-409C-BE32-E72D297353CC}">
                <c16:uniqueId val="{00000317-59C9-42F8-9059-90EB4F2E633D}"/>
              </c:ext>
            </c:extLst>
          </c:dPt>
          <c:dPt>
            <c:idx val="381"/>
            <c:invertIfNegative val="0"/>
            <c:bubble3D val="0"/>
            <c:extLst>
              <c:ext xmlns:c16="http://schemas.microsoft.com/office/drawing/2014/chart" uri="{C3380CC4-5D6E-409C-BE32-E72D297353CC}">
                <c16:uniqueId val="{00000318-59C9-42F8-9059-90EB4F2E633D}"/>
              </c:ext>
            </c:extLst>
          </c:dPt>
          <c:dPt>
            <c:idx val="382"/>
            <c:invertIfNegative val="0"/>
            <c:bubble3D val="0"/>
            <c:extLst>
              <c:ext xmlns:c16="http://schemas.microsoft.com/office/drawing/2014/chart" uri="{C3380CC4-5D6E-409C-BE32-E72D297353CC}">
                <c16:uniqueId val="{00000319-59C9-42F8-9059-90EB4F2E633D}"/>
              </c:ext>
            </c:extLst>
          </c:dPt>
          <c:dPt>
            <c:idx val="383"/>
            <c:invertIfNegative val="0"/>
            <c:bubble3D val="0"/>
            <c:extLst>
              <c:ext xmlns:c16="http://schemas.microsoft.com/office/drawing/2014/chart" uri="{C3380CC4-5D6E-409C-BE32-E72D297353CC}">
                <c16:uniqueId val="{0000031A-59C9-42F8-9059-90EB4F2E633D}"/>
              </c:ext>
            </c:extLst>
          </c:dPt>
          <c:dPt>
            <c:idx val="384"/>
            <c:invertIfNegative val="0"/>
            <c:bubble3D val="0"/>
            <c:extLst>
              <c:ext xmlns:c16="http://schemas.microsoft.com/office/drawing/2014/chart" uri="{C3380CC4-5D6E-409C-BE32-E72D297353CC}">
                <c16:uniqueId val="{0000031B-59C9-42F8-9059-90EB4F2E633D}"/>
              </c:ext>
            </c:extLst>
          </c:dPt>
          <c:dPt>
            <c:idx val="385"/>
            <c:invertIfNegative val="0"/>
            <c:bubble3D val="0"/>
            <c:extLst>
              <c:ext xmlns:c16="http://schemas.microsoft.com/office/drawing/2014/chart" uri="{C3380CC4-5D6E-409C-BE32-E72D297353CC}">
                <c16:uniqueId val="{0000031C-59C9-42F8-9059-90EB4F2E633D}"/>
              </c:ext>
            </c:extLst>
          </c:dPt>
          <c:dPt>
            <c:idx val="386"/>
            <c:invertIfNegative val="0"/>
            <c:bubble3D val="0"/>
            <c:extLst>
              <c:ext xmlns:c16="http://schemas.microsoft.com/office/drawing/2014/chart" uri="{C3380CC4-5D6E-409C-BE32-E72D297353CC}">
                <c16:uniqueId val="{0000031D-59C9-42F8-9059-90EB4F2E633D}"/>
              </c:ext>
            </c:extLst>
          </c:dPt>
          <c:cat>
            <c:multiLvlStrRef>
              <c:f>pt.lvl3_generic_1!$B$8:$C$56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pt.lvl3_generic_1!$D$8:$D$56</c:f>
              <c:numCache>
                <c:formatCode>General</c:formatCode>
                <c:ptCount val="48"/>
                <c:pt idx="0">
                  <c:v>1</c:v>
                </c:pt>
                <c:pt idx="1">
                  <c:v>1</c:v>
                </c:pt>
                <c:pt idx="2">
                  <c:v>0.75</c:v>
                </c:pt>
                <c:pt idx="3">
                  <c:v>0.51219512195121952</c:v>
                </c:pt>
                <c:pt idx="4">
                  <c:v>1</c:v>
                </c:pt>
                <c:pt idx="5">
                  <c:v>1</c:v>
                </c:pt>
                <c:pt idx="6">
                  <c:v>0.65097856477166827</c:v>
                </c:pt>
                <c:pt idx="7">
                  <c:v>0.41333333333333333</c:v>
                </c:pt>
                <c:pt idx="8">
                  <c:v>1</c:v>
                </c:pt>
                <c:pt idx="9">
                  <c:v>0.79166666666666663</c:v>
                </c:pt>
                <c:pt idx="10">
                  <c:v>1</c:v>
                </c:pt>
                <c:pt idx="11">
                  <c:v>1</c:v>
                </c:pt>
                <c:pt idx="12">
                  <c:v>0.81944444444444453</c:v>
                </c:pt>
                <c:pt idx="13">
                  <c:v>0.2857142857142857</c:v>
                </c:pt>
                <c:pt idx="14">
                  <c:v>0.95161290322580649</c:v>
                </c:pt>
                <c:pt idx="15">
                  <c:v>0.9731182795698925</c:v>
                </c:pt>
                <c:pt idx="16">
                  <c:v>0.61904761904761907</c:v>
                </c:pt>
                <c:pt idx="17">
                  <c:v>0.61111111111111116</c:v>
                </c:pt>
                <c:pt idx="18">
                  <c:v>0.9916666666666667</c:v>
                </c:pt>
                <c:pt idx="19">
                  <c:v>0.97138047138047146</c:v>
                </c:pt>
                <c:pt idx="20">
                  <c:v>0.94444444444444453</c:v>
                </c:pt>
                <c:pt idx="21">
                  <c:v>0.24</c:v>
                </c:pt>
                <c:pt idx="22">
                  <c:v>0.66666666666666663</c:v>
                </c:pt>
                <c:pt idx="23">
                  <c:v>1</c:v>
                </c:pt>
                <c:pt idx="24">
                  <c:v>0.84935897435897445</c:v>
                </c:pt>
                <c:pt idx="25">
                  <c:v>0.83333333333333337</c:v>
                </c:pt>
                <c:pt idx="26">
                  <c:v>0.87777777777777777</c:v>
                </c:pt>
                <c:pt idx="27">
                  <c:v>0.74074074074074081</c:v>
                </c:pt>
                <c:pt idx="28">
                  <c:v>1</c:v>
                </c:pt>
                <c:pt idx="29">
                  <c:v>1</c:v>
                </c:pt>
                <c:pt idx="30">
                  <c:v>0.84139784946236562</c:v>
                </c:pt>
                <c:pt idx="31">
                  <c:v>0.92156862745098034</c:v>
                </c:pt>
                <c:pt idx="32">
                  <c:v>0.7857142857142857</c:v>
                </c:pt>
                <c:pt idx="33">
                  <c:v>1</c:v>
                </c:pt>
                <c:pt idx="34">
                  <c:v>0.68293211884623728</c:v>
                </c:pt>
                <c:pt idx="35">
                  <c:v>0.41666666666666669</c:v>
                </c:pt>
                <c:pt idx="36">
                  <c:v>1</c:v>
                </c:pt>
                <c:pt idx="37">
                  <c:v>1</c:v>
                </c:pt>
                <c:pt idx="38">
                  <c:v>1</c:v>
                </c:pt>
                <c:pt idx="39">
                  <c:v>1</c:v>
                </c:pt>
                <c:pt idx="40">
                  <c:v>1</c:v>
                </c:pt>
                <c:pt idx="41">
                  <c:v>0.98611111111111116</c:v>
                </c:pt>
                <c:pt idx="42">
                  <c:v>0.70906432748538017</c:v>
                </c:pt>
                <c:pt idx="43">
                  <c:v>0.96969696969696972</c:v>
                </c:pt>
                <c:pt idx="44">
                  <c:v>0.93550893550893555</c:v>
                </c:pt>
                <c:pt idx="45">
                  <c:v>1</c:v>
                </c:pt>
                <c:pt idx="46">
                  <c:v>0.74489795918367352</c:v>
                </c:pt>
                <c:pt idx="47">
                  <c:v>0.98969072164948457</c:v>
                </c:pt>
              </c:numCache>
            </c:numRef>
          </c:val>
          <c:extLst>
            <c:ext xmlns:c16="http://schemas.microsoft.com/office/drawing/2014/chart" uri="{C3380CC4-5D6E-409C-BE32-E72D297353CC}">
              <c16:uniqueId val="{00000022-5750-4A32-8FA3-70A75E2E8DB9}"/>
            </c:ext>
          </c:extLst>
        </c:ser>
        <c:dLbls>
          <c:showLegendKey val="0"/>
          <c:showVal val="0"/>
          <c:showCatName val="0"/>
          <c:showSerName val="0"/>
          <c:showPercent val="0"/>
          <c:showBubbleSize val="0"/>
        </c:dLbls>
        <c:gapWidth val="200"/>
        <c:axId val="446333296"/>
        <c:axId val="446333688"/>
      </c:barChart>
      <c:lineChart>
        <c:grouping val="standard"/>
        <c:varyColors val="0"/>
        <c:ser>
          <c:idx val="1"/>
          <c:order val="1"/>
          <c:tx>
            <c:strRef>
              <c:f>pt.lvl3_generic_1!$E$7</c:f>
              <c:strCache>
                <c:ptCount val="1"/>
                <c:pt idx="0">
                  <c:v>Average of Cíl %</c:v>
                </c:pt>
              </c:strCache>
            </c:strRef>
          </c:tx>
          <c:spPr>
            <a:ln w="28575" cap="rnd">
              <a:solidFill>
                <a:srgbClr val="000000"/>
              </a:solidFill>
              <a:round/>
            </a:ln>
            <a:effectLst/>
          </c:spPr>
          <c:marker>
            <c:symbol val="none"/>
          </c:marker>
          <c:cat>
            <c:multiLvlStrRef>
              <c:f>pt.lvl3_generic_1!$B$8:$C$56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pt.lvl3_generic_1!$E$8:$E$56</c:f>
              <c:numCache>
                <c:formatCode>General</c:formatCode>
                <c:ptCount val="48"/>
                <c:pt idx="0">
                  <c:v>0.8</c:v>
                </c:pt>
                <c:pt idx="1">
                  <c:v>0.8</c:v>
                </c:pt>
                <c:pt idx="2">
                  <c:v>0.80000000000000016</c:v>
                </c:pt>
                <c:pt idx="3">
                  <c:v>0.8</c:v>
                </c:pt>
                <c:pt idx="4">
                  <c:v>0.8</c:v>
                </c:pt>
                <c:pt idx="5">
                  <c:v>0.8</c:v>
                </c:pt>
                <c:pt idx="6">
                  <c:v>0.80000000000000016</c:v>
                </c:pt>
                <c:pt idx="7">
                  <c:v>0.80000000000000016</c:v>
                </c:pt>
                <c:pt idx="8">
                  <c:v>0.8</c:v>
                </c:pt>
                <c:pt idx="9">
                  <c:v>0.80000000000000016</c:v>
                </c:pt>
                <c:pt idx="10">
                  <c:v>0.8</c:v>
                </c:pt>
                <c:pt idx="11">
                  <c:v>0.80000000000000016</c:v>
                </c:pt>
                <c:pt idx="12">
                  <c:v>0.80000000000000016</c:v>
                </c:pt>
                <c:pt idx="13">
                  <c:v>0.8</c:v>
                </c:pt>
                <c:pt idx="14">
                  <c:v>0.8</c:v>
                </c:pt>
                <c:pt idx="15">
                  <c:v>0.80000000000000016</c:v>
                </c:pt>
                <c:pt idx="16">
                  <c:v>0.80000000000000016</c:v>
                </c:pt>
                <c:pt idx="17">
                  <c:v>0.80000000000000016</c:v>
                </c:pt>
                <c:pt idx="18">
                  <c:v>0.80000000000000016</c:v>
                </c:pt>
                <c:pt idx="19">
                  <c:v>0.80000000000000016</c:v>
                </c:pt>
                <c:pt idx="20">
                  <c:v>0.80000000000000016</c:v>
                </c:pt>
                <c:pt idx="21">
                  <c:v>0.8</c:v>
                </c:pt>
                <c:pt idx="22">
                  <c:v>0.80000000000000016</c:v>
                </c:pt>
                <c:pt idx="23">
                  <c:v>0.80000000000000016</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c:v>
                </c:pt>
                <c:pt idx="33">
                  <c:v>0.80000000000000016</c:v>
                </c:pt>
                <c:pt idx="34">
                  <c:v>0.80000000000000016</c:v>
                </c:pt>
                <c:pt idx="35">
                  <c:v>0.80000000000000016</c:v>
                </c:pt>
                <c:pt idx="36">
                  <c:v>0.8</c:v>
                </c:pt>
                <c:pt idx="37">
                  <c:v>0.8</c:v>
                </c:pt>
                <c:pt idx="38">
                  <c:v>0.8</c:v>
                </c:pt>
                <c:pt idx="39">
                  <c:v>0.80000000000000016</c:v>
                </c:pt>
                <c:pt idx="40">
                  <c:v>0.8</c:v>
                </c:pt>
                <c:pt idx="41">
                  <c:v>0.80000000000000016</c:v>
                </c:pt>
                <c:pt idx="42">
                  <c:v>0.80000000000000016</c:v>
                </c:pt>
                <c:pt idx="43">
                  <c:v>0.80000000000000016</c:v>
                </c:pt>
                <c:pt idx="44">
                  <c:v>0.80000000000000016</c:v>
                </c:pt>
                <c:pt idx="45">
                  <c:v>0.8</c:v>
                </c:pt>
                <c:pt idx="46">
                  <c:v>0.8</c:v>
                </c:pt>
                <c:pt idx="47">
                  <c:v>0.80000000000000016</c:v>
                </c:pt>
              </c:numCache>
            </c:numRef>
          </c:val>
          <c:smooth val="0"/>
          <c:extLst>
            <c:ext xmlns:c16="http://schemas.microsoft.com/office/drawing/2014/chart" uri="{C3380CC4-5D6E-409C-BE32-E72D297353CC}">
              <c16:uniqueId val="{00000023-5750-4A32-8FA3-70A75E2E8DB9}"/>
            </c:ext>
          </c:extLst>
        </c:ser>
        <c:ser>
          <c:idx val="2"/>
          <c:order val="2"/>
          <c:tx>
            <c:strRef>
              <c:f>pt.lvl3_generic_1!$F$7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5750-4A32-8FA3-70A75E2E8DB9}"/>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5750-4A32-8FA3-70A75E2E8DB9}"/>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5750-4A32-8FA3-70A75E2E8DB9}"/>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5750-4A32-8FA3-70A75E2E8DB9}"/>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5750-4A32-8FA3-70A75E2E8DB9}"/>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5750-4A32-8FA3-70A75E2E8DB9}"/>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5750-4A32-8FA3-70A75E2E8DB9}"/>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5750-4A32-8FA3-70A75E2E8DB9}"/>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5750-4A32-8FA3-70A75E2E8DB9}"/>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5750-4A32-8FA3-70A75E2E8DB9}"/>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5750-4A32-8FA3-70A75E2E8DB9}"/>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5750-4A32-8FA3-70A75E2E8DB9}"/>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5750-4A32-8FA3-70A75E2E8DB9}"/>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5750-4A32-8FA3-70A75E2E8DB9}"/>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5750-4A32-8FA3-70A75E2E8DB9}"/>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5750-4A32-8FA3-70A75E2E8DB9}"/>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5750-4A32-8FA3-70A75E2E8DB9}"/>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C0C5-4573-B331-48114D8E6C12}"/>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C0C5-4573-B331-48114D8E6C12}"/>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C0C5-4573-B331-48114D8E6C12}"/>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C0C5-4573-B331-48114D8E6C12}"/>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C0C5-4573-B331-48114D8E6C12}"/>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C0C5-4573-B331-48114D8E6C12}"/>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C0C5-4573-B331-48114D8E6C12}"/>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A2D1-4D0F-A7DF-B124A0C5B4C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A2D1-4D0F-A7DF-B124A0C5B4C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A2D1-4D0F-A7DF-B124A0C5B4C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A2D1-4D0F-A7DF-B124A0C5B4C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A2D1-4D0F-A7DF-B124A0C5B4C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A2D1-4D0F-A7DF-B124A0C5B4C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A2D1-4D0F-A7DF-B124A0C5B4C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A2D1-4D0F-A7DF-B124A0C5B4C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E-A2D1-4D0F-A7DF-B124A0C5B4C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A2D1-4D0F-A7DF-B124A0C5B4C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A2D1-4D0F-A7DF-B124A0C5B4C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A2D1-4D0F-A7DF-B124A0C5B4C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A2D1-4D0F-A7DF-B124A0C5B4C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7-EA54-4187-8FA1-FF1E003F29BA}"/>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A2D1-4D0F-A7DF-B124A0C5B4C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A2D1-4D0F-A7DF-B124A0C5B4C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A2D1-4D0F-A7DF-B124A0C5B4C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A2D1-4D0F-A7DF-B124A0C5B4C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A2D1-4D0F-A7DF-B124A0C5B4C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A2D1-4D0F-A7DF-B124A0C5B4C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A2D1-4D0F-A7DF-B124A0C5B4C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A2D1-4D0F-A7DF-B124A0C5B4C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A2D1-4D0F-A7DF-B124A0C5B4C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A2D1-4D0F-A7DF-B124A0C5B4C9}"/>
              </c:ext>
            </c:extLst>
          </c:dPt>
          <c:dPt>
            <c:idx val="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AE-A2D1-4D0F-A7DF-B124A0C5B4C9}"/>
              </c:ext>
            </c:extLst>
          </c:dPt>
          <c:dPt>
            <c:idx val="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AF-A2D1-4D0F-A7DF-B124A0C5B4C9}"/>
              </c:ext>
            </c:extLst>
          </c:dPt>
          <c:dPt>
            <c:idx val="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0-A2D1-4D0F-A7DF-B124A0C5B4C9}"/>
              </c:ext>
            </c:extLst>
          </c:dPt>
          <c:dPt>
            <c:idx val="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1-A2D1-4D0F-A7DF-B124A0C5B4C9}"/>
              </c:ext>
            </c:extLst>
          </c:dPt>
          <c:dPt>
            <c:idx val="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2-A2D1-4D0F-A7DF-B124A0C5B4C9}"/>
              </c:ext>
            </c:extLst>
          </c:dPt>
          <c:dPt>
            <c:idx val="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3-A2D1-4D0F-A7DF-B124A0C5B4C9}"/>
              </c:ext>
            </c:extLst>
          </c:dPt>
          <c:dPt>
            <c:idx val="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4-A2D1-4D0F-A7DF-B124A0C5B4C9}"/>
              </c:ext>
            </c:extLst>
          </c:dPt>
          <c:dPt>
            <c:idx val="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5-A2D1-4D0F-A7DF-B124A0C5B4C9}"/>
              </c:ext>
            </c:extLst>
          </c:dPt>
          <c:dPt>
            <c:idx val="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6-A2D1-4D0F-A7DF-B124A0C5B4C9}"/>
              </c:ext>
            </c:extLst>
          </c:dPt>
          <c:dPt>
            <c:idx val="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8-EA54-4187-8FA1-FF1E003F29BA}"/>
              </c:ext>
            </c:extLst>
          </c:dPt>
          <c:dPt>
            <c:idx val="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8-A2D1-4D0F-A7DF-B124A0C5B4C9}"/>
              </c:ext>
            </c:extLst>
          </c:dPt>
          <c:dPt>
            <c:idx val="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9-A2D1-4D0F-A7DF-B124A0C5B4C9}"/>
              </c:ext>
            </c:extLst>
          </c:dPt>
          <c:dPt>
            <c:idx val="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9-EA54-4187-8FA1-FF1E003F29BA}"/>
              </c:ext>
            </c:extLst>
          </c:dPt>
          <c:dPt>
            <c:idx val="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B-A2D1-4D0F-A7DF-B124A0C5B4C9}"/>
              </c:ext>
            </c:extLst>
          </c:dPt>
          <c:dPt>
            <c:idx val="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C-A2D1-4D0F-A7DF-B124A0C5B4C9}"/>
              </c:ext>
            </c:extLst>
          </c:dPt>
          <c:dPt>
            <c:idx val="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D-A2D1-4D0F-A7DF-B124A0C5B4C9}"/>
              </c:ext>
            </c:extLst>
          </c:dPt>
          <c:dPt>
            <c:idx val="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E-A2D1-4D0F-A7DF-B124A0C5B4C9}"/>
              </c:ext>
            </c:extLst>
          </c:dPt>
          <c:dPt>
            <c:idx val="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F-A2D1-4D0F-A7DF-B124A0C5B4C9}"/>
              </c:ext>
            </c:extLst>
          </c:dPt>
          <c:dPt>
            <c:idx val="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0-A2D1-4D0F-A7DF-B124A0C5B4C9}"/>
              </c:ext>
            </c:extLst>
          </c:dPt>
          <c:dPt>
            <c:idx val="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1-A2D1-4D0F-A7DF-B124A0C5B4C9}"/>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2-A2D1-4D0F-A7DF-B124A0C5B4C9}"/>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C3-A2D1-4D0F-A7DF-B124A0C5B4C9}"/>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B-9A13-4CF4-9B60-BD7A91D45616}"/>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D-9A13-4CF4-9B60-BD7A91D45616}"/>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F-9A13-4CF4-9B60-BD7A91D45616}"/>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1-9A13-4CF4-9B60-BD7A91D45616}"/>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3-9A13-4CF4-9B60-BD7A91D45616}"/>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5-9A13-4CF4-9B60-BD7A91D45616}"/>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7-9A13-4CF4-9B60-BD7A91D45616}"/>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9-9A13-4CF4-9B60-BD7A91D45616}"/>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070C-4156-BEF9-A06B340D49A6}"/>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16F3-4F7F-8719-60249B9981AD}"/>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16F3-4F7F-8719-60249B9981AD}"/>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16F3-4F7F-8719-60249B9981AD}"/>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16F3-4F7F-8719-60249B9981AD}"/>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16F3-4F7F-8719-60249B9981AD}"/>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16F3-4F7F-8719-60249B9981AD}"/>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16F3-4F7F-8719-60249B9981AD}"/>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16F3-4F7F-8719-60249B9981AD}"/>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16F3-4F7F-8719-60249B9981AD}"/>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16F3-4F7F-8719-60249B9981AD}"/>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16F3-4F7F-8719-60249B9981AD}"/>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16F3-4F7F-8719-60249B9981AD}"/>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16F3-4F7F-8719-60249B9981AD}"/>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16F3-4F7F-8719-60249B9981AD}"/>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16F3-4F7F-8719-60249B9981AD}"/>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16F3-4F7F-8719-60249B9981AD}"/>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16F3-4F7F-8719-60249B9981AD}"/>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16F3-4F7F-8719-60249B9981AD}"/>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16F3-4F7F-8719-60249B9981AD}"/>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16F3-4F7F-8719-60249B9981AD}"/>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16F3-4F7F-8719-60249B9981AD}"/>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16F3-4F7F-8719-60249B9981AD}"/>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16F3-4F7F-8719-60249B9981AD}"/>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16F3-4F7F-8719-60249B9981AD}"/>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16F3-4F7F-8719-60249B9981AD}"/>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16F3-4F7F-8719-60249B9981AD}"/>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6-070C-4156-BEF9-A06B340D49A6}"/>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7-070C-4156-BEF9-A06B340D49A6}"/>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9-0F5F-405E-B2EB-40801F894752}"/>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9B1B-4C86-ABC1-A978BD95018F}"/>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9B1B-4C86-ABC1-A978BD95018F}"/>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9B1B-4C86-ABC1-A978BD95018F}"/>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9B1B-4C86-ABC1-A978BD95018F}"/>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9B1B-4C86-ABC1-A978BD95018F}"/>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9B1B-4C86-ABC1-A978BD95018F}"/>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9B1B-4C86-ABC1-A978BD95018F}"/>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9B1B-4C86-ABC1-A978BD95018F}"/>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9B1B-4C86-ABC1-A978BD95018F}"/>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9B1B-4C86-ABC1-A978BD95018F}"/>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9B1B-4C86-ABC1-A978BD95018F}"/>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9B1B-4C86-ABC1-A978BD95018F}"/>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9B1B-4C86-ABC1-A978BD95018F}"/>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9B1B-4C86-ABC1-A978BD95018F}"/>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0-9B1B-4C86-ABC1-A978BD95018F}"/>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1-9B1B-4C86-ABC1-A978BD95018F}"/>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2-9B1B-4C86-ABC1-A978BD95018F}"/>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3-9B1B-4C86-ABC1-A978BD95018F}"/>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4-9B1B-4C86-ABC1-A978BD95018F}"/>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5-9B1B-4C86-ABC1-A978BD95018F}"/>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D6-9B1B-4C86-ABC1-A978BD95018F}"/>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05DC-43E2-B1BE-9F3ADC0D4C26}"/>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77A6-4263-8D83-9A359641E017}"/>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77A6-4263-8D83-9A359641E017}"/>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77A6-4263-8D83-9A359641E017}"/>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05DC-43E2-B1BE-9F3ADC0D4C26}"/>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05DC-43E2-B1BE-9F3ADC0D4C26}"/>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1-59C9-42F8-9059-90EB4F2E633D}"/>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2564-476E-9B63-ED228B641C3B}"/>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98AE-4061-8767-32CBBDA0D7A0}"/>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59C9-42F8-9059-90EB4F2E633D}"/>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59C9-42F8-9059-90EB4F2E633D}"/>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59C9-42F8-9059-90EB4F2E633D}"/>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59C9-42F8-9059-90EB4F2E633D}"/>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59C9-42F8-9059-90EB4F2E633D}"/>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59C9-42F8-9059-90EB4F2E633D}"/>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59C9-42F8-9059-90EB4F2E633D}"/>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59C9-42F8-9059-90EB4F2E633D}"/>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59C9-42F8-9059-90EB4F2E633D}"/>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59C9-42F8-9059-90EB4F2E633D}"/>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59C9-42F8-9059-90EB4F2E633D}"/>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59C9-42F8-9059-90EB4F2E633D}"/>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59C9-42F8-9059-90EB4F2E633D}"/>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59C9-42F8-9059-90EB4F2E633D}"/>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59C9-42F8-9059-90EB4F2E633D}"/>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59C9-42F8-9059-90EB4F2E633D}"/>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59C9-42F8-9059-90EB4F2E633D}"/>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59C9-42F8-9059-90EB4F2E633D}"/>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59C9-42F8-9059-90EB4F2E633D}"/>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59C9-42F8-9059-90EB4F2E633D}"/>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59C9-42F8-9059-90EB4F2E633D}"/>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59C9-42F8-9059-90EB4F2E633D}"/>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59C9-42F8-9059-90EB4F2E633D}"/>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59C9-42F8-9059-90EB4F2E633D}"/>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59C9-42F8-9059-90EB4F2E633D}"/>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59C9-42F8-9059-90EB4F2E633D}"/>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59C9-42F8-9059-90EB4F2E633D}"/>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59C9-42F8-9059-90EB4F2E633D}"/>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59C9-42F8-9059-90EB4F2E633D}"/>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59C9-42F8-9059-90EB4F2E633D}"/>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59C9-42F8-9059-90EB4F2E633D}"/>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59C9-42F8-9059-90EB4F2E633D}"/>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59C9-42F8-9059-90EB4F2E633D}"/>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59C9-42F8-9059-90EB4F2E633D}"/>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59C9-42F8-9059-90EB4F2E633D}"/>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59C9-42F8-9059-90EB4F2E633D}"/>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59C9-42F8-9059-90EB4F2E633D}"/>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59C9-42F8-9059-90EB4F2E633D}"/>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59C9-42F8-9059-90EB4F2E633D}"/>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59C9-42F8-9059-90EB4F2E633D}"/>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59C9-42F8-9059-90EB4F2E633D}"/>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59C9-42F8-9059-90EB4F2E633D}"/>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59C9-42F8-9059-90EB4F2E633D}"/>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59C9-42F8-9059-90EB4F2E633D}"/>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59C9-42F8-9059-90EB4F2E633D}"/>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59C9-42F8-9059-90EB4F2E633D}"/>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59C9-42F8-9059-90EB4F2E633D}"/>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59C9-42F8-9059-90EB4F2E633D}"/>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59C9-42F8-9059-90EB4F2E633D}"/>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59C9-42F8-9059-90EB4F2E633D}"/>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59C9-42F8-9059-90EB4F2E633D}"/>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59C9-42F8-9059-90EB4F2E633D}"/>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59C9-42F8-9059-90EB4F2E633D}"/>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59C9-42F8-9059-90EB4F2E633D}"/>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59C9-42F8-9059-90EB4F2E633D}"/>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59C9-42F8-9059-90EB4F2E633D}"/>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59C9-42F8-9059-90EB4F2E633D}"/>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59C9-42F8-9059-90EB4F2E633D}"/>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59C9-42F8-9059-90EB4F2E633D}"/>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59C9-42F8-9059-90EB4F2E633D}"/>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59C9-42F8-9059-90EB4F2E633D}"/>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59C9-42F8-9059-90EB4F2E633D}"/>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59C9-42F8-9059-90EB4F2E633D}"/>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59C9-42F8-9059-90EB4F2E633D}"/>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59C9-42F8-9059-90EB4F2E633D}"/>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59C9-42F8-9059-90EB4F2E633D}"/>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59C9-42F8-9059-90EB4F2E633D}"/>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59C9-42F8-9059-90EB4F2E633D}"/>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59C9-42F8-9059-90EB4F2E633D}"/>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59C9-42F8-9059-90EB4F2E633D}"/>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59C9-42F8-9059-90EB4F2E633D}"/>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59C9-42F8-9059-90EB4F2E633D}"/>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59C9-42F8-9059-90EB4F2E633D}"/>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59C9-42F8-9059-90EB4F2E633D}"/>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59C9-42F8-9059-90EB4F2E633D}"/>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59C9-42F8-9059-90EB4F2E633D}"/>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59C9-42F8-9059-90EB4F2E633D}"/>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59C9-42F8-9059-90EB4F2E633D}"/>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59C9-42F8-9059-90EB4F2E633D}"/>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59C9-42F8-9059-90EB4F2E633D}"/>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59C9-42F8-9059-90EB4F2E633D}"/>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59C9-42F8-9059-90EB4F2E633D}"/>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59C9-42F8-9059-90EB4F2E633D}"/>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59C9-42F8-9059-90EB4F2E633D}"/>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59C9-42F8-9059-90EB4F2E633D}"/>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59C9-42F8-9059-90EB4F2E633D}"/>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59C9-42F8-9059-90EB4F2E633D}"/>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59C9-42F8-9059-90EB4F2E633D}"/>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59C9-42F8-9059-90EB4F2E633D}"/>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59C9-42F8-9059-90EB4F2E633D}"/>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59C9-42F8-9059-90EB4F2E633D}"/>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59C9-42F8-9059-90EB4F2E633D}"/>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59C9-42F8-9059-90EB4F2E633D}"/>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59C9-42F8-9059-90EB4F2E633D}"/>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59C9-42F8-9059-90EB4F2E633D}"/>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59C9-42F8-9059-90EB4F2E633D}"/>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59C9-42F8-9059-90EB4F2E633D}"/>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59C9-42F8-9059-90EB4F2E633D}"/>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59C9-42F8-9059-90EB4F2E633D}"/>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59C9-42F8-9059-90EB4F2E633D}"/>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59C9-42F8-9059-90EB4F2E633D}"/>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59C9-42F8-9059-90EB4F2E633D}"/>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59C9-42F8-9059-90EB4F2E633D}"/>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59C9-42F8-9059-90EB4F2E633D}"/>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59C9-42F8-9059-90EB4F2E633D}"/>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59C9-42F8-9059-90EB4F2E633D}"/>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59C9-42F8-9059-90EB4F2E633D}"/>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59C9-42F8-9059-90EB4F2E633D}"/>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59C9-42F8-9059-90EB4F2E633D}"/>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59C9-42F8-9059-90EB4F2E633D}"/>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59C9-42F8-9059-90EB4F2E633D}"/>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59C9-42F8-9059-90EB4F2E633D}"/>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59C9-42F8-9059-90EB4F2E633D}"/>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59C9-42F8-9059-90EB4F2E633D}"/>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59C9-42F8-9059-90EB4F2E633D}"/>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59C9-42F8-9059-90EB4F2E633D}"/>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59C9-42F8-9059-90EB4F2E633D}"/>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59C9-42F8-9059-90EB4F2E633D}"/>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59C9-42F8-9059-90EB4F2E633D}"/>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59C9-42F8-9059-90EB4F2E633D}"/>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59C9-42F8-9059-90EB4F2E633D}"/>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59C9-42F8-9059-90EB4F2E633D}"/>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59C9-42F8-9059-90EB4F2E633D}"/>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59C9-42F8-9059-90EB4F2E633D}"/>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59C9-42F8-9059-90EB4F2E633D}"/>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59C9-42F8-9059-90EB4F2E633D}"/>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59C9-42F8-9059-90EB4F2E633D}"/>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59C9-42F8-9059-90EB4F2E633D}"/>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59C9-42F8-9059-90EB4F2E633D}"/>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59C9-42F8-9059-90EB4F2E633D}"/>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59C9-42F8-9059-90EB4F2E633D}"/>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59C9-42F8-9059-90EB4F2E633D}"/>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59C9-42F8-9059-90EB4F2E633D}"/>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59C9-42F8-9059-90EB4F2E633D}"/>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59C9-42F8-9059-90EB4F2E633D}"/>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59C9-42F8-9059-90EB4F2E633D}"/>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59C9-42F8-9059-90EB4F2E633D}"/>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59C9-42F8-9059-90EB4F2E633D}"/>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59C9-42F8-9059-90EB4F2E633D}"/>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59C9-42F8-9059-90EB4F2E633D}"/>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59C9-42F8-9059-90EB4F2E633D}"/>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59C9-42F8-9059-90EB4F2E633D}"/>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59C9-42F8-9059-90EB4F2E633D}"/>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59C9-42F8-9059-90EB4F2E633D}"/>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59C9-42F8-9059-90EB4F2E633D}"/>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59C9-42F8-9059-90EB4F2E633D}"/>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59C9-42F8-9059-90EB4F2E633D}"/>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59C9-42F8-9059-90EB4F2E633D}"/>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59C9-42F8-9059-90EB4F2E633D}"/>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59C9-42F8-9059-90EB4F2E633D}"/>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59C9-42F8-9059-90EB4F2E633D}"/>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59C9-42F8-9059-90EB4F2E633D}"/>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59C9-42F8-9059-90EB4F2E633D}"/>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59C9-42F8-9059-90EB4F2E633D}"/>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59C9-42F8-9059-90EB4F2E633D}"/>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59C9-42F8-9059-90EB4F2E633D}"/>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59C9-42F8-9059-90EB4F2E633D}"/>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59C9-42F8-9059-90EB4F2E633D}"/>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59C9-42F8-9059-90EB4F2E633D}"/>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59C9-42F8-9059-90EB4F2E633D}"/>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59C9-42F8-9059-90EB4F2E633D}"/>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59C9-42F8-9059-90EB4F2E633D}"/>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59C9-42F8-9059-90EB4F2E633D}"/>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59C9-42F8-9059-90EB4F2E633D}"/>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59C9-42F8-9059-90EB4F2E633D}"/>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59C9-42F8-9059-90EB4F2E633D}"/>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59C9-42F8-9059-90EB4F2E633D}"/>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59C9-42F8-9059-90EB4F2E633D}"/>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59C9-42F8-9059-90EB4F2E633D}"/>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59C9-42F8-9059-90EB4F2E633D}"/>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59C9-42F8-9059-90EB4F2E633D}"/>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59C9-42F8-9059-90EB4F2E633D}"/>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59C9-42F8-9059-90EB4F2E633D}"/>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59C9-42F8-9059-90EB4F2E633D}"/>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59C9-42F8-9059-90EB4F2E633D}"/>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59C9-42F8-9059-90EB4F2E633D}"/>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59C9-42F8-9059-90EB4F2E633D}"/>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59C9-42F8-9059-90EB4F2E633D}"/>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59C9-42F8-9059-90EB4F2E633D}"/>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59C9-42F8-9059-90EB4F2E633D}"/>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59C9-42F8-9059-90EB4F2E633D}"/>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59C9-42F8-9059-90EB4F2E633D}"/>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59C9-42F8-9059-90EB4F2E633D}"/>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59C9-42F8-9059-90EB4F2E633D}"/>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59C9-42F8-9059-90EB4F2E633D}"/>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59C9-42F8-9059-90EB4F2E633D}"/>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59C9-42F8-9059-90EB4F2E633D}"/>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59C9-42F8-9059-90EB4F2E633D}"/>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59C9-42F8-9059-90EB4F2E633D}"/>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59C9-42F8-9059-90EB4F2E633D}"/>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59C9-42F8-9059-90EB4F2E633D}"/>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59C9-42F8-9059-90EB4F2E633D}"/>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59C9-42F8-9059-90EB4F2E633D}"/>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59C9-42F8-9059-90EB4F2E633D}"/>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59C9-42F8-9059-90EB4F2E633D}"/>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59C9-42F8-9059-90EB4F2E633D}"/>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59C9-42F8-9059-90EB4F2E633D}"/>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59C9-42F8-9059-90EB4F2E633D}"/>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59C9-42F8-9059-90EB4F2E633D}"/>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59C9-42F8-9059-90EB4F2E633D}"/>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59C9-42F8-9059-90EB4F2E633D}"/>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59C9-42F8-9059-90EB4F2E633D}"/>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59C9-42F8-9059-90EB4F2E633D}"/>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59C9-42F8-9059-90EB4F2E633D}"/>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59C9-42F8-9059-90EB4F2E633D}"/>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59C9-42F8-9059-90EB4F2E633D}"/>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59C9-42F8-9059-90EB4F2E633D}"/>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59C9-42F8-9059-90EB4F2E633D}"/>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59C9-42F8-9059-90EB4F2E633D}"/>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59C9-42F8-9059-90EB4F2E633D}"/>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59C9-42F8-9059-90EB4F2E633D}"/>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59C9-42F8-9059-90EB4F2E633D}"/>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59C9-42F8-9059-90EB4F2E633D}"/>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59C9-42F8-9059-90EB4F2E633D}"/>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59C9-42F8-9059-90EB4F2E633D}"/>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59C9-42F8-9059-90EB4F2E633D}"/>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59C9-42F8-9059-90EB4F2E633D}"/>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59C9-42F8-9059-90EB4F2E633D}"/>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59C9-42F8-9059-90EB4F2E633D}"/>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59C9-42F8-9059-90EB4F2E633D}"/>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59C9-42F8-9059-90EB4F2E633D}"/>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59C9-42F8-9059-90EB4F2E633D}"/>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59C9-42F8-9059-90EB4F2E633D}"/>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59C9-42F8-9059-90EB4F2E633D}"/>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59C9-42F8-9059-90EB4F2E633D}"/>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59C9-42F8-9059-90EB4F2E633D}"/>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59C9-42F8-9059-90EB4F2E633D}"/>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59C9-42F8-9059-90EB4F2E633D}"/>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59C9-42F8-9059-90EB4F2E633D}"/>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59C9-42F8-9059-90EB4F2E633D}"/>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59C9-42F8-9059-90EB4F2E633D}"/>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59C9-42F8-9059-90EB4F2E633D}"/>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59C9-42F8-9059-90EB4F2E633D}"/>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59C9-42F8-9059-90EB4F2E633D}"/>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59C9-42F8-9059-90EB4F2E633D}"/>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59C9-42F8-9059-90EB4F2E633D}"/>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59C9-42F8-9059-90EB4F2E633D}"/>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59C9-42F8-9059-90EB4F2E633D}"/>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59C9-42F8-9059-90EB4F2E633D}"/>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59C9-42F8-9059-90EB4F2E633D}"/>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59C9-42F8-9059-90EB4F2E633D}"/>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59C9-42F8-9059-90EB4F2E633D}"/>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59C9-42F8-9059-90EB4F2E633D}"/>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59C9-42F8-9059-90EB4F2E633D}"/>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59C9-42F8-9059-90EB4F2E633D}"/>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59C9-42F8-9059-90EB4F2E633D}"/>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59C9-42F8-9059-90EB4F2E633D}"/>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59C9-42F8-9059-90EB4F2E633D}"/>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59C9-42F8-9059-90EB4F2E633D}"/>
              </c:ext>
            </c:extLst>
          </c:dPt>
          <c:cat>
            <c:multiLvlStrRef>
              <c:f>pt.lvl3_generic_1!$B$8:$C$56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pt.lvl3_generic_1!$F$8:$F$56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c:ext xmlns:c16="http://schemas.microsoft.com/office/drawing/2014/chart" uri="{C3380CC4-5D6E-409C-BE32-E72D297353CC}">
              <c16:uniqueId val="{00000046-5750-4A32-8FA3-70A75E2E8DB9}"/>
            </c:ext>
          </c:extLst>
        </c:ser>
        <c:dLbls>
          <c:showLegendKey val="0"/>
          <c:showVal val="0"/>
          <c:showCatName val="0"/>
          <c:showSerName val="0"/>
          <c:showPercent val="0"/>
          <c:showBubbleSize val="0"/>
        </c:dLbls>
        <c:marker val="1"/>
        <c:smooth val="0"/>
        <c:axId val="446333296"/>
        <c:axId val="446333688"/>
      </c:lineChart>
      <c:catAx>
        <c:axId val="446333296"/>
        <c:scaling>
          <c:orientation val="minMax"/>
        </c:scaling>
        <c:delete val="0"/>
        <c:axPos val="b"/>
        <c:numFmt formatCode="m/d/yy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688"/>
        <c:crosses val="autoZero"/>
        <c:auto val="1"/>
        <c:lblAlgn val="ctr"/>
        <c:lblOffset val="0"/>
        <c:noMultiLvlLbl val="0"/>
      </c:catAx>
      <c:valAx>
        <c:axId val="44633368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29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1.3_3_2.xlsm]pt.lvl3_generic_7!pt.lvl3_generic_7</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chemeClr val="accent1"/>
          </a:solidFill>
          <a:ln>
            <a:solidFill>
              <a:srgbClr val="5B9BD5"/>
            </a:solidFill>
          </a:ln>
          <a:effectLst/>
        </c:spPr>
      </c:pivotFmt>
      <c:pivotFmt>
        <c:idx val="5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
        <c:spPr>
          <a:solidFill>
            <a:schemeClr val="accent1"/>
          </a:solidFill>
          <a:ln>
            <a:solidFill>
              <a:srgbClr val="5B9BD5"/>
            </a:solidFill>
          </a:ln>
          <a:effectLst/>
        </c:spPr>
      </c:pivotFmt>
      <c:pivotFmt>
        <c:idx val="54"/>
        <c:spPr>
          <a:solidFill>
            <a:schemeClr val="accent1"/>
          </a:solidFill>
          <a:ln>
            <a:solidFill>
              <a:srgbClr val="5B9BD5"/>
            </a:solidFill>
          </a:ln>
          <a:effectLst/>
        </c:spPr>
      </c:pivotFmt>
      <c:pivotFmt>
        <c:idx val="55"/>
        <c:spPr>
          <a:solidFill>
            <a:schemeClr val="accent1"/>
          </a:solidFill>
          <a:ln>
            <a:solidFill>
              <a:srgbClr val="5B9BD5"/>
            </a:solidFill>
          </a:ln>
          <a:effectLst/>
        </c:spPr>
      </c:pivotFmt>
      <c:pivotFmt>
        <c:idx val="56"/>
        <c:spPr>
          <a:solidFill>
            <a:schemeClr val="accent1"/>
          </a:solidFill>
          <a:ln>
            <a:solidFill>
              <a:srgbClr val="5B9BD5"/>
            </a:solidFill>
          </a:ln>
          <a:effectLst/>
        </c:spPr>
      </c:pivotFmt>
      <c:pivotFmt>
        <c:idx val="57"/>
        <c:spPr>
          <a:solidFill>
            <a:schemeClr val="accent1"/>
          </a:solidFill>
          <a:ln>
            <a:solidFill>
              <a:srgbClr val="5B9BD5"/>
            </a:solidFill>
          </a:ln>
          <a:effectLst/>
        </c:spPr>
      </c:pivotFmt>
      <c:pivotFmt>
        <c:idx val="58"/>
        <c:spPr>
          <a:solidFill>
            <a:schemeClr val="accent1"/>
          </a:solidFill>
          <a:ln>
            <a:solidFill>
              <a:srgbClr val="5B9BD5"/>
            </a:solidFill>
          </a:ln>
          <a:effectLst/>
        </c:spPr>
      </c:pivotFmt>
      <c:pivotFmt>
        <c:idx val="59"/>
        <c:spPr>
          <a:solidFill>
            <a:schemeClr val="accent1"/>
          </a:solidFill>
          <a:ln>
            <a:solidFill>
              <a:srgbClr val="5B9BD5"/>
            </a:solidFill>
          </a:ln>
          <a:effectLst/>
        </c:spPr>
      </c:pivotFmt>
      <c:pivotFmt>
        <c:idx val="60"/>
        <c:spPr>
          <a:solidFill>
            <a:schemeClr val="accent1"/>
          </a:solidFill>
          <a:ln>
            <a:solidFill>
              <a:srgbClr val="5B9BD5"/>
            </a:solidFill>
          </a:ln>
          <a:effectLst/>
        </c:spPr>
      </c:pivotFmt>
      <c:pivotFmt>
        <c:idx val="61"/>
        <c:spPr>
          <a:solidFill>
            <a:schemeClr val="accent1"/>
          </a:solidFill>
          <a:ln>
            <a:solidFill>
              <a:srgbClr val="5B9BD5"/>
            </a:solidFill>
          </a:ln>
          <a:effectLst/>
        </c:spPr>
      </c:pivotFmt>
      <c:pivotFmt>
        <c:idx val="62"/>
        <c:spPr>
          <a:solidFill>
            <a:schemeClr val="accent1"/>
          </a:solidFill>
          <a:ln>
            <a:solidFill>
              <a:srgbClr val="5B9BD5"/>
            </a:solidFill>
          </a:ln>
          <a:effectLst/>
        </c:spPr>
      </c:pivotFmt>
      <c:pivotFmt>
        <c:idx val="63"/>
        <c:spPr>
          <a:solidFill>
            <a:schemeClr val="accent1"/>
          </a:solidFill>
          <a:ln>
            <a:solidFill>
              <a:srgbClr val="5B9BD5"/>
            </a:solidFill>
          </a:ln>
          <a:effectLst/>
        </c:spPr>
      </c:pivotFmt>
      <c:pivotFmt>
        <c:idx val="64"/>
        <c:spPr>
          <a:solidFill>
            <a:schemeClr val="accent1"/>
          </a:solidFill>
          <a:ln>
            <a:solidFill>
              <a:srgbClr val="5B9BD5"/>
            </a:solidFill>
          </a:ln>
          <a:effectLst/>
        </c:spPr>
      </c:pivotFmt>
      <c:pivotFmt>
        <c:idx val="65"/>
        <c:spPr>
          <a:solidFill>
            <a:schemeClr val="accent1"/>
          </a:solidFill>
          <a:ln>
            <a:solidFill>
              <a:srgbClr val="5B9BD5"/>
            </a:solidFill>
          </a:ln>
          <a:effectLst/>
        </c:spPr>
      </c:pivotFmt>
      <c:pivotFmt>
        <c:idx val="66"/>
        <c:spPr>
          <a:solidFill>
            <a:schemeClr val="accent1"/>
          </a:solidFill>
          <a:ln>
            <a:solidFill>
              <a:srgbClr val="5B9BD5"/>
            </a:solidFill>
          </a:ln>
          <a:effectLst/>
        </c:spPr>
      </c:pivotFmt>
      <c:pivotFmt>
        <c:idx val="67"/>
        <c:spPr>
          <a:solidFill>
            <a:schemeClr val="accent1"/>
          </a:solidFill>
          <a:ln>
            <a:solidFill>
              <a:srgbClr val="5B9BD5"/>
            </a:solidFill>
          </a:ln>
          <a:effectLst/>
        </c:spPr>
      </c:pivotFmt>
      <c:pivotFmt>
        <c:idx val="68"/>
        <c:spPr>
          <a:solidFill>
            <a:schemeClr val="accent1"/>
          </a:solidFill>
          <a:ln>
            <a:solidFill>
              <a:srgbClr val="5B9BD5"/>
            </a:solidFill>
          </a:ln>
          <a:effectLst/>
        </c:spPr>
      </c:pivotFmt>
      <c:pivotFmt>
        <c:idx val="69"/>
        <c:spPr>
          <a:solidFill>
            <a:schemeClr val="accent1"/>
          </a:solidFill>
          <a:ln>
            <a:solidFill>
              <a:srgbClr val="5B9BD5"/>
            </a:solidFill>
          </a:ln>
          <a:effectLst/>
        </c:spPr>
      </c:pivotFmt>
      <c:pivotFmt>
        <c:idx val="70"/>
        <c:spPr>
          <a:solidFill>
            <a:schemeClr val="accent1"/>
          </a:solidFill>
          <a:ln>
            <a:solidFill>
              <a:srgbClr val="5B9BD5"/>
            </a:solidFill>
          </a:ln>
          <a:effectLst/>
        </c:spPr>
      </c:pivotFmt>
      <c:pivotFmt>
        <c:idx val="71"/>
        <c:spPr>
          <a:solidFill>
            <a:schemeClr val="accent1"/>
          </a:solidFill>
          <a:ln>
            <a:solidFill>
              <a:srgbClr val="5B9BD5"/>
            </a:solidFill>
          </a:ln>
          <a:effectLst/>
        </c:spPr>
      </c:pivotFmt>
      <c:pivotFmt>
        <c:idx val="72"/>
        <c:spPr>
          <a:solidFill>
            <a:schemeClr val="accent1"/>
          </a:solidFill>
          <a:ln>
            <a:solidFill>
              <a:srgbClr val="5B9BD5"/>
            </a:solidFill>
          </a:ln>
          <a:effectLst/>
        </c:spPr>
      </c:pivotFmt>
      <c:pivotFmt>
        <c:idx val="73"/>
        <c:spPr>
          <a:solidFill>
            <a:schemeClr val="accent1"/>
          </a:solidFill>
          <a:ln>
            <a:solidFill>
              <a:srgbClr val="5B9BD5"/>
            </a:solidFill>
          </a:ln>
          <a:effectLst/>
        </c:spPr>
      </c:pivotFmt>
      <c:pivotFmt>
        <c:idx val="74"/>
        <c:spPr>
          <a:solidFill>
            <a:schemeClr val="accent1"/>
          </a:solidFill>
          <a:ln>
            <a:solidFill>
              <a:srgbClr val="5B9BD5"/>
            </a:solidFill>
          </a:ln>
          <a:effectLst/>
        </c:spPr>
      </c:pivotFmt>
      <c:pivotFmt>
        <c:idx val="75"/>
        <c:spPr>
          <a:solidFill>
            <a:schemeClr val="accent1"/>
          </a:solidFill>
          <a:ln>
            <a:solidFill>
              <a:srgbClr val="5B9BD5"/>
            </a:solidFill>
          </a:ln>
          <a:effectLst/>
        </c:spPr>
      </c:pivotFmt>
      <c:pivotFmt>
        <c:idx val="76"/>
        <c:spPr>
          <a:solidFill>
            <a:schemeClr val="accent1"/>
          </a:solidFill>
          <a:ln>
            <a:solidFill>
              <a:srgbClr val="5B9BD5"/>
            </a:solid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pivotFmt>
      <c:pivotFmt>
        <c:idx val="20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marker>
          <c:symbol val="circle"/>
          <c:size val="5"/>
          <c:spPr>
            <a:solidFill>
              <a:schemeClr val="accent1"/>
            </a:solidFill>
            <a:ln w="9525">
              <a:solidFill>
                <a:srgbClr val="FFC000"/>
              </a:solidFill>
            </a:ln>
            <a:effectLst/>
          </c:spPr>
        </c:marker>
      </c:pivotFmt>
      <c:pivotFmt>
        <c:idx val="257"/>
        <c:marker>
          <c:symbol val="circle"/>
          <c:size val="5"/>
          <c:spPr>
            <a:solidFill>
              <a:schemeClr val="accent1"/>
            </a:solidFill>
            <a:ln w="9525">
              <a:solidFill>
                <a:srgbClr val="FFC000"/>
              </a:solidFill>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462666534517902E-2"/>
          <c:y val="0.21415934635007097"/>
          <c:w val="0.93421308220681309"/>
          <c:h val="0.67713759637884086"/>
        </c:manualLayout>
      </c:layout>
      <c:barChart>
        <c:barDir val="col"/>
        <c:grouping val="clustered"/>
        <c:varyColors val="0"/>
        <c:ser>
          <c:idx val="0"/>
          <c:order val="0"/>
          <c:tx>
            <c:strRef>
              <c:f>pt.lvl3_generic_7!$D$7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5A1-4B02-B367-C2BE1BF5FFE7}"/>
              </c:ext>
            </c:extLst>
          </c:dPt>
          <c:dPt>
            <c:idx val="1"/>
            <c:invertIfNegative val="0"/>
            <c:bubble3D val="0"/>
            <c:spPr>
              <a:solidFill>
                <a:srgbClr val="9CC746"/>
              </a:solidFill>
              <a:ln>
                <a:noFill/>
              </a:ln>
              <a:effectLst/>
            </c:spPr>
            <c:extLst>
              <c:ext xmlns:c16="http://schemas.microsoft.com/office/drawing/2014/chart" uri="{C3380CC4-5D6E-409C-BE32-E72D297353CC}">
                <c16:uniqueId val="{00000001-C5A1-4B02-B367-C2BE1BF5FFE7}"/>
              </c:ext>
            </c:extLst>
          </c:dPt>
          <c:dPt>
            <c:idx val="2"/>
            <c:invertIfNegative val="0"/>
            <c:bubble3D val="0"/>
            <c:spPr>
              <a:solidFill>
                <a:srgbClr val="9CC746"/>
              </a:solidFill>
              <a:ln>
                <a:noFill/>
              </a:ln>
              <a:effectLst/>
            </c:spPr>
            <c:extLst>
              <c:ext xmlns:c16="http://schemas.microsoft.com/office/drawing/2014/chart" uri="{C3380CC4-5D6E-409C-BE32-E72D297353CC}">
                <c16:uniqueId val="{00000002-C5A1-4B02-B367-C2BE1BF5FFE7}"/>
              </c:ext>
            </c:extLst>
          </c:dPt>
          <c:dPt>
            <c:idx val="3"/>
            <c:invertIfNegative val="0"/>
            <c:bubble3D val="0"/>
            <c:spPr>
              <a:solidFill>
                <a:srgbClr val="9CC746"/>
              </a:solidFill>
              <a:ln>
                <a:noFill/>
              </a:ln>
              <a:effectLst/>
            </c:spPr>
            <c:extLst>
              <c:ext xmlns:c16="http://schemas.microsoft.com/office/drawing/2014/chart" uri="{C3380CC4-5D6E-409C-BE32-E72D297353CC}">
                <c16:uniqueId val="{00000003-C5A1-4B02-B367-C2BE1BF5FFE7}"/>
              </c:ext>
            </c:extLst>
          </c:dPt>
          <c:dPt>
            <c:idx val="4"/>
            <c:invertIfNegative val="0"/>
            <c:bubble3D val="0"/>
            <c:spPr>
              <a:solidFill>
                <a:srgbClr val="9CC746"/>
              </a:solidFill>
              <a:ln>
                <a:noFill/>
              </a:ln>
              <a:effectLst/>
            </c:spPr>
            <c:extLst>
              <c:ext xmlns:c16="http://schemas.microsoft.com/office/drawing/2014/chart" uri="{C3380CC4-5D6E-409C-BE32-E72D297353CC}">
                <c16:uniqueId val="{00000004-C5A1-4B02-B367-C2BE1BF5FFE7}"/>
              </c:ext>
            </c:extLst>
          </c:dPt>
          <c:dPt>
            <c:idx val="5"/>
            <c:invertIfNegative val="0"/>
            <c:bubble3D val="0"/>
            <c:spPr>
              <a:solidFill>
                <a:srgbClr val="9CC746"/>
              </a:solidFill>
              <a:ln>
                <a:noFill/>
              </a:ln>
              <a:effectLst/>
            </c:spPr>
            <c:extLst>
              <c:ext xmlns:c16="http://schemas.microsoft.com/office/drawing/2014/chart" uri="{C3380CC4-5D6E-409C-BE32-E72D297353CC}">
                <c16:uniqueId val="{00000005-C5A1-4B02-B367-C2BE1BF5FFE7}"/>
              </c:ext>
            </c:extLst>
          </c:dPt>
          <c:dPt>
            <c:idx val="6"/>
            <c:invertIfNegative val="0"/>
            <c:bubble3D val="0"/>
            <c:spPr>
              <a:solidFill>
                <a:srgbClr val="9CC746"/>
              </a:solidFill>
              <a:ln>
                <a:noFill/>
              </a:ln>
              <a:effectLst/>
            </c:spPr>
            <c:extLst>
              <c:ext xmlns:c16="http://schemas.microsoft.com/office/drawing/2014/chart" uri="{C3380CC4-5D6E-409C-BE32-E72D297353CC}">
                <c16:uniqueId val="{00000006-C5A1-4B02-B367-C2BE1BF5FFE7}"/>
              </c:ext>
            </c:extLst>
          </c:dPt>
          <c:dPt>
            <c:idx val="7"/>
            <c:invertIfNegative val="0"/>
            <c:bubble3D val="0"/>
            <c:spPr>
              <a:solidFill>
                <a:srgbClr val="9CC746"/>
              </a:solidFill>
              <a:ln>
                <a:noFill/>
              </a:ln>
              <a:effectLst/>
            </c:spPr>
            <c:extLst>
              <c:ext xmlns:c16="http://schemas.microsoft.com/office/drawing/2014/chart" uri="{C3380CC4-5D6E-409C-BE32-E72D297353CC}">
                <c16:uniqueId val="{00000007-C5A1-4B02-B367-C2BE1BF5FFE7}"/>
              </c:ext>
            </c:extLst>
          </c:dPt>
          <c:dPt>
            <c:idx val="8"/>
            <c:invertIfNegative val="0"/>
            <c:bubble3D val="0"/>
            <c:spPr>
              <a:solidFill>
                <a:srgbClr val="9B2D2A"/>
              </a:solidFill>
              <a:ln>
                <a:noFill/>
              </a:ln>
              <a:effectLst/>
            </c:spPr>
            <c:extLst>
              <c:ext xmlns:c16="http://schemas.microsoft.com/office/drawing/2014/chart" uri="{C3380CC4-5D6E-409C-BE32-E72D297353CC}">
                <c16:uniqueId val="{00000008-C5A1-4B02-B367-C2BE1BF5FFE7}"/>
              </c:ext>
            </c:extLst>
          </c:dPt>
          <c:dPt>
            <c:idx val="9"/>
            <c:invertIfNegative val="0"/>
            <c:bubble3D val="0"/>
            <c:spPr>
              <a:solidFill>
                <a:srgbClr val="9B2D2A"/>
              </a:solidFill>
              <a:ln>
                <a:noFill/>
              </a:ln>
              <a:effectLst/>
            </c:spPr>
            <c:extLst>
              <c:ext xmlns:c16="http://schemas.microsoft.com/office/drawing/2014/chart" uri="{C3380CC4-5D6E-409C-BE32-E72D297353CC}">
                <c16:uniqueId val="{00000009-C5A1-4B02-B367-C2BE1BF5FFE7}"/>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5A1-4B02-B367-C2BE1BF5FFE7}"/>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5A1-4B02-B367-C2BE1BF5FFE7}"/>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5A1-4B02-B367-C2BE1BF5FFE7}"/>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5A1-4B02-B367-C2BE1BF5FFE7}"/>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5A1-4B02-B367-C2BE1BF5FFE7}"/>
              </c:ext>
            </c:extLst>
          </c:dPt>
          <c:dPt>
            <c:idx val="15"/>
            <c:invertIfNegative val="0"/>
            <c:bubble3D val="0"/>
            <c:spPr>
              <a:solidFill>
                <a:srgbClr val="9B2D2A"/>
              </a:solidFill>
              <a:ln>
                <a:noFill/>
              </a:ln>
              <a:effectLst/>
            </c:spPr>
            <c:extLst>
              <c:ext xmlns:c16="http://schemas.microsoft.com/office/drawing/2014/chart" uri="{C3380CC4-5D6E-409C-BE32-E72D297353CC}">
                <c16:uniqueId val="{0000000F-C5A1-4B02-B367-C2BE1BF5FFE7}"/>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5A1-4B02-B367-C2BE1BF5FFE7}"/>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5A1-4B02-B367-C2BE1BF5FFE7}"/>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5A1-4B02-B367-C2BE1BF5FFE7}"/>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5A1-4B02-B367-C2BE1BF5FFE7}"/>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5A1-4B02-B367-C2BE1BF5FFE7}"/>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5A1-4B02-B367-C2BE1BF5FFE7}"/>
              </c:ext>
            </c:extLst>
          </c:dPt>
          <c:dPt>
            <c:idx val="22"/>
            <c:invertIfNegative val="0"/>
            <c:bubble3D val="0"/>
            <c:spPr>
              <a:solidFill>
                <a:srgbClr val="9B2D2A"/>
              </a:solidFill>
              <a:ln>
                <a:noFill/>
              </a:ln>
              <a:effectLst/>
            </c:spPr>
            <c:extLst>
              <c:ext xmlns:c16="http://schemas.microsoft.com/office/drawing/2014/chart" uri="{C3380CC4-5D6E-409C-BE32-E72D297353CC}">
                <c16:uniqueId val="{00000044-B3FA-4025-AD36-1FDB3DFC80B9}"/>
              </c:ext>
            </c:extLst>
          </c:dPt>
          <c:dPt>
            <c:idx val="23"/>
            <c:invertIfNegative val="0"/>
            <c:bubble3D val="0"/>
            <c:spPr>
              <a:solidFill>
                <a:srgbClr val="9B2D2A"/>
              </a:solidFill>
              <a:ln>
                <a:noFill/>
              </a:ln>
              <a:effectLst/>
            </c:spPr>
            <c:extLst>
              <c:ext xmlns:c16="http://schemas.microsoft.com/office/drawing/2014/chart" uri="{C3380CC4-5D6E-409C-BE32-E72D297353CC}">
                <c16:uniqueId val="{00000045-B3FA-4025-AD36-1FDB3DFC80B9}"/>
              </c:ext>
            </c:extLst>
          </c:dPt>
          <c:dPt>
            <c:idx val="24"/>
            <c:invertIfNegative val="0"/>
            <c:bubble3D val="0"/>
            <c:spPr>
              <a:solidFill>
                <a:srgbClr val="9CC746"/>
              </a:solidFill>
              <a:ln>
                <a:noFill/>
              </a:ln>
              <a:effectLst/>
            </c:spPr>
            <c:extLst>
              <c:ext xmlns:c16="http://schemas.microsoft.com/office/drawing/2014/chart" uri="{C3380CC4-5D6E-409C-BE32-E72D297353CC}">
                <c16:uniqueId val="{00000046-B3FA-4025-AD36-1FDB3DFC80B9}"/>
              </c:ext>
            </c:extLst>
          </c:dPt>
          <c:dPt>
            <c:idx val="25"/>
            <c:invertIfNegative val="0"/>
            <c:bubble3D val="0"/>
            <c:spPr>
              <a:solidFill>
                <a:srgbClr val="9CC746"/>
              </a:solidFill>
              <a:ln>
                <a:noFill/>
              </a:ln>
              <a:effectLst/>
            </c:spPr>
            <c:extLst>
              <c:ext xmlns:c16="http://schemas.microsoft.com/office/drawing/2014/chart" uri="{C3380CC4-5D6E-409C-BE32-E72D297353CC}">
                <c16:uniqueId val="{00000047-B3FA-4025-AD36-1FDB3DFC80B9}"/>
              </c:ext>
            </c:extLst>
          </c:dPt>
          <c:dPt>
            <c:idx val="26"/>
            <c:invertIfNegative val="0"/>
            <c:bubble3D val="0"/>
            <c:spPr>
              <a:solidFill>
                <a:srgbClr val="9CC746"/>
              </a:solidFill>
              <a:ln>
                <a:noFill/>
              </a:ln>
              <a:effectLst/>
            </c:spPr>
            <c:extLst>
              <c:ext xmlns:c16="http://schemas.microsoft.com/office/drawing/2014/chart" uri="{C3380CC4-5D6E-409C-BE32-E72D297353CC}">
                <c16:uniqueId val="{00000048-B3FA-4025-AD36-1FDB3DFC80B9}"/>
              </c:ext>
            </c:extLst>
          </c:dPt>
          <c:dPt>
            <c:idx val="27"/>
            <c:invertIfNegative val="0"/>
            <c:bubble3D val="0"/>
            <c:spPr>
              <a:solidFill>
                <a:srgbClr val="9CC746"/>
              </a:solidFill>
              <a:ln>
                <a:noFill/>
              </a:ln>
              <a:effectLst/>
            </c:spPr>
            <c:extLst>
              <c:ext xmlns:c16="http://schemas.microsoft.com/office/drawing/2014/chart" uri="{C3380CC4-5D6E-409C-BE32-E72D297353CC}">
                <c16:uniqueId val="{00000049-B3FA-4025-AD36-1FDB3DFC80B9}"/>
              </c:ext>
            </c:extLst>
          </c:dPt>
          <c:dPt>
            <c:idx val="28"/>
            <c:invertIfNegative val="0"/>
            <c:bubble3D val="0"/>
            <c:spPr>
              <a:solidFill>
                <a:srgbClr val="9CC746"/>
              </a:solidFill>
              <a:ln>
                <a:noFill/>
              </a:ln>
              <a:effectLst/>
            </c:spPr>
            <c:extLst>
              <c:ext xmlns:c16="http://schemas.microsoft.com/office/drawing/2014/chart" uri="{C3380CC4-5D6E-409C-BE32-E72D297353CC}">
                <c16:uniqueId val="{0000004A-B3FA-4025-AD36-1FDB3DFC80B9}"/>
              </c:ext>
            </c:extLst>
          </c:dPt>
          <c:dPt>
            <c:idx val="29"/>
            <c:invertIfNegative val="0"/>
            <c:bubble3D val="0"/>
            <c:spPr>
              <a:solidFill>
                <a:srgbClr val="9B2D2A"/>
              </a:solidFill>
              <a:ln>
                <a:noFill/>
              </a:ln>
              <a:effectLst/>
            </c:spPr>
            <c:extLst>
              <c:ext xmlns:c16="http://schemas.microsoft.com/office/drawing/2014/chart" uri="{C3380CC4-5D6E-409C-BE32-E72D297353CC}">
                <c16:uniqueId val="{0000004B-B3FA-4025-AD36-1FDB3DFC80B9}"/>
              </c:ext>
            </c:extLst>
          </c:dPt>
          <c:dPt>
            <c:idx val="30"/>
            <c:invertIfNegative val="0"/>
            <c:bubble3D val="0"/>
            <c:spPr>
              <a:solidFill>
                <a:srgbClr val="9CC746"/>
              </a:solidFill>
              <a:ln>
                <a:noFill/>
              </a:ln>
              <a:effectLst/>
            </c:spPr>
            <c:extLst>
              <c:ext xmlns:c16="http://schemas.microsoft.com/office/drawing/2014/chart" uri="{C3380CC4-5D6E-409C-BE32-E72D297353CC}">
                <c16:uniqueId val="{0000004C-B3FA-4025-AD36-1FDB3DFC80B9}"/>
              </c:ext>
            </c:extLst>
          </c:dPt>
          <c:dPt>
            <c:idx val="31"/>
            <c:invertIfNegative val="0"/>
            <c:bubble3D val="0"/>
            <c:spPr>
              <a:solidFill>
                <a:srgbClr val="9CC746"/>
              </a:solidFill>
              <a:ln>
                <a:noFill/>
              </a:ln>
              <a:effectLst/>
            </c:spPr>
            <c:extLst>
              <c:ext xmlns:c16="http://schemas.microsoft.com/office/drawing/2014/chart" uri="{C3380CC4-5D6E-409C-BE32-E72D297353CC}">
                <c16:uniqueId val="{0000004D-B3FA-4025-AD36-1FDB3DFC80B9}"/>
              </c:ext>
            </c:extLst>
          </c:dPt>
          <c:dPt>
            <c:idx val="32"/>
            <c:invertIfNegative val="0"/>
            <c:bubble3D val="0"/>
            <c:spPr>
              <a:solidFill>
                <a:srgbClr val="9CC746"/>
              </a:solidFill>
              <a:ln>
                <a:noFill/>
              </a:ln>
              <a:effectLst/>
            </c:spPr>
            <c:extLst>
              <c:ext xmlns:c16="http://schemas.microsoft.com/office/drawing/2014/chart" uri="{C3380CC4-5D6E-409C-BE32-E72D297353CC}">
                <c16:uniqueId val="{0000004E-B3FA-4025-AD36-1FDB3DFC80B9}"/>
              </c:ext>
            </c:extLst>
          </c:dPt>
          <c:dPt>
            <c:idx val="33"/>
            <c:invertIfNegative val="0"/>
            <c:bubble3D val="0"/>
            <c:spPr>
              <a:solidFill>
                <a:srgbClr val="9B2D2A"/>
              </a:solidFill>
              <a:ln>
                <a:noFill/>
              </a:ln>
              <a:effectLst/>
            </c:spPr>
            <c:extLst>
              <c:ext xmlns:c16="http://schemas.microsoft.com/office/drawing/2014/chart" uri="{C3380CC4-5D6E-409C-BE32-E72D297353CC}">
                <c16:uniqueId val="{0000004F-B3FA-4025-AD36-1FDB3DFC80B9}"/>
              </c:ext>
            </c:extLst>
          </c:dPt>
          <c:dPt>
            <c:idx val="34"/>
            <c:invertIfNegative val="0"/>
            <c:bubble3D val="0"/>
            <c:spPr>
              <a:solidFill>
                <a:srgbClr val="9CC746"/>
              </a:solidFill>
              <a:ln>
                <a:noFill/>
              </a:ln>
              <a:effectLst/>
            </c:spPr>
            <c:extLst>
              <c:ext xmlns:c16="http://schemas.microsoft.com/office/drawing/2014/chart" uri="{C3380CC4-5D6E-409C-BE32-E72D297353CC}">
                <c16:uniqueId val="{00000050-B3FA-4025-AD36-1FDB3DFC80B9}"/>
              </c:ext>
            </c:extLst>
          </c:dPt>
          <c:dPt>
            <c:idx val="35"/>
            <c:invertIfNegative val="0"/>
            <c:bubble3D val="0"/>
            <c:spPr>
              <a:solidFill>
                <a:srgbClr val="9CC746"/>
              </a:solidFill>
              <a:ln>
                <a:noFill/>
              </a:ln>
              <a:effectLst/>
            </c:spPr>
            <c:extLst>
              <c:ext xmlns:c16="http://schemas.microsoft.com/office/drawing/2014/chart" uri="{C3380CC4-5D6E-409C-BE32-E72D297353CC}">
                <c16:uniqueId val="{00000051-B3FA-4025-AD36-1FDB3DFC80B9}"/>
              </c:ext>
            </c:extLst>
          </c:dPt>
          <c:dPt>
            <c:idx val="36"/>
            <c:invertIfNegative val="0"/>
            <c:bubble3D val="0"/>
            <c:spPr>
              <a:solidFill>
                <a:srgbClr val="9B2D2A"/>
              </a:solidFill>
              <a:ln>
                <a:noFill/>
              </a:ln>
              <a:effectLst/>
            </c:spPr>
            <c:extLst>
              <c:ext xmlns:c16="http://schemas.microsoft.com/office/drawing/2014/chart" uri="{C3380CC4-5D6E-409C-BE32-E72D297353CC}">
                <c16:uniqueId val="{00000052-B3FA-4025-AD36-1FDB3DFC80B9}"/>
              </c:ext>
            </c:extLst>
          </c:dPt>
          <c:dPt>
            <c:idx val="37"/>
            <c:invertIfNegative val="0"/>
            <c:bubble3D val="0"/>
            <c:spPr>
              <a:solidFill>
                <a:srgbClr val="9B2D2A"/>
              </a:solidFill>
              <a:ln>
                <a:noFill/>
              </a:ln>
              <a:effectLst/>
            </c:spPr>
            <c:extLst>
              <c:ext xmlns:c16="http://schemas.microsoft.com/office/drawing/2014/chart" uri="{C3380CC4-5D6E-409C-BE32-E72D297353CC}">
                <c16:uniqueId val="{00000053-B3FA-4025-AD36-1FDB3DFC80B9}"/>
              </c:ext>
            </c:extLst>
          </c:dPt>
          <c:dPt>
            <c:idx val="38"/>
            <c:invertIfNegative val="0"/>
            <c:bubble3D val="0"/>
            <c:spPr>
              <a:solidFill>
                <a:srgbClr val="9B2D2A"/>
              </a:solidFill>
              <a:ln>
                <a:noFill/>
              </a:ln>
              <a:effectLst/>
            </c:spPr>
            <c:extLst>
              <c:ext xmlns:c16="http://schemas.microsoft.com/office/drawing/2014/chart" uri="{C3380CC4-5D6E-409C-BE32-E72D297353CC}">
                <c16:uniqueId val="{00000054-B3FA-4025-AD36-1FDB3DFC80B9}"/>
              </c:ext>
            </c:extLst>
          </c:dPt>
          <c:dPt>
            <c:idx val="39"/>
            <c:invertIfNegative val="0"/>
            <c:bubble3D val="0"/>
            <c:spPr>
              <a:solidFill>
                <a:srgbClr val="9B2D2A"/>
              </a:solidFill>
              <a:ln>
                <a:noFill/>
              </a:ln>
              <a:effectLst/>
            </c:spPr>
            <c:extLst>
              <c:ext xmlns:c16="http://schemas.microsoft.com/office/drawing/2014/chart" uri="{C3380CC4-5D6E-409C-BE32-E72D297353CC}">
                <c16:uniqueId val="{00000055-B3FA-4025-AD36-1FDB3DFC80B9}"/>
              </c:ext>
            </c:extLst>
          </c:dPt>
          <c:dPt>
            <c:idx val="40"/>
            <c:invertIfNegative val="0"/>
            <c:bubble3D val="0"/>
            <c:spPr>
              <a:solidFill>
                <a:srgbClr val="9CC746"/>
              </a:solidFill>
              <a:ln>
                <a:noFill/>
              </a:ln>
              <a:effectLst/>
            </c:spPr>
            <c:extLst>
              <c:ext xmlns:c16="http://schemas.microsoft.com/office/drawing/2014/chart" uri="{C3380CC4-5D6E-409C-BE32-E72D297353CC}">
                <c16:uniqueId val="{00000056-B3FA-4025-AD36-1FDB3DFC80B9}"/>
              </c:ext>
            </c:extLst>
          </c:dPt>
          <c:dPt>
            <c:idx val="41"/>
            <c:invertIfNegative val="0"/>
            <c:bubble3D val="0"/>
            <c:spPr>
              <a:solidFill>
                <a:srgbClr val="9CC746"/>
              </a:solidFill>
              <a:ln>
                <a:noFill/>
              </a:ln>
              <a:effectLst/>
            </c:spPr>
            <c:extLst>
              <c:ext xmlns:c16="http://schemas.microsoft.com/office/drawing/2014/chart" uri="{C3380CC4-5D6E-409C-BE32-E72D297353CC}">
                <c16:uniqueId val="{00000057-B3FA-4025-AD36-1FDB3DFC80B9}"/>
              </c:ext>
            </c:extLst>
          </c:dPt>
          <c:dPt>
            <c:idx val="42"/>
            <c:invertIfNegative val="0"/>
            <c:bubble3D val="0"/>
            <c:spPr>
              <a:solidFill>
                <a:srgbClr val="9CC746"/>
              </a:solidFill>
              <a:ln>
                <a:noFill/>
              </a:ln>
              <a:effectLst/>
            </c:spPr>
            <c:extLst>
              <c:ext xmlns:c16="http://schemas.microsoft.com/office/drawing/2014/chart" uri="{C3380CC4-5D6E-409C-BE32-E72D297353CC}">
                <c16:uniqueId val="{00000058-B3FA-4025-AD36-1FDB3DFC80B9}"/>
              </c:ext>
            </c:extLst>
          </c:dPt>
          <c:dPt>
            <c:idx val="43"/>
            <c:invertIfNegative val="0"/>
            <c:bubble3D val="0"/>
            <c:spPr>
              <a:solidFill>
                <a:srgbClr val="9CC746"/>
              </a:solidFill>
              <a:ln>
                <a:noFill/>
              </a:ln>
              <a:effectLst/>
            </c:spPr>
            <c:extLst>
              <c:ext xmlns:c16="http://schemas.microsoft.com/office/drawing/2014/chart" uri="{C3380CC4-5D6E-409C-BE32-E72D297353CC}">
                <c16:uniqueId val="{00000059-B3FA-4025-AD36-1FDB3DFC80B9}"/>
              </c:ext>
            </c:extLst>
          </c:dPt>
          <c:dPt>
            <c:idx val="44"/>
            <c:invertIfNegative val="0"/>
            <c:bubble3D val="0"/>
            <c:spPr>
              <a:solidFill>
                <a:srgbClr val="9CC746"/>
              </a:solidFill>
              <a:ln>
                <a:noFill/>
              </a:ln>
              <a:effectLst/>
            </c:spPr>
            <c:extLst>
              <c:ext xmlns:c16="http://schemas.microsoft.com/office/drawing/2014/chart" uri="{C3380CC4-5D6E-409C-BE32-E72D297353CC}">
                <c16:uniqueId val="{0000005A-B3FA-4025-AD36-1FDB3DFC80B9}"/>
              </c:ext>
            </c:extLst>
          </c:dPt>
          <c:dPt>
            <c:idx val="45"/>
            <c:invertIfNegative val="0"/>
            <c:bubble3D val="0"/>
            <c:spPr>
              <a:solidFill>
                <a:srgbClr val="9CC746"/>
              </a:solidFill>
              <a:ln>
                <a:noFill/>
              </a:ln>
              <a:effectLst/>
            </c:spPr>
            <c:extLst>
              <c:ext xmlns:c16="http://schemas.microsoft.com/office/drawing/2014/chart" uri="{C3380CC4-5D6E-409C-BE32-E72D297353CC}">
                <c16:uniqueId val="{0000005B-B3FA-4025-AD36-1FDB3DFC80B9}"/>
              </c:ext>
            </c:extLst>
          </c:dPt>
          <c:dPt>
            <c:idx val="46"/>
            <c:invertIfNegative val="0"/>
            <c:bubble3D val="0"/>
            <c:spPr>
              <a:solidFill>
                <a:srgbClr val="9CC746"/>
              </a:solidFill>
              <a:ln>
                <a:noFill/>
              </a:ln>
              <a:effectLst/>
            </c:spPr>
            <c:extLst>
              <c:ext xmlns:c16="http://schemas.microsoft.com/office/drawing/2014/chart" uri="{C3380CC4-5D6E-409C-BE32-E72D297353CC}">
                <c16:uniqueId val="{0000005C-06E4-4284-B808-52F8949B79D5}"/>
              </c:ext>
            </c:extLst>
          </c:dPt>
          <c:dPt>
            <c:idx val="47"/>
            <c:invertIfNegative val="0"/>
            <c:bubble3D val="0"/>
            <c:spPr>
              <a:solidFill>
                <a:srgbClr val="9B2D2A"/>
              </a:solidFill>
              <a:ln>
                <a:noFill/>
              </a:ln>
              <a:effectLst/>
            </c:spPr>
            <c:extLst>
              <c:ext xmlns:c16="http://schemas.microsoft.com/office/drawing/2014/chart" uri="{C3380CC4-5D6E-409C-BE32-E72D297353CC}">
                <c16:uniqueId val="{0000005D-06E4-4284-B808-52F8949B79D5}"/>
              </c:ext>
            </c:extLst>
          </c:dPt>
          <c:dPt>
            <c:idx val="48"/>
            <c:invertIfNegative val="0"/>
            <c:bubble3D val="0"/>
            <c:spPr>
              <a:solidFill>
                <a:srgbClr val="9CC746"/>
              </a:solidFill>
              <a:ln>
                <a:noFill/>
              </a:ln>
              <a:effectLst/>
            </c:spPr>
            <c:extLst>
              <c:ext xmlns:c16="http://schemas.microsoft.com/office/drawing/2014/chart" uri="{C3380CC4-5D6E-409C-BE32-E72D297353CC}">
                <c16:uniqueId val="{0000005E-06E4-4284-B808-52F8949B79D5}"/>
              </c:ext>
            </c:extLst>
          </c:dPt>
          <c:dPt>
            <c:idx val="49"/>
            <c:invertIfNegative val="0"/>
            <c:bubble3D val="0"/>
            <c:extLst>
              <c:ext xmlns:c16="http://schemas.microsoft.com/office/drawing/2014/chart" uri="{C3380CC4-5D6E-409C-BE32-E72D297353CC}">
                <c16:uniqueId val="{0000005F-06E4-4284-B808-52F8949B79D5}"/>
              </c:ext>
            </c:extLst>
          </c:dPt>
          <c:dPt>
            <c:idx val="50"/>
            <c:invertIfNegative val="0"/>
            <c:bubble3D val="0"/>
            <c:extLst>
              <c:ext xmlns:c16="http://schemas.microsoft.com/office/drawing/2014/chart" uri="{C3380CC4-5D6E-409C-BE32-E72D297353CC}">
                <c16:uniqueId val="{00000060-06E4-4284-B808-52F8949B79D5}"/>
              </c:ext>
            </c:extLst>
          </c:dPt>
          <c:dPt>
            <c:idx val="51"/>
            <c:invertIfNegative val="0"/>
            <c:bubble3D val="0"/>
            <c:extLst>
              <c:ext xmlns:c16="http://schemas.microsoft.com/office/drawing/2014/chart" uri="{C3380CC4-5D6E-409C-BE32-E72D297353CC}">
                <c16:uniqueId val="{00000061-06E4-4284-B808-52F8949B79D5}"/>
              </c:ext>
            </c:extLst>
          </c:dPt>
          <c:dPt>
            <c:idx val="52"/>
            <c:invertIfNegative val="0"/>
            <c:bubble3D val="0"/>
            <c:extLst>
              <c:ext xmlns:c16="http://schemas.microsoft.com/office/drawing/2014/chart" uri="{C3380CC4-5D6E-409C-BE32-E72D297353CC}">
                <c16:uniqueId val="{00000062-06E4-4284-B808-52F8949B79D5}"/>
              </c:ext>
            </c:extLst>
          </c:dPt>
          <c:dPt>
            <c:idx val="53"/>
            <c:invertIfNegative val="0"/>
            <c:bubble3D val="0"/>
            <c:extLst>
              <c:ext xmlns:c16="http://schemas.microsoft.com/office/drawing/2014/chart" uri="{C3380CC4-5D6E-409C-BE32-E72D297353CC}">
                <c16:uniqueId val="{00000063-06E4-4284-B808-52F8949B79D5}"/>
              </c:ext>
            </c:extLst>
          </c:dPt>
          <c:dPt>
            <c:idx val="54"/>
            <c:invertIfNegative val="0"/>
            <c:bubble3D val="0"/>
            <c:extLst>
              <c:ext xmlns:c16="http://schemas.microsoft.com/office/drawing/2014/chart" uri="{C3380CC4-5D6E-409C-BE32-E72D297353CC}">
                <c16:uniqueId val="{00000064-06E4-4284-B808-52F8949B79D5}"/>
              </c:ext>
            </c:extLst>
          </c:dPt>
          <c:dPt>
            <c:idx val="55"/>
            <c:invertIfNegative val="0"/>
            <c:bubble3D val="0"/>
            <c:extLst>
              <c:ext xmlns:c16="http://schemas.microsoft.com/office/drawing/2014/chart" uri="{C3380CC4-5D6E-409C-BE32-E72D297353CC}">
                <c16:uniqueId val="{00000065-06E4-4284-B808-52F8949B79D5}"/>
              </c:ext>
            </c:extLst>
          </c:dPt>
          <c:dPt>
            <c:idx val="56"/>
            <c:invertIfNegative val="0"/>
            <c:bubble3D val="0"/>
            <c:extLst>
              <c:ext xmlns:c16="http://schemas.microsoft.com/office/drawing/2014/chart" uri="{C3380CC4-5D6E-409C-BE32-E72D297353CC}">
                <c16:uniqueId val="{00000066-06E4-4284-B808-52F8949B79D5}"/>
              </c:ext>
            </c:extLst>
          </c:dPt>
          <c:dPt>
            <c:idx val="57"/>
            <c:invertIfNegative val="0"/>
            <c:bubble3D val="0"/>
            <c:extLst>
              <c:ext xmlns:c16="http://schemas.microsoft.com/office/drawing/2014/chart" uri="{C3380CC4-5D6E-409C-BE32-E72D297353CC}">
                <c16:uniqueId val="{00000067-06E4-4284-B808-52F8949B79D5}"/>
              </c:ext>
            </c:extLst>
          </c:dPt>
          <c:dPt>
            <c:idx val="58"/>
            <c:invertIfNegative val="0"/>
            <c:bubble3D val="0"/>
            <c:extLst>
              <c:ext xmlns:c16="http://schemas.microsoft.com/office/drawing/2014/chart" uri="{C3380CC4-5D6E-409C-BE32-E72D297353CC}">
                <c16:uniqueId val="{00000068-06E4-4284-B808-52F8949B79D5}"/>
              </c:ext>
            </c:extLst>
          </c:dPt>
          <c:dPt>
            <c:idx val="59"/>
            <c:invertIfNegative val="0"/>
            <c:bubble3D val="0"/>
            <c:extLst>
              <c:ext xmlns:c16="http://schemas.microsoft.com/office/drawing/2014/chart" uri="{C3380CC4-5D6E-409C-BE32-E72D297353CC}">
                <c16:uniqueId val="{00000069-06E4-4284-B808-52F8949B79D5}"/>
              </c:ext>
            </c:extLst>
          </c:dPt>
          <c:dPt>
            <c:idx val="60"/>
            <c:invertIfNegative val="0"/>
            <c:bubble3D val="0"/>
            <c:extLst>
              <c:ext xmlns:c16="http://schemas.microsoft.com/office/drawing/2014/chart" uri="{C3380CC4-5D6E-409C-BE32-E72D297353CC}">
                <c16:uniqueId val="{0000006A-06E4-4284-B808-52F8949B79D5}"/>
              </c:ext>
            </c:extLst>
          </c:dPt>
          <c:dPt>
            <c:idx val="61"/>
            <c:invertIfNegative val="0"/>
            <c:bubble3D val="0"/>
            <c:extLst>
              <c:ext xmlns:c16="http://schemas.microsoft.com/office/drawing/2014/chart" uri="{C3380CC4-5D6E-409C-BE32-E72D297353CC}">
                <c16:uniqueId val="{0000006B-06E4-4284-B808-52F8949B79D5}"/>
              </c:ext>
            </c:extLst>
          </c:dPt>
          <c:dPt>
            <c:idx val="62"/>
            <c:invertIfNegative val="0"/>
            <c:bubble3D val="0"/>
            <c:extLst>
              <c:ext xmlns:c16="http://schemas.microsoft.com/office/drawing/2014/chart" uri="{C3380CC4-5D6E-409C-BE32-E72D297353CC}">
                <c16:uniqueId val="{0000006C-06E4-4284-B808-52F8949B79D5}"/>
              </c:ext>
            </c:extLst>
          </c:dPt>
          <c:dPt>
            <c:idx val="63"/>
            <c:invertIfNegative val="0"/>
            <c:bubble3D val="0"/>
            <c:extLst>
              <c:ext xmlns:c16="http://schemas.microsoft.com/office/drawing/2014/chart" uri="{C3380CC4-5D6E-409C-BE32-E72D297353CC}">
                <c16:uniqueId val="{0000006D-06E4-4284-B808-52F8949B79D5}"/>
              </c:ext>
            </c:extLst>
          </c:dPt>
          <c:dPt>
            <c:idx val="64"/>
            <c:invertIfNegative val="0"/>
            <c:bubble3D val="0"/>
            <c:extLst>
              <c:ext xmlns:c16="http://schemas.microsoft.com/office/drawing/2014/chart" uri="{C3380CC4-5D6E-409C-BE32-E72D297353CC}">
                <c16:uniqueId val="{0000006E-06E4-4284-B808-52F8949B79D5}"/>
              </c:ext>
            </c:extLst>
          </c:dPt>
          <c:dPt>
            <c:idx val="65"/>
            <c:invertIfNegative val="0"/>
            <c:bubble3D val="0"/>
            <c:extLst>
              <c:ext xmlns:c16="http://schemas.microsoft.com/office/drawing/2014/chart" uri="{C3380CC4-5D6E-409C-BE32-E72D297353CC}">
                <c16:uniqueId val="{0000006F-06E4-4284-B808-52F8949B79D5}"/>
              </c:ext>
            </c:extLst>
          </c:dPt>
          <c:dPt>
            <c:idx val="66"/>
            <c:invertIfNegative val="0"/>
            <c:bubble3D val="0"/>
            <c:extLst>
              <c:ext xmlns:c16="http://schemas.microsoft.com/office/drawing/2014/chart" uri="{C3380CC4-5D6E-409C-BE32-E72D297353CC}">
                <c16:uniqueId val="{00000070-06E4-4284-B808-52F8949B79D5}"/>
              </c:ext>
            </c:extLst>
          </c:dPt>
          <c:dPt>
            <c:idx val="67"/>
            <c:invertIfNegative val="0"/>
            <c:bubble3D val="0"/>
            <c:extLst>
              <c:ext xmlns:c16="http://schemas.microsoft.com/office/drawing/2014/chart" uri="{C3380CC4-5D6E-409C-BE32-E72D297353CC}">
                <c16:uniqueId val="{00000071-06E4-4284-B808-52F8949B79D5}"/>
              </c:ext>
            </c:extLst>
          </c:dPt>
          <c:dPt>
            <c:idx val="68"/>
            <c:invertIfNegative val="0"/>
            <c:bubble3D val="0"/>
            <c:extLst>
              <c:ext xmlns:c16="http://schemas.microsoft.com/office/drawing/2014/chart" uri="{C3380CC4-5D6E-409C-BE32-E72D297353CC}">
                <c16:uniqueId val="{00000072-06E4-4284-B808-52F8949B79D5}"/>
              </c:ext>
            </c:extLst>
          </c:dPt>
          <c:dPt>
            <c:idx val="69"/>
            <c:invertIfNegative val="0"/>
            <c:bubble3D val="0"/>
            <c:extLst>
              <c:ext xmlns:c16="http://schemas.microsoft.com/office/drawing/2014/chart" uri="{C3380CC4-5D6E-409C-BE32-E72D297353CC}">
                <c16:uniqueId val="{00000073-06E4-4284-B808-52F8949B79D5}"/>
              </c:ext>
            </c:extLst>
          </c:dPt>
          <c:dPt>
            <c:idx val="70"/>
            <c:invertIfNegative val="0"/>
            <c:bubble3D val="0"/>
            <c:extLst>
              <c:ext xmlns:c16="http://schemas.microsoft.com/office/drawing/2014/chart" uri="{C3380CC4-5D6E-409C-BE32-E72D297353CC}">
                <c16:uniqueId val="{00000074-06E4-4284-B808-52F8949B79D5}"/>
              </c:ext>
            </c:extLst>
          </c:dPt>
          <c:dPt>
            <c:idx val="71"/>
            <c:invertIfNegative val="0"/>
            <c:bubble3D val="0"/>
            <c:extLst>
              <c:ext xmlns:c16="http://schemas.microsoft.com/office/drawing/2014/chart" uri="{C3380CC4-5D6E-409C-BE32-E72D297353CC}">
                <c16:uniqueId val="{00000075-06E4-4284-B808-52F8949B79D5}"/>
              </c:ext>
            </c:extLst>
          </c:dPt>
          <c:dPt>
            <c:idx val="72"/>
            <c:invertIfNegative val="0"/>
            <c:bubble3D val="0"/>
            <c:extLst>
              <c:ext xmlns:c16="http://schemas.microsoft.com/office/drawing/2014/chart" uri="{C3380CC4-5D6E-409C-BE32-E72D297353CC}">
                <c16:uniqueId val="{00000076-06E4-4284-B808-52F8949B79D5}"/>
              </c:ext>
            </c:extLst>
          </c:dPt>
          <c:dPt>
            <c:idx val="73"/>
            <c:invertIfNegative val="0"/>
            <c:bubble3D val="0"/>
            <c:extLst>
              <c:ext xmlns:c16="http://schemas.microsoft.com/office/drawing/2014/chart" uri="{C3380CC4-5D6E-409C-BE32-E72D297353CC}">
                <c16:uniqueId val="{00000077-06E4-4284-B808-52F8949B79D5}"/>
              </c:ext>
            </c:extLst>
          </c:dPt>
          <c:dPt>
            <c:idx val="74"/>
            <c:invertIfNegative val="0"/>
            <c:bubble3D val="0"/>
            <c:extLst>
              <c:ext xmlns:c16="http://schemas.microsoft.com/office/drawing/2014/chart" uri="{C3380CC4-5D6E-409C-BE32-E72D297353CC}">
                <c16:uniqueId val="{00000078-06E4-4284-B808-52F8949B79D5}"/>
              </c:ext>
            </c:extLst>
          </c:dPt>
          <c:dPt>
            <c:idx val="75"/>
            <c:invertIfNegative val="0"/>
            <c:bubble3D val="0"/>
            <c:extLst>
              <c:ext xmlns:c16="http://schemas.microsoft.com/office/drawing/2014/chart" uri="{C3380CC4-5D6E-409C-BE32-E72D297353CC}">
                <c16:uniqueId val="{00000079-06E4-4284-B808-52F8949B79D5}"/>
              </c:ext>
            </c:extLst>
          </c:dPt>
          <c:dPt>
            <c:idx val="76"/>
            <c:invertIfNegative val="0"/>
            <c:bubble3D val="0"/>
            <c:extLst>
              <c:ext xmlns:c16="http://schemas.microsoft.com/office/drawing/2014/chart" uri="{C3380CC4-5D6E-409C-BE32-E72D297353CC}">
                <c16:uniqueId val="{0000007A-06E4-4284-B808-52F8949B79D5}"/>
              </c:ext>
            </c:extLst>
          </c:dPt>
          <c:dPt>
            <c:idx val="77"/>
            <c:invertIfNegative val="0"/>
            <c:bubble3D val="0"/>
            <c:extLst>
              <c:ext xmlns:c16="http://schemas.microsoft.com/office/drawing/2014/chart" uri="{C3380CC4-5D6E-409C-BE32-E72D297353CC}">
                <c16:uniqueId val="{0000007B-06E4-4284-B808-52F8949B79D5}"/>
              </c:ext>
            </c:extLst>
          </c:dPt>
          <c:dPt>
            <c:idx val="78"/>
            <c:invertIfNegative val="0"/>
            <c:bubble3D val="0"/>
            <c:extLst>
              <c:ext xmlns:c16="http://schemas.microsoft.com/office/drawing/2014/chart" uri="{C3380CC4-5D6E-409C-BE32-E72D297353CC}">
                <c16:uniqueId val="{0000007C-06E4-4284-B808-52F8949B79D5}"/>
              </c:ext>
            </c:extLst>
          </c:dPt>
          <c:dPt>
            <c:idx val="79"/>
            <c:invertIfNegative val="0"/>
            <c:bubble3D val="0"/>
            <c:extLst>
              <c:ext xmlns:c16="http://schemas.microsoft.com/office/drawing/2014/chart" uri="{C3380CC4-5D6E-409C-BE32-E72D297353CC}">
                <c16:uniqueId val="{0000013C-C048-4472-9DB4-39DCA4577088}"/>
              </c:ext>
            </c:extLst>
          </c:dPt>
          <c:dPt>
            <c:idx val="80"/>
            <c:invertIfNegative val="0"/>
            <c:bubble3D val="0"/>
            <c:extLst>
              <c:ext xmlns:c16="http://schemas.microsoft.com/office/drawing/2014/chart" uri="{C3380CC4-5D6E-409C-BE32-E72D297353CC}">
                <c16:uniqueId val="{0000013D-C048-4472-9DB4-39DCA4577088}"/>
              </c:ext>
            </c:extLst>
          </c:dPt>
          <c:dPt>
            <c:idx val="81"/>
            <c:invertIfNegative val="0"/>
            <c:bubble3D val="0"/>
            <c:extLst>
              <c:ext xmlns:c16="http://schemas.microsoft.com/office/drawing/2014/chart" uri="{C3380CC4-5D6E-409C-BE32-E72D297353CC}">
                <c16:uniqueId val="{0000013E-C048-4472-9DB4-39DCA4577088}"/>
              </c:ext>
            </c:extLst>
          </c:dPt>
          <c:dPt>
            <c:idx val="82"/>
            <c:invertIfNegative val="0"/>
            <c:bubble3D val="0"/>
            <c:extLst>
              <c:ext xmlns:c16="http://schemas.microsoft.com/office/drawing/2014/chart" uri="{C3380CC4-5D6E-409C-BE32-E72D297353CC}">
                <c16:uniqueId val="{0000013F-C048-4472-9DB4-39DCA4577088}"/>
              </c:ext>
            </c:extLst>
          </c:dPt>
          <c:dPt>
            <c:idx val="83"/>
            <c:invertIfNegative val="0"/>
            <c:bubble3D val="0"/>
            <c:extLst>
              <c:ext xmlns:c16="http://schemas.microsoft.com/office/drawing/2014/chart" uri="{C3380CC4-5D6E-409C-BE32-E72D297353CC}">
                <c16:uniqueId val="{00000140-C048-4472-9DB4-39DCA4577088}"/>
              </c:ext>
            </c:extLst>
          </c:dPt>
          <c:dPt>
            <c:idx val="84"/>
            <c:invertIfNegative val="0"/>
            <c:bubble3D val="0"/>
            <c:extLst>
              <c:ext xmlns:c16="http://schemas.microsoft.com/office/drawing/2014/chart" uri="{C3380CC4-5D6E-409C-BE32-E72D297353CC}">
                <c16:uniqueId val="{00000141-C048-4472-9DB4-39DCA4577088}"/>
              </c:ext>
            </c:extLst>
          </c:dPt>
          <c:dPt>
            <c:idx val="85"/>
            <c:invertIfNegative val="0"/>
            <c:bubble3D val="0"/>
            <c:extLst>
              <c:ext xmlns:c16="http://schemas.microsoft.com/office/drawing/2014/chart" uri="{C3380CC4-5D6E-409C-BE32-E72D297353CC}">
                <c16:uniqueId val="{00000142-C048-4472-9DB4-39DCA4577088}"/>
              </c:ext>
            </c:extLst>
          </c:dPt>
          <c:dPt>
            <c:idx val="86"/>
            <c:invertIfNegative val="0"/>
            <c:bubble3D val="0"/>
            <c:extLst>
              <c:ext xmlns:c16="http://schemas.microsoft.com/office/drawing/2014/chart" uri="{C3380CC4-5D6E-409C-BE32-E72D297353CC}">
                <c16:uniqueId val="{00000143-C048-4472-9DB4-39DCA4577088}"/>
              </c:ext>
            </c:extLst>
          </c:dPt>
          <c:dPt>
            <c:idx val="87"/>
            <c:invertIfNegative val="0"/>
            <c:bubble3D val="0"/>
            <c:extLst>
              <c:ext xmlns:c16="http://schemas.microsoft.com/office/drawing/2014/chart" uri="{C3380CC4-5D6E-409C-BE32-E72D297353CC}">
                <c16:uniqueId val="{00000144-C048-4472-9DB4-39DCA4577088}"/>
              </c:ext>
            </c:extLst>
          </c:dPt>
          <c:dPt>
            <c:idx val="88"/>
            <c:invertIfNegative val="0"/>
            <c:bubble3D val="0"/>
            <c:extLst>
              <c:ext xmlns:c16="http://schemas.microsoft.com/office/drawing/2014/chart" uri="{C3380CC4-5D6E-409C-BE32-E72D297353CC}">
                <c16:uniqueId val="{00000145-C048-4472-9DB4-39DCA4577088}"/>
              </c:ext>
            </c:extLst>
          </c:dPt>
          <c:dPt>
            <c:idx val="89"/>
            <c:invertIfNegative val="0"/>
            <c:bubble3D val="0"/>
            <c:extLst>
              <c:ext xmlns:c16="http://schemas.microsoft.com/office/drawing/2014/chart" uri="{C3380CC4-5D6E-409C-BE32-E72D297353CC}">
                <c16:uniqueId val="{00000146-C048-4472-9DB4-39DCA4577088}"/>
              </c:ext>
            </c:extLst>
          </c:dPt>
          <c:dPt>
            <c:idx val="90"/>
            <c:invertIfNegative val="0"/>
            <c:bubble3D val="0"/>
            <c:extLst>
              <c:ext xmlns:c16="http://schemas.microsoft.com/office/drawing/2014/chart" uri="{C3380CC4-5D6E-409C-BE32-E72D297353CC}">
                <c16:uniqueId val="{00000147-C048-4472-9DB4-39DCA4577088}"/>
              </c:ext>
            </c:extLst>
          </c:dPt>
          <c:dPt>
            <c:idx val="91"/>
            <c:invertIfNegative val="0"/>
            <c:bubble3D val="0"/>
            <c:extLst>
              <c:ext xmlns:c16="http://schemas.microsoft.com/office/drawing/2014/chart" uri="{C3380CC4-5D6E-409C-BE32-E72D297353CC}">
                <c16:uniqueId val="{00000148-C048-4472-9DB4-39DCA4577088}"/>
              </c:ext>
            </c:extLst>
          </c:dPt>
          <c:dPt>
            <c:idx val="92"/>
            <c:invertIfNegative val="0"/>
            <c:bubble3D val="0"/>
            <c:extLst>
              <c:ext xmlns:c16="http://schemas.microsoft.com/office/drawing/2014/chart" uri="{C3380CC4-5D6E-409C-BE32-E72D297353CC}">
                <c16:uniqueId val="{00000149-C048-4472-9DB4-39DCA4577088}"/>
              </c:ext>
            </c:extLst>
          </c:dPt>
          <c:dPt>
            <c:idx val="93"/>
            <c:invertIfNegative val="0"/>
            <c:bubble3D val="0"/>
            <c:extLst>
              <c:ext xmlns:c16="http://schemas.microsoft.com/office/drawing/2014/chart" uri="{C3380CC4-5D6E-409C-BE32-E72D297353CC}">
                <c16:uniqueId val="{0000014A-C048-4472-9DB4-39DCA4577088}"/>
              </c:ext>
            </c:extLst>
          </c:dPt>
          <c:dPt>
            <c:idx val="94"/>
            <c:invertIfNegative val="0"/>
            <c:bubble3D val="0"/>
            <c:extLst>
              <c:ext xmlns:c16="http://schemas.microsoft.com/office/drawing/2014/chart" uri="{C3380CC4-5D6E-409C-BE32-E72D297353CC}">
                <c16:uniqueId val="{0000014B-C048-4472-9DB4-39DCA4577088}"/>
              </c:ext>
            </c:extLst>
          </c:dPt>
          <c:dPt>
            <c:idx val="95"/>
            <c:invertIfNegative val="0"/>
            <c:bubble3D val="0"/>
            <c:extLst>
              <c:ext xmlns:c16="http://schemas.microsoft.com/office/drawing/2014/chart" uri="{C3380CC4-5D6E-409C-BE32-E72D297353CC}">
                <c16:uniqueId val="{0000014C-C048-4472-9DB4-39DCA4577088}"/>
              </c:ext>
            </c:extLst>
          </c:dPt>
          <c:dPt>
            <c:idx val="96"/>
            <c:invertIfNegative val="0"/>
            <c:bubble3D val="0"/>
            <c:extLst>
              <c:ext xmlns:c16="http://schemas.microsoft.com/office/drawing/2014/chart" uri="{C3380CC4-5D6E-409C-BE32-E72D297353CC}">
                <c16:uniqueId val="{0000014D-C048-4472-9DB4-39DCA4577088}"/>
              </c:ext>
            </c:extLst>
          </c:dPt>
          <c:dPt>
            <c:idx val="97"/>
            <c:invertIfNegative val="0"/>
            <c:bubble3D val="0"/>
            <c:extLst>
              <c:ext xmlns:c16="http://schemas.microsoft.com/office/drawing/2014/chart" uri="{C3380CC4-5D6E-409C-BE32-E72D297353CC}">
                <c16:uniqueId val="{0000014E-C048-4472-9DB4-39DCA4577088}"/>
              </c:ext>
            </c:extLst>
          </c:dPt>
          <c:dPt>
            <c:idx val="98"/>
            <c:invertIfNegative val="0"/>
            <c:bubble3D val="0"/>
            <c:extLst>
              <c:ext xmlns:c16="http://schemas.microsoft.com/office/drawing/2014/chart" uri="{C3380CC4-5D6E-409C-BE32-E72D297353CC}">
                <c16:uniqueId val="{0000014F-C048-4472-9DB4-39DCA4577088}"/>
              </c:ext>
            </c:extLst>
          </c:dPt>
          <c:dPt>
            <c:idx val="99"/>
            <c:invertIfNegative val="0"/>
            <c:bubble3D val="0"/>
            <c:extLst>
              <c:ext xmlns:c16="http://schemas.microsoft.com/office/drawing/2014/chart" uri="{C3380CC4-5D6E-409C-BE32-E72D297353CC}">
                <c16:uniqueId val="{00000150-C048-4472-9DB4-39DCA4577088}"/>
              </c:ext>
            </c:extLst>
          </c:dPt>
          <c:dPt>
            <c:idx val="100"/>
            <c:invertIfNegative val="0"/>
            <c:bubble3D val="0"/>
            <c:extLst>
              <c:ext xmlns:c16="http://schemas.microsoft.com/office/drawing/2014/chart" uri="{C3380CC4-5D6E-409C-BE32-E72D297353CC}">
                <c16:uniqueId val="{00000151-C048-4472-9DB4-39DCA4577088}"/>
              </c:ext>
            </c:extLst>
          </c:dPt>
          <c:dPt>
            <c:idx val="101"/>
            <c:invertIfNegative val="0"/>
            <c:bubble3D val="0"/>
            <c:extLst>
              <c:ext xmlns:c16="http://schemas.microsoft.com/office/drawing/2014/chart" uri="{C3380CC4-5D6E-409C-BE32-E72D297353CC}">
                <c16:uniqueId val="{00000152-C048-4472-9DB4-39DCA4577088}"/>
              </c:ext>
            </c:extLst>
          </c:dPt>
          <c:dPt>
            <c:idx val="102"/>
            <c:invertIfNegative val="0"/>
            <c:bubble3D val="0"/>
            <c:extLst>
              <c:ext xmlns:c16="http://schemas.microsoft.com/office/drawing/2014/chart" uri="{C3380CC4-5D6E-409C-BE32-E72D297353CC}">
                <c16:uniqueId val="{00000153-C048-4472-9DB4-39DCA4577088}"/>
              </c:ext>
            </c:extLst>
          </c:dPt>
          <c:dPt>
            <c:idx val="103"/>
            <c:invertIfNegative val="0"/>
            <c:bubble3D val="0"/>
            <c:extLst>
              <c:ext xmlns:c16="http://schemas.microsoft.com/office/drawing/2014/chart" uri="{C3380CC4-5D6E-409C-BE32-E72D297353CC}">
                <c16:uniqueId val="{00000154-C048-4472-9DB4-39DCA4577088}"/>
              </c:ext>
            </c:extLst>
          </c:dPt>
          <c:dPt>
            <c:idx val="104"/>
            <c:invertIfNegative val="0"/>
            <c:bubble3D val="0"/>
            <c:extLst>
              <c:ext xmlns:c16="http://schemas.microsoft.com/office/drawing/2014/chart" uri="{C3380CC4-5D6E-409C-BE32-E72D297353CC}">
                <c16:uniqueId val="{00000155-C048-4472-9DB4-39DCA4577088}"/>
              </c:ext>
            </c:extLst>
          </c:dPt>
          <c:dPt>
            <c:idx val="105"/>
            <c:invertIfNegative val="0"/>
            <c:bubble3D val="0"/>
            <c:extLst>
              <c:ext xmlns:c16="http://schemas.microsoft.com/office/drawing/2014/chart" uri="{C3380CC4-5D6E-409C-BE32-E72D297353CC}">
                <c16:uniqueId val="{00000156-C048-4472-9DB4-39DCA4577088}"/>
              </c:ext>
            </c:extLst>
          </c:dPt>
          <c:dPt>
            <c:idx val="106"/>
            <c:invertIfNegative val="0"/>
            <c:bubble3D val="0"/>
            <c:extLst>
              <c:ext xmlns:c16="http://schemas.microsoft.com/office/drawing/2014/chart" uri="{C3380CC4-5D6E-409C-BE32-E72D297353CC}">
                <c16:uniqueId val="{000000D5-7CA4-4BC7-B87E-F1C8C71FFBD6}"/>
              </c:ext>
            </c:extLst>
          </c:dPt>
          <c:dPt>
            <c:idx val="107"/>
            <c:invertIfNegative val="0"/>
            <c:bubble3D val="0"/>
            <c:extLst>
              <c:ext xmlns:c16="http://schemas.microsoft.com/office/drawing/2014/chart" uri="{C3380CC4-5D6E-409C-BE32-E72D297353CC}">
                <c16:uniqueId val="{000000D7-7CA4-4BC7-B87E-F1C8C71FFBD6}"/>
              </c:ext>
            </c:extLst>
          </c:dPt>
          <c:dPt>
            <c:idx val="108"/>
            <c:invertIfNegative val="0"/>
            <c:bubble3D val="0"/>
            <c:extLst>
              <c:ext xmlns:c16="http://schemas.microsoft.com/office/drawing/2014/chart" uri="{C3380CC4-5D6E-409C-BE32-E72D297353CC}">
                <c16:uniqueId val="{000001B0-7CA4-4BC7-B87E-F1C8C71FFBD6}"/>
              </c:ext>
            </c:extLst>
          </c:dPt>
          <c:dPt>
            <c:idx val="109"/>
            <c:invertIfNegative val="0"/>
            <c:bubble3D val="0"/>
            <c:extLst>
              <c:ext xmlns:c16="http://schemas.microsoft.com/office/drawing/2014/chart" uri="{C3380CC4-5D6E-409C-BE32-E72D297353CC}">
                <c16:uniqueId val="{000001B1-7CA4-4BC7-B87E-F1C8C71FFBD6}"/>
              </c:ext>
            </c:extLst>
          </c:dPt>
          <c:dPt>
            <c:idx val="110"/>
            <c:invertIfNegative val="0"/>
            <c:bubble3D val="0"/>
            <c:extLst>
              <c:ext xmlns:c16="http://schemas.microsoft.com/office/drawing/2014/chart" uri="{C3380CC4-5D6E-409C-BE32-E72D297353CC}">
                <c16:uniqueId val="{000001B2-7CA4-4BC7-B87E-F1C8C71FFBD6}"/>
              </c:ext>
            </c:extLst>
          </c:dPt>
          <c:dPt>
            <c:idx val="111"/>
            <c:invertIfNegative val="0"/>
            <c:bubble3D val="0"/>
            <c:extLst>
              <c:ext xmlns:c16="http://schemas.microsoft.com/office/drawing/2014/chart" uri="{C3380CC4-5D6E-409C-BE32-E72D297353CC}">
                <c16:uniqueId val="{000001B3-7CA4-4BC7-B87E-F1C8C71FFBD6}"/>
              </c:ext>
            </c:extLst>
          </c:dPt>
          <c:dPt>
            <c:idx val="112"/>
            <c:invertIfNegative val="0"/>
            <c:bubble3D val="0"/>
            <c:extLst>
              <c:ext xmlns:c16="http://schemas.microsoft.com/office/drawing/2014/chart" uri="{C3380CC4-5D6E-409C-BE32-E72D297353CC}">
                <c16:uniqueId val="{000001B4-7CA4-4BC7-B87E-F1C8C71FFBD6}"/>
              </c:ext>
            </c:extLst>
          </c:dPt>
          <c:dPt>
            <c:idx val="113"/>
            <c:invertIfNegative val="0"/>
            <c:bubble3D val="0"/>
            <c:extLst>
              <c:ext xmlns:c16="http://schemas.microsoft.com/office/drawing/2014/chart" uri="{C3380CC4-5D6E-409C-BE32-E72D297353CC}">
                <c16:uniqueId val="{000001B5-7CA4-4BC7-B87E-F1C8C71FFBD6}"/>
              </c:ext>
            </c:extLst>
          </c:dPt>
          <c:dPt>
            <c:idx val="114"/>
            <c:invertIfNegative val="0"/>
            <c:bubble3D val="0"/>
            <c:extLst>
              <c:ext xmlns:c16="http://schemas.microsoft.com/office/drawing/2014/chart" uri="{C3380CC4-5D6E-409C-BE32-E72D297353CC}">
                <c16:uniqueId val="{000001B6-7CA4-4BC7-B87E-F1C8C71FFBD6}"/>
              </c:ext>
            </c:extLst>
          </c:dPt>
          <c:dPt>
            <c:idx val="115"/>
            <c:invertIfNegative val="0"/>
            <c:bubble3D val="0"/>
            <c:extLst>
              <c:ext xmlns:c16="http://schemas.microsoft.com/office/drawing/2014/chart" uri="{C3380CC4-5D6E-409C-BE32-E72D297353CC}">
                <c16:uniqueId val="{000001B7-7CA4-4BC7-B87E-F1C8C71FFBD6}"/>
              </c:ext>
            </c:extLst>
          </c:dPt>
          <c:dPt>
            <c:idx val="116"/>
            <c:invertIfNegative val="0"/>
            <c:bubble3D val="0"/>
            <c:extLst>
              <c:ext xmlns:c16="http://schemas.microsoft.com/office/drawing/2014/chart" uri="{C3380CC4-5D6E-409C-BE32-E72D297353CC}">
                <c16:uniqueId val="{000001B8-7CA4-4BC7-B87E-F1C8C71FFBD6}"/>
              </c:ext>
            </c:extLst>
          </c:dPt>
          <c:dPt>
            <c:idx val="117"/>
            <c:invertIfNegative val="0"/>
            <c:bubble3D val="0"/>
            <c:extLst>
              <c:ext xmlns:c16="http://schemas.microsoft.com/office/drawing/2014/chart" uri="{C3380CC4-5D6E-409C-BE32-E72D297353CC}">
                <c16:uniqueId val="{000001B9-7CA4-4BC7-B87E-F1C8C71FFBD6}"/>
              </c:ext>
            </c:extLst>
          </c:dPt>
          <c:dPt>
            <c:idx val="118"/>
            <c:invertIfNegative val="0"/>
            <c:bubble3D val="0"/>
            <c:extLst>
              <c:ext xmlns:c16="http://schemas.microsoft.com/office/drawing/2014/chart" uri="{C3380CC4-5D6E-409C-BE32-E72D297353CC}">
                <c16:uniqueId val="{000001BA-7CA4-4BC7-B87E-F1C8C71FFBD6}"/>
              </c:ext>
            </c:extLst>
          </c:dPt>
          <c:dPt>
            <c:idx val="119"/>
            <c:invertIfNegative val="0"/>
            <c:bubble3D val="0"/>
            <c:extLst>
              <c:ext xmlns:c16="http://schemas.microsoft.com/office/drawing/2014/chart" uri="{C3380CC4-5D6E-409C-BE32-E72D297353CC}">
                <c16:uniqueId val="{000001BB-7CA4-4BC7-B87E-F1C8C71FFBD6}"/>
              </c:ext>
            </c:extLst>
          </c:dPt>
          <c:dPt>
            <c:idx val="120"/>
            <c:invertIfNegative val="0"/>
            <c:bubble3D val="0"/>
            <c:extLst>
              <c:ext xmlns:c16="http://schemas.microsoft.com/office/drawing/2014/chart" uri="{C3380CC4-5D6E-409C-BE32-E72D297353CC}">
                <c16:uniqueId val="{000001BC-7CA4-4BC7-B87E-F1C8C71FFBD6}"/>
              </c:ext>
            </c:extLst>
          </c:dPt>
          <c:dPt>
            <c:idx val="121"/>
            <c:invertIfNegative val="0"/>
            <c:bubble3D val="0"/>
            <c:extLst>
              <c:ext xmlns:c16="http://schemas.microsoft.com/office/drawing/2014/chart" uri="{C3380CC4-5D6E-409C-BE32-E72D297353CC}">
                <c16:uniqueId val="{000001BD-7CA4-4BC7-B87E-F1C8C71FFBD6}"/>
              </c:ext>
            </c:extLst>
          </c:dPt>
          <c:dPt>
            <c:idx val="122"/>
            <c:invertIfNegative val="0"/>
            <c:bubble3D val="0"/>
            <c:extLst>
              <c:ext xmlns:c16="http://schemas.microsoft.com/office/drawing/2014/chart" uri="{C3380CC4-5D6E-409C-BE32-E72D297353CC}">
                <c16:uniqueId val="{000000F5-D8B7-4F77-B029-A55B7EA5126D}"/>
              </c:ext>
            </c:extLst>
          </c:dPt>
          <c:dPt>
            <c:idx val="123"/>
            <c:invertIfNegative val="0"/>
            <c:bubble3D val="0"/>
            <c:extLst>
              <c:ext xmlns:c16="http://schemas.microsoft.com/office/drawing/2014/chart" uri="{C3380CC4-5D6E-409C-BE32-E72D297353CC}">
                <c16:uniqueId val="{000000F7-D8B7-4F77-B029-A55B7EA5126D}"/>
              </c:ext>
            </c:extLst>
          </c:dPt>
          <c:dPt>
            <c:idx val="124"/>
            <c:invertIfNegative val="0"/>
            <c:bubble3D val="0"/>
            <c:extLst>
              <c:ext xmlns:c16="http://schemas.microsoft.com/office/drawing/2014/chart" uri="{C3380CC4-5D6E-409C-BE32-E72D297353CC}">
                <c16:uniqueId val="{000000F9-D8B7-4F77-B029-A55B7EA5126D}"/>
              </c:ext>
            </c:extLst>
          </c:dPt>
          <c:dPt>
            <c:idx val="125"/>
            <c:invertIfNegative val="0"/>
            <c:bubble3D val="0"/>
            <c:extLst>
              <c:ext xmlns:c16="http://schemas.microsoft.com/office/drawing/2014/chart" uri="{C3380CC4-5D6E-409C-BE32-E72D297353CC}">
                <c16:uniqueId val="{000000FB-D8B7-4F77-B029-A55B7EA5126D}"/>
              </c:ext>
            </c:extLst>
          </c:dPt>
          <c:dPt>
            <c:idx val="126"/>
            <c:invertIfNegative val="0"/>
            <c:bubble3D val="0"/>
            <c:extLst>
              <c:ext xmlns:c16="http://schemas.microsoft.com/office/drawing/2014/chart" uri="{C3380CC4-5D6E-409C-BE32-E72D297353CC}">
                <c16:uniqueId val="{000000FD-D8B7-4F77-B029-A55B7EA5126D}"/>
              </c:ext>
            </c:extLst>
          </c:dPt>
          <c:dPt>
            <c:idx val="127"/>
            <c:invertIfNegative val="0"/>
            <c:bubble3D val="0"/>
            <c:extLst>
              <c:ext xmlns:c16="http://schemas.microsoft.com/office/drawing/2014/chart" uri="{C3380CC4-5D6E-409C-BE32-E72D297353CC}">
                <c16:uniqueId val="{000000FF-D8B7-4F77-B029-A55B7EA5126D}"/>
              </c:ext>
            </c:extLst>
          </c:dPt>
          <c:dPt>
            <c:idx val="128"/>
            <c:invertIfNegative val="0"/>
            <c:bubble3D val="0"/>
            <c:extLst>
              <c:ext xmlns:c16="http://schemas.microsoft.com/office/drawing/2014/chart" uri="{C3380CC4-5D6E-409C-BE32-E72D297353CC}">
                <c16:uniqueId val="{000001CC-7CA4-4BC7-B87E-F1C8C71FFBD6}"/>
              </c:ext>
            </c:extLst>
          </c:dPt>
          <c:dPt>
            <c:idx val="129"/>
            <c:invertIfNegative val="0"/>
            <c:bubble3D val="0"/>
            <c:extLst>
              <c:ext xmlns:c16="http://schemas.microsoft.com/office/drawing/2014/chart" uri="{C3380CC4-5D6E-409C-BE32-E72D297353CC}">
                <c16:uniqueId val="{000001CD-7CA4-4BC7-B87E-F1C8C71FFBD6}"/>
              </c:ext>
            </c:extLst>
          </c:dPt>
          <c:dPt>
            <c:idx val="130"/>
            <c:invertIfNegative val="0"/>
            <c:bubble3D val="0"/>
            <c:extLst>
              <c:ext xmlns:c16="http://schemas.microsoft.com/office/drawing/2014/chart" uri="{C3380CC4-5D6E-409C-BE32-E72D297353CC}">
                <c16:uniqueId val="{00000208-6573-4778-8B38-67D76363B352}"/>
              </c:ext>
            </c:extLst>
          </c:dPt>
          <c:dPt>
            <c:idx val="131"/>
            <c:invertIfNegative val="0"/>
            <c:bubble3D val="0"/>
            <c:extLst>
              <c:ext xmlns:c16="http://schemas.microsoft.com/office/drawing/2014/chart" uri="{C3380CC4-5D6E-409C-BE32-E72D297353CC}">
                <c16:uniqueId val="{00000209-6573-4778-8B38-67D76363B352}"/>
              </c:ext>
            </c:extLst>
          </c:dPt>
          <c:dPt>
            <c:idx val="132"/>
            <c:invertIfNegative val="0"/>
            <c:bubble3D val="0"/>
            <c:extLst>
              <c:ext xmlns:c16="http://schemas.microsoft.com/office/drawing/2014/chart" uri="{C3380CC4-5D6E-409C-BE32-E72D297353CC}">
                <c16:uniqueId val="{0000020A-6573-4778-8B38-67D76363B352}"/>
              </c:ext>
            </c:extLst>
          </c:dPt>
          <c:dPt>
            <c:idx val="133"/>
            <c:invertIfNegative val="0"/>
            <c:bubble3D val="0"/>
            <c:extLst>
              <c:ext xmlns:c16="http://schemas.microsoft.com/office/drawing/2014/chart" uri="{C3380CC4-5D6E-409C-BE32-E72D297353CC}">
                <c16:uniqueId val="{0000020B-6573-4778-8B38-67D76363B352}"/>
              </c:ext>
            </c:extLst>
          </c:dPt>
          <c:dPt>
            <c:idx val="134"/>
            <c:invertIfNegative val="0"/>
            <c:bubble3D val="0"/>
            <c:extLst>
              <c:ext xmlns:c16="http://schemas.microsoft.com/office/drawing/2014/chart" uri="{C3380CC4-5D6E-409C-BE32-E72D297353CC}">
                <c16:uniqueId val="{00000218-2E84-4950-8EEC-5A2C57665BBC}"/>
              </c:ext>
            </c:extLst>
          </c:dPt>
          <c:dPt>
            <c:idx val="135"/>
            <c:invertIfNegative val="0"/>
            <c:bubble3D val="0"/>
            <c:extLst>
              <c:ext xmlns:c16="http://schemas.microsoft.com/office/drawing/2014/chart" uri="{C3380CC4-5D6E-409C-BE32-E72D297353CC}">
                <c16:uniqueId val="{00000219-2E84-4950-8EEC-5A2C57665BBC}"/>
              </c:ext>
            </c:extLst>
          </c:dPt>
          <c:dPt>
            <c:idx val="136"/>
            <c:invertIfNegative val="0"/>
            <c:bubble3D val="0"/>
            <c:extLst>
              <c:ext xmlns:c16="http://schemas.microsoft.com/office/drawing/2014/chart" uri="{C3380CC4-5D6E-409C-BE32-E72D297353CC}">
                <c16:uniqueId val="{00000220-D88D-4187-B85C-4F3CF548AD99}"/>
              </c:ext>
            </c:extLst>
          </c:dPt>
          <c:dPt>
            <c:idx val="137"/>
            <c:invertIfNegative val="0"/>
            <c:bubble3D val="0"/>
            <c:extLst>
              <c:ext xmlns:c16="http://schemas.microsoft.com/office/drawing/2014/chart" uri="{C3380CC4-5D6E-409C-BE32-E72D297353CC}">
                <c16:uniqueId val="{00000221-D88D-4187-B85C-4F3CF548AD99}"/>
              </c:ext>
            </c:extLst>
          </c:dPt>
          <c:dPt>
            <c:idx val="138"/>
            <c:invertIfNegative val="0"/>
            <c:bubble3D val="0"/>
            <c:extLst>
              <c:ext xmlns:c16="http://schemas.microsoft.com/office/drawing/2014/chart" uri="{C3380CC4-5D6E-409C-BE32-E72D297353CC}">
                <c16:uniqueId val="{00000228-B2BF-4554-B6F1-5364CF03D79D}"/>
              </c:ext>
            </c:extLst>
          </c:dPt>
          <c:dPt>
            <c:idx val="139"/>
            <c:invertIfNegative val="0"/>
            <c:bubble3D val="0"/>
            <c:extLst>
              <c:ext xmlns:c16="http://schemas.microsoft.com/office/drawing/2014/chart" uri="{C3380CC4-5D6E-409C-BE32-E72D297353CC}">
                <c16:uniqueId val="{00000229-B2BF-4554-B6F1-5364CF03D79D}"/>
              </c:ext>
            </c:extLst>
          </c:dPt>
          <c:dPt>
            <c:idx val="140"/>
            <c:invertIfNegative val="0"/>
            <c:bubble3D val="0"/>
            <c:extLst>
              <c:ext xmlns:c16="http://schemas.microsoft.com/office/drawing/2014/chart" uri="{C3380CC4-5D6E-409C-BE32-E72D297353CC}">
                <c16:uniqueId val="{0000022A-B2BF-4554-B6F1-5364CF03D79D}"/>
              </c:ext>
            </c:extLst>
          </c:dPt>
          <c:dPt>
            <c:idx val="141"/>
            <c:invertIfNegative val="0"/>
            <c:bubble3D val="0"/>
            <c:extLst>
              <c:ext xmlns:c16="http://schemas.microsoft.com/office/drawing/2014/chart" uri="{C3380CC4-5D6E-409C-BE32-E72D297353CC}">
                <c16:uniqueId val="{0000022B-B2BF-4554-B6F1-5364CF03D79D}"/>
              </c:ext>
            </c:extLst>
          </c:dPt>
          <c:dPt>
            <c:idx val="142"/>
            <c:invertIfNegative val="0"/>
            <c:bubble3D val="0"/>
            <c:extLst>
              <c:ext xmlns:c16="http://schemas.microsoft.com/office/drawing/2014/chart" uri="{C3380CC4-5D6E-409C-BE32-E72D297353CC}">
                <c16:uniqueId val="{0000022C-B2BF-4554-B6F1-5364CF03D79D}"/>
              </c:ext>
            </c:extLst>
          </c:dPt>
          <c:dPt>
            <c:idx val="143"/>
            <c:invertIfNegative val="0"/>
            <c:bubble3D val="0"/>
            <c:extLst>
              <c:ext xmlns:c16="http://schemas.microsoft.com/office/drawing/2014/chart" uri="{C3380CC4-5D6E-409C-BE32-E72D297353CC}">
                <c16:uniqueId val="{0000022D-B2BF-4554-B6F1-5364CF03D79D}"/>
              </c:ext>
            </c:extLst>
          </c:dPt>
          <c:dPt>
            <c:idx val="144"/>
            <c:invertIfNegative val="0"/>
            <c:bubble3D val="0"/>
            <c:extLst>
              <c:ext xmlns:c16="http://schemas.microsoft.com/office/drawing/2014/chart" uri="{C3380CC4-5D6E-409C-BE32-E72D297353CC}">
                <c16:uniqueId val="{0000022E-B2BF-4554-B6F1-5364CF03D79D}"/>
              </c:ext>
            </c:extLst>
          </c:dPt>
          <c:dPt>
            <c:idx val="145"/>
            <c:invertIfNegative val="0"/>
            <c:bubble3D val="0"/>
            <c:extLst>
              <c:ext xmlns:c16="http://schemas.microsoft.com/office/drawing/2014/chart" uri="{C3380CC4-5D6E-409C-BE32-E72D297353CC}">
                <c16:uniqueId val="{0000022F-B2BF-4554-B6F1-5364CF03D79D}"/>
              </c:ext>
            </c:extLst>
          </c:dPt>
          <c:dPt>
            <c:idx val="146"/>
            <c:invertIfNegative val="0"/>
            <c:bubble3D val="0"/>
            <c:extLst>
              <c:ext xmlns:c16="http://schemas.microsoft.com/office/drawing/2014/chart" uri="{C3380CC4-5D6E-409C-BE32-E72D297353CC}">
                <c16:uniqueId val="{00000230-B2BF-4554-B6F1-5364CF03D79D}"/>
              </c:ext>
            </c:extLst>
          </c:dPt>
          <c:dPt>
            <c:idx val="147"/>
            <c:invertIfNegative val="0"/>
            <c:bubble3D val="0"/>
            <c:extLst>
              <c:ext xmlns:c16="http://schemas.microsoft.com/office/drawing/2014/chart" uri="{C3380CC4-5D6E-409C-BE32-E72D297353CC}">
                <c16:uniqueId val="{00000231-B2BF-4554-B6F1-5364CF03D79D}"/>
              </c:ext>
            </c:extLst>
          </c:dPt>
          <c:dPt>
            <c:idx val="148"/>
            <c:invertIfNegative val="0"/>
            <c:bubble3D val="0"/>
            <c:extLst>
              <c:ext xmlns:c16="http://schemas.microsoft.com/office/drawing/2014/chart" uri="{C3380CC4-5D6E-409C-BE32-E72D297353CC}">
                <c16:uniqueId val="{00000232-B2BF-4554-B6F1-5364CF03D79D}"/>
              </c:ext>
            </c:extLst>
          </c:dPt>
          <c:dPt>
            <c:idx val="149"/>
            <c:invertIfNegative val="0"/>
            <c:bubble3D val="0"/>
            <c:extLst>
              <c:ext xmlns:c16="http://schemas.microsoft.com/office/drawing/2014/chart" uri="{C3380CC4-5D6E-409C-BE32-E72D297353CC}">
                <c16:uniqueId val="{00000233-B2BF-4554-B6F1-5364CF03D79D}"/>
              </c:ext>
            </c:extLst>
          </c:dPt>
          <c:dPt>
            <c:idx val="150"/>
            <c:invertIfNegative val="0"/>
            <c:bubble3D val="0"/>
            <c:extLst>
              <c:ext xmlns:c16="http://schemas.microsoft.com/office/drawing/2014/chart" uri="{C3380CC4-5D6E-409C-BE32-E72D297353CC}">
                <c16:uniqueId val="{00000234-B2BF-4554-B6F1-5364CF03D79D}"/>
              </c:ext>
            </c:extLst>
          </c:dPt>
          <c:dPt>
            <c:idx val="151"/>
            <c:invertIfNegative val="0"/>
            <c:bubble3D val="0"/>
            <c:extLst>
              <c:ext xmlns:c16="http://schemas.microsoft.com/office/drawing/2014/chart" uri="{C3380CC4-5D6E-409C-BE32-E72D297353CC}">
                <c16:uniqueId val="{00000235-B2BF-4554-B6F1-5364CF03D79D}"/>
              </c:ext>
            </c:extLst>
          </c:dPt>
          <c:dPt>
            <c:idx val="152"/>
            <c:invertIfNegative val="0"/>
            <c:bubble3D val="0"/>
            <c:extLst>
              <c:ext xmlns:c16="http://schemas.microsoft.com/office/drawing/2014/chart" uri="{C3380CC4-5D6E-409C-BE32-E72D297353CC}">
                <c16:uniqueId val="{00000236-B2BF-4554-B6F1-5364CF03D79D}"/>
              </c:ext>
            </c:extLst>
          </c:dPt>
          <c:dPt>
            <c:idx val="153"/>
            <c:invertIfNegative val="0"/>
            <c:bubble3D val="0"/>
            <c:extLst>
              <c:ext xmlns:c16="http://schemas.microsoft.com/office/drawing/2014/chart" uri="{C3380CC4-5D6E-409C-BE32-E72D297353CC}">
                <c16:uniqueId val="{00000237-B2BF-4554-B6F1-5364CF03D79D}"/>
              </c:ext>
            </c:extLst>
          </c:dPt>
          <c:dPt>
            <c:idx val="154"/>
            <c:invertIfNegative val="0"/>
            <c:bubble3D val="0"/>
            <c:extLst>
              <c:ext xmlns:c16="http://schemas.microsoft.com/office/drawing/2014/chart" uri="{C3380CC4-5D6E-409C-BE32-E72D297353CC}">
                <c16:uniqueId val="{00000238-B2BF-4554-B6F1-5364CF03D79D}"/>
              </c:ext>
            </c:extLst>
          </c:dPt>
          <c:dPt>
            <c:idx val="155"/>
            <c:invertIfNegative val="0"/>
            <c:bubble3D val="0"/>
            <c:extLst>
              <c:ext xmlns:c16="http://schemas.microsoft.com/office/drawing/2014/chart" uri="{C3380CC4-5D6E-409C-BE32-E72D297353CC}">
                <c16:uniqueId val="{00000239-B2BF-4554-B6F1-5364CF03D79D}"/>
              </c:ext>
            </c:extLst>
          </c:dPt>
          <c:dPt>
            <c:idx val="156"/>
            <c:invertIfNegative val="0"/>
            <c:bubble3D val="0"/>
            <c:extLst>
              <c:ext xmlns:c16="http://schemas.microsoft.com/office/drawing/2014/chart" uri="{C3380CC4-5D6E-409C-BE32-E72D297353CC}">
                <c16:uniqueId val="{0000023A-B2BF-4554-B6F1-5364CF03D79D}"/>
              </c:ext>
            </c:extLst>
          </c:dPt>
          <c:dPt>
            <c:idx val="157"/>
            <c:invertIfNegative val="0"/>
            <c:bubble3D val="0"/>
            <c:extLst>
              <c:ext xmlns:c16="http://schemas.microsoft.com/office/drawing/2014/chart" uri="{C3380CC4-5D6E-409C-BE32-E72D297353CC}">
                <c16:uniqueId val="{0000023B-B2BF-4554-B6F1-5364CF03D79D}"/>
              </c:ext>
            </c:extLst>
          </c:dPt>
          <c:dPt>
            <c:idx val="158"/>
            <c:invertIfNegative val="0"/>
            <c:bubble3D val="0"/>
            <c:extLst>
              <c:ext xmlns:c16="http://schemas.microsoft.com/office/drawing/2014/chart" uri="{C3380CC4-5D6E-409C-BE32-E72D297353CC}">
                <c16:uniqueId val="{0000023C-B2BF-4554-B6F1-5364CF03D79D}"/>
              </c:ext>
            </c:extLst>
          </c:dPt>
          <c:dPt>
            <c:idx val="159"/>
            <c:invertIfNegative val="0"/>
            <c:bubble3D val="0"/>
            <c:extLst>
              <c:ext xmlns:c16="http://schemas.microsoft.com/office/drawing/2014/chart" uri="{C3380CC4-5D6E-409C-BE32-E72D297353CC}">
                <c16:uniqueId val="{0000023D-B2BF-4554-B6F1-5364CF03D79D}"/>
              </c:ext>
            </c:extLst>
          </c:dPt>
          <c:dPt>
            <c:idx val="160"/>
            <c:invertIfNegative val="0"/>
            <c:bubble3D val="0"/>
            <c:extLst>
              <c:ext xmlns:c16="http://schemas.microsoft.com/office/drawing/2014/chart" uri="{C3380CC4-5D6E-409C-BE32-E72D297353CC}">
                <c16:uniqueId val="{0000023E-B2BF-4554-B6F1-5364CF03D79D}"/>
              </c:ext>
            </c:extLst>
          </c:dPt>
          <c:dPt>
            <c:idx val="161"/>
            <c:invertIfNegative val="0"/>
            <c:bubble3D val="0"/>
            <c:extLst>
              <c:ext xmlns:c16="http://schemas.microsoft.com/office/drawing/2014/chart" uri="{C3380CC4-5D6E-409C-BE32-E72D297353CC}">
                <c16:uniqueId val="{0000023F-B2BF-4554-B6F1-5364CF03D79D}"/>
              </c:ext>
            </c:extLst>
          </c:dPt>
          <c:dPt>
            <c:idx val="162"/>
            <c:invertIfNegative val="0"/>
            <c:bubble3D val="0"/>
            <c:extLst>
              <c:ext xmlns:c16="http://schemas.microsoft.com/office/drawing/2014/chart" uri="{C3380CC4-5D6E-409C-BE32-E72D297353CC}">
                <c16:uniqueId val="{00000240-B2BF-4554-B6F1-5364CF03D79D}"/>
              </c:ext>
            </c:extLst>
          </c:dPt>
          <c:dPt>
            <c:idx val="163"/>
            <c:invertIfNegative val="0"/>
            <c:bubble3D val="0"/>
            <c:extLst>
              <c:ext xmlns:c16="http://schemas.microsoft.com/office/drawing/2014/chart" uri="{C3380CC4-5D6E-409C-BE32-E72D297353CC}">
                <c16:uniqueId val="{00000241-B2BF-4554-B6F1-5364CF03D79D}"/>
              </c:ext>
            </c:extLst>
          </c:dPt>
          <c:dPt>
            <c:idx val="164"/>
            <c:invertIfNegative val="0"/>
            <c:bubble3D val="0"/>
            <c:extLst>
              <c:ext xmlns:c16="http://schemas.microsoft.com/office/drawing/2014/chart" uri="{C3380CC4-5D6E-409C-BE32-E72D297353CC}">
                <c16:uniqueId val="{00000242-B2BF-4554-B6F1-5364CF03D79D}"/>
              </c:ext>
            </c:extLst>
          </c:dPt>
          <c:dPt>
            <c:idx val="165"/>
            <c:invertIfNegative val="0"/>
            <c:bubble3D val="0"/>
            <c:extLst>
              <c:ext xmlns:c16="http://schemas.microsoft.com/office/drawing/2014/chart" uri="{C3380CC4-5D6E-409C-BE32-E72D297353CC}">
                <c16:uniqueId val="{00000243-B2BF-4554-B6F1-5364CF03D79D}"/>
              </c:ext>
            </c:extLst>
          </c:dPt>
          <c:dPt>
            <c:idx val="166"/>
            <c:invertIfNegative val="0"/>
            <c:bubble3D val="0"/>
            <c:extLst>
              <c:ext xmlns:c16="http://schemas.microsoft.com/office/drawing/2014/chart" uri="{C3380CC4-5D6E-409C-BE32-E72D297353CC}">
                <c16:uniqueId val="{00000244-B2BF-4554-B6F1-5364CF03D79D}"/>
              </c:ext>
            </c:extLst>
          </c:dPt>
          <c:dPt>
            <c:idx val="167"/>
            <c:invertIfNegative val="0"/>
            <c:bubble3D val="0"/>
            <c:extLst>
              <c:ext xmlns:c16="http://schemas.microsoft.com/office/drawing/2014/chart" uri="{C3380CC4-5D6E-409C-BE32-E72D297353CC}">
                <c16:uniqueId val="{00000245-B2BF-4554-B6F1-5364CF03D79D}"/>
              </c:ext>
            </c:extLst>
          </c:dPt>
          <c:dPt>
            <c:idx val="168"/>
            <c:invertIfNegative val="0"/>
            <c:bubble3D val="0"/>
            <c:extLst>
              <c:ext xmlns:c16="http://schemas.microsoft.com/office/drawing/2014/chart" uri="{C3380CC4-5D6E-409C-BE32-E72D297353CC}">
                <c16:uniqueId val="{00000246-B2BF-4554-B6F1-5364CF03D79D}"/>
              </c:ext>
            </c:extLst>
          </c:dPt>
          <c:dPt>
            <c:idx val="169"/>
            <c:invertIfNegative val="0"/>
            <c:bubble3D val="0"/>
            <c:extLst>
              <c:ext xmlns:c16="http://schemas.microsoft.com/office/drawing/2014/chart" uri="{C3380CC4-5D6E-409C-BE32-E72D297353CC}">
                <c16:uniqueId val="{00000247-B2BF-4554-B6F1-5364CF03D79D}"/>
              </c:ext>
            </c:extLst>
          </c:dPt>
          <c:dPt>
            <c:idx val="170"/>
            <c:invertIfNegative val="0"/>
            <c:bubble3D val="0"/>
            <c:extLst>
              <c:ext xmlns:c16="http://schemas.microsoft.com/office/drawing/2014/chart" uri="{C3380CC4-5D6E-409C-BE32-E72D297353CC}">
                <c16:uniqueId val="{00000248-B2BF-4554-B6F1-5364CF03D79D}"/>
              </c:ext>
            </c:extLst>
          </c:dPt>
          <c:dPt>
            <c:idx val="171"/>
            <c:invertIfNegative val="0"/>
            <c:bubble3D val="0"/>
            <c:extLst>
              <c:ext xmlns:c16="http://schemas.microsoft.com/office/drawing/2014/chart" uri="{C3380CC4-5D6E-409C-BE32-E72D297353CC}">
                <c16:uniqueId val="{00000249-B2BF-4554-B6F1-5364CF03D79D}"/>
              </c:ext>
            </c:extLst>
          </c:dPt>
          <c:dPt>
            <c:idx val="172"/>
            <c:invertIfNegative val="0"/>
            <c:bubble3D val="0"/>
            <c:extLst>
              <c:ext xmlns:c16="http://schemas.microsoft.com/office/drawing/2014/chart" uri="{C3380CC4-5D6E-409C-BE32-E72D297353CC}">
                <c16:uniqueId val="{0000024A-B2BF-4554-B6F1-5364CF03D79D}"/>
              </c:ext>
            </c:extLst>
          </c:dPt>
          <c:dPt>
            <c:idx val="173"/>
            <c:invertIfNegative val="0"/>
            <c:bubble3D val="0"/>
            <c:extLst>
              <c:ext xmlns:c16="http://schemas.microsoft.com/office/drawing/2014/chart" uri="{C3380CC4-5D6E-409C-BE32-E72D297353CC}">
                <c16:uniqueId val="{0000024B-B2BF-4554-B6F1-5364CF03D79D}"/>
              </c:ext>
            </c:extLst>
          </c:dPt>
          <c:dPt>
            <c:idx val="174"/>
            <c:invertIfNegative val="0"/>
            <c:bubble3D val="0"/>
            <c:extLst>
              <c:ext xmlns:c16="http://schemas.microsoft.com/office/drawing/2014/chart" uri="{C3380CC4-5D6E-409C-BE32-E72D297353CC}">
                <c16:uniqueId val="{0000024C-B2BF-4554-B6F1-5364CF03D79D}"/>
              </c:ext>
            </c:extLst>
          </c:dPt>
          <c:dPt>
            <c:idx val="175"/>
            <c:invertIfNegative val="0"/>
            <c:bubble3D val="0"/>
            <c:extLst>
              <c:ext xmlns:c16="http://schemas.microsoft.com/office/drawing/2014/chart" uri="{C3380CC4-5D6E-409C-BE32-E72D297353CC}">
                <c16:uniqueId val="{0000024D-B2BF-4554-B6F1-5364CF03D79D}"/>
              </c:ext>
            </c:extLst>
          </c:dPt>
          <c:dPt>
            <c:idx val="176"/>
            <c:invertIfNegative val="0"/>
            <c:bubble3D val="0"/>
            <c:extLst>
              <c:ext xmlns:c16="http://schemas.microsoft.com/office/drawing/2014/chart" uri="{C3380CC4-5D6E-409C-BE32-E72D297353CC}">
                <c16:uniqueId val="{0000024E-B2BF-4554-B6F1-5364CF03D79D}"/>
              </c:ext>
            </c:extLst>
          </c:dPt>
          <c:dPt>
            <c:idx val="177"/>
            <c:invertIfNegative val="0"/>
            <c:bubble3D val="0"/>
            <c:extLst>
              <c:ext xmlns:c16="http://schemas.microsoft.com/office/drawing/2014/chart" uri="{C3380CC4-5D6E-409C-BE32-E72D297353CC}">
                <c16:uniqueId val="{0000024F-B2BF-4554-B6F1-5364CF03D79D}"/>
              </c:ext>
            </c:extLst>
          </c:dPt>
          <c:dPt>
            <c:idx val="178"/>
            <c:invertIfNegative val="0"/>
            <c:bubble3D val="0"/>
            <c:extLst>
              <c:ext xmlns:c16="http://schemas.microsoft.com/office/drawing/2014/chart" uri="{C3380CC4-5D6E-409C-BE32-E72D297353CC}">
                <c16:uniqueId val="{00000250-B2BF-4554-B6F1-5364CF03D79D}"/>
              </c:ext>
            </c:extLst>
          </c:dPt>
          <c:dPt>
            <c:idx val="179"/>
            <c:invertIfNegative val="0"/>
            <c:bubble3D val="0"/>
            <c:extLst>
              <c:ext xmlns:c16="http://schemas.microsoft.com/office/drawing/2014/chart" uri="{C3380CC4-5D6E-409C-BE32-E72D297353CC}">
                <c16:uniqueId val="{00000251-B2BF-4554-B6F1-5364CF03D79D}"/>
              </c:ext>
            </c:extLst>
          </c:dPt>
          <c:dPt>
            <c:idx val="180"/>
            <c:invertIfNegative val="0"/>
            <c:bubble3D val="0"/>
            <c:extLst>
              <c:ext xmlns:c16="http://schemas.microsoft.com/office/drawing/2014/chart" uri="{C3380CC4-5D6E-409C-BE32-E72D297353CC}">
                <c16:uniqueId val="{00000252-B2BF-4554-B6F1-5364CF03D79D}"/>
              </c:ext>
            </c:extLst>
          </c:dPt>
          <c:dPt>
            <c:idx val="181"/>
            <c:invertIfNegative val="0"/>
            <c:bubble3D val="0"/>
            <c:extLst>
              <c:ext xmlns:c16="http://schemas.microsoft.com/office/drawing/2014/chart" uri="{C3380CC4-5D6E-409C-BE32-E72D297353CC}">
                <c16:uniqueId val="{00000253-B2BF-4554-B6F1-5364CF03D79D}"/>
              </c:ext>
            </c:extLst>
          </c:dPt>
          <c:dPt>
            <c:idx val="182"/>
            <c:invertIfNegative val="0"/>
            <c:bubble3D val="0"/>
            <c:extLst>
              <c:ext xmlns:c16="http://schemas.microsoft.com/office/drawing/2014/chart" uri="{C3380CC4-5D6E-409C-BE32-E72D297353CC}">
                <c16:uniqueId val="{00000254-B2BF-4554-B6F1-5364CF03D79D}"/>
              </c:ext>
            </c:extLst>
          </c:dPt>
          <c:dPt>
            <c:idx val="183"/>
            <c:invertIfNegative val="0"/>
            <c:bubble3D val="0"/>
            <c:extLst>
              <c:ext xmlns:c16="http://schemas.microsoft.com/office/drawing/2014/chart" uri="{C3380CC4-5D6E-409C-BE32-E72D297353CC}">
                <c16:uniqueId val="{00000255-B2BF-4554-B6F1-5364CF03D79D}"/>
              </c:ext>
            </c:extLst>
          </c:dPt>
          <c:dPt>
            <c:idx val="184"/>
            <c:invertIfNegative val="0"/>
            <c:bubble3D val="0"/>
            <c:extLst>
              <c:ext xmlns:c16="http://schemas.microsoft.com/office/drawing/2014/chart" uri="{C3380CC4-5D6E-409C-BE32-E72D297353CC}">
                <c16:uniqueId val="{00000256-B2BF-4554-B6F1-5364CF03D79D}"/>
              </c:ext>
            </c:extLst>
          </c:dPt>
          <c:dPt>
            <c:idx val="185"/>
            <c:invertIfNegative val="0"/>
            <c:bubble3D val="0"/>
            <c:extLst>
              <c:ext xmlns:c16="http://schemas.microsoft.com/office/drawing/2014/chart" uri="{C3380CC4-5D6E-409C-BE32-E72D297353CC}">
                <c16:uniqueId val="{00000257-B2BF-4554-B6F1-5364CF03D79D}"/>
              </c:ext>
            </c:extLst>
          </c:dPt>
          <c:dPt>
            <c:idx val="186"/>
            <c:invertIfNegative val="0"/>
            <c:bubble3D val="0"/>
            <c:extLst>
              <c:ext xmlns:c16="http://schemas.microsoft.com/office/drawing/2014/chart" uri="{C3380CC4-5D6E-409C-BE32-E72D297353CC}">
                <c16:uniqueId val="{00000258-B2BF-4554-B6F1-5364CF03D79D}"/>
              </c:ext>
            </c:extLst>
          </c:dPt>
          <c:dPt>
            <c:idx val="187"/>
            <c:invertIfNegative val="0"/>
            <c:bubble3D val="0"/>
            <c:extLst>
              <c:ext xmlns:c16="http://schemas.microsoft.com/office/drawing/2014/chart" uri="{C3380CC4-5D6E-409C-BE32-E72D297353CC}">
                <c16:uniqueId val="{00000259-B2BF-4554-B6F1-5364CF03D79D}"/>
              </c:ext>
            </c:extLst>
          </c:dPt>
          <c:dPt>
            <c:idx val="188"/>
            <c:invertIfNegative val="0"/>
            <c:bubble3D val="0"/>
            <c:extLst>
              <c:ext xmlns:c16="http://schemas.microsoft.com/office/drawing/2014/chart" uri="{C3380CC4-5D6E-409C-BE32-E72D297353CC}">
                <c16:uniqueId val="{0000025A-B2BF-4554-B6F1-5364CF03D79D}"/>
              </c:ext>
            </c:extLst>
          </c:dPt>
          <c:dPt>
            <c:idx val="189"/>
            <c:invertIfNegative val="0"/>
            <c:bubble3D val="0"/>
            <c:extLst>
              <c:ext xmlns:c16="http://schemas.microsoft.com/office/drawing/2014/chart" uri="{C3380CC4-5D6E-409C-BE32-E72D297353CC}">
                <c16:uniqueId val="{0000025B-B2BF-4554-B6F1-5364CF03D79D}"/>
              </c:ext>
            </c:extLst>
          </c:dPt>
          <c:dPt>
            <c:idx val="190"/>
            <c:invertIfNegative val="0"/>
            <c:bubble3D val="0"/>
            <c:extLst>
              <c:ext xmlns:c16="http://schemas.microsoft.com/office/drawing/2014/chart" uri="{C3380CC4-5D6E-409C-BE32-E72D297353CC}">
                <c16:uniqueId val="{0000025C-B2BF-4554-B6F1-5364CF03D79D}"/>
              </c:ext>
            </c:extLst>
          </c:dPt>
          <c:dPt>
            <c:idx val="191"/>
            <c:invertIfNegative val="0"/>
            <c:bubble3D val="0"/>
            <c:extLst>
              <c:ext xmlns:c16="http://schemas.microsoft.com/office/drawing/2014/chart" uri="{C3380CC4-5D6E-409C-BE32-E72D297353CC}">
                <c16:uniqueId val="{0000025D-B2BF-4554-B6F1-5364CF03D79D}"/>
              </c:ext>
            </c:extLst>
          </c:dPt>
          <c:dPt>
            <c:idx val="192"/>
            <c:invertIfNegative val="0"/>
            <c:bubble3D val="0"/>
            <c:extLst>
              <c:ext xmlns:c16="http://schemas.microsoft.com/office/drawing/2014/chart" uri="{C3380CC4-5D6E-409C-BE32-E72D297353CC}">
                <c16:uniqueId val="{0000025E-B2BF-4554-B6F1-5364CF03D79D}"/>
              </c:ext>
            </c:extLst>
          </c:dPt>
          <c:dPt>
            <c:idx val="193"/>
            <c:invertIfNegative val="0"/>
            <c:bubble3D val="0"/>
            <c:extLst>
              <c:ext xmlns:c16="http://schemas.microsoft.com/office/drawing/2014/chart" uri="{C3380CC4-5D6E-409C-BE32-E72D297353CC}">
                <c16:uniqueId val="{0000025F-B2BF-4554-B6F1-5364CF03D79D}"/>
              </c:ext>
            </c:extLst>
          </c:dPt>
          <c:dPt>
            <c:idx val="194"/>
            <c:invertIfNegative val="0"/>
            <c:bubble3D val="0"/>
            <c:extLst>
              <c:ext xmlns:c16="http://schemas.microsoft.com/office/drawing/2014/chart" uri="{C3380CC4-5D6E-409C-BE32-E72D297353CC}">
                <c16:uniqueId val="{00000260-B2BF-4554-B6F1-5364CF03D79D}"/>
              </c:ext>
            </c:extLst>
          </c:dPt>
          <c:dPt>
            <c:idx val="195"/>
            <c:invertIfNegative val="0"/>
            <c:bubble3D val="0"/>
            <c:extLst>
              <c:ext xmlns:c16="http://schemas.microsoft.com/office/drawing/2014/chart" uri="{C3380CC4-5D6E-409C-BE32-E72D297353CC}">
                <c16:uniqueId val="{00000261-B2BF-4554-B6F1-5364CF03D79D}"/>
              </c:ext>
            </c:extLst>
          </c:dPt>
          <c:dPt>
            <c:idx val="196"/>
            <c:invertIfNegative val="0"/>
            <c:bubble3D val="0"/>
            <c:extLst>
              <c:ext xmlns:c16="http://schemas.microsoft.com/office/drawing/2014/chart" uri="{C3380CC4-5D6E-409C-BE32-E72D297353CC}">
                <c16:uniqueId val="{00000262-B2BF-4554-B6F1-5364CF03D79D}"/>
              </c:ext>
            </c:extLst>
          </c:dPt>
          <c:dPt>
            <c:idx val="197"/>
            <c:invertIfNegative val="0"/>
            <c:bubble3D val="0"/>
            <c:extLst>
              <c:ext xmlns:c16="http://schemas.microsoft.com/office/drawing/2014/chart" uri="{C3380CC4-5D6E-409C-BE32-E72D297353CC}">
                <c16:uniqueId val="{00000263-B2BF-4554-B6F1-5364CF03D79D}"/>
              </c:ext>
            </c:extLst>
          </c:dPt>
          <c:dPt>
            <c:idx val="198"/>
            <c:invertIfNegative val="0"/>
            <c:bubble3D val="0"/>
            <c:extLst>
              <c:ext xmlns:c16="http://schemas.microsoft.com/office/drawing/2014/chart" uri="{C3380CC4-5D6E-409C-BE32-E72D297353CC}">
                <c16:uniqueId val="{00000264-B2BF-4554-B6F1-5364CF03D79D}"/>
              </c:ext>
            </c:extLst>
          </c:dPt>
          <c:dPt>
            <c:idx val="199"/>
            <c:invertIfNegative val="0"/>
            <c:bubble3D val="0"/>
            <c:extLst>
              <c:ext xmlns:c16="http://schemas.microsoft.com/office/drawing/2014/chart" uri="{C3380CC4-5D6E-409C-BE32-E72D297353CC}">
                <c16:uniqueId val="{00000265-B2BF-4554-B6F1-5364CF03D79D}"/>
              </c:ext>
            </c:extLst>
          </c:dPt>
          <c:dPt>
            <c:idx val="200"/>
            <c:invertIfNegative val="0"/>
            <c:bubble3D val="0"/>
            <c:extLst>
              <c:ext xmlns:c16="http://schemas.microsoft.com/office/drawing/2014/chart" uri="{C3380CC4-5D6E-409C-BE32-E72D297353CC}">
                <c16:uniqueId val="{00000266-B2BF-4554-B6F1-5364CF03D79D}"/>
              </c:ext>
            </c:extLst>
          </c:dPt>
          <c:dPt>
            <c:idx val="201"/>
            <c:invertIfNegative val="0"/>
            <c:bubble3D val="0"/>
            <c:extLst>
              <c:ext xmlns:c16="http://schemas.microsoft.com/office/drawing/2014/chart" uri="{C3380CC4-5D6E-409C-BE32-E72D297353CC}">
                <c16:uniqueId val="{00000267-B2BF-4554-B6F1-5364CF03D79D}"/>
              </c:ext>
            </c:extLst>
          </c:dPt>
          <c:dPt>
            <c:idx val="202"/>
            <c:invertIfNegative val="0"/>
            <c:bubble3D val="0"/>
            <c:extLst>
              <c:ext xmlns:c16="http://schemas.microsoft.com/office/drawing/2014/chart" uri="{C3380CC4-5D6E-409C-BE32-E72D297353CC}">
                <c16:uniqueId val="{00000268-B2BF-4554-B6F1-5364CF03D79D}"/>
              </c:ext>
            </c:extLst>
          </c:dPt>
          <c:dPt>
            <c:idx val="203"/>
            <c:invertIfNegative val="0"/>
            <c:bubble3D val="0"/>
            <c:extLst>
              <c:ext xmlns:c16="http://schemas.microsoft.com/office/drawing/2014/chart" uri="{C3380CC4-5D6E-409C-BE32-E72D297353CC}">
                <c16:uniqueId val="{00000269-B2BF-4554-B6F1-5364CF03D79D}"/>
              </c:ext>
            </c:extLst>
          </c:dPt>
          <c:dPt>
            <c:idx val="204"/>
            <c:invertIfNegative val="0"/>
            <c:bubble3D val="0"/>
            <c:extLst>
              <c:ext xmlns:c16="http://schemas.microsoft.com/office/drawing/2014/chart" uri="{C3380CC4-5D6E-409C-BE32-E72D297353CC}">
                <c16:uniqueId val="{0000026A-B2BF-4554-B6F1-5364CF03D79D}"/>
              </c:ext>
            </c:extLst>
          </c:dPt>
          <c:dPt>
            <c:idx val="205"/>
            <c:invertIfNegative val="0"/>
            <c:bubble3D val="0"/>
            <c:extLst>
              <c:ext xmlns:c16="http://schemas.microsoft.com/office/drawing/2014/chart" uri="{C3380CC4-5D6E-409C-BE32-E72D297353CC}">
                <c16:uniqueId val="{0000026B-B2BF-4554-B6F1-5364CF03D79D}"/>
              </c:ext>
            </c:extLst>
          </c:dPt>
          <c:dPt>
            <c:idx val="206"/>
            <c:invertIfNegative val="0"/>
            <c:bubble3D val="0"/>
            <c:extLst>
              <c:ext xmlns:c16="http://schemas.microsoft.com/office/drawing/2014/chart" uri="{C3380CC4-5D6E-409C-BE32-E72D297353CC}">
                <c16:uniqueId val="{0000026C-B2BF-4554-B6F1-5364CF03D79D}"/>
              </c:ext>
            </c:extLst>
          </c:dPt>
          <c:dPt>
            <c:idx val="207"/>
            <c:invertIfNegative val="0"/>
            <c:bubble3D val="0"/>
            <c:extLst>
              <c:ext xmlns:c16="http://schemas.microsoft.com/office/drawing/2014/chart" uri="{C3380CC4-5D6E-409C-BE32-E72D297353CC}">
                <c16:uniqueId val="{0000026D-B2BF-4554-B6F1-5364CF03D79D}"/>
              </c:ext>
            </c:extLst>
          </c:dPt>
          <c:dPt>
            <c:idx val="208"/>
            <c:invertIfNegative val="0"/>
            <c:bubble3D val="0"/>
            <c:extLst>
              <c:ext xmlns:c16="http://schemas.microsoft.com/office/drawing/2014/chart" uri="{C3380CC4-5D6E-409C-BE32-E72D297353CC}">
                <c16:uniqueId val="{0000026E-B2BF-4554-B6F1-5364CF03D79D}"/>
              </c:ext>
            </c:extLst>
          </c:dPt>
          <c:dPt>
            <c:idx val="209"/>
            <c:invertIfNegative val="0"/>
            <c:bubble3D val="0"/>
            <c:extLst>
              <c:ext xmlns:c16="http://schemas.microsoft.com/office/drawing/2014/chart" uri="{C3380CC4-5D6E-409C-BE32-E72D297353CC}">
                <c16:uniqueId val="{0000026F-B2BF-4554-B6F1-5364CF03D79D}"/>
              </c:ext>
            </c:extLst>
          </c:dPt>
          <c:dPt>
            <c:idx val="210"/>
            <c:invertIfNegative val="0"/>
            <c:bubble3D val="0"/>
            <c:extLst>
              <c:ext xmlns:c16="http://schemas.microsoft.com/office/drawing/2014/chart" uri="{C3380CC4-5D6E-409C-BE32-E72D297353CC}">
                <c16:uniqueId val="{00000270-B2BF-4554-B6F1-5364CF03D79D}"/>
              </c:ext>
            </c:extLst>
          </c:dPt>
          <c:dPt>
            <c:idx val="211"/>
            <c:invertIfNegative val="0"/>
            <c:bubble3D val="0"/>
            <c:extLst>
              <c:ext xmlns:c16="http://schemas.microsoft.com/office/drawing/2014/chart" uri="{C3380CC4-5D6E-409C-BE32-E72D297353CC}">
                <c16:uniqueId val="{00000271-B2BF-4554-B6F1-5364CF03D79D}"/>
              </c:ext>
            </c:extLst>
          </c:dPt>
          <c:dPt>
            <c:idx val="212"/>
            <c:invertIfNegative val="0"/>
            <c:bubble3D val="0"/>
            <c:extLst>
              <c:ext xmlns:c16="http://schemas.microsoft.com/office/drawing/2014/chart" uri="{C3380CC4-5D6E-409C-BE32-E72D297353CC}">
                <c16:uniqueId val="{00000272-B2BF-4554-B6F1-5364CF03D79D}"/>
              </c:ext>
            </c:extLst>
          </c:dPt>
          <c:dPt>
            <c:idx val="213"/>
            <c:invertIfNegative val="0"/>
            <c:bubble3D val="0"/>
            <c:extLst>
              <c:ext xmlns:c16="http://schemas.microsoft.com/office/drawing/2014/chart" uri="{C3380CC4-5D6E-409C-BE32-E72D297353CC}">
                <c16:uniqueId val="{00000273-B2BF-4554-B6F1-5364CF03D79D}"/>
              </c:ext>
            </c:extLst>
          </c:dPt>
          <c:dPt>
            <c:idx val="214"/>
            <c:invertIfNegative val="0"/>
            <c:bubble3D val="0"/>
            <c:extLst>
              <c:ext xmlns:c16="http://schemas.microsoft.com/office/drawing/2014/chart" uri="{C3380CC4-5D6E-409C-BE32-E72D297353CC}">
                <c16:uniqueId val="{00000274-B2BF-4554-B6F1-5364CF03D79D}"/>
              </c:ext>
            </c:extLst>
          </c:dPt>
          <c:dPt>
            <c:idx val="215"/>
            <c:invertIfNegative val="0"/>
            <c:bubble3D val="0"/>
            <c:extLst>
              <c:ext xmlns:c16="http://schemas.microsoft.com/office/drawing/2014/chart" uri="{C3380CC4-5D6E-409C-BE32-E72D297353CC}">
                <c16:uniqueId val="{00000275-B2BF-4554-B6F1-5364CF03D79D}"/>
              </c:ext>
            </c:extLst>
          </c:dPt>
          <c:dPt>
            <c:idx val="216"/>
            <c:invertIfNegative val="0"/>
            <c:bubble3D val="0"/>
            <c:extLst>
              <c:ext xmlns:c16="http://schemas.microsoft.com/office/drawing/2014/chart" uri="{C3380CC4-5D6E-409C-BE32-E72D297353CC}">
                <c16:uniqueId val="{00000276-B2BF-4554-B6F1-5364CF03D79D}"/>
              </c:ext>
            </c:extLst>
          </c:dPt>
          <c:dPt>
            <c:idx val="217"/>
            <c:invertIfNegative val="0"/>
            <c:bubble3D val="0"/>
            <c:extLst>
              <c:ext xmlns:c16="http://schemas.microsoft.com/office/drawing/2014/chart" uri="{C3380CC4-5D6E-409C-BE32-E72D297353CC}">
                <c16:uniqueId val="{00000277-B2BF-4554-B6F1-5364CF03D79D}"/>
              </c:ext>
            </c:extLst>
          </c:dPt>
          <c:dPt>
            <c:idx val="218"/>
            <c:invertIfNegative val="0"/>
            <c:bubble3D val="0"/>
            <c:extLst>
              <c:ext xmlns:c16="http://schemas.microsoft.com/office/drawing/2014/chart" uri="{C3380CC4-5D6E-409C-BE32-E72D297353CC}">
                <c16:uniqueId val="{00000278-B2BF-4554-B6F1-5364CF03D79D}"/>
              </c:ext>
            </c:extLst>
          </c:dPt>
          <c:dPt>
            <c:idx val="219"/>
            <c:invertIfNegative val="0"/>
            <c:bubble3D val="0"/>
            <c:extLst>
              <c:ext xmlns:c16="http://schemas.microsoft.com/office/drawing/2014/chart" uri="{C3380CC4-5D6E-409C-BE32-E72D297353CC}">
                <c16:uniqueId val="{00000279-B2BF-4554-B6F1-5364CF03D79D}"/>
              </c:ext>
            </c:extLst>
          </c:dPt>
          <c:dPt>
            <c:idx val="220"/>
            <c:invertIfNegative val="0"/>
            <c:bubble3D val="0"/>
            <c:extLst>
              <c:ext xmlns:c16="http://schemas.microsoft.com/office/drawing/2014/chart" uri="{C3380CC4-5D6E-409C-BE32-E72D297353CC}">
                <c16:uniqueId val="{0000027A-B2BF-4554-B6F1-5364CF03D79D}"/>
              </c:ext>
            </c:extLst>
          </c:dPt>
          <c:dPt>
            <c:idx val="221"/>
            <c:invertIfNegative val="0"/>
            <c:bubble3D val="0"/>
            <c:extLst>
              <c:ext xmlns:c16="http://schemas.microsoft.com/office/drawing/2014/chart" uri="{C3380CC4-5D6E-409C-BE32-E72D297353CC}">
                <c16:uniqueId val="{0000027B-B2BF-4554-B6F1-5364CF03D79D}"/>
              </c:ext>
            </c:extLst>
          </c:dPt>
          <c:dPt>
            <c:idx val="222"/>
            <c:invertIfNegative val="0"/>
            <c:bubble3D val="0"/>
            <c:extLst>
              <c:ext xmlns:c16="http://schemas.microsoft.com/office/drawing/2014/chart" uri="{C3380CC4-5D6E-409C-BE32-E72D297353CC}">
                <c16:uniqueId val="{0000027C-B2BF-4554-B6F1-5364CF03D79D}"/>
              </c:ext>
            </c:extLst>
          </c:dPt>
          <c:dPt>
            <c:idx val="223"/>
            <c:invertIfNegative val="0"/>
            <c:bubble3D val="0"/>
            <c:extLst>
              <c:ext xmlns:c16="http://schemas.microsoft.com/office/drawing/2014/chart" uri="{C3380CC4-5D6E-409C-BE32-E72D297353CC}">
                <c16:uniqueId val="{0000027D-B2BF-4554-B6F1-5364CF03D79D}"/>
              </c:ext>
            </c:extLst>
          </c:dPt>
          <c:dPt>
            <c:idx val="224"/>
            <c:invertIfNegative val="0"/>
            <c:bubble3D val="0"/>
            <c:extLst>
              <c:ext xmlns:c16="http://schemas.microsoft.com/office/drawing/2014/chart" uri="{C3380CC4-5D6E-409C-BE32-E72D297353CC}">
                <c16:uniqueId val="{0000027E-B2BF-4554-B6F1-5364CF03D79D}"/>
              </c:ext>
            </c:extLst>
          </c:dPt>
          <c:dPt>
            <c:idx val="225"/>
            <c:invertIfNegative val="0"/>
            <c:bubble3D val="0"/>
            <c:extLst>
              <c:ext xmlns:c16="http://schemas.microsoft.com/office/drawing/2014/chart" uri="{C3380CC4-5D6E-409C-BE32-E72D297353CC}">
                <c16:uniqueId val="{0000027F-B2BF-4554-B6F1-5364CF03D79D}"/>
              </c:ext>
            </c:extLst>
          </c:dPt>
          <c:dPt>
            <c:idx val="226"/>
            <c:invertIfNegative val="0"/>
            <c:bubble3D val="0"/>
            <c:extLst>
              <c:ext xmlns:c16="http://schemas.microsoft.com/office/drawing/2014/chart" uri="{C3380CC4-5D6E-409C-BE32-E72D297353CC}">
                <c16:uniqueId val="{00000280-B2BF-4554-B6F1-5364CF03D79D}"/>
              </c:ext>
            </c:extLst>
          </c:dPt>
          <c:dPt>
            <c:idx val="227"/>
            <c:invertIfNegative val="0"/>
            <c:bubble3D val="0"/>
            <c:extLst>
              <c:ext xmlns:c16="http://schemas.microsoft.com/office/drawing/2014/chart" uri="{C3380CC4-5D6E-409C-BE32-E72D297353CC}">
                <c16:uniqueId val="{00000281-B2BF-4554-B6F1-5364CF03D79D}"/>
              </c:ext>
            </c:extLst>
          </c:dPt>
          <c:dPt>
            <c:idx val="228"/>
            <c:invertIfNegative val="0"/>
            <c:bubble3D val="0"/>
            <c:extLst>
              <c:ext xmlns:c16="http://schemas.microsoft.com/office/drawing/2014/chart" uri="{C3380CC4-5D6E-409C-BE32-E72D297353CC}">
                <c16:uniqueId val="{00000282-B2BF-4554-B6F1-5364CF03D79D}"/>
              </c:ext>
            </c:extLst>
          </c:dPt>
          <c:dPt>
            <c:idx val="229"/>
            <c:invertIfNegative val="0"/>
            <c:bubble3D val="0"/>
            <c:extLst>
              <c:ext xmlns:c16="http://schemas.microsoft.com/office/drawing/2014/chart" uri="{C3380CC4-5D6E-409C-BE32-E72D297353CC}">
                <c16:uniqueId val="{00000283-B2BF-4554-B6F1-5364CF03D79D}"/>
              </c:ext>
            </c:extLst>
          </c:dPt>
          <c:dPt>
            <c:idx val="230"/>
            <c:invertIfNegative val="0"/>
            <c:bubble3D val="0"/>
            <c:extLst>
              <c:ext xmlns:c16="http://schemas.microsoft.com/office/drawing/2014/chart" uri="{C3380CC4-5D6E-409C-BE32-E72D297353CC}">
                <c16:uniqueId val="{00000284-B2BF-4554-B6F1-5364CF03D79D}"/>
              </c:ext>
            </c:extLst>
          </c:dPt>
          <c:dPt>
            <c:idx val="231"/>
            <c:invertIfNegative val="0"/>
            <c:bubble3D val="0"/>
            <c:extLst>
              <c:ext xmlns:c16="http://schemas.microsoft.com/office/drawing/2014/chart" uri="{C3380CC4-5D6E-409C-BE32-E72D297353CC}">
                <c16:uniqueId val="{00000285-B2BF-4554-B6F1-5364CF03D79D}"/>
              </c:ext>
            </c:extLst>
          </c:dPt>
          <c:dPt>
            <c:idx val="232"/>
            <c:invertIfNegative val="0"/>
            <c:bubble3D val="0"/>
            <c:extLst>
              <c:ext xmlns:c16="http://schemas.microsoft.com/office/drawing/2014/chart" uri="{C3380CC4-5D6E-409C-BE32-E72D297353CC}">
                <c16:uniqueId val="{00000286-B2BF-4554-B6F1-5364CF03D79D}"/>
              </c:ext>
            </c:extLst>
          </c:dPt>
          <c:dPt>
            <c:idx val="233"/>
            <c:invertIfNegative val="0"/>
            <c:bubble3D val="0"/>
            <c:extLst>
              <c:ext xmlns:c16="http://schemas.microsoft.com/office/drawing/2014/chart" uri="{C3380CC4-5D6E-409C-BE32-E72D297353CC}">
                <c16:uniqueId val="{00000287-B2BF-4554-B6F1-5364CF03D79D}"/>
              </c:ext>
            </c:extLst>
          </c:dPt>
          <c:dPt>
            <c:idx val="234"/>
            <c:invertIfNegative val="0"/>
            <c:bubble3D val="0"/>
            <c:extLst>
              <c:ext xmlns:c16="http://schemas.microsoft.com/office/drawing/2014/chart" uri="{C3380CC4-5D6E-409C-BE32-E72D297353CC}">
                <c16:uniqueId val="{00000288-B2BF-4554-B6F1-5364CF03D79D}"/>
              </c:ext>
            </c:extLst>
          </c:dPt>
          <c:dPt>
            <c:idx val="235"/>
            <c:invertIfNegative val="0"/>
            <c:bubble3D val="0"/>
            <c:extLst>
              <c:ext xmlns:c16="http://schemas.microsoft.com/office/drawing/2014/chart" uri="{C3380CC4-5D6E-409C-BE32-E72D297353CC}">
                <c16:uniqueId val="{00000289-B2BF-4554-B6F1-5364CF03D79D}"/>
              </c:ext>
            </c:extLst>
          </c:dPt>
          <c:dPt>
            <c:idx val="236"/>
            <c:invertIfNegative val="0"/>
            <c:bubble3D val="0"/>
            <c:extLst>
              <c:ext xmlns:c16="http://schemas.microsoft.com/office/drawing/2014/chart" uri="{C3380CC4-5D6E-409C-BE32-E72D297353CC}">
                <c16:uniqueId val="{0000028A-B2BF-4554-B6F1-5364CF03D79D}"/>
              </c:ext>
            </c:extLst>
          </c:dPt>
          <c:dPt>
            <c:idx val="237"/>
            <c:invertIfNegative val="0"/>
            <c:bubble3D val="0"/>
            <c:extLst>
              <c:ext xmlns:c16="http://schemas.microsoft.com/office/drawing/2014/chart" uri="{C3380CC4-5D6E-409C-BE32-E72D297353CC}">
                <c16:uniqueId val="{0000028B-B2BF-4554-B6F1-5364CF03D79D}"/>
              </c:ext>
            </c:extLst>
          </c:dPt>
          <c:dPt>
            <c:idx val="238"/>
            <c:invertIfNegative val="0"/>
            <c:bubble3D val="0"/>
            <c:extLst>
              <c:ext xmlns:c16="http://schemas.microsoft.com/office/drawing/2014/chart" uri="{C3380CC4-5D6E-409C-BE32-E72D297353CC}">
                <c16:uniqueId val="{0000028C-B2BF-4554-B6F1-5364CF03D79D}"/>
              </c:ext>
            </c:extLst>
          </c:dPt>
          <c:dPt>
            <c:idx val="239"/>
            <c:invertIfNegative val="0"/>
            <c:bubble3D val="0"/>
            <c:extLst>
              <c:ext xmlns:c16="http://schemas.microsoft.com/office/drawing/2014/chart" uri="{C3380CC4-5D6E-409C-BE32-E72D297353CC}">
                <c16:uniqueId val="{0000028D-B2BF-4554-B6F1-5364CF03D79D}"/>
              </c:ext>
            </c:extLst>
          </c:dPt>
          <c:dPt>
            <c:idx val="240"/>
            <c:invertIfNegative val="0"/>
            <c:bubble3D val="0"/>
            <c:extLst>
              <c:ext xmlns:c16="http://schemas.microsoft.com/office/drawing/2014/chart" uri="{C3380CC4-5D6E-409C-BE32-E72D297353CC}">
                <c16:uniqueId val="{0000028E-B2BF-4554-B6F1-5364CF03D79D}"/>
              </c:ext>
            </c:extLst>
          </c:dPt>
          <c:dPt>
            <c:idx val="241"/>
            <c:invertIfNegative val="0"/>
            <c:bubble3D val="0"/>
            <c:extLst>
              <c:ext xmlns:c16="http://schemas.microsoft.com/office/drawing/2014/chart" uri="{C3380CC4-5D6E-409C-BE32-E72D297353CC}">
                <c16:uniqueId val="{0000028F-B2BF-4554-B6F1-5364CF03D79D}"/>
              </c:ext>
            </c:extLst>
          </c:dPt>
          <c:dPt>
            <c:idx val="242"/>
            <c:invertIfNegative val="0"/>
            <c:bubble3D val="0"/>
            <c:extLst>
              <c:ext xmlns:c16="http://schemas.microsoft.com/office/drawing/2014/chart" uri="{C3380CC4-5D6E-409C-BE32-E72D297353CC}">
                <c16:uniqueId val="{00000290-B2BF-4554-B6F1-5364CF03D79D}"/>
              </c:ext>
            </c:extLst>
          </c:dPt>
          <c:dPt>
            <c:idx val="243"/>
            <c:invertIfNegative val="0"/>
            <c:bubble3D val="0"/>
            <c:extLst>
              <c:ext xmlns:c16="http://schemas.microsoft.com/office/drawing/2014/chart" uri="{C3380CC4-5D6E-409C-BE32-E72D297353CC}">
                <c16:uniqueId val="{00000291-B2BF-4554-B6F1-5364CF03D79D}"/>
              </c:ext>
            </c:extLst>
          </c:dPt>
          <c:dPt>
            <c:idx val="244"/>
            <c:invertIfNegative val="0"/>
            <c:bubble3D val="0"/>
            <c:extLst>
              <c:ext xmlns:c16="http://schemas.microsoft.com/office/drawing/2014/chart" uri="{C3380CC4-5D6E-409C-BE32-E72D297353CC}">
                <c16:uniqueId val="{00000292-B2BF-4554-B6F1-5364CF03D79D}"/>
              </c:ext>
            </c:extLst>
          </c:dPt>
          <c:dPt>
            <c:idx val="245"/>
            <c:invertIfNegative val="0"/>
            <c:bubble3D val="0"/>
            <c:extLst>
              <c:ext xmlns:c16="http://schemas.microsoft.com/office/drawing/2014/chart" uri="{C3380CC4-5D6E-409C-BE32-E72D297353CC}">
                <c16:uniqueId val="{00000293-B2BF-4554-B6F1-5364CF03D79D}"/>
              </c:ext>
            </c:extLst>
          </c:dPt>
          <c:dPt>
            <c:idx val="246"/>
            <c:invertIfNegative val="0"/>
            <c:bubble3D val="0"/>
            <c:extLst>
              <c:ext xmlns:c16="http://schemas.microsoft.com/office/drawing/2014/chart" uri="{C3380CC4-5D6E-409C-BE32-E72D297353CC}">
                <c16:uniqueId val="{00000294-B2BF-4554-B6F1-5364CF03D79D}"/>
              </c:ext>
            </c:extLst>
          </c:dPt>
          <c:dPt>
            <c:idx val="247"/>
            <c:invertIfNegative val="0"/>
            <c:bubble3D val="0"/>
            <c:extLst>
              <c:ext xmlns:c16="http://schemas.microsoft.com/office/drawing/2014/chart" uri="{C3380CC4-5D6E-409C-BE32-E72D297353CC}">
                <c16:uniqueId val="{00000295-B2BF-4554-B6F1-5364CF03D79D}"/>
              </c:ext>
            </c:extLst>
          </c:dPt>
          <c:dPt>
            <c:idx val="248"/>
            <c:invertIfNegative val="0"/>
            <c:bubble3D val="0"/>
            <c:extLst>
              <c:ext xmlns:c16="http://schemas.microsoft.com/office/drawing/2014/chart" uri="{C3380CC4-5D6E-409C-BE32-E72D297353CC}">
                <c16:uniqueId val="{00000296-B2BF-4554-B6F1-5364CF03D79D}"/>
              </c:ext>
            </c:extLst>
          </c:dPt>
          <c:dPt>
            <c:idx val="249"/>
            <c:invertIfNegative val="0"/>
            <c:bubble3D val="0"/>
            <c:extLst>
              <c:ext xmlns:c16="http://schemas.microsoft.com/office/drawing/2014/chart" uri="{C3380CC4-5D6E-409C-BE32-E72D297353CC}">
                <c16:uniqueId val="{00000297-B2BF-4554-B6F1-5364CF03D79D}"/>
              </c:ext>
            </c:extLst>
          </c:dPt>
          <c:dPt>
            <c:idx val="250"/>
            <c:invertIfNegative val="0"/>
            <c:bubble3D val="0"/>
            <c:extLst>
              <c:ext xmlns:c16="http://schemas.microsoft.com/office/drawing/2014/chart" uri="{C3380CC4-5D6E-409C-BE32-E72D297353CC}">
                <c16:uniqueId val="{00000298-B2BF-4554-B6F1-5364CF03D79D}"/>
              </c:ext>
            </c:extLst>
          </c:dPt>
          <c:dPt>
            <c:idx val="251"/>
            <c:invertIfNegative val="0"/>
            <c:bubble3D val="0"/>
            <c:extLst>
              <c:ext xmlns:c16="http://schemas.microsoft.com/office/drawing/2014/chart" uri="{C3380CC4-5D6E-409C-BE32-E72D297353CC}">
                <c16:uniqueId val="{00000299-B2BF-4554-B6F1-5364CF03D79D}"/>
              </c:ext>
            </c:extLst>
          </c:dPt>
          <c:dPt>
            <c:idx val="252"/>
            <c:invertIfNegative val="0"/>
            <c:bubble3D val="0"/>
            <c:extLst>
              <c:ext xmlns:c16="http://schemas.microsoft.com/office/drawing/2014/chart" uri="{C3380CC4-5D6E-409C-BE32-E72D297353CC}">
                <c16:uniqueId val="{0000029A-B2BF-4554-B6F1-5364CF03D79D}"/>
              </c:ext>
            </c:extLst>
          </c:dPt>
          <c:dPt>
            <c:idx val="253"/>
            <c:invertIfNegative val="0"/>
            <c:bubble3D val="0"/>
            <c:extLst>
              <c:ext xmlns:c16="http://schemas.microsoft.com/office/drawing/2014/chart" uri="{C3380CC4-5D6E-409C-BE32-E72D297353CC}">
                <c16:uniqueId val="{0000029B-B2BF-4554-B6F1-5364CF03D79D}"/>
              </c:ext>
            </c:extLst>
          </c:dPt>
          <c:dPt>
            <c:idx val="254"/>
            <c:invertIfNegative val="0"/>
            <c:bubble3D val="0"/>
            <c:extLst>
              <c:ext xmlns:c16="http://schemas.microsoft.com/office/drawing/2014/chart" uri="{C3380CC4-5D6E-409C-BE32-E72D297353CC}">
                <c16:uniqueId val="{0000029C-B2BF-4554-B6F1-5364CF03D79D}"/>
              </c:ext>
            </c:extLst>
          </c:dPt>
          <c:dPt>
            <c:idx val="255"/>
            <c:invertIfNegative val="0"/>
            <c:bubble3D val="0"/>
            <c:extLst>
              <c:ext xmlns:c16="http://schemas.microsoft.com/office/drawing/2014/chart" uri="{C3380CC4-5D6E-409C-BE32-E72D297353CC}">
                <c16:uniqueId val="{0000029D-B2BF-4554-B6F1-5364CF03D79D}"/>
              </c:ext>
            </c:extLst>
          </c:dPt>
          <c:dPt>
            <c:idx val="256"/>
            <c:invertIfNegative val="0"/>
            <c:bubble3D val="0"/>
            <c:extLst>
              <c:ext xmlns:c16="http://schemas.microsoft.com/office/drawing/2014/chart" uri="{C3380CC4-5D6E-409C-BE32-E72D297353CC}">
                <c16:uniqueId val="{0000029E-B2BF-4554-B6F1-5364CF03D79D}"/>
              </c:ext>
            </c:extLst>
          </c:dPt>
          <c:dPt>
            <c:idx val="257"/>
            <c:invertIfNegative val="0"/>
            <c:bubble3D val="0"/>
            <c:extLst>
              <c:ext xmlns:c16="http://schemas.microsoft.com/office/drawing/2014/chart" uri="{C3380CC4-5D6E-409C-BE32-E72D297353CC}">
                <c16:uniqueId val="{0000029F-B2BF-4554-B6F1-5364CF03D79D}"/>
              </c:ext>
            </c:extLst>
          </c:dPt>
          <c:dPt>
            <c:idx val="258"/>
            <c:invertIfNegative val="0"/>
            <c:bubble3D val="0"/>
            <c:extLst>
              <c:ext xmlns:c16="http://schemas.microsoft.com/office/drawing/2014/chart" uri="{C3380CC4-5D6E-409C-BE32-E72D297353CC}">
                <c16:uniqueId val="{000002A0-B2BF-4554-B6F1-5364CF03D79D}"/>
              </c:ext>
            </c:extLst>
          </c:dPt>
          <c:dPt>
            <c:idx val="259"/>
            <c:invertIfNegative val="0"/>
            <c:bubble3D val="0"/>
            <c:extLst>
              <c:ext xmlns:c16="http://schemas.microsoft.com/office/drawing/2014/chart" uri="{C3380CC4-5D6E-409C-BE32-E72D297353CC}">
                <c16:uniqueId val="{000002A1-B2BF-4554-B6F1-5364CF03D79D}"/>
              </c:ext>
            </c:extLst>
          </c:dPt>
          <c:dPt>
            <c:idx val="260"/>
            <c:invertIfNegative val="0"/>
            <c:bubble3D val="0"/>
            <c:extLst>
              <c:ext xmlns:c16="http://schemas.microsoft.com/office/drawing/2014/chart" uri="{C3380CC4-5D6E-409C-BE32-E72D297353CC}">
                <c16:uniqueId val="{000002A2-B2BF-4554-B6F1-5364CF03D79D}"/>
              </c:ext>
            </c:extLst>
          </c:dPt>
          <c:dPt>
            <c:idx val="261"/>
            <c:invertIfNegative val="0"/>
            <c:bubble3D val="0"/>
            <c:extLst>
              <c:ext xmlns:c16="http://schemas.microsoft.com/office/drawing/2014/chart" uri="{C3380CC4-5D6E-409C-BE32-E72D297353CC}">
                <c16:uniqueId val="{000002A3-B2BF-4554-B6F1-5364CF03D79D}"/>
              </c:ext>
            </c:extLst>
          </c:dPt>
          <c:dPt>
            <c:idx val="262"/>
            <c:invertIfNegative val="0"/>
            <c:bubble3D val="0"/>
            <c:extLst>
              <c:ext xmlns:c16="http://schemas.microsoft.com/office/drawing/2014/chart" uri="{C3380CC4-5D6E-409C-BE32-E72D297353CC}">
                <c16:uniqueId val="{000002A4-B2BF-4554-B6F1-5364CF03D79D}"/>
              </c:ext>
            </c:extLst>
          </c:dPt>
          <c:dPt>
            <c:idx val="263"/>
            <c:invertIfNegative val="0"/>
            <c:bubble3D val="0"/>
            <c:extLst>
              <c:ext xmlns:c16="http://schemas.microsoft.com/office/drawing/2014/chart" uri="{C3380CC4-5D6E-409C-BE32-E72D297353CC}">
                <c16:uniqueId val="{000002A5-B2BF-4554-B6F1-5364CF03D79D}"/>
              </c:ext>
            </c:extLst>
          </c:dPt>
          <c:dPt>
            <c:idx val="264"/>
            <c:invertIfNegative val="0"/>
            <c:bubble3D val="0"/>
            <c:extLst>
              <c:ext xmlns:c16="http://schemas.microsoft.com/office/drawing/2014/chart" uri="{C3380CC4-5D6E-409C-BE32-E72D297353CC}">
                <c16:uniqueId val="{000002A6-B2BF-4554-B6F1-5364CF03D79D}"/>
              </c:ext>
            </c:extLst>
          </c:dPt>
          <c:dPt>
            <c:idx val="265"/>
            <c:invertIfNegative val="0"/>
            <c:bubble3D val="0"/>
            <c:extLst>
              <c:ext xmlns:c16="http://schemas.microsoft.com/office/drawing/2014/chart" uri="{C3380CC4-5D6E-409C-BE32-E72D297353CC}">
                <c16:uniqueId val="{000002A7-B2BF-4554-B6F1-5364CF03D79D}"/>
              </c:ext>
            </c:extLst>
          </c:dPt>
          <c:dPt>
            <c:idx val="266"/>
            <c:invertIfNegative val="0"/>
            <c:bubble3D val="0"/>
            <c:extLst>
              <c:ext xmlns:c16="http://schemas.microsoft.com/office/drawing/2014/chart" uri="{C3380CC4-5D6E-409C-BE32-E72D297353CC}">
                <c16:uniqueId val="{000002A8-B2BF-4554-B6F1-5364CF03D79D}"/>
              </c:ext>
            </c:extLst>
          </c:dPt>
          <c:dPt>
            <c:idx val="267"/>
            <c:invertIfNegative val="0"/>
            <c:bubble3D val="0"/>
            <c:extLst>
              <c:ext xmlns:c16="http://schemas.microsoft.com/office/drawing/2014/chart" uri="{C3380CC4-5D6E-409C-BE32-E72D297353CC}">
                <c16:uniqueId val="{000002A9-B2BF-4554-B6F1-5364CF03D79D}"/>
              </c:ext>
            </c:extLst>
          </c:dPt>
          <c:dPt>
            <c:idx val="268"/>
            <c:invertIfNegative val="0"/>
            <c:bubble3D val="0"/>
            <c:extLst>
              <c:ext xmlns:c16="http://schemas.microsoft.com/office/drawing/2014/chart" uri="{C3380CC4-5D6E-409C-BE32-E72D297353CC}">
                <c16:uniqueId val="{000002AA-B2BF-4554-B6F1-5364CF03D79D}"/>
              </c:ext>
            </c:extLst>
          </c:dPt>
          <c:dPt>
            <c:idx val="269"/>
            <c:invertIfNegative val="0"/>
            <c:bubble3D val="0"/>
            <c:extLst>
              <c:ext xmlns:c16="http://schemas.microsoft.com/office/drawing/2014/chart" uri="{C3380CC4-5D6E-409C-BE32-E72D297353CC}">
                <c16:uniqueId val="{000002AB-B2BF-4554-B6F1-5364CF03D79D}"/>
              </c:ext>
            </c:extLst>
          </c:dPt>
          <c:dPt>
            <c:idx val="270"/>
            <c:invertIfNegative val="0"/>
            <c:bubble3D val="0"/>
            <c:extLst>
              <c:ext xmlns:c16="http://schemas.microsoft.com/office/drawing/2014/chart" uri="{C3380CC4-5D6E-409C-BE32-E72D297353CC}">
                <c16:uniqueId val="{000002AC-B2BF-4554-B6F1-5364CF03D79D}"/>
              </c:ext>
            </c:extLst>
          </c:dPt>
          <c:dPt>
            <c:idx val="271"/>
            <c:invertIfNegative val="0"/>
            <c:bubble3D val="0"/>
            <c:extLst>
              <c:ext xmlns:c16="http://schemas.microsoft.com/office/drawing/2014/chart" uri="{C3380CC4-5D6E-409C-BE32-E72D297353CC}">
                <c16:uniqueId val="{000002AD-B2BF-4554-B6F1-5364CF03D79D}"/>
              </c:ext>
            </c:extLst>
          </c:dPt>
          <c:dPt>
            <c:idx val="272"/>
            <c:invertIfNegative val="0"/>
            <c:bubble3D val="0"/>
            <c:extLst>
              <c:ext xmlns:c16="http://schemas.microsoft.com/office/drawing/2014/chart" uri="{C3380CC4-5D6E-409C-BE32-E72D297353CC}">
                <c16:uniqueId val="{000002AE-B2BF-4554-B6F1-5364CF03D79D}"/>
              </c:ext>
            </c:extLst>
          </c:dPt>
          <c:dPt>
            <c:idx val="273"/>
            <c:invertIfNegative val="0"/>
            <c:bubble3D val="0"/>
            <c:extLst>
              <c:ext xmlns:c16="http://schemas.microsoft.com/office/drawing/2014/chart" uri="{C3380CC4-5D6E-409C-BE32-E72D297353CC}">
                <c16:uniqueId val="{000002AF-B2BF-4554-B6F1-5364CF03D79D}"/>
              </c:ext>
            </c:extLst>
          </c:dPt>
          <c:dPt>
            <c:idx val="274"/>
            <c:invertIfNegative val="0"/>
            <c:bubble3D val="0"/>
            <c:extLst>
              <c:ext xmlns:c16="http://schemas.microsoft.com/office/drawing/2014/chart" uri="{C3380CC4-5D6E-409C-BE32-E72D297353CC}">
                <c16:uniqueId val="{000002B0-B2BF-4554-B6F1-5364CF03D79D}"/>
              </c:ext>
            </c:extLst>
          </c:dPt>
          <c:dPt>
            <c:idx val="275"/>
            <c:invertIfNegative val="0"/>
            <c:bubble3D val="0"/>
            <c:extLst>
              <c:ext xmlns:c16="http://schemas.microsoft.com/office/drawing/2014/chart" uri="{C3380CC4-5D6E-409C-BE32-E72D297353CC}">
                <c16:uniqueId val="{000002B1-B2BF-4554-B6F1-5364CF03D79D}"/>
              </c:ext>
            </c:extLst>
          </c:dPt>
          <c:dPt>
            <c:idx val="276"/>
            <c:invertIfNegative val="0"/>
            <c:bubble3D val="0"/>
            <c:extLst>
              <c:ext xmlns:c16="http://schemas.microsoft.com/office/drawing/2014/chart" uri="{C3380CC4-5D6E-409C-BE32-E72D297353CC}">
                <c16:uniqueId val="{000002B2-B2BF-4554-B6F1-5364CF03D79D}"/>
              </c:ext>
            </c:extLst>
          </c:dPt>
          <c:dPt>
            <c:idx val="277"/>
            <c:invertIfNegative val="0"/>
            <c:bubble3D val="0"/>
            <c:extLst>
              <c:ext xmlns:c16="http://schemas.microsoft.com/office/drawing/2014/chart" uri="{C3380CC4-5D6E-409C-BE32-E72D297353CC}">
                <c16:uniqueId val="{000002B3-B2BF-4554-B6F1-5364CF03D79D}"/>
              </c:ext>
            </c:extLst>
          </c:dPt>
          <c:dPt>
            <c:idx val="278"/>
            <c:invertIfNegative val="0"/>
            <c:bubble3D val="0"/>
            <c:extLst>
              <c:ext xmlns:c16="http://schemas.microsoft.com/office/drawing/2014/chart" uri="{C3380CC4-5D6E-409C-BE32-E72D297353CC}">
                <c16:uniqueId val="{000002B4-B2BF-4554-B6F1-5364CF03D79D}"/>
              </c:ext>
            </c:extLst>
          </c:dPt>
          <c:dPt>
            <c:idx val="279"/>
            <c:invertIfNegative val="0"/>
            <c:bubble3D val="0"/>
            <c:extLst>
              <c:ext xmlns:c16="http://schemas.microsoft.com/office/drawing/2014/chart" uri="{C3380CC4-5D6E-409C-BE32-E72D297353CC}">
                <c16:uniqueId val="{000002B5-B2BF-4554-B6F1-5364CF03D79D}"/>
              </c:ext>
            </c:extLst>
          </c:dPt>
          <c:dPt>
            <c:idx val="280"/>
            <c:invertIfNegative val="0"/>
            <c:bubble3D val="0"/>
            <c:extLst>
              <c:ext xmlns:c16="http://schemas.microsoft.com/office/drawing/2014/chart" uri="{C3380CC4-5D6E-409C-BE32-E72D297353CC}">
                <c16:uniqueId val="{000002B6-B2BF-4554-B6F1-5364CF03D79D}"/>
              </c:ext>
            </c:extLst>
          </c:dPt>
          <c:dPt>
            <c:idx val="281"/>
            <c:invertIfNegative val="0"/>
            <c:bubble3D val="0"/>
            <c:extLst>
              <c:ext xmlns:c16="http://schemas.microsoft.com/office/drawing/2014/chart" uri="{C3380CC4-5D6E-409C-BE32-E72D297353CC}">
                <c16:uniqueId val="{000002B7-B2BF-4554-B6F1-5364CF03D79D}"/>
              </c:ext>
            </c:extLst>
          </c:dPt>
          <c:dPt>
            <c:idx val="282"/>
            <c:invertIfNegative val="0"/>
            <c:bubble3D val="0"/>
            <c:extLst>
              <c:ext xmlns:c16="http://schemas.microsoft.com/office/drawing/2014/chart" uri="{C3380CC4-5D6E-409C-BE32-E72D297353CC}">
                <c16:uniqueId val="{000002B8-B2BF-4554-B6F1-5364CF03D79D}"/>
              </c:ext>
            </c:extLst>
          </c:dPt>
          <c:dPt>
            <c:idx val="283"/>
            <c:invertIfNegative val="0"/>
            <c:bubble3D val="0"/>
            <c:extLst>
              <c:ext xmlns:c16="http://schemas.microsoft.com/office/drawing/2014/chart" uri="{C3380CC4-5D6E-409C-BE32-E72D297353CC}">
                <c16:uniqueId val="{000002B9-B2BF-4554-B6F1-5364CF03D79D}"/>
              </c:ext>
            </c:extLst>
          </c:dPt>
          <c:dPt>
            <c:idx val="284"/>
            <c:invertIfNegative val="0"/>
            <c:bubble3D val="0"/>
            <c:extLst>
              <c:ext xmlns:c16="http://schemas.microsoft.com/office/drawing/2014/chart" uri="{C3380CC4-5D6E-409C-BE32-E72D297353CC}">
                <c16:uniqueId val="{000002BA-B2BF-4554-B6F1-5364CF03D79D}"/>
              </c:ext>
            </c:extLst>
          </c:dPt>
          <c:dPt>
            <c:idx val="285"/>
            <c:invertIfNegative val="0"/>
            <c:bubble3D val="0"/>
            <c:extLst>
              <c:ext xmlns:c16="http://schemas.microsoft.com/office/drawing/2014/chart" uri="{C3380CC4-5D6E-409C-BE32-E72D297353CC}">
                <c16:uniqueId val="{000002BB-B2BF-4554-B6F1-5364CF03D79D}"/>
              </c:ext>
            </c:extLst>
          </c:dPt>
          <c:dPt>
            <c:idx val="286"/>
            <c:invertIfNegative val="0"/>
            <c:bubble3D val="0"/>
            <c:extLst>
              <c:ext xmlns:c16="http://schemas.microsoft.com/office/drawing/2014/chart" uri="{C3380CC4-5D6E-409C-BE32-E72D297353CC}">
                <c16:uniqueId val="{000002BC-B2BF-4554-B6F1-5364CF03D79D}"/>
              </c:ext>
            </c:extLst>
          </c:dPt>
          <c:dPt>
            <c:idx val="287"/>
            <c:invertIfNegative val="0"/>
            <c:bubble3D val="0"/>
            <c:extLst>
              <c:ext xmlns:c16="http://schemas.microsoft.com/office/drawing/2014/chart" uri="{C3380CC4-5D6E-409C-BE32-E72D297353CC}">
                <c16:uniqueId val="{000002BD-B2BF-4554-B6F1-5364CF03D79D}"/>
              </c:ext>
            </c:extLst>
          </c:dPt>
          <c:dPt>
            <c:idx val="288"/>
            <c:invertIfNegative val="0"/>
            <c:bubble3D val="0"/>
            <c:extLst>
              <c:ext xmlns:c16="http://schemas.microsoft.com/office/drawing/2014/chart" uri="{C3380CC4-5D6E-409C-BE32-E72D297353CC}">
                <c16:uniqueId val="{000002BE-B2BF-4554-B6F1-5364CF03D79D}"/>
              </c:ext>
            </c:extLst>
          </c:dPt>
          <c:dPt>
            <c:idx val="289"/>
            <c:invertIfNegative val="0"/>
            <c:bubble3D val="0"/>
            <c:extLst>
              <c:ext xmlns:c16="http://schemas.microsoft.com/office/drawing/2014/chart" uri="{C3380CC4-5D6E-409C-BE32-E72D297353CC}">
                <c16:uniqueId val="{000002BF-B2BF-4554-B6F1-5364CF03D79D}"/>
              </c:ext>
            </c:extLst>
          </c:dPt>
          <c:dPt>
            <c:idx val="290"/>
            <c:invertIfNegative val="0"/>
            <c:bubble3D val="0"/>
            <c:extLst>
              <c:ext xmlns:c16="http://schemas.microsoft.com/office/drawing/2014/chart" uri="{C3380CC4-5D6E-409C-BE32-E72D297353CC}">
                <c16:uniqueId val="{000002C0-B2BF-4554-B6F1-5364CF03D79D}"/>
              </c:ext>
            </c:extLst>
          </c:dPt>
          <c:dPt>
            <c:idx val="291"/>
            <c:invertIfNegative val="0"/>
            <c:bubble3D val="0"/>
            <c:extLst>
              <c:ext xmlns:c16="http://schemas.microsoft.com/office/drawing/2014/chart" uri="{C3380CC4-5D6E-409C-BE32-E72D297353CC}">
                <c16:uniqueId val="{000002C1-B2BF-4554-B6F1-5364CF03D79D}"/>
              </c:ext>
            </c:extLst>
          </c:dPt>
          <c:dPt>
            <c:idx val="292"/>
            <c:invertIfNegative val="0"/>
            <c:bubble3D val="0"/>
            <c:extLst>
              <c:ext xmlns:c16="http://schemas.microsoft.com/office/drawing/2014/chart" uri="{C3380CC4-5D6E-409C-BE32-E72D297353CC}">
                <c16:uniqueId val="{000002C2-B2BF-4554-B6F1-5364CF03D79D}"/>
              </c:ext>
            </c:extLst>
          </c:dPt>
          <c:dPt>
            <c:idx val="293"/>
            <c:invertIfNegative val="0"/>
            <c:bubble3D val="0"/>
            <c:extLst>
              <c:ext xmlns:c16="http://schemas.microsoft.com/office/drawing/2014/chart" uri="{C3380CC4-5D6E-409C-BE32-E72D297353CC}">
                <c16:uniqueId val="{000002C3-B2BF-4554-B6F1-5364CF03D79D}"/>
              </c:ext>
            </c:extLst>
          </c:dPt>
          <c:dPt>
            <c:idx val="294"/>
            <c:invertIfNegative val="0"/>
            <c:bubble3D val="0"/>
            <c:extLst>
              <c:ext xmlns:c16="http://schemas.microsoft.com/office/drawing/2014/chart" uri="{C3380CC4-5D6E-409C-BE32-E72D297353CC}">
                <c16:uniqueId val="{000002C4-B2BF-4554-B6F1-5364CF03D79D}"/>
              </c:ext>
            </c:extLst>
          </c:dPt>
          <c:dPt>
            <c:idx val="295"/>
            <c:invertIfNegative val="0"/>
            <c:bubble3D val="0"/>
            <c:extLst>
              <c:ext xmlns:c16="http://schemas.microsoft.com/office/drawing/2014/chart" uri="{C3380CC4-5D6E-409C-BE32-E72D297353CC}">
                <c16:uniqueId val="{000002C5-B2BF-4554-B6F1-5364CF03D79D}"/>
              </c:ext>
            </c:extLst>
          </c:dPt>
          <c:dPt>
            <c:idx val="296"/>
            <c:invertIfNegative val="0"/>
            <c:bubble3D val="0"/>
            <c:extLst>
              <c:ext xmlns:c16="http://schemas.microsoft.com/office/drawing/2014/chart" uri="{C3380CC4-5D6E-409C-BE32-E72D297353CC}">
                <c16:uniqueId val="{000002C6-B2BF-4554-B6F1-5364CF03D79D}"/>
              </c:ext>
            </c:extLst>
          </c:dPt>
          <c:dPt>
            <c:idx val="297"/>
            <c:invertIfNegative val="0"/>
            <c:bubble3D val="0"/>
            <c:extLst>
              <c:ext xmlns:c16="http://schemas.microsoft.com/office/drawing/2014/chart" uri="{C3380CC4-5D6E-409C-BE32-E72D297353CC}">
                <c16:uniqueId val="{000002C7-B2BF-4554-B6F1-5364CF03D79D}"/>
              </c:ext>
            </c:extLst>
          </c:dPt>
          <c:dPt>
            <c:idx val="298"/>
            <c:invertIfNegative val="0"/>
            <c:bubble3D val="0"/>
            <c:extLst>
              <c:ext xmlns:c16="http://schemas.microsoft.com/office/drawing/2014/chart" uri="{C3380CC4-5D6E-409C-BE32-E72D297353CC}">
                <c16:uniqueId val="{000002C8-B2BF-4554-B6F1-5364CF03D79D}"/>
              </c:ext>
            </c:extLst>
          </c:dPt>
          <c:dPt>
            <c:idx val="299"/>
            <c:invertIfNegative val="0"/>
            <c:bubble3D val="0"/>
            <c:extLst>
              <c:ext xmlns:c16="http://schemas.microsoft.com/office/drawing/2014/chart" uri="{C3380CC4-5D6E-409C-BE32-E72D297353CC}">
                <c16:uniqueId val="{000002C9-B2BF-4554-B6F1-5364CF03D79D}"/>
              </c:ext>
            </c:extLst>
          </c:dPt>
          <c:dPt>
            <c:idx val="300"/>
            <c:invertIfNegative val="0"/>
            <c:bubble3D val="0"/>
            <c:extLst>
              <c:ext xmlns:c16="http://schemas.microsoft.com/office/drawing/2014/chart" uri="{C3380CC4-5D6E-409C-BE32-E72D297353CC}">
                <c16:uniqueId val="{000002CA-B2BF-4554-B6F1-5364CF03D79D}"/>
              </c:ext>
            </c:extLst>
          </c:dPt>
          <c:dPt>
            <c:idx val="301"/>
            <c:invertIfNegative val="0"/>
            <c:bubble3D val="0"/>
            <c:extLst>
              <c:ext xmlns:c16="http://schemas.microsoft.com/office/drawing/2014/chart" uri="{C3380CC4-5D6E-409C-BE32-E72D297353CC}">
                <c16:uniqueId val="{000002CB-B2BF-4554-B6F1-5364CF03D79D}"/>
              </c:ext>
            </c:extLst>
          </c:dPt>
          <c:dPt>
            <c:idx val="302"/>
            <c:invertIfNegative val="0"/>
            <c:bubble3D val="0"/>
            <c:extLst>
              <c:ext xmlns:c16="http://schemas.microsoft.com/office/drawing/2014/chart" uri="{C3380CC4-5D6E-409C-BE32-E72D297353CC}">
                <c16:uniqueId val="{000002CC-B2BF-4554-B6F1-5364CF03D79D}"/>
              </c:ext>
            </c:extLst>
          </c:dPt>
          <c:dPt>
            <c:idx val="303"/>
            <c:invertIfNegative val="0"/>
            <c:bubble3D val="0"/>
            <c:extLst>
              <c:ext xmlns:c16="http://schemas.microsoft.com/office/drawing/2014/chart" uri="{C3380CC4-5D6E-409C-BE32-E72D297353CC}">
                <c16:uniqueId val="{000002CD-B2BF-4554-B6F1-5364CF03D79D}"/>
              </c:ext>
            </c:extLst>
          </c:dPt>
          <c:dPt>
            <c:idx val="304"/>
            <c:invertIfNegative val="0"/>
            <c:bubble3D val="0"/>
            <c:extLst>
              <c:ext xmlns:c16="http://schemas.microsoft.com/office/drawing/2014/chart" uri="{C3380CC4-5D6E-409C-BE32-E72D297353CC}">
                <c16:uniqueId val="{000002CE-B2BF-4554-B6F1-5364CF03D79D}"/>
              </c:ext>
            </c:extLst>
          </c:dPt>
          <c:dPt>
            <c:idx val="305"/>
            <c:invertIfNegative val="0"/>
            <c:bubble3D val="0"/>
            <c:extLst>
              <c:ext xmlns:c16="http://schemas.microsoft.com/office/drawing/2014/chart" uri="{C3380CC4-5D6E-409C-BE32-E72D297353CC}">
                <c16:uniqueId val="{000002CF-B2BF-4554-B6F1-5364CF03D79D}"/>
              </c:ext>
            </c:extLst>
          </c:dPt>
          <c:dPt>
            <c:idx val="306"/>
            <c:invertIfNegative val="0"/>
            <c:bubble3D val="0"/>
            <c:extLst>
              <c:ext xmlns:c16="http://schemas.microsoft.com/office/drawing/2014/chart" uri="{C3380CC4-5D6E-409C-BE32-E72D297353CC}">
                <c16:uniqueId val="{000002D0-B2BF-4554-B6F1-5364CF03D79D}"/>
              </c:ext>
            </c:extLst>
          </c:dPt>
          <c:dPt>
            <c:idx val="307"/>
            <c:invertIfNegative val="0"/>
            <c:bubble3D val="0"/>
            <c:extLst>
              <c:ext xmlns:c16="http://schemas.microsoft.com/office/drawing/2014/chart" uri="{C3380CC4-5D6E-409C-BE32-E72D297353CC}">
                <c16:uniqueId val="{000002D1-B2BF-4554-B6F1-5364CF03D79D}"/>
              </c:ext>
            </c:extLst>
          </c:dPt>
          <c:dPt>
            <c:idx val="308"/>
            <c:invertIfNegative val="0"/>
            <c:bubble3D val="0"/>
            <c:extLst>
              <c:ext xmlns:c16="http://schemas.microsoft.com/office/drawing/2014/chart" uri="{C3380CC4-5D6E-409C-BE32-E72D297353CC}">
                <c16:uniqueId val="{000002D2-B2BF-4554-B6F1-5364CF03D79D}"/>
              </c:ext>
            </c:extLst>
          </c:dPt>
          <c:dPt>
            <c:idx val="309"/>
            <c:invertIfNegative val="0"/>
            <c:bubble3D val="0"/>
            <c:extLst>
              <c:ext xmlns:c16="http://schemas.microsoft.com/office/drawing/2014/chart" uri="{C3380CC4-5D6E-409C-BE32-E72D297353CC}">
                <c16:uniqueId val="{000002D3-B2BF-4554-B6F1-5364CF03D79D}"/>
              </c:ext>
            </c:extLst>
          </c:dPt>
          <c:dPt>
            <c:idx val="310"/>
            <c:invertIfNegative val="0"/>
            <c:bubble3D val="0"/>
            <c:extLst>
              <c:ext xmlns:c16="http://schemas.microsoft.com/office/drawing/2014/chart" uri="{C3380CC4-5D6E-409C-BE32-E72D297353CC}">
                <c16:uniqueId val="{000002D4-B2BF-4554-B6F1-5364CF03D79D}"/>
              </c:ext>
            </c:extLst>
          </c:dPt>
          <c:dPt>
            <c:idx val="311"/>
            <c:invertIfNegative val="0"/>
            <c:bubble3D val="0"/>
            <c:extLst>
              <c:ext xmlns:c16="http://schemas.microsoft.com/office/drawing/2014/chart" uri="{C3380CC4-5D6E-409C-BE32-E72D297353CC}">
                <c16:uniqueId val="{000002D5-B2BF-4554-B6F1-5364CF03D79D}"/>
              </c:ext>
            </c:extLst>
          </c:dPt>
          <c:dPt>
            <c:idx val="312"/>
            <c:invertIfNegative val="0"/>
            <c:bubble3D val="0"/>
            <c:extLst>
              <c:ext xmlns:c16="http://schemas.microsoft.com/office/drawing/2014/chart" uri="{C3380CC4-5D6E-409C-BE32-E72D297353CC}">
                <c16:uniqueId val="{000002D6-B2BF-4554-B6F1-5364CF03D79D}"/>
              </c:ext>
            </c:extLst>
          </c:dPt>
          <c:dPt>
            <c:idx val="313"/>
            <c:invertIfNegative val="0"/>
            <c:bubble3D val="0"/>
            <c:extLst>
              <c:ext xmlns:c16="http://schemas.microsoft.com/office/drawing/2014/chart" uri="{C3380CC4-5D6E-409C-BE32-E72D297353CC}">
                <c16:uniqueId val="{000002D7-B2BF-4554-B6F1-5364CF03D79D}"/>
              </c:ext>
            </c:extLst>
          </c:dPt>
          <c:dPt>
            <c:idx val="314"/>
            <c:invertIfNegative val="0"/>
            <c:bubble3D val="0"/>
            <c:extLst>
              <c:ext xmlns:c16="http://schemas.microsoft.com/office/drawing/2014/chart" uri="{C3380CC4-5D6E-409C-BE32-E72D297353CC}">
                <c16:uniqueId val="{000002D8-B2BF-4554-B6F1-5364CF03D79D}"/>
              </c:ext>
            </c:extLst>
          </c:dPt>
          <c:dPt>
            <c:idx val="315"/>
            <c:invertIfNegative val="0"/>
            <c:bubble3D val="0"/>
            <c:extLst>
              <c:ext xmlns:c16="http://schemas.microsoft.com/office/drawing/2014/chart" uri="{C3380CC4-5D6E-409C-BE32-E72D297353CC}">
                <c16:uniqueId val="{000002D9-B2BF-4554-B6F1-5364CF03D79D}"/>
              </c:ext>
            </c:extLst>
          </c:dPt>
          <c:dPt>
            <c:idx val="316"/>
            <c:invertIfNegative val="0"/>
            <c:bubble3D val="0"/>
            <c:extLst>
              <c:ext xmlns:c16="http://schemas.microsoft.com/office/drawing/2014/chart" uri="{C3380CC4-5D6E-409C-BE32-E72D297353CC}">
                <c16:uniqueId val="{000002DA-B2BF-4554-B6F1-5364CF03D79D}"/>
              </c:ext>
            </c:extLst>
          </c:dPt>
          <c:dPt>
            <c:idx val="317"/>
            <c:invertIfNegative val="0"/>
            <c:bubble3D val="0"/>
            <c:extLst>
              <c:ext xmlns:c16="http://schemas.microsoft.com/office/drawing/2014/chart" uri="{C3380CC4-5D6E-409C-BE32-E72D297353CC}">
                <c16:uniqueId val="{000002DB-B2BF-4554-B6F1-5364CF03D79D}"/>
              </c:ext>
            </c:extLst>
          </c:dPt>
          <c:dPt>
            <c:idx val="318"/>
            <c:invertIfNegative val="0"/>
            <c:bubble3D val="0"/>
            <c:extLst>
              <c:ext xmlns:c16="http://schemas.microsoft.com/office/drawing/2014/chart" uri="{C3380CC4-5D6E-409C-BE32-E72D297353CC}">
                <c16:uniqueId val="{000002DC-B2BF-4554-B6F1-5364CF03D79D}"/>
              </c:ext>
            </c:extLst>
          </c:dPt>
          <c:dPt>
            <c:idx val="319"/>
            <c:invertIfNegative val="0"/>
            <c:bubble3D val="0"/>
            <c:extLst>
              <c:ext xmlns:c16="http://schemas.microsoft.com/office/drawing/2014/chart" uri="{C3380CC4-5D6E-409C-BE32-E72D297353CC}">
                <c16:uniqueId val="{000002DD-B2BF-4554-B6F1-5364CF03D79D}"/>
              </c:ext>
            </c:extLst>
          </c:dPt>
          <c:dPt>
            <c:idx val="320"/>
            <c:invertIfNegative val="0"/>
            <c:bubble3D val="0"/>
            <c:extLst>
              <c:ext xmlns:c16="http://schemas.microsoft.com/office/drawing/2014/chart" uri="{C3380CC4-5D6E-409C-BE32-E72D297353CC}">
                <c16:uniqueId val="{000002DE-B2BF-4554-B6F1-5364CF03D79D}"/>
              </c:ext>
            </c:extLst>
          </c:dPt>
          <c:dPt>
            <c:idx val="321"/>
            <c:invertIfNegative val="0"/>
            <c:bubble3D val="0"/>
            <c:extLst>
              <c:ext xmlns:c16="http://schemas.microsoft.com/office/drawing/2014/chart" uri="{C3380CC4-5D6E-409C-BE32-E72D297353CC}">
                <c16:uniqueId val="{000002DF-B2BF-4554-B6F1-5364CF03D79D}"/>
              </c:ext>
            </c:extLst>
          </c:dPt>
          <c:dPt>
            <c:idx val="322"/>
            <c:invertIfNegative val="0"/>
            <c:bubble3D val="0"/>
            <c:extLst>
              <c:ext xmlns:c16="http://schemas.microsoft.com/office/drawing/2014/chart" uri="{C3380CC4-5D6E-409C-BE32-E72D297353CC}">
                <c16:uniqueId val="{000002E0-B2BF-4554-B6F1-5364CF03D79D}"/>
              </c:ext>
            </c:extLst>
          </c:dPt>
          <c:dPt>
            <c:idx val="323"/>
            <c:invertIfNegative val="0"/>
            <c:bubble3D val="0"/>
            <c:extLst>
              <c:ext xmlns:c16="http://schemas.microsoft.com/office/drawing/2014/chart" uri="{C3380CC4-5D6E-409C-BE32-E72D297353CC}">
                <c16:uniqueId val="{000002E1-B2BF-4554-B6F1-5364CF03D79D}"/>
              </c:ext>
            </c:extLst>
          </c:dPt>
          <c:dPt>
            <c:idx val="324"/>
            <c:invertIfNegative val="0"/>
            <c:bubble3D val="0"/>
            <c:extLst>
              <c:ext xmlns:c16="http://schemas.microsoft.com/office/drawing/2014/chart" uri="{C3380CC4-5D6E-409C-BE32-E72D297353CC}">
                <c16:uniqueId val="{000002E2-B2BF-4554-B6F1-5364CF03D79D}"/>
              </c:ext>
            </c:extLst>
          </c:dPt>
          <c:dPt>
            <c:idx val="325"/>
            <c:invertIfNegative val="0"/>
            <c:bubble3D val="0"/>
            <c:extLst>
              <c:ext xmlns:c16="http://schemas.microsoft.com/office/drawing/2014/chart" uri="{C3380CC4-5D6E-409C-BE32-E72D297353CC}">
                <c16:uniqueId val="{000002E3-B2BF-4554-B6F1-5364CF03D79D}"/>
              </c:ext>
            </c:extLst>
          </c:dPt>
          <c:dPt>
            <c:idx val="326"/>
            <c:invertIfNegative val="0"/>
            <c:bubble3D val="0"/>
            <c:extLst>
              <c:ext xmlns:c16="http://schemas.microsoft.com/office/drawing/2014/chart" uri="{C3380CC4-5D6E-409C-BE32-E72D297353CC}">
                <c16:uniqueId val="{000002E4-B2BF-4554-B6F1-5364CF03D79D}"/>
              </c:ext>
            </c:extLst>
          </c:dPt>
          <c:dPt>
            <c:idx val="327"/>
            <c:invertIfNegative val="0"/>
            <c:bubble3D val="0"/>
            <c:extLst>
              <c:ext xmlns:c16="http://schemas.microsoft.com/office/drawing/2014/chart" uri="{C3380CC4-5D6E-409C-BE32-E72D297353CC}">
                <c16:uniqueId val="{000002E5-B2BF-4554-B6F1-5364CF03D79D}"/>
              </c:ext>
            </c:extLst>
          </c:dPt>
          <c:dPt>
            <c:idx val="328"/>
            <c:invertIfNegative val="0"/>
            <c:bubble3D val="0"/>
            <c:extLst>
              <c:ext xmlns:c16="http://schemas.microsoft.com/office/drawing/2014/chart" uri="{C3380CC4-5D6E-409C-BE32-E72D297353CC}">
                <c16:uniqueId val="{000002E6-B2BF-4554-B6F1-5364CF03D79D}"/>
              </c:ext>
            </c:extLst>
          </c:dPt>
          <c:dPt>
            <c:idx val="329"/>
            <c:invertIfNegative val="0"/>
            <c:bubble3D val="0"/>
            <c:extLst>
              <c:ext xmlns:c16="http://schemas.microsoft.com/office/drawing/2014/chart" uri="{C3380CC4-5D6E-409C-BE32-E72D297353CC}">
                <c16:uniqueId val="{000002E7-B2BF-4554-B6F1-5364CF03D79D}"/>
              </c:ext>
            </c:extLst>
          </c:dPt>
          <c:dPt>
            <c:idx val="330"/>
            <c:invertIfNegative val="0"/>
            <c:bubble3D val="0"/>
            <c:extLst>
              <c:ext xmlns:c16="http://schemas.microsoft.com/office/drawing/2014/chart" uri="{C3380CC4-5D6E-409C-BE32-E72D297353CC}">
                <c16:uniqueId val="{000002E8-B2BF-4554-B6F1-5364CF03D79D}"/>
              </c:ext>
            </c:extLst>
          </c:dPt>
          <c:dPt>
            <c:idx val="331"/>
            <c:invertIfNegative val="0"/>
            <c:bubble3D val="0"/>
            <c:extLst>
              <c:ext xmlns:c16="http://schemas.microsoft.com/office/drawing/2014/chart" uri="{C3380CC4-5D6E-409C-BE32-E72D297353CC}">
                <c16:uniqueId val="{000002E9-B2BF-4554-B6F1-5364CF03D79D}"/>
              </c:ext>
            </c:extLst>
          </c:dPt>
          <c:dPt>
            <c:idx val="332"/>
            <c:invertIfNegative val="0"/>
            <c:bubble3D val="0"/>
            <c:extLst>
              <c:ext xmlns:c16="http://schemas.microsoft.com/office/drawing/2014/chart" uri="{C3380CC4-5D6E-409C-BE32-E72D297353CC}">
                <c16:uniqueId val="{000002EA-B2BF-4554-B6F1-5364CF03D79D}"/>
              </c:ext>
            </c:extLst>
          </c:dPt>
          <c:dPt>
            <c:idx val="333"/>
            <c:invertIfNegative val="0"/>
            <c:bubble3D val="0"/>
            <c:extLst>
              <c:ext xmlns:c16="http://schemas.microsoft.com/office/drawing/2014/chart" uri="{C3380CC4-5D6E-409C-BE32-E72D297353CC}">
                <c16:uniqueId val="{000002EB-B2BF-4554-B6F1-5364CF03D79D}"/>
              </c:ext>
            </c:extLst>
          </c:dPt>
          <c:dPt>
            <c:idx val="334"/>
            <c:invertIfNegative val="0"/>
            <c:bubble3D val="0"/>
            <c:extLst>
              <c:ext xmlns:c16="http://schemas.microsoft.com/office/drawing/2014/chart" uri="{C3380CC4-5D6E-409C-BE32-E72D297353CC}">
                <c16:uniqueId val="{000002EC-B2BF-4554-B6F1-5364CF03D79D}"/>
              </c:ext>
            </c:extLst>
          </c:dPt>
          <c:dPt>
            <c:idx val="335"/>
            <c:invertIfNegative val="0"/>
            <c:bubble3D val="0"/>
            <c:extLst>
              <c:ext xmlns:c16="http://schemas.microsoft.com/office/drawing/2014/chart" uri="{C3380CC4-5D6E-409C-BE32-E72D297353CC}">
                <c16:uniqueId val="{000002ED-B2BF-4554-B6F1-5364CF03D79D}"/>
              </c:ext>
            </c:extLst>
          </c:dPt>
          <c:dPt>
            <c:idx val="336"/>
            <c:invertIfNegative val="0"/>
            <c:bubble3D val="0"/>
            <c:extLst>
              <c:ext xmlns:c16="http://schemas.microsoft.com/office/drawing/2014/chart" uri="{C3380CC4-5D6E-409C-BE32-E72D297353CC}">
                <c16:uniqueId val="{000002EE-B2BF-4554-B6F1-5364CF03D79D}"/>
              </c:ext>
            </c:extLst>
          </c:dPt>
          <c:dPt>
            <c:idx val="337"/>
            <c:invertIfNegative val="0"/>
            <c:bubble3D val="0"/>
            <c:extLst>
              <c:ext xmlns:c16="http://schemas.microsoft.com/office/drawing/2014/chart" uri="{C3380CC4-5D6E-409C-BE32-E72D297353CC}">
                <c16:uniqueId val="{000002EF-B2BF-4554-B6F1-5364CF03D79D}"/>
              </c:ext>
            </c:extLst>
          </c:dPt>
          <c:dPt>
            <c:idx val="338"/>
            <c:invertIfNegative val="0"/>
            <c:bubble3D val="0"/>
            <c:extLst>
              <c:ext xmlns:c16="http://schemas.microsoft.com/office/drawing/2014/chart" uri="{C3380CC4-5D6E-409C-BE32-E72D297353CC}">
                <c16:uniqueId val="{000002F0-B2BF-4554-B6F1-5364CF03D79D}"/>
              </c:ext>
            </c:extLst>
          </c:dPt>
          <c:dPt>
            <c:idx val="339"/>
            <c:invertIfNegative val="0"/>
            <c:bubble3D val="0"/>
            <c:extLst>
              <c:ext xmlns:c16="http://schemas.microsoft.com/office/drawing/2014/chart" uri="{C3380CC4-5D6E-409C-BE32-E72D297353CC}">
                <c16:uniqueId val="{000002F1-B2BF-4554-B6F1-5364CF03D79D}"/>
              </c:ext>
            </c:extLst>
          </c:dPt>
          <c:dPt>
            <c:idx val="340"/>
            <c:invertIfNegative val="0"/>
            <c:bubble3D val="0"/>
            <c:extLst>
              <c:ext xmlns:c16="http://schemas.microsoft.com/office/drawing/2014/chart" uri="{C3380CC4-5D6E-409C-BE32-E72D297353CC}">
                <c16:uniqueId val="{000002F2-B2BF-4554-B6F1-5364CF03D79D}"/>
              </c:ext>
            </c:extLst>
          </c:dPt>
          <c:dPt>
            <c:idx val="341"/>
            <c:invertIfNegative val="0"/>
            <c:bubble3D val="0"/>
            <c:extLst>
              <c:ext xmlns:c16="http://schemas.microsoft.com/office/drawing/2014/chart" uri="{C3380CC4-5D6E-409C-BE32-E72D297353CC}">
                <c16:uniqueId val="{000002F3-B2BF-4554-B6F1-5364CF03D79D}"/>
              </c:ext>
            </c:extLst>
          </c:dPt>
          <c:dPt>
            <c:idx val="342"/>
            <c:invertIfNegative val="0"/>
            <c:bubble3D val="0"/>
            <c:extLst>
              <c:ext xmlns:c16="http://schemas.microsoft.com/office/drawing/2014/chart" uri="{C3380CC4-5D6E-409C-BE32-E72D297353CC}">
                <c16:uniqueId val="{000002F4-B2BF-4554-B6F1-5364CF03D79D}"/>
              </c:ext>
            </c:extLst>
          </c:dPt>
          <c:dPt>
            <c:idx val="343"/>
            <c:invertIfNegative val="0"/>
            <c:bubble3D val="0"/>
            <c:extLst>
              <c:ext xmlns:c16="http://schemas.microsoft.com/office/drawing/2014/chart" uri="{C3380CC4-5D6E-409C-BE32-E72D297353CC}">
                <c16:uniqueId val="{000002F5-B2BF-4554-B6F1-5364CF03D79D}"/>
              </c:ext>
            </c:extLst>
          </c:dPt>
          <c:dPt>
            <c:idx val="344"/>
            <c:invertIfNegative val="0"/>
            <c:bubble3D val="0"/>
            <c:extLst>
              <c:ext xmlns:c16="http://schemas.microsoft.com/office/drawing/2014/chart" uri="{C3380CC4-5D6E-409C-BE32-E72D297353CC}">
                <c16:uniqueId val="{000002F6-B2BF-4554-B6F1-5364CF03D79D}"/>
              </c:ext>
            </c:extLst>
          </c:dPt>
          <c:dPt>
            <c:idx val="345"/>
            <c:invertIfNegative val="0"/>
            <c:bubble3D val="0"/>
            <c:extLst>
              <c:ext xmlns:c16="http://schemas.microsoft.com/office/drawing/2014/chart" uri="{C3380CC4-5D6E-409C-BE32-E72D297353CC}">
                <c16:uniqueId val="{000002F7-B2BF-4554-B6F1-5364CF03D79D}"/>
              </c:ext>
            </c:extLst>
          </c:dPt>
          <c:dPt>
            <c:idx val="346"/>
            <c:invertIfNegative val="0"/>
            <c:bubble3D val="0"/>
            <c:extLst>
              <c:ext xmlns:c16="http://schemas.microsoft.com/office/drawing/2014/chart" uri="{C3380CC4-5D6E-409C-BE32-E72D297353CC}">
                <c16:uniqueId val="{000002F8-B2BF-4554-B6F1-5364CF03D79D}"/>
              </c:ext>
            </c:extLst>
          </c:dPt>
          <c:dPt>
            <c:idx val="347"/>
            <c:invertIfNegative val="0"/>
            <c:bubble3D val="0"/>
            <c:extLst>
              <c:ext xmlns:c16="http://schemas.microsoft.com/office/drawing/2014/chart" uri="{C3380CC4-5D6E-409C-BE32-E72D297353CC}">
                <c16:uniqueId val="{000002F9-B2BF-4554-B6F1-5364CF03D79D}"/>
              </c:ext>
            </c:extLst>
          </c:dPt>
          <c:dPt>
            <c:idx val="348"/>
            <c:invertIfNegative val="0"/>
            <c:bubble3D val="0"/>
            <c:extLst>
              <c:ext xmlns:c16="http://schemas.microsoft.com/office/drawing/2014/chart" uri="{C3380CC4-5D6E-409C-BE32-E72D297353CC}">
                <c16:uniqueId val="{000002FA-B2BF-4554-B6F1-5364CF03D79D}"/>
              </c:ext>
            </c:extLst>
          </c:dPt>
          <c:dPt>
            <c:idx val="349"/>
            <c:invertIfNegative val="0"/>
            <c:bubble3D val="0"/>
            <c:extLst>
              <c:ext xmlns:c16="http://schemas.microsoft.com/office/drawing/2014/chart" uri="{C3380CC4-5D6E-409C-BE32-E72D297353CC}">
                <c16:uniqueId val="{000002FB-B2BF-4554-B6F1-5364CF03D79D}"/>
              </c:ext>
            </c:extLst>
          </c:dPt>
          <c:dPt>
            <c:idx val="350"/>
            <c:invertIfNegative val="0"/>
            <c:bubble3D val="0"/>
            <c:extLst>
              <c:ext xmlns:c16="http://schemas.microsoft.com/office/drawing/2014/chart" uri="{C3380CC4-5D6E-409C-BE32-E72D297353CC}">
                <c16:uniqueId val="{000002FC-B2BF-4554-B6F1-5364CF03D79D}"/>
              </c:ext>
            </c:extLst>
          </c:dPt>
          <c:dPt>
            <c:idx val="351"/>
            <c:invertIfNegative val="0"/>
            <c:bubble3D val="0"/>
            <c:extLst>
              <c:ext xmlns:c16="http://schemas.microsoft.com/office/drawing/2014/chart" uri="{C3380CC4-5D6E-409C-BE32-E72D297353CC}">
                <c16:uniqueId val="{000002FD-B2BF-4554-B6F1-5364CF03D79D}"/>
              </c:ext>
            </c:extLst>
          </c:dPt>
          <c:dPt>
            <c:idx val="352"/>
            <c:invertIfNegative val="0"/>
            <c:bubble3D val="0"/>
            <c:extLst>
              <c:ext xmlns:c16="http://schemas.microsoft.com/office/drawing/2014/chart" uri="{C3380CC4-5D6E-409C-BE32-E72D297353CC}">
                <c16:uniqueId val="{000002FE-B2BF-4554-B6F1-5364CF03D79D}"/>
              </c:ext>
            </c:extLst>
          </c:dPt>
          <c:dPt>
            <c:idx val="353"/>
            <c:invertIfNegative val="0"/>
            <c:bubble3D val="0"/>
            <c:extLst>
              <c:ext xmlns:c16="http://schemas.microsoft.com/office/drawing/2014/chart" uri="{C3380CC4-5D6E-409C-BE32-E72D297353CC}">
                <c16:uniqueId val="{000002FF-B2BF-4554-B6F1-5364CF03D79D}"/>
              </c:ext>
            </c:extLst>
          </c:dPt>
          <c:dPt>
            <c:idx val="354"/>
            <c:invertIfNegative val="0"/>
            <c:bubble3D val="0"/>
            <c:extLst>
              <c:ext xmlns:c16="http://schemas.microsoft.com/office/drawing/2014/chart" uri="{C3380CC4-5D6E-409C-BE32-E72D297353CC}">
                <c16:uniqueId val="{00000300-B2BF-4554-B6F1-5364CF03D79D}"/>
              </c:ext>
            </c:extLst>
          </c:dPt>
          <c:dPt>
            <c:idx val="355"/>
            <c:invertIfNegative val="0"/>
            <c:bubble3D val="0"/>
            <c:extLst>
              <c:ext xmlns:c16="http://schemas.microsoft.com/office/drawing/2014/chart" uri="{C3380CC4-5D6E-409C-BE32-E72D297353CC}">
                <c16:uniqueId val="{00000301-B2BF-4554-B6F1-5364CF03D79D}"/>
              </c:ext>
            </c:extLst>
          </c:dPt>
          <c:dPt>
            <c:idx val="356"/>
            <c:invertIfNegative val="0"/>
            <c:bubble3D val="0"/>
            <c:extLst>
              <c:ext xmlns:c16="http://schemas.microsoft.com/office/drawing/2014/chart" uri="{C3380CC4-5D6E-409C-BE32-E72D297353CC}">
                <c16:uniqueId val="{00000302-B2BF-4554-B6F1-5364CF03D79D}"/>
              </c:ext>
            </c:extLst>
          </c:dPt>
          <c:dPt>
            <c:idx val="357"/>
            <c:invertIfNegative val="0"/>
            <c:bubble3D val="0"/>
            <c:extLst>
              <c:ext xmlns:c16="http://schemas.microsoft.com/office/drawing/2014/chart" uri="{C3380CC4-5D6E-409C-BE32-E72D297353CC}">
                <c16:uniqueId val="{00000303-B2BF-4554-B6F1-5364CF03D79D}"/>
              </c:ext>
            </c:extLst>
          </c:dPt>
          <c:dPt>
            <c:idx val="358"/>
            <c:invertIfNegative val="0"/>
            <c:bubble3D val="0"/>
            <c:extLst>
              <c:ext xmlns:c16="http://schemas.microsoft.com/office/drawing/2014/chart" uri="{C3380CC4-5D6E-409C-BE32-E72D297353CC}">
                <c16:uniqueId val="{00000304-B2BF-4554-B6F1-5364CF03D79D}"/>
              </c:ext>
            </c:extLst>
          </c:dPt>
          <c:dPt>
            <c:idx val="359"/>
            <c:invertIfNegative val="0"/>
            <c:bubble3D val="0"/>
            <c:extLst>
              <c:ext xmlns:c16="http://schemas.microsoft.com/office/drawing/2014/chart" uri="{C3380CC4-5D6E-409C-BE32-E72D297353CC}">
                <c16:uniqueId val="{00000305-B2BF-4554-B6F1-5364CF03D79D}"/>
              </c:ext>
            </c:extLst>
          </c:dPt>
          <c:dPt>
            <c:idx val="360"/>
            <c:invertIfNegative val="0"/>
            <c:bubble3D val="0"/>
            <c:extLst>
              <c:ext xmlns:c16="http://schemas.microsoft.com/office/drawing/2014/chart" uri="{C3380CC4-5D6E-409C-BE32-E72D297353CC}">
                <c16:uniqueId val="{00000306-B2BF-4554-B6F1-5364CF03D79D}"/>
              </c:ext>
            </c:extLst>
          </c:dPt>
          <c:dPt>
            <c:idx val="361"/>
            <c:invertIfNegative val="0"/>
            <c:bubble3D val="0"/>
            <c:extLst>
              <c:ext xmlns:c16="http://schemas.microsoft.com/office/drawing/2014/chart" uri="{C3380CC4-5D6E-409C-BE32-E72D297353CC}">
                <c16:uniqueId val="{00000307-B2BF-4554-B6F1-5364CF03D79D}"/>
              </c:ext>
            </c:extLst>
          </c:dPt>
          <c:dPt>
            <c:idx val="362"/>
            <c:invertIfNegative val="0"/>
            <c:bubble3D val="0"/>
            <c:extLst>
              <c:ext xmlns:c16="http://schemas.microsoft.com/office/drawing/2014/chart" uri="{C3380CC4-5D6E-409C-BE32-E72D297353CC}">
                <c16:uniqueId val="{00000308-B2BF-4554-B6F1-5364CF03D79D}"/>
              </c:ext>
            </c:extLst>
          </c:dPt>
          <c:dPt>
            <c:idx val="363"/>
            <c:invertIfNegative val="0"/>
            <c:bubble3D val="0"/>
            <c:extLst>
              <c:ext xmlns:c16="http://schemas.microsoft.com/office/drawing/2014/chart" uri="{C3380CC4-5D6E-409C-BE32-E72D297353CC}">
                <c16:uniqueId val="{00000309-B2BF-4554-B6F1-5364CF03D79D}"/>
              </c:ext>
            </c:extLst>
          </c:dPt>
          <c:dPt>
            <c:idx val="364"/>
            <c:invertIfNegative val="0"/>
            <c:bubble3D val="0"/>
            <c:extLst>
              <c:ext xmlns:c16="http://schemas.microsoft.com/office/drawing/2014/chart" uri="{C3380CC4-5D6E-409C-BE32-E72D297353CC}">
                <c16:uniqueId val="{0000030A-B2BF-4554-B6F1-5364CF03D79D}"/>
              </c:ext>
            </c:extLst>
          </c:dPt>
          <c:dPt>
            <c:idx val="365"/>
            <c:invertIfNegative val="0"/>
            <c:bubble3D val="0"/>
            <c:extLst>
              <c:ext xmlns:c16="http://schemas.microsoft.com/office/drawing/2014/chart" uri="{C3380CC4-5D6E-409C-BE32-E72D297353CC}">
                <c16:uniqueId val="{0000030B-B2BF-4554-B6F1-5364CF03D79D}"/>
              </c:ext>
            </c:extLst>
          </c:dPt>
          <c:dPt>
            <c:idx val="366"/>
            <c:invertIfNegative val="0"/>
            <c:bubble3D val="0"/>
            <c:extLst>
              <c:ext xmlns:c16="http://schemas.microsoft.com/office/drawing/2014/chart" uri="{C3380CC4-5D6E-409C-BE32-E72D297353CC}">
                <c16:uniqueId val="{0000030C-B2BF-4554-B6F1-5364CF03D79D}"/>
              </c:ext>
            </c:extLst>
          </c:dPt>
          <c:dPt>
            <c:idx val="367"/>
            <c:invertIfNegative val="0"/>
            <c:bubble3D val="0"/>
            <c:extLst>
              <c:ext xmlns:c16="http://schemas.microsoft.com/office/drawing/2014/chart" uri="{C3380CC4-5D6E-409C-BE32-E72D297353CC}">
                <c16:uniqueId val="{0000030D-B2BF-4554-B6F1-5364CF03D79D}"/>
              </c:ext>
            </c:extLst>
          </c:dPt>
          <c:dPt>
            <c:idx val="368"/>
            <c:invertIfNegative val="0"/>
            <c:bubble3D val="0"/>
            <c:extLst>
              <c:ext xmlns:c16="http://schemas.microsoft.com/office/drawing/2014/chart" uri="{C3380CC4-5D6E-409C-BE32-E72D297353CC}">
                <c16:uniqueId val="{0000030E-B2BF-4554-B6F1-5364CF03D79D}"/>
              </c:ext>
            </c:extLst>
          </c:dPt>
          <c:dPt>
            <c:idx val="369"/>
            <c:invertIfNegative val="0"/>
            <c:bubble3D val="0"/>
            <c:extLst>
              <c:ext xmlns:c16="http://schemas.microsoft.com/office/drawing/2014/chart" uri="{C3380CC4-5D6E-409C-BE32-E72D297353CC}">
                <c16:uniqueId val="{0000030F-B2BF-4554-B6F1-5364CF03D79D}"/>
              </c:ext>
            </c:extLst>
          </c:dPt>
          <c:dPt>
            <c:idx val="370"/>
            <c:invertIfNegative val="0"/>
            <c:bubble3D val="0"/>
            <c:extLst>
              <c:ext xmlns:c16="http://schemas.microsoft.com/office/drawing/2014/chart" uri="{C3380CC4-5D6E-409C-BE32-E72D297353CC}">
                <c16:uniqueId val="{00000310-B2BF-4554-B6F1-5364CF03D79D}"/>
              </c:ext>
            </c:extLst>
          </c:dPt>
          <c:dPt>
            <c:idx val="371"/>
            <c:invertIfNegative val="0"/>
            <c:bubble3D val="0"/>
            <c:extLst>
              <c:ext xmlns:c16="http://schemas.microsoft.com/office/drawing/2014/chart" uri="{C3380CC4-5D6E-409C-BE32-E72D297353CC}">
                <c16:uniqueId val="{00000311-B2BF-4554-B6F1-5364CF03D79D}"/>
              </c:ext>
            </c:extLst>
          </c:dPt>
          <c:dPt>
            <c:idx val="372"/>
            <c:invertIfNegative val="0"/>
            <c:bubble3D val="0"/>
            <c:extLst>
              <c:ext xmlns:c16="http://schemas.microsoft.com/office/drawing/2014/chart" uri="{C3380CC4-5D6E-409C-BE32-E72D297353CC}">
                <c16:uniqueId val="{00000312-B2BF-4554-B6F1-5364CF03D79D}"/>
              </c:ext>
            </c:extLst>
          </c:dPt>
          <c:dPt>
            <c:idx val="373"/>
            <c:invertIfNegative val="0"/>
            <c:bubble3D val="0"/>
            <c:extLst>
              <c:ext xmlns:c16="http://schemas.microsoft.com/office/drawing/2014/chart" uri="{C3380CC4-5D6E-409C-BE32-E72D297353CC}">
                <c16:uniqueId val="{00000313-B2BF-4554-B6F1-5364CF03D79D}"/>
              </c:ext>
            </c:extLst>
          </c:dPt>
          <c:dPt>
            <c:idx val="374"/>
            <c:invertIfNegative val="0"/>
            <c:bubble3D val="0"/>
            <c:extLst>
              <c:ext xmlns:c16="http://schemas.microsoft.com/office/drawing/2014/chart" uri="{C3380CC4-5D6E-409C-BE32-E72D297353CC}">
                <c16:uniqueId val="{00000314-B2BF-4554-B6F1-5364CF03D79D}"/>
              </c:ext>
            </c:extLst>
          </c:dPt>
          <c:dPt>
            <c:idx val="375"/>
            <c:invertIfNegative val="0"/>
            <c:bubble3D val="0"/>
            <c:extLst>
              <c:ext xmlns:c16="http://schemas.microsoft.com/office/drawing/2014/chart" uri="{C3380CC4-5D6E-409C-BE32-E72D297353CC}">
                <c16:uniqueId val="{00000315-B2BF-4554-B6F1-5364CF03D79D}"/>
              </c:ext>
            </c:extLst>
          </c:dPt>
          <c:dPt>
            <c:idx val="376"/>
            <c:invertIfNegative val="0"/>
            <c:bubble3D val="0"/>
            <c:extLst>
              <c:ext xmlns:c16="http://schemas.microsoft.com/office/drawing/2014/chart" uri="{C3380CC4-5D6E-409C-BE32-E72D297353CC}">
                <c16:uniqueId val="{00000316-B2BF-4554-B6F1-5364CF03D79D}"/>
              </c:ext>
            </c:extLst>
          </c:dPt>
          <c:dPt>
            <c:idx val="377"/>
            <c:invertIfNegative val="0"/>
            <c:bubble3D val="0"/>
            <c:extLst>
              <c:ext xmlns:c16="http://schemas.microsoft.com/office/drawing/2014/chart" uri="{C3380CC4-5D6E-409C-BE32-E72D297353CC}">
                <c16:uniqueId val="{00000317-B2BF-4554-B6F1-5364CF03D79D}"/>
              </c:ext>
            </c:extLst>
          </c:dPt>
          <c:dPt>
            <c:idx val="378"/>
            <c:invertIfNegative val="0"/>
            <c:bubble3D val="0"/>
            <c:extLst>
              <c:ext xmlns:c16="http://schemas.microsoft.com/office/drawing/2014/chart" uri="{C3380CC4-5D6E-409C-BE32-E72D297353CC}">
                <c16:uniqueId val="{00000318-B2BF-4554-B6F1-5364CF03D79D}"/>
              </c:ext>
            </c:extLst>
          </c:dPt>
          <c:dPt>
            <c:idx val="379"/>
            <c:invertIfNegative val="0"/>
            <c:bubble3D val="0"/>
            <c:extLst>
              <c:ext xmlns:c16="http://schemas.microsoft.com/office/drawing/2014/chart" uri="{C3380CC4-5D6E-409C-BE32-E72D297353CC}">
                <c16:uniqueId val="{00000319-B2BF-4554-B6F1-5364CF03D79D}"/>
              </c:ext>
            </c:extLst>
          </c:dPt>
          <c:dPt>
            <c:idx val="380"/>
            <c:invertIfNegative val="0"/>
            <c:bubble3D val="0"/>
            <c:extLst>
              <c:ext xmlns:c16="http://schemas.microsoft.com/office/drawing/2014/chart" uri="{C3380CC4-5D6E-409C-BE32-E72D297353CC}">
                <c16:uniqueId val="{0000031A-B2BF-4554-B6F1-5364CF03D79D}"/>
              </c:ext>
            </c:extLst>
          </c:dPt>
          <c:dPt>
            <c:idx val="381"/>
            <c:invertIfNegative val="0"/>
            <c:bubble3D val="0"/>
            <c:extLst>
              <c:ext xmlns:c16="http://schemas.microsoft.com/office/drawing/2014/chart" uri="{C3380CC4-5D6E-409C-BE32-E72D297353CC}">
                <c16:uniqueId val="{0000031B-B2BF-4554-B6F1-5364CF03D79D}"/>
              </c:ext>
            </c:extLst>
          </c:dPt>
          <c:dPt>
            <c:idx val="382"/>
            <c:invertIfNegative val="0"/>
            <c:bubble3D val="0"/>
            <c:extLst>
              <c:ext xmlns:c16="http://schemas.microsoft.com/office/drawing/2014/chart" uri="{C3380CC4-5D6E-409C-BE32-E72D297353CC}">
                <c16:uniqueId val="{0000031C-B2BF-4554-B6F1-5364CF03D79D}"/>
              </c:ext>
            </c:extLst>
          </c:dPt>
          <c:dPt>
            <c:idx val="383"/>
            <c:invertIfNegative val="0"/>
            <c:bubble3D val="0"/>
            <c:extLst>
              <c:ext xmlns:c16="http://schemas.microsoft.com/office/drawing/2014/chart" uri="{C3380CC4-5D6E-409C-BE32-E72D297353CC}">
                <c16:uniqueId val="{0000031D-B2BF-4554-B6F1-5364CF03D79D}"/>
              </c:ext>
            </c:extLst>
          </c:dPt>
          <c:dPt>
            <c:idx val="384"/>
            <c:invertIfNegative val="0"/>
            <c:bubble3D val="0"/>
            <c:extLst>
              <c:ext xmlns:c16="http://schemas.microsoft.com/office/drawing/2014/chart" uri="{C3380CC4-5D6E-409C-BE32-E72D297353CC}">
                <c16:uniqueId val="{0000031E-B2BF-4554-B6F1-5364CF03D79D}"/>
              </c:ext>
            </c:extLst>
          </c:dPt>
          <c:dPt>
            <c:idx val="385"/>
            <c:invertIfNegative val="0"/>
            <c:bubble3D val="0"/>
            <c:extLst>
              <c:ext xmlns:c16="http://schemas.microsoft.com/office/drawing/2014/chart" uri="{C3380CC4-5D6E-409C-BE32-E72D297353CC}">
                <c16:uniqueId val="{0000031F-B2BF-4554-B6F1-5364CF03D79D}"/>
              </c:ext>
            </c:extLst>
          </c:dPt>
          <c:dPt>
            <c:idx val="386"/>
            <c:invertIfNegative val="0"/>
            <c:bubble3D val="0"/>
            <c:extLst>
              <c:ext xmlns:c16="http://schemas.microsoft.com/office/drawing/2014/chart" uri="{C3380CC4-5D6E-409C-BE32-E72D297353CC}">
                <c16:uniqueId val="{00000320-B2BF-4554-B6F1-5364CF03D79D}"/>
              </c:ext>
            </c:extLst>
          </c:dPt>
          <c:dPt>
            <c:idx val="387"/>
            <c:invertIfNegative val="0"/>
            <c:bubble3D val="0"/>
            <c:extLst>
              <c:ext xmlns:c16="http://schemas.microsoft.com/office/drawing/2014/chart" uri="{C3380CC4-5D6E-409C-BE32-E72D297353CC}">
                <c16:uniqueId val="{00000321-B2BF-4554-B6F1-5364CF03D79D}"/>
              </c:ext>
            </c:extLst>
          </c:dPt>
          <c:cat>
            <c:multiLvlStrRef>
              <c:f>pt.lvl3_generic_7!$B$8:$C$57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pt.lvl3_generic_7!$D$8:$D$57</c:f>
              <c:numCache>
                <c:formatCode>General</c:formatCode>
                <c:ptCount val="4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0.92879146503962406</c:v>
                </c:pt>
              </c:numCache>
            </c:numRef>
          </c:val>
          <c:extLst>
            <c:ext xmlns:c16="http://schemas.microsoft.com/office/drawing/2014/chart" uri="{C3380CC4-5D6E-409C-BE32-E72D297353CC}">
              <c16:uniqueId val="{00000031-B92A-4B85-88E5-59E14C534F94}"/>
            </c:ext>
          </c:extLst>
        </c:ser>
        <c:dLbls>
          <c:showLegendKey val="0"/>
          <c:showVal val="0"/>
          <c:showCatName val="0"/>
          <c:showSerName val="0"/>
          <c:showPercent val="0"/>
          <c:showBubbleSize val="0"/>
        </c:dLbls>
        <c:gapWidth val="200"/>
        <c:overlap val="-27"/>
        <c:axId val="446334472"/>
        <c:axId val="446334864"/>
      </c:barChart>
      <c:lineChart>
        <c:grouping val="standard"/>
        <c:varyColors val="0"/>
        <c:ser>
          <c:idx val="1"/>
          <c:order val="1"/>
          <c:tx>
            <c:strRef>
              <c:f>pt.lvl3_generic_7!$E$7</c:f>
              <c:strCache>
                <c:ptCount val="1"/>
                <c:pt idx="0">
                  <c:v>Average of Cíl %</c:v>
                </c:pt>
              </c:strCache>
            </c:strRef>
          </c:tx>
          <c:spPr>
            <a:ln w="28575" cap="rnd">
              <a:solidFill>
                <a:srgbClr val="000000"/>
              </a:solidFill>
              <a:round/>
            </a:ln>
            <a:effectLst/>
          </c:spPr>
          <c:marker>
            <c:symbol val="none"/>
          </c:marker>
          <c:cat>
            <c:multiLvlStrRef>
              <c:f>pt.lvl3_generic_7!$B$8:$C$57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pt.lvl3_generic_7!$E$8:$E$57</c:f>
              <c:numCache>
                <c:formatCode>General</c:formatCode>
                <c:ptCount val="4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0.79999999999999993</c:v>
                </c:pt>
              </c:numCache>
            </c:numRef>
          </c:val>
          <c:smooth val="0"/>
          <c:extLst>
            <c:ext xmlns:c16="http://schemas.microsoft.com/office/drawing/2014/chart" uri="{C3380CC4-5D6E-409C-BE32-E72D297353CC}">
              <c16:uniqueId val="{00000032-B92A-4B85-88E5-59E14C534F94}"/>
            </c:ext>
          </c:extLst>
        </c:ser>
        <c:ser>
          <c:idx val="2"/>
          <c:order val="2"/>
          <c:tx>
            <c:strRef>
              <c:f>pt.lvl3_generic_7!$F$7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5A1-4B02-B367-C2BE1BF5FFE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5A1-4B02-B367-C2BE1BF5FFE7}"/>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5A1-4B02-B367-C2BE1BF5FFE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5A1-4B02-B367-C2BE1BF5FFE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5A1-4B02-B367-C2BE1BF5FFE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5A1-4B02-B367-C2BE1BF5FFE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5A1-4B02-B367-C2BE1BF5FFE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5A1-4B02-B367-C2BE1BF5FFE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5A1-4B02-B367-C2BE1BF5FFE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5A1-4B02-B367-C2BE1BF5FFE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5A1-4B02-B367-C2BE1BF5FFE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5A1-4B02-B367-C2BE1BF5FFE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5A1-4B02-B367-C2BE1BF5FFE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5A1-4B02-B367-C2BE1BF5FFE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5A1-4B02-B367-C2BE1BF5FFE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5A1-4B02-B367-C2BE1BF5FFE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5A1-4B02-B367-C2BE1BF5FFE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5A1-4B02-B367-C2BE1BF5FFE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5A1-4B02-B367-C2BE1BF5FFE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5A1-4B02-B367-C2BE1BF5FFE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5A1-4B02-B367-C2BE1BF5FFE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5A1-4B02-B367-C2BE1BF5FFE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022-474C-93F0-D8A225165CB5}"/>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022-474C-93F0-D8A225165CB5}"/>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022-474C-93F0-D8A225165CB5}"/>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022-474C-93F0-D8A225165CB5}"/>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022-474C-93F0-D8A225165CB5}"/>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022-474C-93F0-D8A225165CB5}"/>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022-474C-93F0-D8A225165CB5}"/>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022-474C-93F0-D8A225165CB5}"/>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022-474C-93F0-D8A225165CB5}"/>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022-474C-93F0-D8A225165CB5}"/>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022-474C-93F0-D8A225165CB5}"/>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022-474C-93F0-D8A225165CB5}"/>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B3FA-4025-AD36-1FDB3DFC80B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B3FA-4025-AD36-1FDB3DFC80B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B3FA-4025-AD36-1FDB3DFC80B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B3FA-4025-AD36-1FDB3DFC80B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B3FA-4025-AD36-1FDB3DFC80B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B3FA-4025-AD36-1FDB3DFC80B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B3FA-4025-AD36-1FDB3DFC80B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B3FA-4025-AD36-1FDB3DFC80B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B3FA-4025-AD36-1FDB3DFC80B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B3FA-4025-AD36-1FDB3DFC80B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B3FA-4025-AD36-1FDB3DFC80B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B3FA-4025-AD36-1FDB3DFC80B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06E4-4284-B808-52F8949B79D5}"/>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06E4-4284-B808-52F8949B79D5}"/>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06E4-4284-B808-52F8949B79D5}"/>
              </c:ext>
            </c:extLst>
          </c:dPt>
          <c:dPt>
            <c:idx val="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8-06E4-4284-B808-52F8949B79D5}"/>
              </c:ext>
            </c:extLst>
          </c:dPt>
          <c:dPt>
            <c:idx val="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9-06E4-4284-B808-52F8949B79D5}"/>
              </c:ext>
            </c:extLst>
          </c:dPt>
          <c:dPt>
            <c:idx val="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A-06E4-4284-B808-52F8949B79D5}"/>
              </c:ext>
            </c:extLst>
          </c:dPt>
          <c:dPt>
            <c:idx val="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B-06E4-4284-B808-52F8949B79D5}"/>
              </c:ext>
            </c:extLst>
          </c:dPt>
          <c:dPt>
            <c:idx val="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06E4-4284-B808-52F8949B79D5}"/>
              </c:ext>
            </c:extLst>
          </c:dPt>
          <c:dPt>
            <c:idx val="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06E4-4284-B808-52F8949B79D5}"/>
              </c:ext>
            </c:extLst>
          </c:dPt>
          <c:dPt>
            <c:idx val="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06E4-4284-B808-52F8949B79D5}"/>
              </c:ext>
            </c:extLst>
          </c:dPt>
          <c:dPt>
            <c:idx val="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06E4-4284-B808-52F8949B79D5}"/>
              </c:ext>
            </c:extLst>
          </c:dPt>
          <c:dPt>
            <c:idx val="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06E4-4284-B808-52F8949B79D5}"/>
              </c:ext>
            </c:extLst>
          </c:dPt>
          <c:dPt>
            <c:idx val="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06E4-4284-B808-52F8949B79D5}"/>
              </c:ext>
            </c:extLst>
          </c:dPt>
          <c:dPt>
            <c:idx val="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06E4-4284-B808-52F8949B79D5}"/>
              </c:ext>
            </c:extLst>
          </c:dPt>
          <c:dPt>
            <c:idx val="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06E4-4284-B808-52F8949B79D5}"/>
              </c:ext>
            </c:extLst>
          </c:dPt>
          <c:dPt>
            <c:idx val="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06E4-4284-B808-52F8949B79D5}"/>
              </c:ext>
            </c:extLst>
          </c:dPt>
          <c:dPt>
            <c:idx val="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6-06E4-4284-B808-52F8949B79D5}"/>
              </c:ext>
            </c:extLst>
          </c:dPt>
          <c:dPt>
            <c:idx val="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7-06E4-4284-B808-52F8949B79D5}"/>
              </c:ext>
            </c:extLst>
          </c:dPt>
          <c:dPt>
            <c:idx val="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8-06E4-4284-B808-52F8949B79D5}"/>
              </c:ext>
            </c:extLst>
          </c:dPt>
          <c:dPt>
            <c:idx val="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9-06E4-4284-B808-52F8949B79D5}"/>
              </c:ext>
            </c:extLst>
          </c:dPt>
          <c:dPt>
            <c:idx val="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A-06E4-4284-B808-52F8949B79D5}"/>
              </c:ext>
            </c:extLst>
          </c:dPt>
          <c:dPt>
            <c:idx val="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B-06E4-4284-B808-52F8949B79D5}"/>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C-06E4-4284-B808-52F8949B79D5}"/>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D-06E4-4284-B808-52F8949B79D5}"/>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E-06E4-4284-B808-52F8949B79D5}"/>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F-06E4-4284-B808-52F8949B79D5}"/>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0-06E4-4284-B808-52F8949B79D5}"/>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1-06E4-4284-B808-52F8949B79D5}"/>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06E4-4284-B808-52F8949B79D5}"/>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06E4-4284-B808-52F8949B79D5}"/>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06E4-4284-B808-52F8949B79D5}"/>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C-06E4-4284-B808-52F8949B79D5}"/>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D-06E4-4284-B808-52F8949B79D5}"/>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C048-4472-9DB4-39DCA4577088}"/>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C048-4472-9DB4-39DCA4577088}"/>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C048-4472-9DB4-39DCA4577088}"/>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C048-4472-9DB4-39DCA4577088}"/>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C048-4472-9DB4-39DCA4577088}"/>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C048-4472-9DB4-39DCA4577088}"/>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C048-4472-9DB4-39DCA4577088}"/>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C048-4472-9DB4-39DCA4577088}"/>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C048-4472-9DB4-39DCA4577088}"/>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C048-4472-9DB4-39DCA4577088}"/>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C048-4472-9DB4-39DCA4577088}"/>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C048-4472-9DB4-39DCA4577088}"/>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C048-4472-9DB4-39DCA4577088}"/>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C048-4472-9DB4-39DCA4577088}"/>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C048-4472-9DB4-39DCA4577088}"/>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C048-4472-9DB4-39DCA4577088}"/>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C048-4472-9DB4-39DCA4577088}"/>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C048-4472-9DB4-39DCA4577088}"/>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C048-4472-9DB4-39DCA4577088}"/>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C048-4472-9DB4-39DCA4577088}"/>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C048-4472-9DB4-39DCA4577088}"/>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C048-4472-9DB4-39DCA4577088}"/>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C048-4472-9DB4-39DCA4577088}"/>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E-C048-4472-9DB4-39DCA4577088}"/>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C048-4472-9DB4-39DCA4577088}"/>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0-C048-4472-9DB4-39DCA4577088}"/>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1-C048-4472-9DB4-39DCA4577088}"/>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D-7CA4-4BC7-B87E-F1C8C71FFBD6}"/>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F-7CA4-4BC7-B87E-F1C8C71FFBD6}"/>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7CA4-4BC7-B87E-F1C8C71FFBD6}"/>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7CA4-4BC7-B87E-F1C8C71FFBD6}"/>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7CA4-4BC7-B87E-F1C8C71FFBD6}"/>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7CA4-4BC7-B87E-F1C8C71FFBD6}"/>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7CA4-4BC7-B87E-F1C8C71FFBD6}"/>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7CA4-4BC7-B87E-F1C8C71FFBD6}"/>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7CA4-4BC7-B87E-F1C8C71FFBD6}"/>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7CA4-4BC7-B87E-F1C8C71FFBD6}"/>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7CA4-4BC7-B87E-F1C8C71FFBD6}"/>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7CA4-4BC7-B87E-F1C8C71FFBD6}"/>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8-7CA4-4BC7-B87E-F1C8C71FFBD6}"/>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9-7CA4-4BC7-B87E-F1C8C71FFBD6}"/>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7CA4-4BC7-B87E-F1C8C71FFBD6}"/>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7CA4-4BC7-B87E-F1C8C71FFBD6}"/>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D8B7-4F77-B029-A55B7EA5126D}"/>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D8B7-4F77-B029-A55B7EA5126D}"/>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D8B7-4F77-B029-A55B7EA5126D}"/>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D8B7-4F77-B029-A55B7EA5126D}"/>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1-D8B7-4F77-B029-A55B7EA5126D}"/>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3-D8B7-4F77-B029-A55B7EA5126D}"/>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E-7CA4-4BC7-B87E-F1C8C71FFBD6}"/>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7CA4-4BC7-B87E-F1C8C71FFBD6}"/>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C-6573-4778-8B38-67D76363B352}"/>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6573-4778-8B38-67D76363B352}"/>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E-6573-4778-8B38-67D76363B352}"/>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F-6573-4778-8B38-67D76363B352}"/>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A-2E84-4950-8EEC-5A2C57665BBC}"/>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B-2E84-4950-8EEC-5A2C57665BBC}"/>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2-D88D-4187-B85C-4F3CF548AD99}"/>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3-D88D-4187-B85C-4F3CF548AD99}"/>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B2BF-4554-B6F1-5364CF03D79D}"/>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B2BF-4554-B6F1-5364CF03D79D}"/>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B2BF-4554-B6F1-5364CF03D79D}"/>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B2BF-4554-B6F1-5364CF03D79D}"/>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B2BF-4554-B6F1-5364CF03D79D}"/>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B2BF-4554-B6F1-5364CF03D79D}"/>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B2BF-4554-B6F1-5364CF03D79D}"/>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B2BF-4554-B6F1-5364CF03D79D}"/>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B2BF-4554-B6F1-5364CF03D79D}"/>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B2BF-4554-B6F1-5364CF03D79D}"/>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B2BF-4554-B6F1-5364CF03D79D}"/>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B2BF-4554-B6F1-5364CF03D79D}"/>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B2BF-4554-B6F1-5364CF03D79D}"/>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B2BF-4554-B6F1-5364CF03D79D}"/>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B2BF-4554-B6F1-5364CF03D79D}"/>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B2BF-4554-B6F1-5364CF03D79D}"/>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B2BF-4554-B6F1-5364CF03D79D}"/>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B2BF-4554-B6F1-5364CF03D79D}"/>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B2BF-4554-B6F1-5364CF03D79D}"/>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B2BF-4554-B6F1-5364CF03D79D}"/>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B2BF-4554-B6F1-5364CF03D79D}"/>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B2BF-4554-B6F1-5364CF03D79D}"/>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B2BF-4554-B6F1-5364CF03D79D}"/>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B2BF-4554-B6F1-5364CF03D79D}"/>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B2BF-4554-B6F1-5364CF03D79D}"/>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B2BF-4554-B6F1-5364CF03D79D}"/>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B2BF-4554-B6F1-5364CF03D79D}"/>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B2BF-4554-B6F1-5364CF03D79D}"/>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B2BF-4554-B6F1-5364CF03D79D}"/>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B2BF-4554-B6F1-5364CF03D79D}"/>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B2BF-4554-B6F1-5364CF03D79D}"/>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B2BF-4554-B6F1-5364CF03D79D}"/>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B2BF-4554-B6F1-5364CF03D79D}"/>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B2BF-4554-B6F1-5364CF03D79D}"/>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B2BF-4554-B6F1-5364CF03D79D}"/>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B2BF-4554-B6F1-5364CF03D79D}"/>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B2BF-4554-B6F1-5364CF03D79D}"/>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B2BF-4554-B6F1-5364CF03D79D}"/>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B2BF-4554-B6F1-5364CF03D79D}"/>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B2BF-4554-B6F1-5364CF03D79D}"/>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B2BF-4554-B6F1-5364CF03D79D}"/>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B2BF-4554-B6F1-5364CF03D79D}"/>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B2BF-4554-B6F1-5364CF03D79D}"/>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B2BF-4554-B6F1-5364CF03D79D}"/>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B2BF-4554-B6F1-5364CF03D79D}"/>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B2BF-4554-B6F1-5364CF03D79D}"/>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B2BF-4554-B6F1-5364CF03D79D}"/>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B2BF-4554-B6F1-5364CF03D79D}"/>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B2BF-4554-B6F1-5364CF03D79D}"/>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B2BF-4554-B6F1-5364CF03D79D}"/>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B2BF-4554-B6F1-5364CF03D79D}"/>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B2BF-4554-B6F1-5364CF03D79D}"/>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B2BF-4554-B6F1-5364CF03D79D}"/>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B2BF-4554-B6F1-5364CF03D79D}"/>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B2BF-4554-B6F1-5364CF03D79D}"/>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B2BF-4554-B6F1-5364CF03D79D}"/>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B2BF-4554-B6F1-5364CF03D79D}"/>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B2BF-4554-B6F1-5364CF03D79D}"/>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B2BF-4554-B6F1-5364CF03D79D}"/>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B2BF-4554-B6F1-5364CF03D79D}"/>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B2BF-4554-B6F1-5364CF03D79D}"/>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B2BF-4554-B6F1-5364CF03D79D}"/>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B2BF-4554-B6F1-5364CF03D79D}"/>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B2BF-4554-B6F1-5364CF03D79D}"/>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B2BF-4554-B6F1-5364CF03D79D}"/>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B2BF-4554-B6F1-5364CF03D79D}"/>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B2BF-4554-B6F1-5364CF03D79D}"/>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B2BF-4554-B6F1-5364CF03D79D}"/>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B2BF-4554-B6F1-5364CF03D79D}"/>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B2BF-4554-B6F1-5364CF03D79D}"/>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B2BF-4554-B6F1-5364CF03D79D}"/>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B2BF-4554-B6F1-5364CF03D79D}"/>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B2BF-4554-B6F1-5364CF03D79D}"/>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B2BF-4554-B6F1-5364CF03D79D}"/>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B2BF-4554-B6F1-5364CF03D79D}"/>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B2BF-4554-B6F1-5364CF03D79D}"/>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B2BF-4554-B6F1-5364CF03D79D}"/>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B2BF-4554-B6F1-5364CF03D79D}"/>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B2BF-4554-B6F1-5364CF03D79D}"/>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B2BF-4554-B6F1-5364CF03D79D}"/>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B2BF-4554-B6F1-5364CF03D79D}"/>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B2BF-4554-B6F1-5364CF03D79D}"/>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B2BF-4554-B6F1-5364CF03D79D}"/>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B2BF-4554-B6F1-5364CF03D79D}"/>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B2BF-4554-B6F1-5364CF03D79D}"/>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B2BF-4554-B6F1-5364CF03D79D}"/>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B2BF-4554-B6F1-5364CF03D79D}"/>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B2BF-4554-B6F1-5364CF03D79D}"/>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B2BF-4554-B6F1-5364CF03D79D}"/>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B2BF-4554-B6F1-5364CF03D79D}"/>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B2BF-4554-B6F1-5364CF03D79D}"/>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B2BF-4554-B6F1-5364CF03D79D}"/>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B2BF-4554-B6F1-5364CF03D79D}"/>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B2BF-4554-B6F1-5364CF03D79D}"/>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B2BF-4554-B6F1-5364CF03D79D}"/>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B2BF-4554-B6F1-5364CF03D79D}"/>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B2BF-4554-B6F1-5364CF03D79D}"/>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B2BF-4554-B6F1-5364CF03D79D}"/>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B2BF-4554-B6F1-5364CF03D79D}"/>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B2BF-4554-B6F1-5364CF03D79D}"/>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B2BF-4554-B6F1-5364CF03D79D}"/>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B2BF-4554-B6F1-5364CF03D79D}"/>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B2BF-4554-B6F1-5364CF03D79D}"/>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B2BF-4554-B6F1-5364CF03D79D}"/>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B2BF-4554-B6F1-5364CF03D79D}"/>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B2BF-4554-B6F1-5364CF03D79D}"/>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B2BF-4554-B6F1-5364CF03D79D}"/>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B2BF-4554-B6F1-5364CF03D79D}"/>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B2BF-4554-B6F1-5364CF03D79D}"/>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B2BF-4554-B6F1-5364CF03D79D}"/>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B2BF-4554-B6F1-5364CF03D79D}"/>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B2BF-4554-B6F1-5364CF03D79D}"/>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B2BF-4554-B6F1-5364CF03D79D}"/>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B2BF-4554-B6F1-5364CF03D79D}"/>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B2BF-4554-B6F1-5364CF03D79D}"/>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B2BF-4554-B6F1-5364CF03D79D}"/>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B2BF-4554-B6F1-5364CF03D79D}"/>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B2BF-4554-B6F1-5364CF03D79D}"/>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B2BF-4554-B6F1-5364CF03D79D}"/>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B2BF-4554-B6F1-5364CF03D79D}"/>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B2BF-4554-B6F1-5364CF03D79D}"/>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B2BF-4554-B6F1-5364CF03D79D}"/>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B2BF-4554-B6F1-5364CF03D79D}"/>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B2BF-4554-B6F1-5364CF03D79D}"/>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B2BF-4554-B6F1-5364CF03D79D}"/>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B2BF-4554-B6F1-5364CF03D79D}"/>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B2BF-4554-B6F1-5364CF03D79D}"/>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B2BF-4554-B6F1-5364CF03D79D}"/>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B2BF-4554-B6F1-5364CF03D79D}"/>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B2BF-4554-B6F1-5364CF03D79D}"/>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B2BF-4554-B6F1-5364CF03D79D}"/>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B2BF-4554-B6F1-5364CF03D79D}"/>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B2BF-4554-B6F1-5364CF03D79D}"/>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B2BF-4554-B6F1-5364CF03D79D}"/>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B2BF-4554-B6F1-5364CF03D79D}"/>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B2BF-4554-B6F1-5364CF03D79D}"/>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B2BF-4554-B6F1-5364CF03D79D}"/>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B2BF-4554-B6F1-5364CF03D79D}"/>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B2BF-4554-B6F1-5364CF03D79D}"/>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B2BF-4554-B6F1-5364CF03D79D}"/>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B2BF-4554-B6F1-5364CF03D79D}"/>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B2BF-4554-B6F1-5364CF03D79D}"/>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B2BF-4554-B6F1-5364CF03D79D}"/>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B2BF-4554-B6F1-5364CF03D79D}"/>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B2BF-4554-B6F1-5364CF03D79D}"/>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B2BF-4554-B6F1-5364CF03D79D}"/>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B2BF-4554-B6F1-5364CF03D79D}"/>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B2BF-4554-B6F1-5364CF03D79D}"/>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B2BF-4554-B6F1-5364CF03D79D}"/>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B2BF-4554-B6F1-5364CF03D79D}"/>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B2BF-4554-B6F1-5364CF03D79D}"/>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B2BF-4554-B6F1-5364CF03D79D}"/>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B2BF-4554-B6F1-5364CF03D79D}"/>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B2BF-4554-B6F1-5364CF03D79D}"/>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B2BF-4554-B6F1-5364CF03D79D}"/>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B2BF-4554-B6F1-5364CF03D79D}"/>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B2BF-4554-B6F1-5364CF03D79D}"/>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B2BF-4554-B6F1-5364CF03D79D}"/>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B2BF-4554-B6F1-5364CF03D79D}"/>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B2BF-4554-B6F1-5364CF03D79D}"/>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B2BF-4554-B6F1-5364CF03D79D}"/>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B2BF-4554-B6F1-5364CF03D79D}"/>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B2BF-4554-B6F1-5364CF03D79D}"/>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B2BF-4554-B6F1-5364CF03D79D}"/>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B2BF-4554-B6F1-5364CF03D79D}"/>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B2BF-4554-B6F1-5364CF03D79D}"/>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B2BF-4554-B6F1-5364CF03D79D}"/>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B2BF-4554-B6F1-5364CF03D79D}"/>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B2BF-4554-B6F1-5364CF03D79D}"/>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B2BF-4554-B6F1-5364CF03D79D}"/>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B2BF-4554-B6F1-5364CF03D79D}"/>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B2BF-4554-B6F1-5364CF03D79D}"/>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B2BF-4554-B6F1-5364CF03D79D}"/>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B2BF-4554-B6F1-5364CF03D79D}"/>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B2BF-4554-B6F1-5364CF03D79D}"/>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B2BF-4554-B6F1-5364CF03D79D}"/>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B2BF-4554-B6F1-5364CF03D79D}"/>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B2BF-4554-B6F1-5364CF03D79D}"/>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B2BF-4554-B6F1-5364CF03D79D}"/>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B2BF-4554-B6F1-5364CF03D79D}"/>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B2BF-4554-B6F1-5364CF03D79D}"/>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B2BF-4554-B6F1-5364CF03D79D}"/>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B2BF-4554-B6F1-5364CF03D79D}"/>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B2BF-4554-B6F1-5364CF03D79D}"/>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B2BF-4554-B6F1-5364CF03D79D}"/>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B2BF-4554-B6F1-5364CF03D79D}"/>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B2BF-4554-B6F1-5364CF03D79D}"/>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B2BF-4554-B6F1-5364CF03D79D}"/>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B2BF-4554-B6F1-5364CF03D79D}"/>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B2BF-4554-B6F1-5364CF03D79D}"/>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B2BF-4554-B6F1-5364CF03D79D}"/>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B2BF-4554-B6F1-5364CF03D79D}"/>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B2BF-4554-B6F1-5364CF03D79D}"/>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B2BF-4554-B6F1-5364CF03D79D}"/>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B2BF-4554-B6F1-5364CF03D79D}"/>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B2BF-4554-B6F1-5364CF03D79D}"/>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B2BF-4554-B6F1-5364CF03D79D}"/>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B2BF-4554-B6F1-5364CF03D79D}"/>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B2BF-4554-B6F1-5364CF03D79D}"/>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B2BF-4554-B6F1-5364CF03D79D}"/>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B2BF-4554-B6F1-5364CF03D79D}"/>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B2BF-4554-B6F1-5364CF03D79D}"/>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B2BF-4554-B6F1-5364CF03D79D}"/>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B2BF-4554-B6F1-5364CF03D79D}"/>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B2BF-4554-B6F1-5364CF03D79D}"/>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B2BF-4554-B6F1-5364CF03D79D}"/>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B2BF-4554-B6F1-5364CF03D79D}"/>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B2BF-4554-B6F1-5364CF03D79D}"/>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B2BF-4554-B6F1-5364CF03D79D}"/>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B2BF-4554-B6F1-5364CF03D79D}"/>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B2BF-4554-B6F1-5364CF03D79D}"/>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B2BF-4554-B6F1-5364CF03D79D}"/>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B2BF-4554-B6F1-5364CF03D79D}"/>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B2BF-4554-B6F1-5364CF03D79D}"/>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B2BF-4554-B6F1-5364CF03D79D}"/>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B2BF-4554-B6F1-5364CF03D79D}"/>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B2BF-4554-B6F1-5364CF03D79D}"/>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B2BF-4554-B6F1-5364CF03D79D}"/>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B2BF-4554-B6F1-5364CF03D79D}"/>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B2BF-4554-B6F1-5364CF03D79D}"/>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B2BF-4554-B6F1-5364CF03D79D}"/>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B2BF-4554-B6F1-5364CF03D79D}"/>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B2BF-4554-B6F1-5364CF03D79D}"/>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B2BF-4554-B6F1-5364CF03D79D}"/>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B2BF-4554-B6F1-5364CF03D79D}"/>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B2BF-4554-B6F1-5364CF03D79D}"/>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B2BF-4554-B6F1-5364CF03D79D}"/>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B2BF-4554-B6F1-5364CF03D79D}"/>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B2BF-4554-B6F1-5364CF03D79D}"/>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B2BF-4554-B6F1-5364CF03D79D}"/>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B2BF-4554-B6F1-5364CF03D79D}"/>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B2BF-4554-B6F1-5364CF03D79D}"/>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B2BF-4554-B6F1-5364CF03D79D}"/>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B2BF-4554-B6F1-5364CF03D79D}"/>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B2BF-4554-B6F1-5364CF03D79D}"/>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B2BF-4554-B6F1-5364CF03D79D}"/>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B2BF-4554-B6F1-5364CF03D79D}"/>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B2BF-4554-B6F1-5364CF03D79D}"/>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B2BF-4554-B6F1-5364CF03D79D}"/>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B2BF-4554-B6F1-5364CF03D79D}"/>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B2BF-4554-B6F1-5364CF03D79D}"/>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B2BF-4554-B6F1-5364CF03D79D}"/>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B2BF-4554-B6F1-5364CF03D79D}"/>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B2BF-4554-B6F1-5364CF03D79D}"/>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B2BF-4554-B6F1-5364CF03D79D}"/>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B2BF-4554-B6F1-5364CF03D79D}"/>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8-B2BF-4554-B6F1-5364CF03D79D}"/>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B2BF-4554-B6F1-5364CF03D79D}"/>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A-B2BF-4554-B6F1-5364CF03D79D}"/>
              </c:ext>
            </c:extLst>
          </c:dPt>
          <c:dPt>
            <c:idx val="3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B-B2BF-4554-B6F1-5364CF03D79D}"/>
              </c:ext>
            </c:extLst>
          </c:dPt>
          <c:cat>
            <c:multiLvlStrRef>
              <c:f>pt.lvl3_generic_7!$B$8:$C$57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pt.lvl3_generic_7!$F$8:$F$57</c:f>
              <c:numCache>
                <c:formatCode>General</c:formatCode>
                <c:ptCount val="4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33-B92A-4B85-88E5-59E14C534F94}"/>
            </c:ext>
          </c:extLst>
        </c:ser>
        <c:dLbls>
          <c:showLegendKey val="0"/>
          <c:showVal val="0"/>
          <c:showCatName val="0"/>
          <c:showSerName val="0"/>
          <c:showPercent val="0"/>
          <c:showBubbleSize val="0"/>
        </c:dLbls>
        <c:marker val="1"/>
        <c:smooth val="0"/>
        <c:axId val="446334472"/>
        <c:axId val="446334864"/>
      </c:lineChart>
      <c:catAx>
        <c:axId val="4463344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864"/>
        <c:crosses val="autoZero"/>
        <c:auto val="1"/>
        <c:lblAlgn val="ctr"/>
        <c:lblOffset val="100"/>
        <c:noMultiLvlLbl val="0"/>
      </c:catAx>
      <c:valAx>
        <c:axId val="4463348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472"/>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1.3_3_2.xlsm]pt.lvl3_generic_3!pt.lvl3_generic_3</c:name>
    <c:fmtId val="0"/>
  </c:pivotSource>
  <c:chart>
    <c:autoTitleDeleted val="1"/>
    <c:pivotFmts>
      <c:pivotFmt>
        <c:idx val="0"/>
        <c:spPr>
          <a:solidFill>
            <a:schemeClr val="accent1"/>
          </a:solidFill>
          <a:ln>
            <a:solidFill>
              <a:srgbClr val="9CC746"/>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0"/>
      </c:pivotFmt>
      <c:pivotFmt>
        <c:idx val="21"/>
      </c:pivotFmt>
      <c:pivotFmt>
        <c:idx val="22"/>
      </c:pivotFmt>
      <c:pivotFmt>
        <c:idx val="23"/>
      </c:pivotFmt>
      <c:pivotFmt>
        <c:idx val="24"/>
      </c:pivotFmt>
      <c:pivotFmt>
        <c:idx val="25"/>
      </c:pivotFmt>
      <c:pivotFmt>
        <c:idx val="26"/>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rgbClr val="9CC746"/>
          </a:solidFill>
          <a:ln>
            <a:solidFill>
              <a:srgbClr val="9CC746"/>
            </a:solidFill>
          </a:ln>
          <a:effectLst/>
        </c:spP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solidFill>
            <a:schemeClr val="accent1"/>
          </a:solidFill>
          <a:ln>
            <a:noFill/>
          </a:ln>
          <a:effectLst/>
        </c:spPr>
        <c:marker>
          <c:symbol val="none"/>
        </c:marker>
      </c:pivotFmt>
      <c:pivotFmt>
        <c:idx val="10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pivotFmt>
      <c:pivotFmt>
        <c:idx val="1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pt.lvl3_generic_3!$D$7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BDD8-4FC3-BBB7-DA9CBCF10FDA}"/>
              </c:ext>
            </c:extLst>
          </c:dPt>
          <c:dPt>
            <c:idx val="1"/>
            <c:invertIfNegative val="0"/>
            <c:bubble3D val="0"/>
            <c:spPr>
              <a:solidFill>
                <a:srgbClr val="9CC746"/>
              </a:solidFill>
              <a:ln>
                <a:noFill/>
              </a:ln>
              <a:effectLst/>
            </c:spPr>
            <c:extLst>
              <c:ext xmlns:c16="http://schemas.microsoft.com/office/drawing/2014/chart" uri="{C3380CC4-5D6E-409C-BE32-E72D297353CC}">
                <c16:uniqueId val="{00000003-BDD8-4FC3-BBB7-DA9CBCF10FDA}"/>
              </c:ext>
            </c:extLst>
          </c:dPt>
          <c:dPt>
            <c:idx val="2"/>
            <c:invertIfNegative val="0"/>
            <c:bubble3D val="0"/>
            <c:spPr>
              <a:solidFill>
                <a:srgbClr val="9CC746"/>
              </a:solidFill>
              <a:ln>
                <a:noFill/>
              </a:ln>
              <a:effectLst/>
            </c:spPr>
            <c:extLst>
              <c:ext xmlns:c16="http://schemas.microsoft.com/office/drawing/2014/chart" uri="{C3380CC4-5D6E-409C-BE32-E72D297353CC}">
                <c16:uniqueId val="{00000005-BDD8-4FC3-BBB7-DA9CBCF10FDA}"/>
              </c:ext>
            </c:extLst>
          </c:dPt>
          <c:dPt>
            <c:idx val="3"/>
            <c:invertIfNegative val="0"/>
            <c:bubble3D val="0"/>
            <c:spPr>
              <a:solidFill>
                <a:srgbClr val="9CC746"/>
              </a:solidFill>
              <a:ln>
                <a:noFill/>
              </a:ln>
              <a:effectLst/>
            </c:spPr>
            <c:extLst>
              <c:ext xmlns:c16="http://schemas.microsoft.com/office/drawing/2014/chart" uri="{C3380CC4-5D6E-409C-BE32-E72D297353CC}">
                <c16:uniqueId val="{00000007-BDD8-4FC3-BBB7-DA9CBCF10FDA}"/>
              </c:ext>
            </c:extLst>
          </c:dPt>
          <c:dPt>
            <c:idx val="4"/>
            <c:invertIfNegative val="0"/>
            <c:bubble3D val="0"/>
            <c:spPr>
              <a:solidFill>
                <a:srgbClr val="9CC746"/>
              </a:solidFill>
              <a:ln>
                <a:noFill/>
              </a:ln>
              <a:effectLst/>
            </c:spPr>
            <c:extLst>
              <c:ext xmlns:c16="http://schemas.microsoft.com/office/drawing/2014/chart" uri="{C3380CC4-5D6E-409C-BE32-E72D297353CC}">
                <c16:uniqueId val="{00000009-BDD8-4FC3-BBB7-DA9CBCF10FDA}"/>
              </c:ext>
            </c:extLst>
          </c:dPt>
          <c:dPt>
            <c:idx val="5"/>
            <c:invertIfNegative val="0"/>
            <c:bubble3D val="0"/>
            <c:spPr>
              <a:solidFill>
                <a:srgbClr val="9B2D2A"/>
              </a:solidFill>
              <a:ln>
                <a:noFill/>
              </a:ln>
              <a:effectLst/>
            </c:spPr>
            <c:extLst>
              <c:ext xmlns:c16="http://schemas.microsoft.com/office/drawing/2014/chart" uri="{C3380CC4-5D6E-409C-BE32-E72D297353CC}">
                <c16:uniqueId val="{0000000B-BDD8-4FC3-BBB7-DA9CBCF10FDA}"/>
              </c:ext>
            </c:extLst>
          </c:dPt>
          <c:dPt>
            <c:idx val="6"/>
            <c:invertIfNegative val="0"/>
            <c:bubble3D val="0"/>
            <c:spPr>
              <a:solidFill>
                <a:srgbClr val="9CC746"/>
              </a:solidFill>
              <a:ln>
                <a:noFill/>
              </a:ln>
              <a:effectLst/>
            </c:spPr>
            <c:extLst>
              <c:ext xmlns:c16="http://schemas.microsoft.com/office/drawing/2014/chart" uri="{C3380CC4-5D6E-409C-BE32-E72D297353CC}">
                <c16:uniqueId val="{0000000D-BDD8-4FC3-BBB7-DA9CBCF10FDA}"/>
              </c:ext>
            </c:extLst>
          </c:dPt>
          <c:dPt>
            <c:idx val="7"/>
            <c:invertIfNegative val="0"/>
            <c:bubble3D val="0"/>
            <c:spPr>
              <a:solidFill>
                <a:srgbClr val="9CC746"/>
              </a:solidFill>
              <a:ln>
                <a:noFill/>
              </a:ln>
              <a:effectLst/>
            </c:spPr>
            <c:extLst>
              <c:ext xmlns:c16="http://schemas.microsoft.com/office/drawing/2014/chart" uri="{C3380CC4-5D6E-409C-BE32-E72D297353CC}">
                <c16:uniqueId val="{0000000F-BDD8-4FC3-BBB7-DA9CBCF10FDA}"/>
              </c:ext>
            </c:extLst>
          </c:dPt>
          <c:dPt>
            <c:idx val="8"/>
            <c:invertIfNegative val="0"/>
            <c:bubble3D val="0"/>
            <c:spPr>
              <a:solidFill>
                <a:srgbClr val="9B2D2A"/>
              </a:solidFill>
              <a:ln>
                <a:noFill/>
              </a:ln>
              <a:effectLst/>
            </c:spPr>
            <c:extLst>
              <c:ext xmlns:c16="http://schemas.microsoft.com/office/drawing/2014/chart" uri="{C3380CC4-5D6E-409C-BE32-E72D297353CC}">
                <c16:uniqueId val="{00000011-BDD8-4FC3-BBB7-DA9CBCF10FDA}"/>
              </c:ext>
            </c:extLst>
          </c:dPt>
          <c:dPt>
            <c:idx val="9"/>
            <c:invertIfNegative val="0"/>
            <c:bubble3D val="0"/>
            <c:spPr>
              <a:solidFill>
                <a:srgbClr val="9B2D2A"/>
              </a:solidFill>
              <a:ln>
                <a:noFill/>
              </a:ln>
              <a:effectLst/>
            </c:spPr>
            <c:extLst>
              <c:ext xmlns:c16="http://schemas.microsoft.com/office/drawing/2014/chart" uri="{C3380CC4-5D6E-409C-BE32-E72D297353CC}">
                <c16:uniqueId val="{00000013-BDD8-4FC3-BBB7-DA9CBCF10FDA}"/>
              </c:ext>
            </c:extLst>
          </c:dPt>
          <c:dPt>
            <c:idx val="10"/>
            <c:invertIfNegative val="0"/>
            <c:bubble3D val="0"/>
            <c:spPr>
              <a:solidFill>
                <a:srgbClr val="9B2D2A"/>
              </a:solidFill>
              <a:ln>
                <a:noFill/>
              </a:ln>
              <a:effectLst/>
            </c:spPr>
            <c:extLst>
              <c:ext xmlns:c16="http://schemas.microsoft.com/office/drawing/2014/chart" uri="{C3380CC4-5D6E-409C-BE32-E72D297353CC}">
                <c16:uniqueId val="{00000015-BDD8-4FC3-BBB7-DA9CBCF10FDA}"/>
              </c:ext>
            </c:extLst>
          </c:dPt>
          <c:dPt>
            <c:idx val="11"/>
            <c:invertIfNegative val="0"/>
            <c:bubble3D val="0"/>
            <c:spPr>
              <a:solidFill>
                <a:srgbClr val="9CC746"/>
              </a:solidFill>
              <a:ln>
                <a:noFill/>
              </a:ln>
              <a:effectLst/>
            </c:spPr>
            <c:extLst>
              <c:ext xmlns:c16="http://schemas.microsoft.com/office/drawing/2014/chart" uri="{C3380CC4-5D6E-409C-BE32-E72D297353CC}">
                <c16:uniqueId val="{00000017-BDD8-4FC3-BBB7-DA9CBCF10FDA}"/>
              </c:ext>
            </c:extLst>
          </c:dPt>
          <c:dPt>
            <c:idx val="12"/>
            <c:invertIfNegative val="0"/>
            <c:bubble3D val="0"/>
            <c:spPr>
              <a:solidFill>
                <a:srgbClr val="9CC746"/>
              </a:solidFill>
              <a:ln>
                <a:noFill/>
              </a:ln>
              <a:effectLst/>
            </c:spPr>
            <c:extLst>
              <c:ext xmlns:c16="http://schemas.microsoft.com/office/drawing/2014/chart" uri="{C3380CC4-5D6E-409C-BE32-E72D297353CC}">
                <c16:uniqueId val="{00000019-BDD8-4FC3-BBB7-DA9CBCF10FDA}"/>
              </c:ext>
            </c:extLst>
          </c:dPt>
          <c:dPt>
            <c:idx val="13"/>
            <c:invertIfNegative val="0"/>
            <c:bubble3D val="0"/>
            <c:spPr>
              <a:solidFill>
                <a:srgbClr val="9CC746"/>
              </a:solidFill>
              <a:ln>
                <a:noFill/>
              </a:ln>
              <a:effectLst/>
            </c:spPr>
            <c:extLst>
              <c:ext xmlns:c16="http://schemas.microsoft.com/office/drawing/2014/chart" uri="{C3380CC4-5D6E-409C-BE32-E72D297353CC}">
                <c16:uniqueId val="{0000001B-BDD8-4FC3-BBB7-DA9CBCF10FDA}"/>
              </c:ext>
            </c:extLst>
          </c:dPt>
          <c:dPt>
            <c:idx val="14"/>
            <c:invertIfNegative val="0"/>
            <c:bubble3D val="0"/>
            <c:spPr>
              <a:solidFill>
                <a:srgbClr val="9CC746"/>
              </a:solidFill>
              <a:ln>
                <a:noFill/>
              </a:ln>
              <a:effectLst/>
            </c:spPr>
            <c:extLst>
              <c:ext xmlns:c16="http://schemas.microsoft.com/office/drawing/2014/chart" uri="{C3380CC4-5D6E-409C-BE32-E72D297353CC}">
                <c16:uniqueId val="{0000001D-BDD8-4FC3-BBB7-DA9CBCF10FDA}"/>
              </c:ext>
            </c:extLst>
          </c:dPt>
          <c:dPt>
            <c:idx val="15"/>
            <c:invertIfNegative val="0"/>
            <c:bubble3D val="0"/>
            <c:spPr>
              <a:solidFill>
                <a:srgbClr val="9CC746"/>
              </a:solidFill>
              <a:ln>
                <a:noFill/>
              </a:ln>
              <a:effectLst/>
            </c:spPr>
            <c:extLst>
              <c:ext xmlns:c16="http://schemas.microsoft.com/office/drawing/2014/chart" uri="{C3380CC4-5D6E-409C-BE32-E72D297353CC}">
                <c16:uniqueId val="{0000001F-BDD8-4FC3-BBB7-DA9CBCF10FDA}"/>
              </c:ext>
            </c:extLst>
          </c:dPt>
          <c:dPt>
            <c:idx val="16"/>
            <c:invertIfNegative val="0"/>
            <c:bubble3D val="0"/>
            <c:spPr>
              <a:solidFill>
                <a:srgbClr val="9CC746"/>
              </a:solidFill>
              <a:ln>
                <a:noFill/>
              </a:ln>
              <a:effectLst/>
            </c:spPr>
            <c:extLst>
              <c:ext xmlns:c16="http://schemas.microsoft.com/office/drawing/2014/chart" uri="{C3380CC4-5D6E-409C-BE32-E72D297353CC}">
                <c16:uniqueId val="{00000021-BDD8-4FC3-BBB7-DA9CBCF10FDA}"/>
              </c:ext>
            </c:extLst>
          </c:dPt>
          <c:dPt>
            <c:idx val="17"/>
            <c:invertIfNegative val="0"/>
            <c:bubble3D val="0"/>
            <c:spPr>
              <a:solidFill>
                <a:srgbClr val="9CC746"/>
              </a:solidFill>
              <a:ln>
                <a:noFill/>
              </a:ln>
              <a:effectLst/>
            </c:spPr>
            <c:extLst>
              <c:ext xmlns:c16="http://schemas.microsoft.com/office/drawing/2014/chart" uri="{C3380CC4-5D6E-409C-BE32-E72D297353CC}">
                <c16:uniqueId val="{00000022-F78D-4966-8644-89CF39FCDFEB}"/>
              </c:ext>
            </c:extLst>
          </c:dPt>
          <c:dPt>
            <c:idx val="18"/>
            <c:invertIfNegative val="0"/>
            <c:bubble3D val="0"/>
            <c:spPr>
              <a:solidFill>
                <a:srgbClr val="9CC746"/>
              </a:solidFill>
              <a:ln>
                <a:noFill/>
              </a:ln>
              <a:effectLst/>
            </c:spPr>
            <c:extLst>
              <c:ext xmlns:c16="http://schemas.microsoft.com/office/drawing/2014/chart" uri="{C3380CC4-5D6E-409C-BE32-E72D297353CC}">
                <c16:uniqueId val="{00000023-F78D-4966-8644-89CF39FCDFEB}"/>
              </c:ext>
            </c:extLst>
          </c:dPt>
          <c:dPt>
            <c:idx val="19"/>
            <c:invertIfNegative val="0"/>
            <c:bubble3D val="0"/>
            <c:spPr>
              <a:solidFill>
                <a:srgbClr val="9CC746"/>
              </a:solidFill>
              <a:ln>
                <a:noFill/>
              </a:ln>
              <a:effectLst/>
            </c:spPr>
            <c:extLst>
              <c:ext xmlns:c16="http://schemas.microsoft.com/office/drawing/2014/chart" uri="{C3380CC4-5D6E-409C-BE32-E72D297353CC}">
                <c16:uniqueId val="{00000024-F78D-4966-8644-89CF39FCDFEB}"/>
              </c:ext>
            </c:extLst>
          </c:dPt>
          <c:dPt>
            <c:idx val="20"/>
            <c:invertIfNegative val="0"/>
            <c:bubble3D val="0"/>
            <c:spPr>
              <a:solidFill>
                <a:srgbClr val="9CC746"/>
              </a:solidFill>
              <a:ln>
                <a:noFill/>
              </a:ln>
              <a:effectLst/>
            </c:spPr>
            <c:extLst>
              <c:ext xmlns:c16="http://schemas.microsoft.com/office/drawing/2014/chart" uri="{C3380CC4-5D6E-409C-BE32-E72D297353CC}">
                <c16:uniqueId val="{00000025-F78D-4966-8644-89CF39FCDFEB}"/>
              </c:ext>
            </c:extLst>
          </c:dPt>
          <c:dPt>
            <c:idx val="21"/>
            <c:invertIfNegative val="0"/>
            <c:bubble3D val="0"/>
            <c:spPr>
              <a:solidFill>
                <a:srgbClr val="9B2D2A"/>
              </a:solidFill>
              <a:ln>
                <a:noFill/>
              </a:ln>
              <a:effectLst/>
            </c:spPr>
            <c:extLst>
              <c:ext xmlns:c16="http://schemas.microsoft.com/office/drawing/2014/chart" uri="{C3380CC4-5D6E-409C-BE32-E72D297353CC}">
                <c16:uniqueId val="{00000026-F78D-4966-8644-89CF39FCDFEB}"/>
              </c:ext>
            </c:extLst>
          </c:dPt>
          <c:dPt>
            <c:idx val="22"/>
            <c:invertIfNegative val="0"/>
            <c:bubble3D val="0"/>
            <c:spPr>
              <a:solidFill>
                <a:srgbClr val="9CC746"/>
              </a:solidFill>
              <a:ln>
                <a:noFill/>
              </a:ln>
              <a:effectLst/>
            </c:spPr>
            <c:extLst>
              <c:ext xmlns:c16="http://schemas.microsoft.com/office/drawing/2014/chart" uri="{C3380CC4-5D6E-409C-BE32-E72D297353CC}">
                <c16:uniqueId val="{00000027-F78D-4966-8644-89CF39FCDFEB}"/>
              </c:ext>
            </c:extLst>
          </c:dPt>
          <c:dPt>
            <c:idx val="23"/>
            <c:invertIfNegative val="0"/>
            <c:bubble3D val="0"/>
            <c:spPr>
              <a:solidFill>
                <a:srgbClr val="9B2D2A"/>
              </a:solidFill>
              <a:ln>
                <a:noFill/>
              </a:ln>
              <a:effectLst/>
            </c:spPr>
            <c:extLst>
              <c:ext xmlns:c16="http://schemas.microsoft.com/office/drawing/2014/chart" uri="{C3380CC4-5D6E-409C-BE32-E72D297353CC}">
                <c16:uniqueId val="{00000028-F78D-4966-8644-89CF39FCDFEB}"/>
              </c:ext>
            </c:extLst>
          </c:dPt>
          <c:dPt>
            <c:idx val="24"/>
            <c:invertIfNegative val="0"/>
            <c:bubble3D val="0"/>
            <c:spPr>
              <a:solidFill>
                <a:srgbClr val="9B2D2A"/>
              </a:solidFill>
              <a:ln>
                <a:noFill/>
              </a:ln>
              <a:effectLst/>
            </c:spPr>
            <c:extLst>
              <c:ext xmlns:c16="http://schemas.microsoft.com/office/drawing/2014/chart" uri="{C3380CC4-5D6E-409C-BE32-E72D297353CC}">
                <c16:uniqueId val="{00000030-F78D-4966-8644-89CF39FCDFEB}"/>
              </c:ext>
            </c:extLst>
          </c:dPt>
          <c:dPt>
            <c:idx val="25"/>
            <c:invertIfNegative val="0"/>
            <c:bubble3D val="0"/>
            <c:spPr>
              <a:solidFill>
                <a:srgbClr val="9B2D2A"/>
              </a:solidFill>
              <a:ln>
                <a:noFill/>
              </a:ln>
              <a:effectLst/>
            </c:spPr>
            <c:extLst>
              <c:ext xmlns:c16="http://schemas.microsoft.com/office/drawing/2014/chart" uri="{C3380CC4-5D6E-409C-BE32-E72D297353CC}">
                <c16:uniqueId val="{00000031-F78D-4966-8644-89CF39FCDFEB}"/>
              </c:ext>
            </c:extLst>
          </c:dPt>
          <c:dPt>
            <c:idx val="26"/>
            <c:invertIfNegative val="0"/>
            <c:bubble3D val="0"/>
            <c:spPr>
              <a:solidFill>
                <a:srgbClr val="9CC746"/>
              </a:solidFill>
              <a:ln>
                <a:noFill/>
              </a:ln>
              <a:effectLst/>
            </c:spPr>
            <c:extLst>
              <c:ext xmlns:c16="http://schemas.microsoft.com/office/drawing/2014/chart" uri="{C3380CC4-5D6E-409C-BE32-E72D297353CC}">
                <c16:uniqueId val="{00000034-F78D-4966-8644-89CF39FCDFEB}"/>
              </c:ext>
            </c:extLst>
          </c:dPt>
          <c:dPt>
            <c:idx val="27"/>
            <c:invertIfNegative val="0"/>
            <c:bubble3D val="0"/>
            <c:spPr>
              <a:solidFill>
                <a:srgbClr val="9CC746"/>
              </a:solidFill>
              <a:ln>
                <a:noFill/>
              </a:ln>
              <a:effectLst/>
            </c:spPr>
            <c:extLst>
              <c:ext xmlns:c16="http://schemas.microsoft.com/office/drawing/2014/chart" uri="{C3380CC4-5D6E-409C-BE32-E72D297353CC}">
                <c16:uniqueId val="{00000035-F78D-4966-8644-89CF39FCDFEB}"/>
              </c:ext>
            </c:extLst>
          </c:dPt>
          <c:dPt>
            <c:idx val="28"/>
            <c:invertIfNegative val="0"/>
            <c:bubble3D val="0"/>
            <c:spPr>
              <a:solidFill>
                <a:srgbClr val="9B2D2A"/>
              </a:solidFill>
              <a:ln>
                <a:noFill/>
              </a:ln>
              <a:effectLst/>
            </c:spPr>
            <c:extLst>
              <c:ext xmlns:c16="http://schemas.microsoft.com/office/drawing/2014/chart" uri="{C3380CC4-5D6E-409C-BE32-E72D297353CC}">
                <c16:uniqueId val="{00000070-4030-4A96-9042-28AB757A830E}"/>
              </c:ext>
            </c:extLst>
          </c:dPt>
          <c:dPt>
            <c:idx val="29"/>
            <c:invertIfNegative val="0"/>
            <c:bubble3D val="0"/>
            <c:spPr>
              <a:solidFill>
                <a:srgbClr val="9B2D2A"/>
              </a:solidFill>
              <a:ln>
                <a:noFill/>
              </a:ln>
              <a:effectLst/>
            </c:spPr>
            <c:extLst>
              <c:ext xmlns:c16="http://schemas.microsoft.com/office/drawing/2014/chart" uri="{C3380CC4-5D6E-409C-BE32-E72D297353CC}">
                <c16:uniqueId val="{00000071-4030-4A96-9042-28AB757A830E}"/>
              </c:ext>
            </c:extLst>
          </c:dPt>
          <c:dPt>
            <c:idx val="30"/>
            <c:invertIfNegative val="0"/>
            <c:bubble3D val="0"/>
            <c:spPr>
              <a:solidFill>
                <a:srgbClr val="9CC746"/>
              </a:solidFill>
              <a:ln>
                <a:noFill/>
              </a:ln>
              <a:effectLst/>
            </c:spPr>
            <c:extLst>
              <c:ext xmlns:c16="http://schemas.microsoft.com/office/drawing/2014/chart" uri="{C3380CC4-5D6E-409C-BE32-E72D297353CC}">
                <c16:uniqueId val="{00000072-4030-4A96-9042-28AB757A830E}"/>
              </c:ext>
            </c:extLst>
          </c:dPt>
          <c:dPt>
            <c:idx val="31"/>
            <c:invertIfNegative val="0"/>
            <c:bubble3D val="0"/>
            <c:spPr>
              <a:solidFill>
                <a:srgbClr val="9CC746"/>
              </a:solidFill>
              <a:ln>
                <a:noFill/>
              </a:ln>
              <a:effectLst/>
            </c:spPr>
            <c:extLst>
              <c:ext xmlns:c16="http://schemas.microsoft.com/office/drawing/2014/chart" uri="{C3380CC4-5D6E-409C-BE32-E72D297353CC}">
                <c16:uniqueId val="{00000073-4030-4A96-9042-28AB757A830E}"/>
              </c:ext>
            </c:extLst>
          </c:dPt>
          <c:dPt>
            <c:idx val="32"/>
            <c:invertIfNegative val="0"/>
            <c:bubble3D val="0"/>
            <c:spPr>
              <a:solidFill>
                <a:srgbClr val="9CC746"/>
              </a:solidFill>
              <a:ln>
                <a:noFill/>
              </a:ln>
              <a:effectLst/>
            </c:spPr>
            <c:extLst>
              <c:ext xmlns:c16="http://schemas.microsoft.com/office/drawing/2014/chart" uri="{C3380CC4-5D6E-409C-BE32-E72D297353CC}">
                <c16:uniqueId val="{00000074-4030-4A96-9042-28AB757A830E}"/>
              </c:ext>
            </c:extLst>
          </c:dPt>
          <c:dPt>
            <c:idx val="33"/>
            <c:invertIfNegative val="0"/>
            <c:bubble3D val="0"/>
            <c:spPr>
              <a:solidFill>
                <a:srgbClr val="9B2D2A"/>
              </a:solidFill>
              <a:ln>
                <a:noFill/>
              </a:ln>
              <a:effectLst/>
            </c:spPr>
            <c:extLst>
              <c:ext xmlns:c16="http://schemas.microsoft.com/office/drawing/2014/chart" uri="{C3380CC4-5D6E-409C-BE32-E72D297353CC}">
                <c16:uniqueId val="{00000075-4030-4A96-9042-28AB757A830E}"/>
              </c:ext>
            </c:extLst>
          </c:dPt>
          <c:dPt>
            <c:idx val="34"/>
            <c:invertIfNegative val="0"/>
            <c:bubble3D val="0"/>
            <c:spPr>
              <a:solidFill>
                <a:srgbClr val="9CC746"/>
              </a:solidFill>
              <a:ln>
                <a:noFill/>
              </a:ln>
              <a:effectLst/>
            </c:spPr>
            <c:extLst>
              <c:ext xmlns:c16="http://schemas.microsoft.com/office/drawing/2014/chart" uri="{C3380CC4-5D6E-409C-BE32-E72D297353CC}">
                <c16:uniqueId val="{00000076-4030-4A96-9042-28AB757A830E}"/>
              </c:ext>
            </c:extLst>
          </c:dPt>
          <c:dPt>
            <c:idx val="35"/>
            <c:invertIfNegative val="0"/>
            <c:bubble3D val="0"/>
            <c:spPr>
              <a:solidFill>
                <a:srgbClr val="9CC746"/>
              </a:solidFill>
              <a:ln>
                <a:noFill/>
              </a:ln>
              <a:effectLst/>
            </c:spPr>
            <c:extLst>
              <c:ext xmlns:c16="http://schemas.microsoft.com/office/drawing/2014/chart" uri="{C3380CC4-5D6E-409C-BE32-E72D297353CC}">
                <c16:uniqueId val="{00000077-4030-4A96-9042-28AB757A830E}"/>
              </c:ext>
            </c:extLst>
          </c:dPt>
          <c:dPt>
            <c:idx val="36"/>
            <c:invertIfNegative val="0"/>
            <c:bubble3D val="0"/>
            <c:spPr>
              <a:solidFill>
                <a:srgbClr val="9B2D2A"/>
              </a:solidFill>
              <a:ln>
                <a:noFill/>
              </a:ln>
              <a:effectLst/>
            </c:spPr>
            <c:extLst>
              <c:ext xmlns:c16="http://schemas.microsoft.com/office/drawing/2014/chart" uri="{C3380CC4-5D6E-409C-BE32-E72D297353CC}">
                <c16:uniqueId val="{00000078-4030-4A96-9042-28AB757A830E}"/>
              </c:ext>
            </c:extLst>
          </c:dPt>
          <c:dPt>
            <c:idx val="37"/>
            <c:invertIfNegative val="0"/>
            <c:bubble3D val="0"/>
            <c:spPr>
              <a:solidFill>
                <a:srgbClr val="9B2D2A"/>
              </a:solidFill>
              <a:ln>
                <a:noFill/>
              </a:ln>
              <a:effectLst/>
            </c:spPr>
            <c:extLst>
              <c:ext xmlns:c16="http://schemas.microsoft.com/office/drawing/2014/chart" uri="{C3380CC4-5D6E-409C-BE32-E72D297353CC}">
                <c16:uniqueId val="{00000079-4030-4A96-9042-28AB757A830E}"/>
              </c:ext>
            </c:extLst>
          </c:dPt>
          <c:dPt>
            <c:idx val="38"/>
            <c:invertIfNegative val="0"/>
            <c:bubble3D val="0"/>
            <c:spPr>
              <a:solidFill>
                <a:srgbClr val="9B2D2A"/>
              </a:solidFill>
              <a:ln>
                <a:noFill/>
              </a:ln>
              <a:effectLst/>
            </c:spPr>
            <c:extLst>
              <c:ext xmlns:c16="http://schemas.microsoft.com/office/drawing/2014/chart" uri="{C3380CC4-5D6E-409C-BE32-E72D297353CC}">
                <c16:uniqueId val="{0000007A-4030-4A96-9042-28AB757A830E}"/>
              </c:ext>
            </c:extLst>
          </c:dPt>
          <c:dPt>
            <c:idx val="39"/>
            <c:invertIfNegative val="0"/>
            <c:bubble3D val="0"/>
            <c:spPr>
              <a:solidFill>
                <a:srgbClr val="9CC746"/>
              </a:solidFill>
              <a:ln>
                <a:noFill/>
              </a:ln>
              <a:effectLst/>
            </c:spPr>
            <c:extLst>
              <c:ext xmlns:c16="http://schemas.microsoft.com/office/drawing/2014/chart" uri="{C3380CC4-5D6E-409C-BE32-E72D297353CC}">
                <c16:uniqueId val="{0000007B-4030-4A96-9042-28AB757A830E}"/>
              </c:ext>
            </c:extLst>
          </c:dPt>
          <c:dPt>
            <c:idx val="40"/>
            <c:invertIfNegative val="0"/>
            <c:bubble3D val="0"/>
            <c:spPr>
              <a:solidFill>
                <a:srgbClr val="9CC746"/>
              </a:solidFill>
              <a:ln>
                <a:noFill/>
              </a:ln>
              <a:effectLst/>
            </c:spPr>
            <c:extLst>
              <c:ext xmlns:c16="http://schemas.microsoft.com/office/drawing/2014/chart" uri="{C3380CC4-5D6E-409C-BE32-E72D297353CC}">
                <c16:uniqueId val="{0000007C-4030-4A96-9042-28AB757A830E}"/>
              </c:ext>
            </c:extLst>
          </c:dPt>
          <c:dPt>
            <c:idx val="41"/>
            <c:invertIfNegative val="0"/>
            <c:bubble3D val="0"/>
            <c:spPr>
              <a:solidFill>
                <a:srgbClr val="9CC746"/>
              </a:solidFill>
              <a:ln>
                <a:noFill/>
              </a:ln>
              <a:effectLst/>
            </c:spPr>
            <c:extLst>
              <c:ext xmlns:c16="http://schemas.microsoft.com/office/drawing/2014/chart" uri="{C3380CC4-5D6E-409C-BE32-E72D297353CC}">
                <c16:uniqueId val="{0000007D-4030-4A96-9042-28AB757A830E}"/>
              </c:ext>
            </c:extLst>
          </c:dPt>
          <c:dPt>
            <c:idx val="42"/>
            <c:invertIfNegative val="0"/>
            <c:bubble3D val="0"/>
            <c:spPr>
              <a:solidFill>
                <a:srgbClr val="9CC746"/>
              </a:solidFill>
              <a:ln>
                <a:noFill/>
              </a:ln>
              <a:effectLst/>
            </c:spPr>
            <c:extLst>
              <c:ext xmlns:c16="http://schemas.microsoft.com/office/drawing/2014/chart" uri="{C3380CC4-5D6E-409C-BE32-E72D297353CC}">
                <c16:uniqueId val="{0000007E-4030-4A96-9042-28AB757A830E}"/>
              </c:ext>
            </c:extLst>
          </c:dPt>
          <c:dPt>
            <c:idx val="43"/>
            <c:invertIfNegative val="0"/>
            <c:bubble3D val="0"/>
            <c:spPr>
              <a:solidFill>
                <a:srgbClr val="9CC746"/>
              </a:solidFill>
              <a:ln>
                <a:noFill/>
              </a:ln>
              <a:effectLst/>
            </c:spPr>
            <c:extLst>
              <c:ext xmlns:c16="http://schemas.microsoft.com/office/drawing/2014/chart" uri="{C3380CC4-5D6E-409C-BE32-E72D297353CC}">
                <c16:uniqueId val="{0000007F-4030-4A96-9042-28AB757A830E}"/>
              </c:ext>
            </c:extLst>
          </c:dPt>
          <c:dPt>
            <c:idx val="44"/>
            <c:invertIfNegative val="0"/>
            <c:bubble3D val="0"/>
            <c:spPr>
              <a:solidFill>
                <a:srgbClr val="9CC746"/>
              </a:solidFill>
              <a:ln>
                <a:noFill/>
              </a:ln>
              <a:effectLst/>
            </c:spPr>
            <c:extLst>
              <c:ext xmlns:c16="http://schemas.microsoft.com/office/drawing/2014/chart" uri="{C3380CC4-5D6E-409C-BE32-E72D297353CC}">
                <c16:uniqueId val="{00000080-4030-4A96-9042-28AB757A830E}"/>
              </c:ext>
            </c:extLst>
          </c:dPt>
          <c:dPt>
            <c:idx val="45"/>
            <c:invertIfNegative val="0"/>
            <c:bubble3D val="0"/>
            <c:spPr>
              <a:solidFill>
                <a:srgbClr val="9CC746"/>
              </a:solidFill>
              <a:ln>
                <a:noFill/>
              </a:ln>
              <a:effectLst/>
            </c:spPr>
            <c:extLst>
              <c:ext xmlns:c16="http://schemas.microsoft.com/office/drawing/2014/chart" uri="{C3380CC4-5D6E-409C-BE32-E72D297353CC}">
                <c16:uniqueId val="{00000081-4030-4A96-9042-28AB757A830E}"/>
              </c:ext>
            </c:extLst>
          </c:dPt>
          <c:dPt>
            <c:idx val="46"/>
            <c:invertIfNegative val="0"/>
            <c:bubble3D val="0"/>
            <c:spPr>
              <a:solidFill>
                <a:srgbClr val="9CC746"/>
              </a:solidFill>
              <a:ln>
                <a:noFill/>
              </a:ln>
              <a:effectLst/>
            </c:spPr>
            <c:extLst>
              <c:ext xmlns:c16="http://schemas.microsoft.com/office/drawing/2014/chart" uri="{C3380CC4-5D6E-409C-BE32-E72D297353CC}">
                <c16:uniqueId val="{00000082-4030-4A96-9042-28AB757A830E}"/>
              </c:ext>
            </c:extLst>
          </c:dPt>
          <c:dPt>
            <c:idx val="47"/>
            <c:invertIfNegative val="0"/>
            <c:bubble3D val="0"/>
            <c:spPr>
              <a:solidFill>
                <a:srgbClr val="9CC746"/>
              </a:solidFill>
              <a:ln>
                <a:noFill/>
              </a:ln>
              <a:effectLst/>
            </c:spPr>
            <c:extLst>
              <c:ext xmlns:c16="http://schemas.microsoft.com/office/drawing/2014/chart" uri="{C3380CC4-5D6E-409C-BE32-E72D297353CC}">
                <c16:uniqueId val="{00000083-4030-4A96-9042-28AB757A830E}"/>
              </c:ext>
            </c:extLst>
          </c:dPt>
          <c:dPt>
            <c:idx val="48"/>
            <c:invertIfNegative val="0"/>
            <c:bubble3D val="0"/>
            <c:extLst>
              <c:ext xmlns:c16="http://schemas.microsoft.com/office/drawing/2014/chart" uri="{C3380CC4-5D6E-409C-BE32-E72D297353CC}">
                <c16:uniqueId val="{00000084-4030-4A96-9042-28AB757A830E}"/>
              </c:ext>
            </c:extLst>
          </c:dPt>
          <c:dPt>
            <c:idx val="49"/>
            <c:invertIfNegative val="0"/>
            <c:bubble3D val="0"/>
            <c:extLst>
              <c:ext xmlns:c16="http://schemas.microsoft.com/office/drawing/2014/chart" uri="{C3380CC4-5D6E-409C-BE32-E72D297353CC}">
                <c16:uniqueId val="{00000085-4030-4A96-9042-28AB757A830E}"/>
              </c:ext>
            </c:extLst>
          </c:dPt>
          <c:dPt>
            <c:idx val="50"/>
            <c:invertIfNegative val="0"/>
            <c:bubble3D val="0"/>
            <c:extLst>
              <c:ext xmlns:c16="http://schemas.microsoft.com/office/drawing/2014/chart" uri="{C3380CC4-5D6E-409C-BE32-E72D297353CC}">
                <c16:uniqueId val="{00000086-4030-4A96-9042-28AB757A830E}"/>
              </c:ext>
            </c:extLst>
          </c:dPt>
          <c:dPt>
            <c:idx val="51"/>
            <c:invertIfNegative val="0"/>
            <c:bubble3D val="0"/>
            <c:extLst>
              <c:ext xmlns:c16="http://schemas.microsoft.com/office/drawing/2014/chart" uri="{C3380CC4-5D6E-409C-BE32-E72D297353CC}">
                <c16:uniqueId val="{00000087-4030-4A96-9042-28AB757A830E}"/>
              </c:ext>
            </c:extLst>
          </c:dPt>
          <c:dPt>
            <c:idx val="52"/>
            <c:invertIfNegative val="0"/>
            <c:bubble3D val="0"/>
            <c:extLst>
              <c:ext xmlns:c16="http://schemas.microsoft.com/office/drawing/2014/chart" uri="{C3380CC4-5D6E-409C-BE32-E72D297353CC}">
                <c16:uniqueId val="{00000088-4030-4A96-9042-28AB757A830E}"/>
              </c:ext>
            </c:extLst>
          </c:dPt>
          <c:dPt>
            <c:idx val="53"/>
            <c:invertIfNegative val="0"/>
            <c:bubble3D val="0"/>
            <c:extLst>
              <c:ext xmlns:c16="http://schemas.microsoft.com/office/drawing/2014/chart" uri="{C3380CC4-5D6E-409C-BE32-E72D297353CC}">
                <c16:uniqueId val="{00000089-4030-4A96-9042-28AB757A830E}"/>
              </c:ext>
            </c:extLst>
          </c:dPt>
          <c:dPt>
            <c:idx val="54"/>
            <c:invertIfNegative val="0"/>
            <c:bubble3D val="0"/>
            <c:extLst>
              <c:ext xmlns:c16="http://schemas.microsoft.com/office/drawing/2014/chart" uri="{C3380CC4-5D6E-409C-BE32-E72D297353CC}">
                <c16:uniqueId val="{0000008A-4030-4A96-9042-28AB757A830E}"/>
              </c:ext>
            </c:extLst>
          </c:dPt>
          <c:dPt>
            <c:idx val="55"/>
            <c:invertIfNegative val="0"/>
            <c:bubble3D val="0"/>
            <c:extLst>
              <c:ext xmlns:c16="http://schemas.microsoft.com/office/drawing/2014/chart" uri="{C3380CC4-5D6E-409C-BE32-E72D297353CC}">
                <c16:uniqueId val="{0000008B-4030-4A96-9042-28AB757A830E}"/>
              </c:ext>
            </c:extLst>
          </c:dPt>
          <c:dPt>
            <c:idx val="56"/>
            <c:invertIfNegative val="0"/>
            <c:bubble3D val="0"/>
            <c:extLst>
              <c:ext xmlns:c16="http://schemas.microsoft.com/office/drawing/2014/chart" uri="{C3380CC4-5D6E-409C-BE32-E72D297353CC}">
                <c16:uniqueId val="{0000008C-4030-4A96-9042-28AB757A830E}"/>
              </c:ext>
            </c:extLst>
          </c:dPt>
          <c:dPt>
            <c:idx val="57"/>
            <c:invertIfNegative val="0"/>
            <c:bubble3D val="0"/>
            <c:extLst>
              <c:ext xmlns:c16="http://schemas.microsoft.com/office/drawing/2014/chart" uri="{C3380CC4-5D6E-409C-BE32-E72D297353CC}">
                <c16:uniqueId val="{0000008D-4030-4A96-9042-28AB757A830E}"/>
              </c:ext>
            </c:extLst>
          </c:dPt>
          <c:dPt>
            <c:idx val="58"/>
            <c:invertIfNegative val="0"/>
            <c:bubble3D val="0"/>
            <c:extLst>
              <c:ext xmlns:c16="http://schemas.microsoft.com/office/drawing/2014/chart" uri="{C3380CC4-5D6E-409C-BE32-E72D297353CC}">
                <c16:uniqueId val="{0000008E-4030-4A96-9042-28AB757A830E}"/>
              </c:ext>
            </c:extLst>
          </c:dPt>
          <c:dPt>
            <c:idx val="59"/>
            <c:invertIfNegative val="0"/>
            <c:bubble3D val="0"/>
            <c:extLst>
              <c:ext xmlns:c16="http://schemas.microsoft.com/office/drawing/2014/chart" uri="{C3380CC4-5D6E-409C-BE32-E72D297353CC}">
                <c16:uniqueId val="{0000008F-4030-4A96-9042-28AB757A830E}"/>
              </c:ext>
            </c:extLst>
          </c:dPt>
          <c:dPt>
            <c:idx val="60"/>
            <c:invertIfNegative val="0"/>
            <c:bubble3D val="0"/>
            <c:extLst>
              <c:ext xmlns:c16="http://schemas.microsoft.com/office/drawing/2014/chart" uri="{C3380CC4-5D6E-409C-BE32-E72D297353CC}">
                <c16:uniqueId val="{00000079-8F27-4D3A-8CB8-318C81DFFB69}"/>
              </c:ext>
            </c:extLst>
          </c:dPt>
          <c:dPt>
            <c:idx val="61"/>
            <c:invertIfNegative val="0"/>
            <c:bubble3D val="0"/>
            <c:extLst>
              <c:ext xmlns:c16="http://schemas.microsoft.com/office/drawing/2014/chart" uri="{C3380CC4-5D6E-409C-BE32-E72D297353CC}">
                <c16:uniqueId val="{0000007B-8F27-4D3A-8CB8-318C81DFFB69}"/>
              </c:ext>
            </c:extLst>
          </c:dPt>
          <c:dPt>
            <c:idx val="62"/>
            <c:invertIfNegative val="0"/>
            <c:bubble3D val="0"/>
            <c:extLst>
              <c:ext xmlns:c16="http://schemas.microsoft.com/office/drawing/2014/chart" uri="{C3380CC4-5D6E-409C-BE32-E72D297353CC}">
                <c16:uniqueId val="{0000007D-8F27-4D3A-8CB8-318C81DFFB69}"/>
              </c:ext>
            </c:extLst>
          </c:dPt>
          <c:dPt>
            <c:idx val="63"/>
            <c:invertIfNegative val="0"/>
            <c:bubble3D val="0"/>
            <c:extLst>
              <c:ext xmlns:c16="http://schemas.microsoft.com/office/drawing/2014/chart" uri="{C3380CC4-5D6E-409C-BE32-E72D297353CC}">
                <c16:uniqueId val="{0000007F-8F27-4D3A-8CB8-318C81DFFB69}"/>
              </c:ext>
            </c:extLst>
          </c:dPt>
          <c:dPt>
            <c:idx val="64"/>
            <c:invertIfNegative val="0"/>
            <c:bubble3D val="0"/>
            <c:extLst>
              <c:ext xmlns:c16="http://schemas.microsoft.com/office/drawing/2014/chart" uri="{C3380CC4-5D6E-409C-BE32-E72D297353CC}">
                <c16:uniqueId val="{00000081-8F27-4D3A-8CB8-318C81DFFB69}"/>
              </c:ext>
            </c:extLst>
          </c:dPt>
          <c:dPt>
            <c:idx val="65"/>
            <c:invertIfNegative val="0"/>
            <c:bubble3D val="0"/>
            <c:extLst>
              <c:ext xmlns:c16="http://schemas.microsoft.com/office/drawing/2014/chart" uri="{C3380CC4-5D6E-409C-BE32-E72D297353CC}">
                <c16:uniqueId val="{00000083-8F27-4D3A-8CB8-318C81DFFB69}"/>
              </c:ext>
            </c:extLst>
          </c:dPt>
          <c:dPt>
            <c:idx val="66"/>
            <c:invertIfNegative val="0"/>
            <c:bubble3D val="0"/>
            <c:extLst>
              <c:ext xmlns:c16="http://schemas.microsoft.com/office/drawing/2014/chart" uri="{C3380CC4-5D6E-409C-BE32-E72D297353CC}">
                <c16:uniqueId val="{00000085-8F27-4D3A-8CB8-318C81DFFB69}"/>
              </c:ext>
            </c:extLst>
          </c:dPt>
          <c:dPt>
            <c:idx val="67"/>
            <c:invertIfNegative val="0"/>
            <c:bubble3D val="0"/>
            <c:extLst>
              <c:ext xmlns:c16="http://schemas.microsoft.com/office/drawing/2014/chart" uri="{C3380CC4-5D6E-409C-BE32-E72D297353CC}">
                <c16:uniqueId val="{00000087-8F27-4D3A-8CB8-318C81DFFB69}"/>
              </c:ext>
            </c:extLst>
          </c:dPt>
          <c:dPt>
            <c:idx val="68"/>
            <c:invertIfNegative val="0"/>
            <c:bubble3D val="0"/>
            <c:extLst>
              <c:ext xmlns:c16="http://schemas.microsoft.com/office/drawing/2014/chart" uri="{C3380CC4-5D6E-409C-BE32-E72D297353CC}">
                <c16:uniqueId val="{00000089-8F27-4D3A-8CB8-318C81DFFB69}"/>
              </c:ext>
            </c:extLst>
          </c:dPt>
          <c:dPt>
            <c:idx val="69"/>
            <c:invertIfNegative val="0"/>
            <c:bubble3D val="0"/>
            <c:extLst>
              <c:ext xmlns:c16="http://schemas.microsoft.com/office/drawing/2014/chart" uri="{C3380CC4-5D6E-409C-BE32-E72D297353CC}">
                <c16:uniqueId val="{0000008B-8F27-4D3A-8CB8-318C81DFFB69}"/>
              </c:ext>
            </c:extLst>
          </c:dPt>
          <c:dPt>
            <c:idx val="70"/>
            <c:invertIfNegative val="0"/>
            <c:bubble3D val="0"/>
            <c:extLst>
              <c:ext xmlns:c16="http://schemas.microsoft.com/office/drawing/2014/chart" uri="{C3380CC4-5D6E-409C-BE32-E72D297353CC}">
                <c16:uniqueId val="{0000008D-8F27-4D3A-8CB8-318C81DFFB69}"/>
              </c:ext>
            </c:extLst>
          </c:dPt>
          <c:dPt>
            <c:idx val="71"/>
            <c:invertIfNegative val="0"/>
            <c:bubble3D val="0"/>
            <c:extLst>
              <c:ext xmlns:c16="http://schemas.microsoft.com/office/drawing/2014/chart" uri="{C3380CC4-5D6E-409C-BE32-E72D297353CC}">
                <c16:uniqueId val="{0000008F-8F27-4D3A-8CB8-318C81DFFB69}"/>
              </c:ext>
            </c:extLst>
          </c:dPt>
          <c:dPt>
            <c:idx val="72"/>
            <c:invertIfNegative val="0"/>
            <c:bubble3D val="0"/>
            <c:extLst>
              <c:ext xmlns:c16="http://schemas.microsoft.com/office/drawing/2014/chart" uri="{C3380CC4-5D6E-409C-BE32-E72D297353CC}">
                <c16:uniqueId val="{00000091-8F27-4D3A-8CB8-318C81DFFB69}"/>
              </c:ext>
            </c:extLst>
          </c:dPt>
          <c:dPt>
            <c:idx val="73"/>
            <c:invertIfNegative val="0"/>
            <c:bubble3D val="0"/>
            <c:extLst>
              <c:ext xmlns:c16="http://schemas.microsoft.com/office/drawing/2014/chart" uri="{C3380CC4-5D6E-409C-BE32-E72D297353CC}">
                <c16:uniqueId val="{00000093-8F27-4D3A-8CB8-318C81DFFB69}"/>
              </c:ext>
            </c:extLst>
          </c:dPt>
          <c:dPt>
            <c:idx val="74"/>
            <c:invertIfNegative val="0"/>
            <c:bubble3D val="0"/>
            <c:extLst>
              <c:ext xmlns:c16="http://schemas.microsoft.com/office/drawing/2014/chart" uri="{C3380CC4-5D6E-409C-BE32-E72D297353CC}">
                <c16:uniqueId val="{00000095-8F27-4D3A-8CB8-318C81DFFB69}"/>
              </c:ext>
            </c:extLst>
          </c:dPt>
          <c:dPt>
            <c:idx val="75"/>
            <c:invertIfNegative val="0"/>
            <c:bubble3D val="0"/>
            <c:extLst>
              <c:ext xmlns:c16="http://schemas.microsoft.com/office/drawing/2014/chart" uri="{C3380CC4-5D6E-409C-BE32-E72D297353CC}">
                <c16:uniqueId val="{00000097-8F27-4D3A-8CB8-318C81DFFB69}"/>
              </c:ext>
            </c:extLst>
          </c:dPt>
          <c:dPt>
            <c:idx val="76"/>
            <c:invertIfNegative val="0"/>
            <c:bubble3D val="0"/>
            <c:extLst>
              <c:ext xmlns:c16="http://schemas.microsoft.com/office/drawing/2014/chart" uri="{C3380CC4-5D6E-409C-BE32-E72D297353CC}">
                <c16:uniqueId val="{00000099-8F27-4D3A-8CB8-318C81DFFB69}"/>
              </c:ext>
            </c:extLst>
          </c:dPt>
          <c:dPt>
            <c:idx val="77"/>
            <c:invertIfNegative val="0"/>
            <c:bubble3D val="0"/>
            <c:extLst>
              <c:ext xmlns:c16="http://schemas.microsoft.com/office/drawing/2014/chart" uri="{C3380CC4-5D6E-409C-BE32-E72D297353CC}">
                <c16:uniqueId val="{0000009B-8F27-4D3A-8CB8-318C81DFFB69}"/>
              </c:ext>
            </c:extLst>
          </c:dPt>
          <c:dPt>
            <c:idx val="78"/>
            <c:invertIfNegative val="0"/>
            <c:bubble3D val="0"/>
            <c:extLst>
              <c:ext xmlns:c16="http://schemas.microsoft.com/office/drawing/2014/chart" uri="{C3380CC4-5D6E-409C-BE32-E72D297353CC}">
                <c16:uniqueId val="{00000138-87F2-4354-B83C-1CD3AAC20B2E}"/>
              </c:ext>
            </c:extLst>
          </c:dPt>
          <c:dPt>
            <c:idx val="79"/>
            <c:invertIfNegative val="0"/>
            <c:bubble3D val="0"/>
            <c:extLst>
              <c:ext xmlns:c16="http://schemas.microsoft.com/office/drawing/2014/chart" uri="{C3380CC4-5D6E-409C-BE32-E72D297353CC}">
                <c16:uniqueId val="{00000139-87F2-4354-B83C-1CD3AAC20B2E}"/>
              </c:ext>
            </c:extLst>
          </c:dPt>
          <c:dPt>
            <c:idx val="80"/>
            <c:invertIfNegative val="0"/>
            <c:bubble3D val="0"/>
            <c:extLst>
              <c:ext xmlns:c16="http://schemas.microsoft.com/office/drawing/2014/chart" uri="{C3380CC4-5D6E-409C-BE32-E72D297353CC}">
                <c16:uniqueId val="{0000013A-87F2-4354-B83C-1CD3AAC20B2E}"/>
              </c:ext>
            </c:extLst>
          </c:dPt>
          <c:dPt>
            <c:idx val="81"/>
            <c:invertIfNegative val="0"/>
            <c:bubble3D val="0"/>
            <c:extLst>
              <c:ext xmlns:c16="http://schemas.microsoft.com/office/drawing/2014/chart" uri="{C3380CC4-5D6E-409C-BE32-E72D297353CC}">
                <c16:uniqueId val="{0000013B-87F2-4354-B83C-1CD3AAC20B2E}"/>
              </c:ext>
            </c:extLst>
          </c:dPt>
          <c:dPt>
            <c:idx val="82"/>
            <c:invertIfNegative val="0"/>
            <c:bubble3D val="0"/>
            <c:extLst>
              <c:ext xmlns:c16="http://schemas.microsoft.com/office/drawing/2014/chart" uri="{C3380CC4-5D6E-409C-BE32-E72D297353CC}">
                <c16:uniqueId val="{0000013C-87F2-4354-B83C-1CD3AAC20B2E}"/>
              </c:ext>
            </c:extLst>
          </c:dPt>
          <c:dPt>
            <c:idx val="83"/>
            <c:invertIfNegative val="0"/>
            <c:bubble3D val="0"/>
            <c:extLst>
              <c:ext xmlns:c16="http://schemas.microsoft.com/office/drawing/2014/chart" uri="{C3380CC4-5D6E-409C-BE32-E72D297353CC}">
                <c16:uniqueId val="{0000013D-87F2-4354-B83C-1CD3AAC20B2E}"/>
              </c:ext>
            </c:extLst>
          </c:dPt>
          <c:dPt>
            <c:idx val="84"/>
            <c:invertIfNegative val="0"/>
            <c:bubble3D val="0"/>
            <c:extLst>
              <c:ext xmlns:c16="http://schemas.microsoft.com/office/drawing/2014/chart" uri="{C3380CC4-5D6E-409C-BE32-E72D297353CC}">
                <c16:uniqueId val="{0000013E-87F2-4354-B83C-1CD3AAC20B2E}"/>
              </c:ext>
            </c:extLst>
          </c:dPt>
          <c:dPt>
            <c:idx val="85"/>
            <c:invertIfNegative val="0"/>
            <c:bubble3D val="0"/>
            <c:extLst>
              <c:ext xmlns:c16="http://schemas.microsoft.com/office/drawing/2014/chart" uri="{C3380CC4-5D6E-409C-BE32-E72D297353CC}">
                <c16:uniqueId val="{0000013F-87F2-4354-B83C-1CD3AAC20B2E}"/>
              </c:ext>
            </c:extLst>
          </c:dPt>
          <c:dPt>
            <c:idx val="86"/>
            <c:invertIfNegative val="0"/>
            <c:bubble3D val="0"/>
            <c:extLst>
              <c:ext xmlns:c16="http://schemas.microsoft.com/office/drawing/2014/chart" uri="{C3380CC4-5D6E-409C-BE32-E72D297353CC}">
                <c16:uniqueId val="{00000140-87F2-4354-B83C-1CD3AAC20B2E}"/>
              </c:ext>
            </c:extLst>
          </c:dPt>
          <c:dPt>
            <c:idx val="87"/>
            <c:invertIfNegative val="0"/>
            <c:bubble3D val="0"/>
            <c:extLst>
              <c:ext xmlns:c16="http://schemas.microsoft.com/office/drawing/2014/chart" uri="{C3380CC4-5D6E-409C-BE32-E72D297353CC}">
                <c16:uniqueId val="{00000141-87F2-4354-B83C-1CD3AAC20B2E}"/>
              </c:ext>
            </c:extLst>
          </c:dPt>
          <c:dPt>
            <c:idx val="88"/>
            <c:invertIfNegative val="0"/>
            <c:bubble3D val="0"/>
            <c:extLst>
              <c:ext xmlns:c16="http://schemas.microsoft.com/office/drawing/2014/chart" uri="{C3380CC4-5D6E-409C-BE32-E72D297353CC}">
                <c16:uniqueId val="{00000142-87F2-4354-B83C-1CD3AAC20B2E}"/>
              </c:ext>
            </c:extLst>
          </c:dPt>
          <c:dPt>
            <c:idx val="89"/>
            <c:invertIfNegative val="0"/>
            <c:bubble3D val="0"/>
            <c:extLst>
              <c:ext xmlns:c16="http://schemas.microsoft.com/office/drawing/2014/chart" uri="{C3380CC4-5D6E-409C-BE32-E72D297353CC}">
                <c16:uniqueId val="{00000143-87F2-4354-B83C-1CD3AAC20B2E}"/>
              </c:ext>
            </c:extLst>
          </c:dPt>
          <c:dPt>
            <c:idx val="90"/>
            <c:invertIfNegative val="0"/>
            <c:bubble3D val="0"/>
            <c:extLst>
              <c:ext xmlns:c16="http://schemas.microsoft.com/office/drawing/2014/chart" uri="{C3380CC4-5D6E-409C-BE32-E72D297353CC}">
                <c16:uniqueId val="{00000144-87F2-4354-B83C-1CD3AAC20B2E}"/>
              </c:ext>
            </c:extLst>
          </c:dPt>
          <c:dPt>
            <c:idx val="91"/>
            <c:invertIfNegative val="0"/>
            <c:bubble3D val="0"/>
            <c:extLst>
              <c:ext xmlns:c16="http://schemas.microsoft.com/office/drawing/2014/chart" uri="{C3380CC4-5D6E-409C-BE32-E72D297353CC}">
                <c16:uniqueId val="{00000145-87F2-4354-B83C-1CD3AAC20B2E}"/>
              </c:ext>
            </c:extLst>
          </c:dPt>
          <c:dPt>
            <c:idx val="92"/>
            <c:invertIfNegative val="0"/>
            <c:bubble3D val="0"/>
            <c:extLst>
              <c:ext xmlns:c16="http://schemas.microsoft.com/office/drawing/2014/chart" uri="{C3380CC4-5D6E-409C-BE32-E72D297353CC}">
                <c16:uniqueId val="{00000146-87F2-4354-B83C-1CD3AAC20B2E}"/>
              </c:ext>
            </c:extLst>
          </c:dPt>
          <c:dPt>
            <c:idx val="93"/>
            <c:invertIfNegative val="0"/>
            <c:bubble3D val="0"/>
            <c:extLst>
              <c:ext xmlns:c16="http://schemas.microsoft.com/office/drawing/2014/chart" uri="{C3380CC4-5D6E-409C-BE32-E72D297353CC}">
                <c16:uniqueId val="{00000147-87F2-4354-B83C-1CD3AAC20B2E}"/>
              </c:ext>
            </c:extLst>
          </c:dPt>
          <c:dPt>
            <c:idx val="94"/>
            <c:invertIfNegative val="0"/>
            <c:bubble3D val="0"/>
            <c:extLst>
              <c:ext xmlns:c16="http://schemas.microsoft.com/office/drawing/2014/chart" uri="{C3380CC4-5D6E-409C-BE32-E72D297353CC}">
                <c16:uniqueId val="{00000148-87F2-4354-B83C-1CD3AAC20B2E}"/>
              </c:ext>
            </c:extLst>
          </c:dPt>
          <c:dPt>
            <c:idx val="95"/>
            <c:invertIfNegative val="0"/>
            <c:bubble3D val="0"/>
            <c:extLst>
              <c:ext xmlns:c16="http://schemas.microsoft.com/office/drawing/2014/chart" uri="{C3380CC4-5D6E-409C-BE32-E72D297353CC}">
                <c16:uniqueId val="{00000149-87F2-4354-B83C-1CD3AAC20B2E}"/>
              </c:ext>
            </c:extLst>
          </c:dPt>
          <c:dPt>
            <c:idx val="96"/>
            <c:invertIfNegative val="0"/>
            <c:bubble3D val="0"/>
            <c:extLst>
              <c:ext xmlns:c16="http://schemas.microsoft.com/office/drawing/2014/chart" uri="{C3380CC4-5D6E-409C-BE32-E72D297353CC}">
                <c16:uniqueId val="{0000014A-87F2-4354-B83C-1CD3AAC20B2E}"/>
              </c:ext>
            </c:extLst>
          </c:dPt>
          <c:dPt>
            <c:idx val="97"/>
            <c:invertIfNegative val="0"/>
            <c:bubble3D val="0"/>
            <c:extLst>
              <c:ext xmlns:c16="http://schemas.microsoft.com/office/drawing/2014/chart" uri="{C3380CC4-5D6E-409C-BE32-E72D297353CC}">
                <c16:uniqueId val="{0000014B-87F2-4354-B83C-1CD3AAC20B2E}"/>
              </c:ext>
            </c:extLst>
          </c:dPt>
          <c:dPt>
            <c:idx val="98"/>
            <c:invertIfNegative val="0"/>
            <c:bubble3D val="0"/>
            <c:extLst>
              <c:ext xmlns:c16="http://schemas.microsoft.com/office/drawing/2014/chart" uri="{C3380CC4-5D6E-409C-BE32-E72D297353CC}">
                <c16:uniqueId val="{0000014C-87F2-4354-B83C-1CD3AAC20B2E}"/>
              </c:ext>
            </c:extLst>
          </c:dPt>
          <c:dPt>
            <c:idx val="99"/>
            <c:invertIfNegative val="0"/>
            <c:bubble3D val="0"/>
            <c:extLst>
              <c:ext xmlns:c16="http://schemas.microsoft.com/office/drawing/2014/chart" uri="{C3380CC4-5D6E-409C-BE32-E72D297353CC}">
                <c16:uniqueId val="{0000014D-87F2-4354-B83C-1CD3AAC20B2E}"/>
              </c:ext>
            </c:extLst>
          </c:dPt>
          <c:dPt>
            <c:idx val="100"/>
            <c:invertIfNegative val="0"/>
            <c:bubble3D val="0"/>
            <c:extLst>
              <c:ext xmlns:c16="http://schemas.microsoft.com/office/drawing/2014/chart" uri="{C3380CC4-5D6E-409C-BE32-E72D297353CC}">
                <c16:uniqueId val="{0000014E-87F2-4354-B83C-1CD3AAC20B2E}"/>
              </c:ext>
            </c:extLst>
          </c:dPt>
          <c:dPt>
            <c:idx val="101"/>
            <c:invertIfNegative val="0"/>
            <c:bubble3D val="0"/>
            <c:extLst>
              <c:ext xmlns:c16="http://schemas.microsoft.com/office/drawing/2014/chart" uri="{C3380CC4-5D6E-409C-BE32-E72D297353CC}">
                <c16:uniqueId val="{0000014F-87F2-4354-B83C-1CD3AAC20B2E}"/>
              </c:ext>
            </c:extLst>
          </c:dPt>
          <c:dPt>
            <c:idx val="102"/>
            <c:invertIfNegative val="0"/>
            <c:bubble3D val="0"/>
            <c:extLst>
              <c:ext xmlns:c16="http://schemas.microsoft.com/office/drawing/2014/chart" uri="{C3380CC4-5D6E-409C-BE32-E72D297353CC}">
                <c16:uniqueId val="{00000150-87F2-4354-B83C-1CD3AAC20B2E}"/>
              </c:ext>
            </c:extLst>
          </c:dPt>
          <c:dPt>
            <c:idx val="103"/>
            <c:invertIfNegative val="0"/>
            <c:bubble3D val="0"/>
            <c:extLst>
              <c:ext xmlns:c16="http://schemas.microsoft.com/office/drawing/2014/chart" uri="{C3380CC4-5D6E-409C-BE32-E72D297353CC}">
                <c16:uniqueId val="{00000151-87F2-4354-B83C-1CD3AAC20B2E}"/>
              </c:ext>
            </c:extLst>
          </c:dPt>
          <c:dPt>
            <c:idx val="104"/>
            <c:invertIfNegative val="0"/>
            <c:bubble3D val="0"/>
            <c:extLst>
              <c:ext xmlns:c16="http://schemas.microsoft.com/office/drawing/2014/chart" uri="{C3380CC4-5D6E-409C-BE32-E72D297353CC}">
                <c16:uniqueId val="{00000152-87F2-4354-B83C-1CD3AAC20B2E}"/>
              </c:ext>
            </c:extLst>
          </c:dPt>
          <c:dPt>
            <c:idx val="105"/>
            <c:invertIfNegative val="0"/>
            <c:bubble3D val="0"/>
            <c:extLst>
              <c:ext xmlns:c16="http://schemas.microsoft.com/office/drawing/2014/chart" uri="{C3380CC4-5D6E-409C-BE32-E72D297353CC}">
                <c16:uniqueId val="{000000D3-A0F5-4684-8D9B-0006CA9B93DF}"/>
              </c:ext>
            </c:extLst>
          </c:dPt>
          <c:dPt>
            <c:idx val="106"/>
            <c:invertIfNegative val="0"/>
            <c:bubble3D val="0"/>
            <c:extLst>
              <c:ext xmlns:c16="http://schemas.microsoft.com/office/drawing/2014/chart" uri="{C3380CC4-5D6E-409C-BE32-E72D297353CC}">
                <c16:uniqueId val="{000000D5-A0F5-4684-8D9B-0006CA9B93DF}"/>
              </c:ext>
            </c:extLst>
          </c:dPt>
          <c:dPt>
            <c:idx val="107"/>
            <c:invertIfNegative val="0"/>
            <c:bubble3D val="0"/>
            <c:extLst>
              <c:ext xmlns:c16="http://schemas.microsoft.com/office/drawing/2014/chart" uri="{C3380CC4-5D6E-409C-BE32-E72D297353CC}">
                <c16:uniqueId val="{000001AC-A0F5-4684-8D9B-0006CA9B93DF}"/>
              </c:ext>
            </c:extLst>
          </c:dPt>
          <c:dPt>
            <c:idx val="108"/>
            <c:invertIfNegative val="0"/>
            <c:bubble3D val="0"/>
            <c:extLst>
              <c:ext xmlns:c16="http://schemas.microsoft.com/office/drawing/2014/chart" uri="{C3380CC4-5D6E-409C-BE32-E72D297353CC}">
                <c16:uniqueId val="{000001AD-A0F5-4684-8D9B-0006CA9B93DF}"/>
              </c:ext>
            </c:extLst>
          </c:dPt>
          <c:dPt>
            <c:idx val="109"/>
            <c:invertIfNegative val="0"/>
            <c:bubble3D val="0"/>
            <c:extLst>
              <c:ext xmlns:c16="http://schemas.microsoft.com/office/drawing/2014/chart" uri="{C3380CC4-5D6E-409C-BE32-E72D297353CC}">
                <c16:uniqueId val="{000001AE-A0F5-4684-8D9B-0006CA9B93DF}"/>
              </c:ext>
            </c:extLst>
          </c:dPt>
          <c:dPt>
            <c:idx val="110"/>
            <c:invertIfNegative val="0"/>
            <c:bubble3D val="0"/>
            <c:extLst>
              <c:ext xmlns:c16="http://schemas.microsoft.com/office/drawing/2014/chart" uri="{C3380CC4-5D6E-409C-BE32-E72D297353CC}">
                <c16:uniqueId val="{000001AF-A0F5-4684-8D9B-0006CA9B93DF}"/>
              </c:ext>
            </c:extLst>
          </c:dPt>
          <c:dPt>
            <c:idx val="111"/>
            <c:invertIfNegative val="0"/>
            <c:bubble3D val="0"/>
            <c:extLst>
              <c:ext xmlns:c16="http://schemas.microsoft.com/office/drawing/2014/chart" uri="{C3380CC4-5D6E-409C-BE32-E72D297353CC}">
                <c16:uniqueId val="{000001B0-A0F5-4684-8D9B-0006CA9B93DF}"/>
              </c:ext>
            </c:extLst>
          </c:dPt>
          <c:dPt>
            <c:idx val="112"/>
            <c:invertIfNegative val="0"/>
            <c:bubble3D val="0"/>
            <c:extLst>
              <c:ext xmlns:c16="http://schemas.microsoft.com/office/drawing/2014/chart" uri="{C3380CC4-5D6E-409C-BE32-E72D297353CC}">
                <c16:uniqueId val="{000001B1-A0F5-4684-8D9B-0006CA9B93DF}"/>
              </c:ext>
            </c:extLst>
          </c:dPt>
          <c:dPt>
            <c:idx val="113"/>
            <c:invertIfNegative val="0"/>
            <c:bubble3D val="0"/>
            <c:extLst>
              <c:ext xmlns:c16="http://schemas.microsoft.com/office/drawing/2014/chart" uri="{C3380CC4-5D6E-409C-BE32-E72D297353CC}">
                <c16:uniqueId val="{000001B2-A0F5-4684-8D9B-0006CA9B93DF}"/>
              </c:ext>
            </c:extLst>
          </c:dPt>
          <c:dPt>
            <c:idx val="114"/>
            <c:invertIfNegative val="0"/>
            <c:bubble3D val="0"/>
            <c:extLst>
              <c:ext xmlns:c16="http://schemas.microsoft.com/office/drawing/2014/chart" uri="{C3380CC4-5D6E-409C-BE32-E72D297353CC}">
                <c16:uniqueId val="{000001B3-A0F5-4684-8D9B-0006CA9B93DF}"/>
              </c:ext>
            </c:extLst>
          </c:dPt>
          <c:dPt>
            <c:idx val="115"/>
            <c:invertIfNegative val="0"/>
            <c:bubble3D val="0"/>
            <c:extLst>
              <c:ext xmlns:c16="http://schemas.microsoft.com/office/drawing/2014/chart" uri="{C3380CC4-5D6E-409C-BE32-E72D297353CC}">
                <c16:uniqueId val="{000001B4-A0F5-4684-8D9B-0006CA9B93DF}"/>
              </c:ext>
            </c:extLst>
          </c:dPt>
          <c:dPt>
            <c:idx val="116"/>
            <c:invertIfNegative val="0"/>
            <c:bubble3D val="0"/>
            <c:extLst>
              <c:ext xmlns:c16="http://schemas.microsoft.com/office/drawing/2014/chart" uri="{C3380CC4-5D6E-409C-BE32-E72D297353CC}">
                <c16:uniqueId val="{000001B5-A0F5-4684-8D9B-0006CA9B93DF}"/>
              </c:ext>
            </c:extLst>
          </c:dPt>
          <c:dPt>
            <c:idx val="117"/>
            <c:invertIfNegative val="0"/>
            <c:bubble3D val="0"/>
            <c:extLst>
              <c:ext xmlns:c16="http://schemas.microsoft.com/office/drawing/2014/chart" uri="{C3380CC4-5D6E-409C-BE32-E72D297353CC}">
                <c16:uniqueId val="{000001B6-A0F5-4684-8D9B-0006CA9B93DF}"/>
              </c:ext>
            </c:extLst>
          </c:dPt>
          <c:dPt>
            <c:idx val="118"/>
            <c:invertIfNegative val="0"/>
            <c:bubble3D val="0"/>
            <c:extLst>
              <c:ext xmlns:c16="http://schemas.microsoft.com/office/drawing/2014/chart" uri="{C3380CC4-5D6E-409C-BE32-E72D297353CC}">
                <c16:uniqueId val="{000001B7-A0F5-4684-8D9B-0006CA9B93DF}"/>
              </c:ext>
            </c:extLst>
          </c:dPt>
          <c:dPt>
            <c:idx val="119"/>
            <c:invertIfNegative val="0"/>
            <c:bubble3D val="0"/>
            <c:extLst>
              <c:ext xmlns:c16="http://schemas.microsoft.com/office/drawing/2014/chart" uri="{C3380CC4-5D6E-409C-BE32-E72D297353CC}">
                <c16:uniqueId val="{000001B8-A0F5-4684-8D9B-0006CA9B93DF}"/>
              </c:ext>
            </c:extLst>
          </c:dPt>
          <c:dPt>
            <c:idx val="120"/>
            <c:invertIfNegative val="0"/>
            <c:bubble3D val="0"/>
            <c:extLst>
              <c:ext xmlns:c16="http://schemas.microsoft.com/office/drawing/2014/chart" uri="{C3380CC4-5D6E-409C-BE32-E72D297353CC}">
                <c16:uniqueId val="{000001B9-A0F5-4684-8D9B-0006CA9B93DF}"/>
              </c:ext>
            </c:extLst>
          </c:dPt>
          <c:dPt>
            <c:idx val="121"/>
            <c:invertIfNegative val="0"/>
            <c:bubble3D val="0"/>
            <c:extLst>
              <c:ext xmlns:c16="http://schemas.microsoft.com/office/drawing/2014/chart" uri="{C3380CC4-5D6E-409C-BE32-E72D297353CC}">
                <c16:uniqueId val="{000000F3-3BB8-4CD6-9B43-03F41F0CC230}"/>
              </c:ext>
            </c:extLst>
          </c:dPt>
          <c:dPt>
            <c:idx val="122"/>
            <c:invertIfNegative val="0"/>
            <c:bubble3D val="0"/>
            <c:extLst>
              <c:ext xmlns:c16="http://schemas.microsoft.com/office/drawing/2014/chart" uri="{C3380CC4-5D6E-409C-BE32-E72D297353CC}">
                <c16:uniqueId val="{000000F5-3BB8-4CD6-9B43-03F41F0CC230}"/>
              </c:ext>
            </c:extLst>
          </c:dPt>
          <c:dPt>
            <c:idx val="123"/>
            <c:invertIfNegative val="0"/>
            <c:bubble3D val="0"/>
            <c:extLst>
              <c:ext xmlns:c16="http://schemas.microsoft.com/office/drawing/2014/chart" uri="{C3380CC4-5D6E-409C-BE32-E72D297353CC}">
                <c16:uniqueId val="{000000F7-3BB8-4CD6-9B43-03F41F0CC230}"/>
              </c:ext>
            </c:extLst>
          </c:dPt>
          <c:dPt>
            <c:idx val="124"/>
            <c:invertIfNegative val="0"/>
            <c:bubble3D val="0"/>
            <c:extLst>
              <c:ext xmlns:c16="http://schemas.microsoft.com/office/drawing/2014/chart" uri="{C3380CC4-5D6E-409C-BE32-E72D297353CC}">
                <c16:uniqueId val="{000000F9-3BB8-4CD6-9B43-03F41F0CC230}"/>
              </c:ext>
            </c:extLst>
          </c:dPt>
          <c:dPt>
            <c:idx val="125"/>
            <c:invertIfNegative val="0"/>
            <c:bubble3D val="0"/>
            <c:extLst>
              <c:ext xmlns:c16="http://schemas.microsoft.com/office/drawing/2014/chart" uri="{C3380CC4-5D6E-409C-BE32-E72D297353CC}">
                <c16:uniqueId val="{000000FB-3BB8-4CD6-9B43-03F41F0CC230}"/>
              </c:ext>
            </c:extLst>
          </c:dPt>
          <c:dPt>
            <c:idx val="126"/>
            <c:invertIfNegative val="0"/>
            <c:bubble3D val="0"/>
            <c:extLst>
              <c:ext xmlns:c16="http://schemas.microsoft.com/office/drawing/2014/chart" uri="{C3380CC4-5D6E-409C-BE32-E72D297353CC}">
                <c16:uniqueId val="{000000FD-3BB8-4CD6-9B43-03F41F0CC230}"/>
              </c:ext>
            </c:extLst>
          </c:dPt>
          <c:dPt>
            <c:idx val="127"/>
            <c:invertIfNegative val="0"/>
            <c:bubble3D val="0"/>
            <c:extLst>
              <c:ext xmlns:c16="http://schemas.microsoft.com/office/drawing/2014/chart" uri="{C3380CC4-5D6E-409C-BE32-E72D297353CC}">
                <c16:uniqueId val="{000001C8-A0F5-4684-8D9B-0006CA9B93DF}"/>
              </c:ext>
            </c:extLst>
          </c:dPt>
          <c:dPt>
            <c:idx val="128"/>
            <c:invertIfNegative val="0"/>
            <c:bubble3D val="0"/>
            <c:extLst>
              <c:ext xmlns:c16="http://schemas.microsoft.com/office/drawing/2014/chart" uri="{C3380CC4-5D6E-409C-BE32-E72D297353CC}">
                <c16:uniqueId val="{000001C9-A0F5-4684-8D9B-0006CA9B93DF}"/>
              </c:ext>
            </c:extLst>
          </c:dPt>
          <c:dPt>
            <c:idx val="129"/>
            <c:invertIfNegative val="0"/>
            <c:bubble3D val="0"/>
            <c:extLst>
              <c:ext xmlns:c16="http://schemas.microsoft.com/office/drawing/2014/chart" uri="{C3380CC4-5D6E-409C-BE32-E72D297353CC}">
                <c16:uniqueId val="{00000204-2533-4E60-9B8C-87487D8AAD20}"/>
              </c:ext>
            </c:extLst>
          </c:dPt>
          <c:dPt>
            <c:idx val="130"/>
            <c:invertIfNegative val="0"/>
            <c:bubble3D val="0"/>
            <c:extLst>
              <c:ext xmlns:c16="http://schemas.microsoft.com/office/drawing/2014/chart" uri="{C3380CC4-5D6E-409C-BE32-E72D297353CC}">
                <c16:uniqueId val="{00000205-2533-4E60-9B8C-87487D8AAD20}"/>
              </c:ext>
            </c:extLst>
          </c:dPt>
          <c:dPt>
            <c:idx val="131"/>
            <c:invertIfNegative val="0"/>
            <c:bubble3D val="0"/>
            <c:extLst>
              <c:ext xmlns:c16="http://schemas.microsoft.com/office/drawing/2014/chart" uri="{C3380CC4-5D6E-409C-BE32-E72D297353CC}">
                <c16:uniqueId val="{00000206-2533-4E60-9B8C-87487D8AAD20}"/>
              </c:ext>
            </c:extLst>
          </c:dPt>
          <c:dPt>
            <c:idx val="132"/>
            <c:invertIfNegative val="0"/>
            <c:bubble3D val="0"/>
            <c:extLst>
              <c:ext xmlns:c16="http://schemas.microsoft.com/office/drawing/2014/chart" uri="{C3380CC4-5D6E-409C-BE32-E72D297353CC}">
                <c16:uniqueId val="{00000207-2533-4E60-9B8C-87487D8AAD20}"/>
              </c:ext>
            </c:extLst>
          </c:dPt>
          <c:dPt>
            <c:idx val="133"/>
            <c:invertIfNegative val="0"/>
            <c:bubble3D val="0"/>
            <c:extLst>
              <c:ext xmlns:c16="http://schemas.microsoft.com/office/drawing/2014/chart" uri="{C3380CC4-5D6E-409C-BE32-E72D297353CC}">
                <c16:uniqueId val="{00000214-9C88-4085-A79E-0DC7937C9F0A}"/>
              </c:ext>
            </c:extLst>
          </c:dPt>
          <c:dPt>
            <c:idx val="134"/>
            <c:invertIfNegative val="0"/>
            <c:bubble3D val="0"/>
            <c:extLst>
              <c:ext xmlns:c16="http://schemas.microsoft.com/office/drawing/2014/chart" uri="{C3380CC4-5D6E-409C-BE32-E72D297353CC}">
                <c16:uniqueId val="{00000215-9C88-4085-A79E-0DC7937C9F0A}"/>
              </c:ext>
            </c:extLst>
          </c:dPt>
          <c:dPt>
            <c:idx val="135"/>
            <c:invertIfNegative val="0"/>
            <c:bubble3D val="0"/>
            <c:extLst>
              <c:ext xmlns:c16="http://schemas.microsoft.com/office/drawing/2014/chart" uri="{C3380CC4-5D6E-409C-BE32-E72D297353CC}">
                <c16:uniqueId val="{0000021C-1D4D-4D40-8B3F-15D6C7D28C85}"/>
              </c:ext>
            </c:extLst>
          </c:dPt>
          <c:dPt>
            <c:idx val="136"/>
            <c:invertIfNegative val="0"/>
            <c:bubble3D val="0"/>
            <c:extLst>
              <c:ext xmlns:c16="http://schemas.microsoft.com/office/drawing/2014/chart" uri="{C3380CC4-5D6E-409C-BE32-E72D297353CC}">
                <c16:uniqueId val="{0000021D-1D4D-4D40-8B3F-15D6C7D28C85}"/>
              </c:ext>
            </c:extLst>
          </c:dPt>
          <c:dPt>
            <c:idx val="137"/>
            <c:invertIfNegative val="0"/>
            <c:bubble3D val="0"/>
            <c:extLst>
              <c:ext xmlns:c16="http://schemas.microsoft.com/office/drawing/2014/chart" uri="{C3380CC4-5D6E-409C-BE32-E72D297353CC}">
                <c16:uniqueId val="{00000224-1232-45F6-B1F6-F4CAD9477139}"/>
              </c:ext>
            </c:extLst>
          </c:dPt>
          <c:dPt>
            <c:idx val="138"/>
            <c:invertIfNegative val="0"/>
            <c:bubble3D val="0"/>
            <c:extLst>
              <c:ext xmlns:c16="http://schemas.microsoft.com/office/drawing/2014/chart" uri="{C3380CC4-5D6E-409C-BE32-E72D297353CC}">
                <c16:uniqueId val="{00000225-1232-45F6-B1F6-F4CAD9477139}"/>
              </c:ext>
            </c:extLst>
          </c:dPt>
          <c:dPt>
            <c:idx val="139"/>
            <c:invertIfNegative val="0"/>
            <c:bubble3D val="0"/>
            <c:extLst>
              <c:ext xmlns:c16="http://schemas.microsoft.com/office/drawing/2014/chart" uri="{C3380CC4-5D6E-409C-BE32-E72D297353CC}">
                <c16:uniqueId val="{00000226-1232-45F6-B1F6-F4CAD9477139}"/>
              </c:ext>
            </c:extLst>
          </c:dPt>
          <c:dPt>
            <c:idx val="140"/>
            <c:invertIfNegative val="0"/>
            <c:bubble3D val="0"/>
            <c:extLst>
              <c:ext xmlns:c16="http://schemas.microsoft.com/office/drawing/2014/chart" uri="{C3380CC4-5D6E-409C-BE32-E72D297353CC}">
                <c16:uniqueId val="{00000227-1232-45F6-B1F6-F4CAD9477139}"/>
              </c:ext>
            </c:extLst>
          </c:dPt>
          <c:dPt>
            <c:idx val="141"/>
            <c:invertIfNegative val="0"/>
            <c:bubble3D val="0"/>
            <c:extLst>
              <c:ext xmlns:c16="http://schemas.microsoft.com/office/drawing/2014/chart" uri="{C3380CC4-5D6E-409C-BE32-E72D297353CC}">
                <c16:uniqueId val="{00000228-1232-45F6-B1F6-F4CAD9477139}"/>
              </c:ext>
            </c:extLst>
          </c:dPt>
          <c:dPt>
            <c:idx val="142"/>
            <c:invertIfNegative val="0"/>
            <c:bubble3D val="0"/>
            <c:extLst>
              <c:ext xmlns:c16="http://schemas.microsoft.com/office/drawing/2014/chart" uri="{C3380CC4-5D6E-409C-BE32-E72D297353CC}">
                <c16:uniqueId val="{00000229-1232-45F6-B1F6-F4CAD9477139}"/>
              </c:ext>
            </c:extLst>
          </c:dPt>
          <c:dPt>
            <c:idx val="143"/>
            <c:invertIfNegative val="0"/>
            <c:bubble3D val="0"/>
            <c:extLst>
              <c:ext xmlns:c16="http://schemas.microsoft.com/office/drawing/2014/chart" uri="{C3380CC4-5D6E-409C-BE32-E72D297353CC}">
                <c16:uniqueId val="{0000022A-1232-45F6-B1F6-F4CAD9477139}"/>
              </c:ext>
            </c:extLst>
          </c:dPt>
          <c:dPt>
            <c:idx val="144"/>
            <c:invertIfNegative val="0"/>
            <c:bubble3D val="0"/>
            <c:extLst>
              <c:ext xmlns:c16="http://schemas.microsoft.com/office/drawing/2014/chart" uri="{C3380CC4-5D6E-409C-BE32-E72D297353CC}">
                <c16:uniqueId val="{0000022B-1232-45F6-B1F6-F4CAD9477139}"/>
              </c:ext>
            </c:extLst>
          </c:dPt>
          <c:dPt>
            <c:idx val="145"/>
            <c:invertIfNegative val="0"/>
            <c:bubble3D val="0"/>
            <c:extLst>
              <c:ext xmlns:c16="http://schemas.microsoft.com/office/drawing/2014/chart" uri="{C3380CC4-5D6E-409C-BE32-E72D297353CC}">
                <c16:uniqueId val="{0000022C-1232-45F6-B1F6-F4CAD9477139}"/>
              </c:ext>
            </c:extLst>
          </c:dPt>
          <c:dPt>
            <c:idx val="146"/>
            <c:invertIfNegative val="0"/>
            <c:bubble3D val="0"/>
            <c:extLst>
              <c:ext xmlns:c16="http://schemas.microsoft.com/office/drawing/2014/chart" uri="{C3380CC4-5D6E-409C-BE32-E72D297353CC}">
                <c16:uniqueId val="{0000022D-1232-45F6-B1F6-F4CAD9477139}"/>
              </c:ext>
            </c:extLst>
          </c:dPt>
          <c:dPt>
            <c:idx val="147"/>
            <c:invertIfNegative val="0"/>
            <c:bubble3D val="0"/>
            <c:extLst>
              <c:ext xmlns:c16="http://schemas.microsoft.com/office/drawing/2014/chart" uri="{C3380CC4-5D6E-409C-BE32-E72D297353CC}">
                <c16:uniqueId val="{0000022E-1232-45F6-B1F6-F4CAD9477139}"/>
              </c:ext>
            </c:extLst>
          </c:dPt>
          <c:dPt>
            <c:idx val="148"/>
            <c:invertIfNegative val="0"/>
            <c:bubble3D val="0"/>
            <c:extLst>
              <c:ext xmlns:c16="http://schemas.microsoft.com/office/drawing/2014/chart" uri="{C3380CC4-5D6E-409C-BE32-E72D297353CC}">
                <c16:uniqueId val="{0000022F-1232-45F6-B1F6-F4CAD9477139}"/>
              </c:ext>
            </c:extLst>
          </c:dPt>
          <c:dPt>
            <c:idx val="149"/>
            <c:invertIfNegative val="0"/>
            <c:bubble3D val="0"/>
            <c:extLst>
              <c:ext xmlns:c16="http://schemas.microsoft.com/office/drawing/2014/chart" uri="{C3380CC4-5D6E-409C-BE32-E72D297353CC}">
                <c16:uniqueId val="{00000230-1232-45F6-B1F6-F4CAD9477139}"/>
              </c:ext>
            </c:extLst>
          </c:dPt>
          <c:dPt>
            <c:idx val="150"/>
            <c:invertIfNegative val="0"/>
            <c:bubble3D val="0"/>
            <c:extLst>
              <c:ext xmlns:c16="http://schemas.microsoft.com/office/drawing/2014/chart" uri="{C3380CC4-5D6E-409C-BE32-E72D297353CC}">
                <c16:uniqueId val="{00000231-1232-45F6-B1F6-F4CAD9477139}"/>
              </c:ext>
            </c:extLst>
          </c:dPt>
          <c:dPt>
            <c:idx val="151"/>
            <c:invertIfNegative val="0"/>
            <c:bubble3D val="0"/>
            <c:extLst>
              <c:ext xmlns:c16="http://schemas.microsoft.com/office/drawing/2014/chart" uri="{C3380CC4-5D6E-409C-BE32-E72D297353CC}">
                <c16:uniqueId val="{00000232-1232-45F6-B1F6-F4CAD9477139}"/>
              </c:ext>
            </c:extLst>
          </c:dPt>
          <c:dPt>
            <c:idx val="152"/>
            <c:invertIfNegative val="0"/>
            <c:bubble3D val="0"/>
            <c:extLst>
              <c:ext xmlns:c16="http://schemas.microsoft.com/office/drawing/2014/chart" uri="{C3380CC4-5D6E-409C-BE32-E72D297353CC}">
                <c16:uniqueId val="{00000233-1232-45F6-B1F6-F4CAD9477139}"/>
              </c:ext>
            </c:extLst>
          </c:dPt>
          <c:dPt>
            <c:idx val="153"/>
            <c:invertIfNegative val="0"/>
            <c:bubble3D val="0"/>
            <c:extLst>
              <c:ext xmlns:c16="http://schemas.microsoft.com/office/drawing/2014/chart" uri="{C3380CC4-5D6E-409C-BE32-E72D297353CC}">
                <c16:uniqueId val="{00000234-1232-45F6-B1F6-F4CAD9477139}"/>
              </c:ext>
            </c:extLst>
          </c:dPt>
          <c:dPt>
            <c:idx val="154"/>
            <c:invertIfNegative val="0"/>
            <c:bubble3D val="0"/>
            <c:extLst>
              <c:ext xmlns:c16="http://schemas.microsoft.com/office/drawing/2014/chart" uri="{C3380CC4-5D6E-409C-BE32-E72D297353CC}">
                <c16:uniqueId val="{00000235-1232-45F6-B1F6-F4CAD9477139}"/>
              </c:ext>
            </c:extLst>
          </c:dPt>
          <c:dPt>
            <c:idx val="155"/>
            <c:invertIfNegative val="0"/>
            <c:bubble3D val="0"/>
            <c:extLst>
              <c:ext xmlns:c16="http://schemas.microsoft.com/office/drawing/2014/chart" uri="{C3380CC4-5D6E-409C-BE32-E72D297353CC}">
                <c16:uniqueId val="{00000236-1232-45F6-B1F6-F4CAD9477139}"/>
              </c:ext>
            </c:extLst>
          </c:dPt>
          <c:dPt>
            <c:idx val="156"/>
            <c:invertIfNegative val="0"/>
            <c:bubble3D val="0"/>
            <c:extLst>
              <c:ext xmlns:c16="http://schemas.microsoft.com/office/drawing/2014/chart" uri="{C3380CC4-5D6E-409C-BE32-E72D297353CC}">
                <c16:uniqueId val="{00000237-1232-45F6-B1F6-F4CAD9477139}"/>
              </c:ext>
            </c:extLst>
          </c:dPt>
          <c:dPt>
            <c:idx val="157"/>
            <c:invertIfNegative val="0"/>
            <c:bubble3D val="0"/>
            <c:extLst>
              <c:ext xmlns:c16="http://schemas.microsoft.com/office/drawing/2014/chart" uri="{C3380CC4-5D6E-409C-BE32-E72D297353CC}">
                <c16:uniqueId val="{00000238-1232-45F6-B1F6-F4CAD9477139}"/>
              </c:ext>
            </c:extLst>
          </c:dPt>
          <c:dPt>
            <c:idx val="158"/>
            <c:invertIfNegative val="0"/>
            <c:bubble3D val="0"/>
            <c:extLst>
              <c:ext xmlns:c16="http://schemas.microsoft.com/office/drawing/2014/chart" uri="{C3380CC4-5D6E-409C-BE32-E72D297353CC}">
                <c16:uniqueId val="{00000239-1232-45F6-B1F6-F4CAD9477139}"/>
              </c:ext>
            </c:extLst>
          </c:dPt>
          <c:dPt>
            <c:idx val="159"/>
            <c:invertIfNegative val="0"/>
            <c:bubble3D val="0"/>
            <c:extLst>
              <c:ext xmlns:c16="http://schemas.microsoft.com/office/drawing/2014/chart" uri="{C3380CC4-5D6E-409C-BE32-E72D297353CC}">
                <c16:uniqueId val="{0000023A-1232-45F6-B1F6-F4CAD9477139}"/>
              </c:ext>
            </c:extLst>
          </c:dPt>
          <c:dPt>
            <c:idx val="160"/>
            <c:invertIfNegative val="0"/>
            <c:bubble3D val="0"/>
            <c:extLst>
              <c:ext xmlns:c16="http://schemas.microsoft.com/office/drawing/2014/chart" uri="{C3380CC4-5D6E-409C-BE32-E72D297353CC}">
                <c16:uniqueId val="{0000023B-1232-45F6-B1F6-F4CAD9477139}"/>
              </c:ext>
            </c:extLst>
          </c:dPt>
          <c:dPt>
            <c:idx val="161"/>
            <c:invertIfNegative val="0"/>
            <c:bubble3D val="0"/>
            <c:extLst>
              <c:ext xmlns:c16="http://schemas.microsoft.com/office/drawing/2014/chart" uri="{C3380CC4-5D6E-409C-BE32-E72D297353CC}">
                <c16:uniqueId val="{0000023C-1232-45F6-B1F6-F4CAD9477139}"/>
              </c:ext>
            </c:extLst>
          </c:dPt>
          <c:dPt>
            <c:idx val="162"/>
            <c:invertIfNegative val="0"/>
            <c:bubble3D val="0"/>
            <c:extLst>
              <c:ext xmlns:c16="http://schemas.microsoft.com/office/drawing/2014/chart" uri="{C3380CC4-5D6E-409C-BE32-E72D297353CC}">
                <c16:uniqueId val="{0000023D-1232-45F6-B1F6-F4CAD9477139}"/>
              </c:ext>
            </c:extLst>
          </c:dPt>
          <c:dPt>
            <c:idx val="163"/>
            <c:invertIfNegative val="0"/>
            <c:bubble3D val="0"/>
            <c:extLst>
              <c:ext xmlns:c16="http://schemas.microsoft.com/office/drawing/2014/chart" uri="{C3380CC4-5D6E-409C-BE32-E72D297353CC}">
                <c16:uniqueId val="{0000023E-1232-45F6-B1F6-F4CAD9477139}"/>
              </c:ext>
            </c:extLst>
          </c:dPt>
          <c:dPt>
            <c:idx val="164"/>
            <c:invertIfNegative val="0"/>
            <c:bubble3D val="0"/>
            <c:extLst>
              <c:ext xmlns:c16="http://schemas.microsoft.com/office/drawing/2014/chart" uri="{C3380CC4-5D6E-409C-BE32-E72D297353CC}">
                <c16:uniqueId val="{0000023F-1232-45F6-B1F6-F4CAD9477139}"/>
              </c:ext>
            </c:extLst>
          </c:dPt>
          <c:dPt>
            <c:idx val="165"/>
            <c:invertIfNegative val="0"/>
            <c:bubble3D val="0"/>
            <c:extLst>
              <c:ext xmlns:c16="http://schemas.microsoft.com/office/drawing/2014/chart" uri="{C3380CC4-5D6E-409C-BE32-E72D297353CC}">
                <c16:uniqueId val="{00000240-1232-45F6-B1F6-F4CAD9477139}"/>
              </c:ext>
            </c:extLst>
          </c:dPt>
          <c:dPt>
            <c:idx val="166"/>
            <c:invertIfNegative val="0"/>
            <c:bubble3D val="0"/>
            <c:extLst>
              <c:ext xmlns:c16="http://schemas.microsoft.com/office/drawing/2014/chart" uri="{C3380CC4-5D6E-409C-BE32-E72D297353CC}">
                <c16:uniqueId val="{00000241-1232-45F6-B1F6-F4CAD9477139}"/>
              </c:ext>
            </c:extLst>
          </c:dPt>
          <c:dPt>
            <c:idx val="167"/>
            <c:invertIfNegative val="0"/>
            <c:bubble3D val="0"/>
            <c:extLst>
              <c:ext xmlns:c16="http://schemas.microsoft.com/office/drawing/2014/chart" uri="{C3380CC4-5D6E-409C-BE32-E72D297353CC}">
                <c16:uniqueId val="{00000242-1232-45F6-B1F6-F4CAD9477139}"/>
              </c:ext>
            </c:extLst>
          </c:dPt>
          <c:dPt>
            <c:idx val="168"/>
            <c:invertIfNegative val="0"/>
            <c:bubble3D val="0"/>
            <c:extLst>
              <c:ext xmlns:c16="http://schemas.microsoft.com/office/drawing/2014/chart" uri="{C3380CC4-5D6E-409C-BE32-E72D297353CC}">
                <c16:uniqueId val="{00000243-1232-45F6-B1F6-F4CAD9477139}"/>
              </c:ext>
            </c:extLst>
          </c:dPt>
          <c:dPt>
            <c:idx val="169"/>
            <c:invertIfNegative val="0"/>
            <c:bubble3D val="0"/>
            <c:extLst>
              <c:ext xmlns:c16="http://schemas.microsoft.com/office/drawing/2014/chart" uri="{C3380CC4-5D6E-409C-BE32-E72D297353CC}">
                <c16:uniqueId val="{00000244-1232-45F6-B1F6-F4CAD9477139}"/>
              </c:ext>
            </c:extLst>
          </c:dPt>
          <c:dPt>
            <c:idx val="170"/>
            <c:invertIfNegative val="0"/>
            <c:bubble3D val="0"/>
            <c:extLst>
              <c:ext xmlns:c16="http://schemas.microsoft.com/office/drawing/2014/chart" uri="{C3380CC4-5D6E-409C-BE32-E72D297353CC}">
                <c16:uniqueId val="{00000245-1232-45F6-B1F6-F4CAD9477139}"/>
              </c:ext>
            </c:extLst>
          </c:dPt>
          <c:dPt>
            <c:idx val="171"/>
            <c:invertIfNegative val="0"/>
            <c:bubble3D val="0"/>
            <c:extLst>
              <c:ext xmlns:c16="http://schemas.microsoft.com/office/drawing/2014/chart" uri="{C3380CC4-5D6E-409C-BE32-E72D297353CC}">
                <c16:uniqueId val="{00000246-1232-45F6-B1F6-F4CAD9477139}"/>
              </c:ext>
            </c:extLst>
          </c:dPt>
          <c:dPt>
            <c:idx val="172"/>
            <c:invertIfNegative val="0"/>
            <c:bubble3D val="0"/>
            <c:extLst>
              <c:ext xmlns:c16="http://schemas.microsoft.com/office/drawing/2014/chart" uri="{C3380CC4-5D6E-409C-BE32-E72D297353CC}">
                <c16:uniqueId val="{00000247-1232-45F6-B1F6-F4CAD9477139}"/>
              </c:ext>
            </c:extLst>
          </c:dPt>
          <c:dPt>
            <c:idx val="173"/>
            <c:invertIfNegative val="0"/>
            <c:bubble3D val="0"/>
            <c:extLst>
              <c:ext xmlns:c16="http://schemas.microsoft.com/office/drawing/2014/chart" uri="{C3380CC4-5D6E-409C-BE32-E72D297353CC}">
                <c16:uniqueId val="{00000248-1232-45F6-B1F6-F4CAD9477139}"/>
              </c:ext>
            </c:extLst>
          </c:dPt>
          <c:dPt>
            <c:idx val="174"/>
            <c:invertIfNegative val="0"/>
            <c:bubble3D val="0"/>
            <c:extLst>
              <c:ext xmlns:c16="http://schemas.microsoft.com/office/drawing/2014/chart" uri="{C3380CC4-5D6E-409C-BE32-E72D297353CC}">
                <c16:uniqueId val="{00000249-1232-45F6-B1F6-F4CAD9477139}"/>
              </c:ext>
            </c:extLst>
          </c:dPt>
          <c:dPt>
            <c:idx val="175"/>
            <c:invertIfNegative val="0"/>
            <c:bubble3D val="0"/>
            <c:extLst>
              <c:ext xmlns:c16="http://schemas.microsoft.com/office/drawing/2014/chart" uri="{C3380CC4-5D6E-409C-BE32-E72D297353CC}">
                <c16:uniqueId val="{0000024A-1232-45F6-B1F6-F4CAD9477139}"/>
              </c:ext>
            </c:extLst>
          </c:dPt>
          <c:dPt>
            <c:idx val="176"/>
            <c:invertIfNegative val="0"/>
            <c:bubble3D val="0"/>
            <c:extLst>
              <c:ext xmlns:c16="http://schemas.microsoft.com/office/drawing/2014/chart" uri="{C3380CC4-5D6E-409C-BE32-E72D297353CC}">
                <c16:uniqueId val="{0000024B-1232-45F6-B1F6-F4CAD9477139}"/>
              </c:ext>
            </c:extLst>
          </c:dPt>
          <c:dPt>
            <c:idx val="177"/>
            <c:invertIfNegative val="0"/>
            <c:bubble3D val="0"/>
            <c:extLst>
              <c:ext xmlns:c16="http://schemas.microsoft.com/office/drawing/2014/chart" uri="{C3380CC4-5D6E-409C-BE32-E72D297353CC}">
                <c16:uniqueId val="{0000024C-1232-45F6-B1F6-F4CAD9477139}"/>
              </c:ext>
            </c:extLst>
          </c:dPt>
          <c:dPt>
            <c:idx val="178"/>
            <c:invertIfNegative val="0"/>
            <c:bubble3D val="0"/>
            <c:extLst>
              <c:ext xmlns:c16="http://schemas.microsoft.com/office/drawing/2014/chart" uri="{C3380CC4-5D6E-409C-BE32-E72D297353CC}">
                <c16:uniqueId val="{0000024D-1232-45F6-B1F6-F4CAD9477139}"/>
              </c:ext>
            </c:extLst>
          </c:dPt>
          <c:dPt>
            <c:idx val="179"/>
            <c:invertIfNegative val="0"/>
            <c:bubble3D val="0"/>
            <c:extLst>
              <c:ext xmlns:c16="http://schemas.microsoft.com/office/drawing/2014/chart" uri="{C3380CC4-5D6E-409C-BE32-E72D297353CC}">
                <c16:uniqueId val="{0000024E-1232-45F6-B1F6-F4CAD9477139}"/>
              </c:ext>
            </c:extLst>
          </c:dPt>
          <c:dPt>
            <c:idx val="180"/>
            <c:invertIfNegative val="0"/>
            <c:bubble3D val="0"/>
            <c:extLst>
              <c:ext xmlns:c16="http://schemas.microsoft.com/office/drawing/2014/chart" uri="{C3380CC4-5D6E-409C-BE32-E72D297353CC}">
                <c16:uniqueId val="{0000024F-1232-45F6-B1F6-F4CAD9477139}"/>
              </c:ext>
            </c:extLst>
          </c:dPt>
          <c:dPt>
            <c:idx val="181"/>
            <c:invertIfNegative val="0"/>
            <c:bubble3D val="0"/>
            <c:extLst>
              <c:ext xmlns:c16="http://schemas.microsoft.com/office/drawing/2014/chart" uri="{C3380CC4-5D6E-409C-BE32-E72D297353CC}">
                <c16:uniqueId val="{00000250-1232-45F6-B1F6-F4CAD9477139}"/>
              </c:ext>
            </c:extLst>
          </c:dPt>
          <c:dPt>
            <c:idx val="182"/>
            <c:invertIfNegative val="0"/>
            <c:bubble3D val="0"/>
            <c:extLst>
              <c:ext xmlns:c16="http://schemas.microsoft.com/office/drawing/2014/chart" uri="{C3380CC4-5D6E-409C-BE32-E72D297353CC}">
                <c16:uniqueId val="{00000251-1232-45F6-B1F6-F4CAD9477139}"/>
              </c:ext>
            </c:extLst>
          </c:dPt>
          <c:dPt>
            <c:idx val="183"/>
            <c:invertIfNegative val="0"/>
            <c:bubble3D val="0"/>
            <c:extLst>
              <c:ext xmlns:c16="http://schemas.microsoft.com/office/drawing/2014/chart" uri="{C3380CC4-5D6E-409C-BE32-E72D297353CC}">
                <c16:uniqueId val="{00000252-1232-45F6-B1F6-F4CAD9477139}"/>
              </c:ext>
            </c:extLst>
          </c:dPt>
          <c:dPt>
            <c:idx val="184"/>
            <c:invertIfNegative val="0"/>
            <c:bubble3D val="0"/>
            <c:extLst>
              <c:ext xmlns:c16="http://schemas.microsoft.com/office/drawing/2014/chart" uri="{C3380CC4-5D6E-409C-BE32-E72D297353CC}">
                <c16:uniqueId val="{00000253-1232-45F6-B1F6-F4CAD9477139}"/>
              </c:ext>
            </c:extLst>
          </c:dPt>
          <c:dPt>
            <c:idx val="185"/>
            <c:invertIfNegative val="0"/>
            <c:bubble3D val="0"/>
            <c:extLst>
              <c:ext xmlns:c16="http://schemas.microsoft.com/office/drawing/2014/chart" uri="{C3380CC4-5D6E-409C-BE32-E72D297353CC}">
                <c16:uniqueId val="{00000254-1232-45F6-B1F6-F4CAD9477139}"/>
              </c:ext>
            </c:extLst>
          </c:dPt>
          <c:dPt>
            <c:idx val="186"/>
            <c:invertIfNegative val="0"/>
            <c:bubble3D val="0"/>
            <c:extLst>
              <c:ext xmlns:c16="http://schemas.microsoft.com/office/drawing/2014/chart" uri="{C3380CC4-5D6E-409C-BE32-E72D297353CC}">
                <c16:uniqueId val="{00000255-1232-45F6-B1F6-F4CAD9477139}"/>
              </c:ext>
            </c:extLst>
          </c:dPt>
          <c:dPt>
            <c:idx val="187"/>
            <c:invertIfNegative val="0"/>
            <c:bubble3D val="0"/>
            <c:extLst>
              <c:ext xmlns:c16="http://schemas.microsoft.com/office/drawing/2014/chart" uri="{C3380CC4-5D6E-409C-BE32-E72D297353CC}">
                <c16:uniqueId val="{00000256-1232-45F6-B1F6-F4CAD9477139}"/>
              </c:ext>
            </c:extLst>
          </c:dPt>
          <c:dPt>
            <c:idx val="188"/>
            <c:invertIfNegative val="0"/>
            <c:bubble3D val="0"/>
            <c:extLst>
              <c:ext xmlns:c16="http://schemas.microsoft.com/office/drawing/2014/chart" uri="{C3380CC4-5D6E-409C-BE32-E72D297353CC}">
                <c16:uniqueId val="{00000257-1232-45F6-B1F6-F4CAD9477139}"/>
              </c:ext>
            </c:extLst>
          </c:dPt>
          <c:dPt>
            <c:idx val="189"/>
            <c:invertIfNegative val="0"/>
            <c:bubble3D val="0"/>
            <c:extLst>
              <c:ext xmlns:c16="http://schemas.microsoft.com/office/drawing/2014/chart" uri="{C3380CC4-5D6E-409C-BE32-E72D297353CC}">
                <c16:uniqueId val="{00000258-1232-45F6-B1F6-F4CAD9477139}"/>
              </c:ext>
            </c:extLst>
          </c:dPt>
          <c:dPt>
            <c:idx val="190"/>
            <c:invertIfNegative val="0"/>
            <c:bubble3D val="0"/>
            <c:extLst>
              <c:ext xmlns:c16="http://schemas.microsoft.com/office/drawing/2014/chart" uri="{C3380CC4-5D6E-409C-BE32-E72D297353CC}">
                <c16:uniqueId val="{00000259-1232-45F6-B1F6-F4CAD9477139}"/>
              </c:ext>
            </c:extLst>
          </c:dPt>
          <c:dPt>
            <c:idx val="191"/>
            <c:invertIfNegative val="0"/>
            <c:bubble3D val="0"/>
            <c:extLst>
              <c:ext xmlns:c16="http://schemas.microsoft.com/office/drawing/2014/chart" uri="{C3380CC4-5D6E-409C-BE32-E72D297353CC}">
                <c16:uniqueId val="{0000025A-1232-45F6-B1F6-F4CAD9477139}"/>
              </c:ext>
            </c:extLst>
          </c:dPt>
          <c:dPt>
            <c:idx val="192"/>
            <c:invertIfNegative val="0"/>
            <c:bubble3D val="0"/>
            <c:extLst>
              <c:ext xmlns:c16="http://schemas.microsoft.com/office/drawing/2014/chart" uri="{C3380CC4-5D6E-409C-BE32-E72D297353CC}">
                <c16:uniqueId val="{0000025B-1232-45F6-B1F6-F4CAD9477139}"/>
              </c:ext>
            </c:extLst>
          </c:dPt>
          <c:dPt>
            <c:idx val="193"/>
            <c:invertIfNegative val="0"/>
            <c:bubble3D val="0"/>
            <c:extLst>
              <c:ext xmlns:c16="http://schemas.microsoft.com/office/drawing/2014/chart" uri="{C3380CC4-5D6E-409C-BE32-E72D297353CC}">
                <c16:uniqueId val="{0000025C-1232-45F6-B1F6-F4CAD9477139}"/>
              </c:ext>
            </c:extLst>
          </c:dPt>
          <c:dPt>
            <c:idx val="194"/>
            <c:invertIfNegative val="0"/>
            <c:bubble3D val="0"/>
            <c:extLst>
              <c:ext xmlns:c16="http://schemas.microsoft.com/office/drawing/2014/chart" uri="{C3380CC4-5D6E-409C-BE32-E72D297353CC}">
                <c16:uniqueId val="{0000025D-1232-45F6-B1F6-F4CAD9477139}"/>
              </c:ext>
            </c:extLst>
          </c:dPt>
          <c:dPt>
            <c:idx val="195"/>
            <c:invertIfNegative val="0"/>
            <c:bubble3D val="0"/>
            <c:extLst>
              <c:ext xmlns:c16="http://schemas.microsoft.com/office/drawing/2014/chart" uri="{C3380CC4-5D6E-409C-BE32-E72D297353CC}">
                <c16:uniqueId val="{0000025E-1232-45F6-B1F6-F4CAD9477139}"/>
              </c:ext>
            </c:extLst>
          </c:dPt>
          <c:dPt>
            <c:idx val="196"/>
            <c:invertIfNegative val="0"/>
            <c:bubble3D val="0"/>
            <c:extLst>
              <c:ext xmlns:c16="http://schemas.microsoft.com/office/drawing/2014/chart" uri="{C3380CC4-5D6E-409C-BE32-E72D297353CC}">
                <c16:uniqueId val="{0000025F-1232-45F6-B1F6-F4CAD9477139}"/>
              </c:ext>
            </c:extLst>
          </c:dPt>
          <c:dPt>
            <c:idx val="197"/>
            <c:invertIfNegative val="0"/>
            <c:bubble3D val="0"/>
            <c:extLst>
              <c:ext xmlns:c16="http://schemas.microsoft.com/office/drawing/2014/chart" uri="{C3380CC4-5D6E-409C-BE32-E72D297353CC}">
                <c16:uniqueId val="{00000260-1232-45F6-B1F6-F4CAD9477139}"/>
              </c:ext>
            </c:extLst>
          </c:dPt>
          <c:dPt>
            <c:idx val="198"/>
            <c:invertIfNegative val="0"/>
            <c:bubble3D val="0"/>
            <c:extLst>
              <c:ext xmlns:c16="http://schemas.microsoft.com/office/drawing/2014/chart" uri="{C3380CC4-5D6E-409C-BE32-E72D297353CC}">
                <c16:uniqueId val="{00000261-1232-45F6-B1F6-F4CAD9477139}"/>
              </c:ext>
            </c:extLst>
          </c:dPt>
          <c:dPt>
            <c:idx val="199"/>
            <c:invertIfNegative val="0"/>
            <c:bubble3D val="0"/>
            <c:extLst>
              <c:ext xmlns:c16="http://schemas.microsoft.com/office/drawing/2014/chart" uri="{C3380CC4-5D6E-409C-BE32-E72D297353CC}">
                <c16:uniqueId val="{00000262-1232-45F6-B1F6-F4CAD9477139}"/>
              </c:ext>
            </c:extLst>
          </c:dPt>
          <c:dPt>
            <c:idx val="200"/>
            <c:invertIfNegative val="0"/>
            <c:bubble3D val="0"/>
            <c:extLst>
              <c:ext xmlns:c16="http://schemas.microsoft.com/office/drawing/2014/chart" uri="{C3380CC4-5D6E-409C-BE32-E72D297353CC}">
                <c16:uniqueId val="{00000263-1232-45F6-B1F6-F4CAD9477139}"/>
              </c:ext>
            </c:extLst>
          </c:dPt>
          <c:dPt>
            <c:idx val="201"/>
            <c:invertIfNegative val="0"/>
            <c:bubble3D val="0"/>
            <c:extLst>
              <c:ext xmlns:c16="http://schemas.microsoft.com/office/drawing/2014/chart" uri="{C3380CC4-5D6E-409C-BE32-E72D297353CC}">
                <c16:uniqueId val="{00000264-1232-45F6-B1F6-F4CAD9477139}"/>
              </c:ext>
            </c:extLst>
          </c:dPt>
          <c:dPt>
            <c:idx val="202"/>
            <c:invertIfNegative val="0"/>
            <c:bubble3D val="0"/>
            <c:extLst>
              <c:ext xmlns:c16="http://schemas.microsoft.com/office/drawing/2014/chart" uri="{C3380CC4-5D6E-409C-BE32-E72D297353CC}">
                <c16:uniqueId val="{00000265-1232-45F6-B1F6-F4CAD9477139}"/>
              </c:ext>
            </c:extLst>
          </c:dPt>
          <c:dPt>
            <c:idx val="203"/>
            <c:invertIfNegative val="0"/>
            <c:bubble3D val="0"/>
            <c:extLst>
              <c:ext xmlns:c16="http://schemas.microsoft.com/office/drawing/2014/chart" uri="{C3380CC4-5D6E-409C-BE32-E72D297353CC}">
                <c16:uniqueId val="{00000266-1232-45F6-B1F6-F4CAD9477139}"/>
              </c:ext>
            </c:extLst>
          </c:dPt>
          <c:dPt>
            <c:idx val="204"/>
            <c:invertIfNegative val="0"/>
            <c:bubble3D val="0"/>
            <c:extLst>
              <c:ext xmlns:c16="http://schemas.microsoft.com/office/drawing/2014/chart" uri="{C3380CC4-5D6E-409C-BE32-E72D297353CC}">
                <c16:uniqueId val="{00000267-1232-45F6-B1F6-F4CAD9477139}"/>
              </c:ext>
            </c:extLst>
          </c:dPt>
          <c:dPt>
            <c:idx val="205"/>
            <c:invertIfNegative val="0"/>
            <c:bubble3D val="0"/>
            <c:extLst>
              <c:ext xmlns:c16="http://schemas.microsoft.com/office/drawing/2014/chart" uri="{C3380CC4-5D6E-409C-BE32-E72D297353CC}">
                <c16:uniqueId val="{00000268-1232-45F6-B1F6-F4CAD9477139}"/>
              </c:ext>
            </c:extLst>
          </c:dPt>
          <c:dPt>
            <c:idx val="206"/>
            <c:invertIfNegative val="0"/>
            <c:bubble3D val="0"/>
            <c:extLst>
              <c:ext xmlns:c16="http://schemas.microsoft.com/office/drawing/2014/chart" uri="{C3380CC4-5D6E-409C-BE32-E72D297353CC}">
                <c16:uniqueId val="{00000269-1232-45F6-B1F6-F4CAD9477139}"/>
              </c:ext>
            </c:extLst>
          </c:dPt>
          <c:dPt>
            <c:idx val="207"/>
            <c:invertIfNegative val="0"/>
            <c:bubble3D val="0"/>
            <c:extLst>
              <c:ext xmlns:c16="http://schemas.microsoft.com/office/drawing/2014/chart" uri="{C3380CC4-5D6E-409C-BE32-E72D297353CC}">
                <c16:uniqueId val="{0000026A-1232-45F6-B1F6-F4CAD9477139}"/>
              </c:ext>
            </c:extLst>
          </c:dPt>
          <c:dPt>
            <c:idx val="208"/>
            <c:invertIfNegative val="0"/>
            <c:bubble3D val="0"/>
            <c:extLst>
              <c:ext xmlns:c16="http://schemas.microsoft.com/office/drawing/2014/chart" uri="{C3380CC4-5D6E-409C-BE32-E72D297353CC}">
                <c16:uniqueId val="{0000026B-1232-45F6-B1F6-F4CAD9477139}"/>
              </c:ext>
            </c:extLst>
          </c:dPt>
          <c:dPt>
            <c:idx val="209"/>
            <c:invertIfNegative val="0"/>
            <c:bubble3D val="0"/>
            <c:extLst>
              <c:ext xmlns:c16="http://schemas.microsoft.com/office/drawing/2014/chart" uri="{C3380CC4-5D6E-409C-BE32-E72D297353CC}">
                <c16:uniqueId val="{0000026C-1232-45F6-B1F6-F4CAD9477139}"/>
              </c:ext>
            </c:extLst>
          </c:dPt>
          <c:dPt>
            <c:idx val="210"/>
            <c:invertIfNegative val="0"/>
            <c:bubble3D val="0"/>
            <c:extLst>
              <c:ext xmlns:c16="http://schemas.microsoft.com/office/drawing/2014/chart" uri="{C3380CC4-5D6E-409C-BE32-E72D297353CC}">
                <c16:uniqueId val="{0000026D-1232-45F6-B1F6-F4CAD9477139}"/>
              </c:ext>
            </c:extLst>
          </c:dPt>
          <c:dPt>
            <c:idx val="211"/>
            <c:invertIfNegative val="0"/>
            <c:bubble3D val="0"/>
            <c:extLst>
              <c:ext xmlns:c16="http://schemas.microsoft.com/office/drawing/2014/chart" uri="{C3380CC4-5D6E-409C-BE32-E72D297353CC}">
                <c16:uniqueId val="{0000026E-1232-45F6-B1F6-F4CAD9477139}"/>
              </c:ext>
            </c:extLst>
          </c:dPt>
          <c:dPt>
            <c:idx val="212"/>
            <c:invertIfNegative val="0"/>
            <c:bubble3D val="0"/>
            <c:extLst>
              <c:ext xmlns:c16="http://schemas.microsoft.com/office/drawing/2014/chart" uri="{C3380CC4-5D6E-409C-BE32-E72D297353CC}">
                <c16:uniqueId val="{0000026F-1232-45F6-B1F6-F4CAD9477139}"/>
              </c:ext>
            </c:extLst>
          </c:dPt>
          <c:dPt>
            <c:idx val="213"/>
            <c:invertIfNegative val="0"/>
            <c:bubble3D val="0"/>
            <c:extLst>
              <c:ext xmlns:c16="http://schemas.microsoft.com/office/drawing/2014/chart" uri="{C3380CC4-5D6E-409C-BE32-E72D297353CC}">
                <c16:uniqueId val="{00000270-1232-45F6-B1F6-F4CAD9477139}"/>
              </c:ext>
            </c:extLst>
          </c:dPt>
          <c:dPt>
            <c:idx val="214"/>
            <c:invertIfNegative val="0"/>
            <c:bubble3D val="0"/>
            <c:extLst>
              <c:ext xmlns:c16="http://schemas.microsoft.com/office/drawing/2014/chart" uri="{C3380CC4-5D6E-409C-BE32-E72D297353CC}">
                <c16:uniqueId val="{00000271-1232-45F6-B1F6-F4CAD9477139}"/>
              </c:ext>
            </c:extLst>
          </c:dPt>
          <c:dPt>
            <c:idx val="215"/>
            <c:invertIfNegative val="0"/>
            <c:bubble3D val="0"/>
            <c:extLst>
              <c:ext xmlns:c16="http://schemas.microsoft.com/office/drawing/2014/chart" uri="{C3380CC4-5D6E-409C-BE32-E72D297353CC}">
                <c16:uniqueId val="{00000272-1232-45F6-B1F6-F4CAD9477139}"/>
              </c:ext>
            </c:extLst>
          </c:dPt>
          <c:dPt>
            <c:idx val="216"/>
            <c:invertIfNegative val="0"/>
            <c:bubble3D val="0"/>
            <c:extLst>
              <c:ext xmlns:c16="http://schemas.microsoft.com/office/drawing/2014/chart" uri="{C3380CC4-5D6E-409C-BE32-E72D297353CC}">
                <c16:uniqueId val="{00000273-1232-45F6-B1F6-F4CAD9477139}"/>
              </c:ext>
            </c:extLst>
          </c:dPt>
          <c:dPt>
            <c:idx val="217"/>
            <c:invertIfNegative val="0"/>
            <c:bubble3D val="0"/>
            <c:extLst>
              <c:ext xmlns:c16="http://schemas.microsoft.com/office/drawing/2014/chart" uri="{C3380CC4-5D6E-409C-BE32-E72D297353CC}">
                <c16:uniqueId val="{00000274-1232-45F6-B1F6-F4CAD9477139}"/>
              </c:ext>
            </c:extLst>
          </c:dPt>
          <c:dPt>
            <c:idx val="218"/>
            <c:invertIfNegative val="0"/>
            <c:bubble3D val="0"/>
            <c:extLst>
              <c:ext xmlns:c16="http://schemas.microsoft.com/office/drawing/2014/chart" uri="{C3380CC4-5D6E-409C-BE32-E72D297353CC}">
                <c16:uniqueId val="{00000275-1232-45F6-B1F6-F4CAD9477139}"/>
              </c:ext>
            </c:extLst>
          </c:dPt>
          <c:dPt>
            <c:idx val="219"/>
            <c:invertIfNegative val="0"/>
            <c:bubble3D val="0"/>
            <c:extLst>
              <c:ext xmlns:c16="http://schemas.microsoft.com/office/drawing/2014/chart" uri="{C3380CC4-5D6E-409C-BE32-E72D297353CC}">
                <c16:uniqueId val="{00000276-1232-45F6-B1F6-F4CAD9477139}"/>
              </c:ext>
            </c:extLst>
          </c:dPt>
          <c:dPt>
            <c:idx val="220"/>
            <c:invertIfNegative val="0"/>
            <c:bubble3D val="0"/>
            <c:extLst>
              <c:ext xmlns:c16="http://schemas.microsoft.com/office/drawing/2014/chart" uri="{C3380CC4-5D6E-409C-BE32-E72D297353CC}">
                <c16:uniqueId val="{00000277-1232-45F6-B1F6-F4CAD9477139}"/>
              </c:ext>
            </c:extLst>
          </c:dPt>
          <c:dPt>
            <c:idx val="221"/>
            <c:invertIfNegative val="0"/>
            <c:bubble3D val="0"/>
            <c:extLst>
              <c:ext xmlns:c16="http://schemas.microsoft.com/office/drawing/2014/chart" uri="{C3380CC4-5D6E-409C-BE32-E72D297353CC}">
                <c16:uniqueId val="{00000278-1232-45F6-B1F6-F4CAD9477139}"/>
              </c:ext>
            </c:extLst>
          </c:dPt>
          <c:dPt>
            <c:idx val="222"/>
            <c:invertIfNegative val="0"/>
            <c:bubble3D val="0"/>
            <c:extLst>
              <c:ext xmlns:c16="http://schemas.microsoft.com/office/drawing/2014/chart" uri="{C3380CC4-5D6E-409C-BE32-E72D297353CC}">
                <c16:uniqueId val="{00000279-1232-45F6-B1F6-F4CAD9477139}"/>
              </c:ext>
            </c:extLst>
          </c:dPt>
          <c:dPt>
            <c:idx val="223"/>
            <c:invertIfNegative val="0"/>
            <c:bubble3D val="0"/>
            <c:extLst>
              <c:ext xmlns:c16="http://schemas.microsoft.com/office/drawing/2014/chart" uri="{C3380CC4-5D6E-409C-BE32-E72D297353CC}">
                <c16:uniqueId val="{0000027A-1232-45F6-B1F6-F4CAD9477139}"/>
              </c:ext>
            </c:extLst>
          </c:dPt>
          <c:dPt>
            <c:idx val="224"/>
            <c:invertIfNegative val="0"/>
            <c:bubble3D val="0"/>
            <c:extLst>
              <c:ext xmlns:c16="http://schemas.microsoft.com/office/drawing/2014/chart" uri="{C3380CC4-5D6E-409C-BE32-E72D297353CC}">
                <c16:uniqueId val="{0000027B-1232-45F6-B1F6-F4CAD9477139}"/>
              </c:ext>
            </c:extLst>
          </c:dPt>
          <c:dPt>
            <c:idx val="225"/>
            <c:invertIfNegative val="0"/>
            <c:bubble3D val="0"/>
            <c:extLst>
              <c:ext xmlns:c16="http://schemas.microsoft.com/office/drawing/2014/chart" uri="{C3380CC4-5D6E-409C-BE32-E72D297353CC}">
                <c16:uniqueId val="{0000027C-1232-45F6-B1F6-F4CAD9477139}"/>
              </c:ext>
            </c:extLst>
          </c:dPt>
          <c:dPt>
            <c:idx val="226"/>
            <c:invertIfNegative val="0"/>
            <c:bubble3D val="0"/>
            <c:extLst>
              <c:ext xmlns:c16="http://schemas.microsoft.com/office/drawing/2014/chart" uri="{C3380CC4-5D6E-409C-BE32-E72D297353CC}">
                <c16:uniqueId val="{0000027D-1232-45F6-B1F6-F4CAD9477139}"/>
              </c:ext>
            </c:extLst>
          </c:dPt>
          <c:dPt>
            <c:idx val="227"/>
            <c:invertIfNegative val="0"/>
            <c:bubble3D val="0"/>
            <c:extLst>
              <c:ext xmlns:c16="http://schemas.microsoft.com/office/drawing/2014/chart" uri="{C3380CC4-5D6E-409C-BE32-E72D297353CC}">
                <c16:uniqueId val="{0000027E-1232-45F6-B1F6-F4CAD9477139}"/>
              </c:ext>
            </c:extLst>
          </c:dPt>
          <c:dPt>
            <c:idx val="228"/>
            <c:invertIfNegative val="0"/>
            <c:bubble3D val="0"/>
            <c:extLst>
              <c:ext xmlns:c16="http://schemas.microsoft.com/office/drawing/2014/chart" uri="{C3380CC4-5D6E-409C-BE32-E72D297353CC}">
                <c16:uniqueId val="{0000027F-1232-45F6-B1F6-F4CAD9477139}"/>
              </c:ext>
            </c:extLst>
          </c:dPt>
          <c:dPt>
            <c:idx val="229"/>
            <c:invertIfNegative val="0"/>
            <c:bubble3D val="0"/>
            <c:extLst>
              <c:ext xmlns:c16="http://schemas.microsoft.com/office/drawing/2014/chart" uri="{C3380CC4-5D6E-409C-BE32-E72D297353CC}">
                <c16:uniqueId val="{00000280-1232-45F6-B1F6-F4CAD9477139}"/>
              </c:ext>
            </c:extLst>
          </c:dPt>
          <c:dPt>
            <c:idx val="230"/>
            <c:invertIfNegative val="0"/>
            <c:bubble3D val="0"/>
            <c:extLst>
              <c:ext xmlns:c16="http://schemas.microsoft.com/office/drawing/2014/chart" uri="{C3380CC4-5D6E-409C-BE32-E72D297353CC}">
                <c16:uniqueId val="{00000281-1232-45F6-B1F6-F4CAD9477139}"/>
              </c:ext>
            </c:extLst>
          </c:dPt>
          <c:dPt>
            <c:idx val="231"/>
            <c:invertIfNegative val="0"/>
            <c:bubble3D val="0"/>
            <c:extLst>
              <c:ext xmlns:c16="http://schemas.microsoft.com/office/drawing/2014/chart" uri="{C3380CC4-5D6E-409C-BE32-E72D297353CC}">
                <c16:uniqueId val="{00000282-1232-45F6-B1F6-F4CAD9477139}"/>
              </c:ext>
            </c:extLst>
          </c:dPt>
          <c:dPt>
            <c:idx val="232"/>
            <c:invertIfNegative val="0"/>
            <c:bubble3D val="0"/>
            <c:extLst>
              <c:ext xmlns:c16="http://schemas.microsoft.com/office/drawing/2014/chart" uri="{C3380CC4-5D6E-409C-BE32-E72D297353CC}">
                <c16:uniqueId val="{00000283-1232-45F6-B1F6-F4CAD9477139}"/>
              </c:ext>
            </c:extLst>
          </c:dPt>
          <c:dPt>
            <c:idx val="233"/>
            <c:invertIfNegative val="0"/>
            <c:bubble3D val="0"/>
            <c:extLst>
              <c:ext xmlns:c16="http://schemas.microsoft.com/office/drawing/2014/chart" uri="{C3380CC4-5D6E-409C-BE32-E72D297353CC}">
                <c16:uniqueId val="{00000284-1232-45F6-B1F6-F4CAD9477139}"/>
              </c:ext>
            </c:extLst>
          </c:dPt>
          <c:dPt>
            <c:idx val="234"/>
            <c:invertIfNegative val="0"/>
            <c:bubble3D val="0"/>
            <c:extLst>
              <c:ext xmlns:c16="http://schemas.microsoft.com/office/drawing/2014/chart" uri="{C3380CC4-5D6E-409C-BE32-E72D297353CC}">
                <c16:uniqueId val="{00000285-1232-45F6-B1F6-F4CAD9477139}"/>
              </c:ext>
            </c:extLst>
          </c:dPt>
          <c:dPt>
            <c:idx val="235"/>
            <c:invertIfNegative val="0"/>
            <c:bubble3D val="0"/>
            <c:extLst>
              <c:ext xmlns:c16="http://schemas.microsoft.com/office/drawing/2014/chart" uri="{C3380CC4-5D6E-409C-BE32-E72D297353CC}">
                <c16:uniqueId val="{00000286-1232-45F6-B1F6-F4CAD9477139}"/>
              </c:ext>
            </c:extLst>
          </c:dPt>
          <c:dPt>
            <c:idx val="236"/>
            <c:invertIfNegative val="0"/>
            <c:bubble3D val="0"/>
            <c:extLst>
              <c:ext xmlns:c16="http://schemas.microsoft.com/office/drawing/2014/chart" uri="{C3380CC4-5D6E-409C-BE32-E72D297353CC}">
                <c16:uniqueId val="{00000287-1232-45F6-B1F6-F4CAD9477139}"/>
              </c:ext>
            </c:extLst>
          </c:dPt>
          <c:dPt>
            <c:idx val="237"/>
            <c:invertIfNegative val="0"/>
            <c:bubble3D val="0"/>
            <c:extLst>
              <c:ext xmlns:c16="http://schemas.microsoft.com/office/drawing/2014/chart" uri="{C3380CC4-5D6E-409C-BE32-E72D297353CC}">
                <c16:uniqueId val="{00000288-1232-45F6-B1F6-F4CAD9477139}"/>
              </c:ext>
            </c:extLst>
          </c:dPt>
          <c:dPt>
            <c:idx val="238"/>
            <c:invertIfNegative val="0"/>
            <c:bubble3D val="0"/>
            <c:extLst>
              <c:ext xmlns:c16="http://schemas.microsoft.com/office/drawing/2014/chart" uri="{C3380CC4-5D6E-409C-BE32-E72D297353CC}">
                <c16:uniqueId val="{00000289-1232-45F6-B1F6-F4CAD9477139}"/>
              </c:ext>
            </c:extLst>
          </c:dPt>
          <c:dPt>
            <c:idx val="239"/>
            <c:invertIfNegative val="0"/>
            <c:bubble3D val="0"/>
            <c:extLst>
              <c:ext xmlns:c16="http://schemas.microsoft.com/office/drawing/2014/chart" uri="{C3380CC4-5D6E-409C-BE32-E72D297353CC}">
                <c16:uniqueId val="{0000028A-1232-45F6-B1F6-F4CAD9477139}"/>
              </c:ext>
            </c:extLst>
          </c:dPt>
          <c:dPt>
            <c:idx val="240"/>
            <c:invertIfNegative val="0"/>
            <c:bubble3D val="0"/>
            <c:extLst>
              <c:ext xmlns:c16="http://schemas.microsoft.com/office/drawing/2014/chart" uri="{C3380CC4-5D6E-409C-BE32-E72D297353CC}">
                <c16:uniqueId val="{0000028B-1232-45F6-B1F6-F4CAD9477139}"/>
              </c:ext>
            </c:extLst>
          </c:dPt>
          <c:dPt>
            <c:idx val="241"/>
            <c:invertIfNegative val="0"/>
            <c:bubble3D val="0"/>
            <c:extLst>
              <c:ext xmlns:c16="http://schemas.microsoft.com/office/drawing/2014/chart" uri="{C3380CC4-5D6E-409C-BE32-E72D297353CC}">
                <c16:uniqueId val="{0000028C-1232-45F6-B1F6-F4CAD9477139}"/>
              </c:ext>
            </c:extLst>
          </c:dPt>
          <c:dPt>
            <c:idx val="242"/>
            <c:invertIfNegative val="0"/>
            <c:bubble3D val="0"/>
            <c:extLst>
              <c:ext xmlns:c16="http://schemas.microsoft.com/office/drawing/2014/chart" uri="{C3380CC4-5D6E-409C-BE32-E72D297353CC}">
                <c16:uniqueId val="{0000028D-1232-45F6-B1F6-F4CAD9477139}"/>
              </c:ext>
            </c:extLst>
          </c:dPt>
          <c:dPt>
            <c:idx val="243"/>
            <c:invertIfNegative val="0"/>
            <c:bubble3D val="0"/>
            <c:extLst>
              <c:ext xmlns:c16="http://schemas.microsoft.com/office/drawing/2014/chart" uri="{C3380CC4-5D6E-409C-BE32-E72D297353CC}">
                <c16:uniqueId val="{0000028E-1232-45F6-B1F6-F4CAD9477139}"/>
              </c:ext>
            </c:extLst>
          </c:dPt>
          <c:dPt>
            <c:idx val="244"/>
            <c:invertIfNegative val="0"/>
            <c:bubble3D val="0"/>
            <c:extLst>
              <c:ext xmlns:c16="http://schemas.microsoft.com/office/drawing/2014/chart" uri="{C3380CC4-5D6E-409C-BE32-E72D297353CC}">
                <c16:uniqueId val="{0000028F-1232-45F6-B1F6-F4CAD9477139}"/>
              </c:ext>
            </c:extLst>
          </c:dPt>
          <c:dPt>
            <c:idx val="245"/>
            <c:invertIfNegative val="0"/>
            <c:bubble3D val="0"/>
            <c:extLst>
              <c:ext xmlns:c16="http://schemas.microsoft.com/office/drawing/2014/chart" uri="{C3380CC4-5D6E-409C-BE32-E72D297353CC}">
                <c16:uniqueId val="{00000290-1232-45F6-B1F6-F4CAD9477139}"/>
              </c:ext>
            </c:extLst>
          </c:dPt>
          <c:dPt>
            <c:idx val="246"/>
            <c:invertIfNegative val="0"/>
            <c:bubble3D val="0"/>
            <c:extLst>
              <c:ext xmlns:c16="http://schemas.microsoft.com/office/drawing/2014/chart" uri="{C3380CC4-5D6E-409C-BE32-E72D297353CC}">
                <c16:uniqueId val="{00000291-1232-45F6-B1F6-F4CAD9477139}"/>
              </c:ext>
            </c:extLst>
          </c:dPt>
          <c:dPt>
            <c:idx val="247"/>
            <c:invertIfNegative val="0"/>
            <c:bubble3D val="0"/>
            <c:extLst>
              <c:ext xmlns:c16="http://schemas.microsoft.com/office/drawing/2014/chart" uri="{C3380CC4-5D6E-409C-BE32-E72D297353CC}">
                <c16:uniqueId val="{00000292-1232-45F6-B1F6-F4CAD9477139}"/>
              </c:ext>
            </c:extLst>
          </c:dPt>
          <c:dPt>
            <c:idx val="248"/>
            <c:invertIfNegative val="0"/>
            <c:bubble3D val="0"/>
            <c:extLst>
              <c:ext xmlns:c16="http://schemas.microsoft.com/office/drawing/2014/chart" uri="{C3380CC4-5D6E-409C-BE32-E72D297353CC}">
                <c16:uniqueId val="{00000293-1232-45F6-B1F6-F4CAD9477139}"/>
              </c:ext>
            </c:extLst>
          </c:dPt>
          <c:dPt>
            <c:idx val="249"/>
            <c:invertIfNegative val="0"/>
            <c:bubble3D val="0"/>
            <c:extLst>
              <c:ext xmlns:c16="http://schemas.microsoft.com/office/drawing/2014/chart" uri="{C3380CC4-5D6E-409C-BE32-E72D297353CC}">
                <c16:uniqueId val="{00000294-1232-45F6-B1F6-F4CAD9477139}"/>
              </c:ext>
            </c:extLst>
          </c:dPt>
          <c:dPt>
            <c:idx val="250"/>
            <c:invertIfNegative val="0"/>
            <c:bubble3D val="0"/>
            <c:extLst>
              <c:ext xmlns:c16="http://schemas.microsoft.com/office/drawing/2014/chart" uri="{C3380CC4-5D6E-409C-BE32-E72D297353CC}">
                <c16:uniqueId val="{00000295-1232-45F6-B1F6-F4CAD9477139}"/>
              </c:ext>
            </c:extLst>
          </c:dPt>
          <c:dPt>
            <c:idx val="251"/>
            <c:invertIfNegative val="0"/>
            <c:bubble3D val="0"/>
            <c:extLst>
              <c:ext xmlns:c16="http://schemas.microsoft.com/office/drawing/2014/chart" uri="{C3380CC4-5D6E-409C-BE32-E72D297353CC}">
                <c16:uniqueId val="{00000296-1232-45F6-B1F6-F4CAD9477139}"/>
              </c:ext>
            </c:extLst>
          </c:dPt>
          <c:dPt>
            <c:idx val="252"/>
            <c:invertIfNegative val="0"/>
            <c:bubble3D val="0"/>
            <c:extLst>
              <c:ext xmlns:c16="http://schemas.microsoft.com/office/drawing/2014/chart" uri="{C3380CC4-5D6E-409C-BE32-E72D297353CC}">
                <c16:uniqueId val="{00000297-1232-45F6-B1F6-F4CAD9477139}"/>
              </c:ext>
            </c:extLst>
          </c:dPt>
          <c:dPt>
            <c:idx val="253"/>
            <c:invertIfNegative val="0"/>
            <c:bubble3D val="0"/>
            <c:extLst>
              <c:ext xmlns:c16="http://schemas.microsoft.com/office/drawing/2014/chart" uri="{C3380CC4-5D6E-409C-BE32-E72D297353CC}">
                <c16:uniqueId val="{00000298-1232-45F6-B1F6-F4CAD9477139}"/>
              </c:ext>
            </c:extLst>
          </c:dPt>
          <c:dPt>
            <c:idx val="254"/>
            <c:invertIfNegative val="0"/>
            <c:bubble3D val="0"/>
            <c:extLst>
              <c:ext xmlns:c16="http://schemas.microsoft.com/office/drawing/2014/chart" uri="{C3380CC4-5D6E-409C-BE32-E72D297353CC}">
                <c16:uniqueId val="{00000299-1232-45F6-B1F6-F4CAD9477139}"/>
              </c:ext>
            </c:extLst>
          </c:dPt>
          <c:dPt>
            <c:idx val="255"/>
            <c:invertIfNegative val="0"/>
            <c:bubble3D val="0"/>
            <c:extLst>
              <c:ext xmlns:c16="http://schemas.microsoft.com/office/drawing/2014/chart" uri="{C3380CC4-5D6E-409C-BE32-E72D297353CC}">
                <c16:uniqueId val="{0000029A-1232-45F6-B1F6-F4CAD9477139}"/>
              </c:ext>
            </c:extLst>
          </c:dPt>
          <c:dPt>
            <c:idx val="256"/>
            <c:invertIfNegative val="0"/>
            <c:bubble3D val="0"/>
            <c:extLst>
              <c:ext xmlns:c16="http://schemas.microsoft.com/office/drawing/2014/chart" uri="{C3380CC4-5D6E-409C-BE32-E72D297353CC}">
                <c16:uniqueId val="{0000029B-1232-45F6-B1F6-F4CAD9477139}"/>
              </c:ext>
            </c:extLst>
          </c:dPt>
          <c:dPt>
            <c:idx val="257"/>
            <c:invertIfNegative val="0"/>
            <c:bubble3D val="0"/>
            <c:extLst>
              <c:ext xmlns:c16="http://schemas.microsoft.com/office/drawing/2014/chart" uri="{C3380CC4-5D6E-409C-BE32-E72D297353CC}">
                <c16:uniqueId val="{0000029C-1232-45F6-B1F6-F4CAD9477139}"/>
              </c:ext>
            </c:extLst>
          </c:dPt>
          <c:dPt>
            <c:idx val="258"/>
            <c:invertIfNegative val="0"/>
            <c:bubble3D val="0"/>
            <c:extLst>
              <c:ext xmlns:c16="http://schemas.microsoft.com/office/drawing/2014/chart" uri="{C3380CC4-5D6E-409C-BE32-E72D297353CC}">
                <c16:uniqueId val="{0000029D-1232-45F6-B1F6-F4CAD9477139}"/>
              </c:ext>
            </c:extLst>
          </c:dPt>
          <c:dPt>
            <c:idx val="259"/>
            <c:invertIfNegative val="0"/>
            <c:bubble3D val="0"/>
            <c:extLst>
              <c:ext xmlns:c16="http://schemas.microsoft.com/office/drawing/2014/chart" uri="{C3380CC4-5D6E-409C-BE32-E72D297353CC}">
                <c16:uniqueId val="{0000029E-1232-45F6-B1F6-F4CAD9477139}"/>
              </c:ext>
            </c:extLst>
          </c:dPt>
          <c:dPt>
            <c:idx val="260"/>
            <c:invertIfNegative val="0"/>
            <c:bubble3D val="0"/>
            <c:extLst>
              <c:ext xmlns:c16="http://schemas.microsoft.com/office/drawing/2014/chart" uri="{C3380CC4-5D6E-409C-BE32-E72D297353CC}">
                <c16:uniqueId val="{0000029F-1232-45F6-B1F6-F4CAD9477139}"/>
              </c:ext>
            </c:extLst>
          </c:dPt>
          <c:dPt>
            <c:idx val="261"/>
            <c:invertIfNegative val="0"/>
            <c:bubble3D val="0"/>
            <c:extLst>
              <c:ext xmlns:c16="http://schemas.microsoft.com/office/drawing/2014/chart" uri="{C3380CC4-5D6E-409C-BE32-E72D297353CC}">
                <c16:uniqueId val="{000002A0-1232-45F6-B1F6-F4CAD9477139}"/>
              </c:ext>
            </c:extLst>
          </c:dPt>
          <c:dPt>
            <c:idx val="262"/>
            <c:invertIfNegative val="0"/>
            <c:bubble3D val="0"/>
            <c:extLst>
              <c:ext xmlns:c16="http://schemas.microsoft.com/office/drawing/2014/chart" uri="{C3380CC4-5D6E-409C-BE32-E72D297353CC}">
                <c16:uniqueId val="{000002A1-1232-45F6-B1F6-F4CAD9477139}"/>
              </c:ext>
            </c:extLst>
          </c:dPt>
          <c:dPt>
            <c:idx val="263"/>
            <c:invertIfNegative val="0"/>
            <c:bubble3D val="0"/>
            <c:extLst>
              <c:ext xmlns:c16="http://schemas.microsoft.com/office/drawing/2014/chart" uri="{C3380CC4-5D6E-409C-BE32-E72D297353CC}">
                <c16:uniqueId val="{000002A2-1232-45F6-B1F6-F4CAD9477139}"/>
              </c:ext>
            </c:extLst>
          </c:dPt>
          <c:dPt>
            <c:idx val="264"/>
            <c:invertIfNegative val="0"/>
            <c:bubble3D val="0"/>
            <c:extLst>
              <c:ext xmlns:c16="http://schemas.microsoft.com/office/drawing/2014/chart" uri="{C3380CC4-5D6E-409C-BE32-E72D297353CC}">
                <c16:uniqueId val="{000002A3-1232-45F6-B1F6-F4CAD9477139}"/>
              </c:ext>
            </c:extLst>
          </c:dPt>
          <c:dPt>
            <c:idx val="265"/>
            <c:invertIfNegative val="0"/>
            <c:bubble3D val="0"/>
            <c:extLst>
              <c:ext xmlns:c16="http://schemas.microsoft.com/office/drawing/2014/chart" uri="{C3380CC4-5D6E-409C-BE32-E72D297353CC}">
                <c16:uniqueId val="{000002A4-1232-45F6-B1F6-F4CAD9477139}"/>
              </c:ext>
            </c:extLst>
          </c:dPt>
          <c:dPt>
            <c:idx val="266"/>
            <c:invertIfNegative val="0"/>
            <c:bubble3D val="0"/>
            <c:extLst>
              <c:ext xmlns:c16="http://schemas.microsoft.com/office/drawing/2014/chart" uri="{C3380CC4-5D6E-409C-BE32-E72D297353CC}">
                <c16:uniqueId val="{000002A5-1232-45F6-B1F6-F4CAD9477139}"/>
              </c:ext>
            </c:extLst>
          </c:dPt>
          <c:dPt>
            <c:idx val="267"/>
            <c:invertIfNegative val="0"/>
            <c:bubble3D val="0"/>
            <c:extLst>
              <c:ext xmlns:c16="http://schemas.microsoft.com/office/drawing/2014/chart" uri="{C3380CC4-5D6E-409C-BE32-E72D297353CC}">
                <c16:uniqueId val="{000002A6-1232-45F6-B1F6-F4CAD9477139}"/>
              </c:ext>
            </c:extLst>
          </c:dPt>
          <c:dPt>
            <c:idx val="268"/>
            <c:invertIfNegative val="0"/>
            <c:bubble3D val="0"/>
            <c:extLst>
              <c:ext xmlns:c16="http://schemas.microsoft.com/office/drawing/2014/chart" uri="{C3380CC4-5D6E-409C-BE32-E72D297353CC}">
                <c16:uniqueId val="{000002A7-1232-45F6-B1F6-F4CAD9477139}"/>
              </c:ext>
            </c:extLst>
          </c:dPt>
          <c:dPt>
            <c:idx val="269"/>
            <c:invertIfNegative val="0"/>
            <c:bubble3D val="0"/>
            <c:extLst>
              <c:ext xmlns:c16="http://schemas.microsoft.com/office/drawing/2014/chart" uri="{C3380CC4-5D6E-409C-BE32-E72D297353CC}">
                <c16:uniqueId val="{000002A8-1232-45F6-B1F6-F4CAD9477139}"/>
              </c:ext>
            </c:extLst>
          </c:dPt>
          <c:dPt>
            <c:idx val="270"/>
            <c:invertIfNegative val="0"/>
            <c:bubble3D val="0"/>
            <c:extLst>
              <c:ext xmlns:c16="http://schemas.microsoft.com/office/drawing/2014/chart" uri="{C3380CC4-5D6E-409C-BE32-E72D297353CC}">
                <c16:uniqueId val="{000002A9-1232-45F6-B1F6-F4CAD9477139}"/>
              </c:ext>
            </c:extLst>
          </c:dPt>
          <c:dPt>
            <c:idx val="271"/>
            <c:invertIfNegative val="0"/>
            <c:bubble3D val="0"/>
            <c:extLst>
              <c:ext xmlns:c16="http://schemas.microsoft.com/office/drawing/2014/chart" uri="{C3380CC4-5D6E-409C-BE32-E72D297353CC}">
                <c16:uniqueId val="{000002AA-1232-45F6-B1F6-F4CAD9477139}"/>
              </c:ext>
            </c:extLst>
          </c:dPt>
          <c:dPt>
            <c:idx val="272"/>
            <c:invertIfNegative val="0"/>
            <c:bubble3D val="0"/>
            <c:extLst>
              <c:ext xmlns:c16="http://schemas.microsoft.com/office/drawing/2014/chart" uri="{C3380CC4-5D6E-409C-BE32-E72D297353CC}">
                <c16:uniqueId val="{000002AB-1232-45F6-B1F6-F4CAD9477139}"/>
              </c:ext>
            </c:extLst>
          </c:dPt>
          <c:dPt>
            <c:idx val="273"/>
            <c:invertIfNegative val="0"/>
            <c:bubble3D val="0"/>
            <c:extLst>
              <c:ext xmlns:c16="http://schemas.microsoft.com/office/drawing/2014/chart" uri="{C3380CC4-5D6E-409C-BE32-E72D297353CC}">
                <c16:uniqueId val="{000002AC-1232-45F6-B1F6-F4CAD9477139}"/>
              </c:ext>
            </c:extLst>
          </c:dPt>
          <c:dPt>
            <c:idx val="274"/>
            <c:invertIfNegative val="0"/>
            <c:bubble3D val="0"/>
            <c:extLst>
              <c:ext xmlns:c16="http://schemas.microsoft.com/office/drawing/2014/chart" uri="{C3380CC4-5D6E-409C-BE32-E72D297353CC}">
                <c16:uniqueId val="{000002AD-1232-45F6-B1F6-F4CAD9477139}"/>
              </c:ext>
            </c:extLst>
          </c:dPt>
          <c:dPt>
            <c:idx val="275"/>
            <c:invertIfNegative val="0"/>
            <c:bubble3D val="0"/>
            <c:extLst>
              <c:ext xmlns:c16="http://schemas.microsoft.com/office/drawing/2014/chart" uri="{C3380CC4-5D6E-409C-BE32-E72D297353CC}">
                <c16:uniqueId val="{000002AE-1232-45F6-B1F6-F4CAD9477139}"/>
              </c:ext>
            </c:extLst>
          </c:dPt>
          <c:dPt>
            <c:idx val="276"/>
            <c:invertIfNegative val="0"/>
            <c:bubble3D val="0"/>
            <c:extLst>
              <c:ext xmlns:c16="http://schemas.microsoft.com/office/drawing/2014/chart" uri="{C3380CC4-5D6E-409C-BE32-E72D297353CC}">
                <c16:uniqueId val="{000002AF-1232-45F6-B1F6-F4CAD9477139}"/>
              </c:ext>
            </c:extLst>
          </c:dPt>
          <c:dPt>
            <c:idx val="277"/>
            <c:invertIfNegative val="0"/>
            <c:bubble3D val="0"/>
            <c:extLst>
              <c:ext xmlns:c16="http://schemas.microsoft.com/office/drawing/2014/chart" uri="{C3380CC4-5D6E-409C-BE32-E72D297353CC}">
                <c16:uniqueId val="{000002B0-1232-45F6-B1F6-F4CAD9477139}"/>
              </c:ext>
            </c:extLst>
          </c:dPt>
          <c:dPt>
            <c:idx val="278"/>
            <c:invertIfNegative val="0"/>
            <c:bubble3D val="0"/>
            <c:extLst>
              <c:ext xmlns:c16="http://schemas.microsoft.com/office/drawing/2014/chart" uri="{C3380CC4-5D6E-409C-BE32-E72D297353CC}">
                <c16:uniqueId val="{000002B1-1232-45F6-B1F6-F4CAD9477139}"/>
              </c:ext>
            </c:extLst>
          </c:dPt>
          <c:dPt>
            <c:idx val="279"/>
            <c:invertIfNegative val="0"/>
            <c:bubble3D val="0"/>
            <c:extLst>
              <c:ext xmlns:c16="http://schemas.microsoft.com/office/drawing/2014/chart" uri="{C3380CC4-5D6E-409C-BE32-E72D297353CC}">
                <c16:uniqueId val="{000002B2-1232-45F6-B1F6-F4CAD9477139}"/>
              </c:ext>
            </c:extLst>
          </c:dPt>
          <c:dPt>
            <c:idx val="280"/>
            <c:invertIfNegative val="0"/>
            <c:bubble3D val="0"/>
            <c:extLst>
              <c:ext xmlns:c16="http://schemas.microsoft.com/office/drawing/2014/chart" uri="{C3380CC4-5D6E-409C-BE32-E72D297353CC}">
                <c16:uniqueId val="{000002B3-1232-45F6-B1F6-F4CAD9477139}"/>
              </c:ext>
            </c:extLst>
          </c:dPt>
          <c:dPt>
            <c:idx val="281"/>
            <c:invertIfNegative val="0"/>
            <c:bubble3D val="0"/>
            <c:extLst>
              <c:ext xmlns:c16="http://schemas.microsoft.com/office/drawing/2014/chart" uri="{C3380CC4-5D6E-409C-BE32-E72D297353CC}">
                <c16:uniqueId val="{000002B4-1232-45F6-B1F6-F4CAD9477139}"/>
              </c:ext>
            </c:extLst>
          </c:dPt>
          <c:dPt>
            <c:idx val="282"/>
            <c:invertIfNegative val="0"/>
            <c:bubble3D val="0"/>
            <c:extLst>
              <c:ext xmlns:c16="http://schemas.microsoft.com/office/drawing/2014/chart" uri="{C3380CC4-5D6E-409C-BE32-E72D297353CC}">
                <c16:uniqueId val="{000002B5-1232-45F6-B1F6-F4CAD9477139}"/>
              </c:ext>
            </c:extLst>
          </c:dPt>
          <c:dPt>
            <c:idx val="283"/>
            <c:invertIfNegative val="0"/>
            <c:bubble3D val="0"/>
            <c:extLst>
              <c:ext xmlns:c16="http://schemas.microsoft.com/office/drawing/2014/chart" uri="{C3380CC4-5D6E-409C-BE32-E72D297353CC}">
                <c16:uniqueId val="{000002B6-1232-45F6-B1F6-F4CAD9477139}"/>
              </c:ext>
            </c:extLst>
          </c:dPt>
          <c:dPt>
            <c:idx val="284"/>
            <c:invertIfNegative val="0"/>
            <c:bubble3D val="0"/>
            <c:extLst>
              <c:ext xmlns:c16="http://schemas.microsoft.com/office/drawing/2014/chart" uri="{C3380CC4-5D6E-409C-BE32-E72D297353CC}">
                <c16:uniqueId val="{000002B7-1232-45F6-B1F6-F4CAD9477139}"/>
              </c:ext>
            </c:extLst>
          </c:dPt>
          <c:dPt>
            <c:idx val="285"/>
            <c:invertIfNegative val="0"/>
            <c:bubble3D val="0"/>
            <c:extLst>
              <c:ext xmlns:c16="http://schemas.microsoft.com/office/drawing/2014/chart" uri="{C3380CC4-5D6E-409C-BE32-E72D297353CC}">
                <c16:uniqueId val="{000002B8-1232-45F6-B1F6-F4CAD9477139}"/>
              </c:ext>
            </c:extLst>
          </c:dPt>
          <c:dPt>
            <c:idx val="286"/>
            <c:invertIfNegative val="0"/>
            <c:bubble3D val="0"/>
            <c:extLst>
              <c:ext xmlns:c16="http://schemas.microsoft.com/office/drawing/2014/chart" uri="{C3380CC4-5D6E-409C-BE32-E72D297353CC}">
                <c16:uniqueId val="{000002B9-1232-45F6-B1F6-F4CAD9477139}"/>
              </c:ext>
            </c:extLst>
          </c:dPt>
          <c:dPt>
            <c:idx val="287"/>
            <c:invertIfNegative val="0"/>
            <c:bubble3D val="0"/>
            <c:extLst>
              <c:ext xmlns:c16="http://schemas.microsoft.com/office/drawing/2014/chart" uri="{C3380CC4-5D6E-409C-BE32-E72D297353CC}">
                <c16:uniqueId val="{000002BA-1232-45F6-B1F6-F4CAD9477139}"/>
              </c:ext>
            </c:extLst>
          </c:dPt>
          <c:dPt>
            <c:idx val="288"/>
            <c:invertIfNegative val="0"/>
            <c:bubble3D val="0"/>
            <c:extLst>
              <c:ext xmlns:c16="http://schemas.microsoft.com/office/drawing/2014/chart" uri="{C3380CC4-5D6E-409C-BE32-E72D297353CC}">
                <c16:uniqueId val="{000002BB-1232-45F6-B1F6-F4CAD9477139}"/>
              </c:ext>
            </c:extLst>
          </c:dPt>
          <c:dPt>
            <c:idx val="289"/>
            <c:invertIfNegative val="0"/>
            <c:bubble3D val="0"/>
            <c:extLst>
              <c:ext xmlns:c16="http://schemas.microsoft.com/office/drawing/2014/chart" uri="{C3380CC4-5D6E-409C-BE32-E72D297353CC}">
                <c16:uniqueId val="{000002BC-1232-45F6-B1F6-F4CAD9477139}"/>
              </c:ext>
            </c:extLst>
          </c:dPt>
          <c:dPt>
            <c:idx val="290"/>
            <c:invertIfNegative val="0"/>
            <c:bubble3D val="0"/>
            <c:extLst>
              <c:ext xmlns:c16="http://schemas.microsoft.com/office/drawing/2014/chart" uri="{C3380CC4-5D6E-409C-BE32-E72D297353CC}">
                <c16:uniqueId val="{000002BD-1232-45F6-B1F6-F4CAD9477139}"/>
              </c:ext>
            </c:extLst>
          </c:dPt>
          <c:dPt>
            <c:idx val="291"/>
            <c:invertIfNegative val="0"/>
            <c:bubble3D val="0"/>
            <c:extLst>
              <c:ext xmlns:c16="http://schemas.microsoft.com/office/drawing/2014/chart" uri="{C3380CC4-5D6E-409C-BE32-E72D297353CC}">
                <c16:uniqueId val="{000002BE-1232-45F6-B1F6-F4CAD9477139}"/>
              </c:ext>
            </c:extLst>
          </c:dPt>
          <c:dPt>
            <c:idx val="292"/>
            <c:invertIfNegative val="0"/>
            <c:bubble3D val="0"/>
            <c:extLst>
              <c:ext xmlns:c16="http://schemas.microsoft.com/office/drawing/2014/chart" uri="{C3380CC4-5D6E-409C-BE32-E72D297353CC}">
                <c16:uniqueId val="{000002BF-1232-45F6-B1F6-F4CAD9477139}"/>
              </c:ext>
            </c:extLst>
          </c:dPt>
          <c:dPt>
            <c:idx val="293"/>
            <c:invertIfNegative val="0"/>
            <c:bubble3D val="0"/>
            <c:extLst>
              <c:ext xmlns:c16="http://schemas.microsoft.com/office/drawing/2014/chart" uri="{C3380CC4-5D6E-409C-BE32-E72D297353CC}">
                <c16:uniqueId val="{000002C0-1232-45F6-B1F6-F4CAD9477139}"/>
              </c:ext>
            </c:extLst>
          </c:dPt>
          <c:dPt>
            <c:idx val="294"/>
            <c:invertIfNegative val="0"/>
            <c:bubble3D val="0"/>
            <c:extLst>
              <c:ext xmlns:c16="http://schemas.microsoft.com/office/drawing/2014/chart" uri="{C3380CC4-5D6E-409C-BE32-E72D297353CC}">
                <c16:uniqueId val="{000002C1-1232-45F6-B1F6-F4CAD9477139}"/>
              </c:ext>
            </c:extLst>
          </c:dPt>
          <c:dPt>
            <c:idx val="295"/>
            <c:invertIfNegative val="0"/>
            <c:bubble3D val="0"/>
            <c:extLst>
              <c:ext xmlns:c16="http://schemas.microsoft.com/office/drawing/2014/chart" uri="{C3380CC4-5D6E-409C-BE32-E72D297353CC}">
                <c16:uniqueId val="{000002C2-1232-45F6-B1F6-F4CAD9477139}"/>
              </c:ext>
            </c:extLst>
          </c:dPt>
          <c:dPt>
            <c:idx val="296"/>
            <c:invertIfNegative val="0"/>
            <c:bubble3D val="0"/>
            <c:extLst>
              <c:ext xmlns:c16="http://schemas.microsoft.com/office/drawing/2014/chart" uri="{C3380CC4-5D6E-409C-BE32-E72D297353CC}">
                <c16:uniqueId val="{000002C3-1232-45F6-B1F6-F4CAD9477139}"/>
              </c:ext>
            </c:extLst>
          </c:dPt>
          <c:dPt>
            <c:idx val="297"/>
            <c:invertIfNegative val="0"/>
            <c:bubble3D val="0"/>
            <c:extLst>
              <c:ext xmlns:c16="http://schemas.microsoft.com/office/drawing/2014/chart" uri="{C3380CC4-5D6E-409C-BE32-E72D297353CC}">
                <c16:uniqueId val="{000002C4-1232-45F6-B1F6-F4CAD9477139}"/>
              </c:ext>
            </c:extLst>
          </c:dPt>
          <c:dPt>
            <c:idx val="298"/>
            <c:invertIfNegative val="0"/>
            <c:bubble3D val="0"/>
            <c:extLst>
              <c:ext xmlns:c16="http://schemas.microsoft.com/office/drawing/2014/chart" uri="{C3380CC4-5D6E-409C-BE32-E72D297353CC}">
                <c16:uniqueId val="{000002C5-1232-45F6-B1F6-F4CAD9477139}"/>
              </c:ext>
            </c:extLst>
          </c:dPt>
          <c:dPt>
            <c:idx val="299"/>
            <c:invertIfNegative val="0"/>
            <c:bubble3D val="0"/>
            <c:extLst>
              <c:ext xmlns:c16="http://schemas.microsoft.com/office/drawing/2014/chart" uri="{C3380CC4-5D6E-409C-BE32-E72D297353CC}">
                <c16:uniqueId val="{000002C6-1232-45F6-B1F6-F4CAD9477139}"/>
              </c:ext>
            </c:extLst>
          </c:dPt>
          <c:dPt>
            <c:idx val="300"/>
            <c:invertIfNegative val="0"/>
            <c:bubble3D val="0"/>
            <c:extLst>
              <c:ext xmlns:c16="http://schemas.microsoft.com/office/drawing/2014/chart" uri="{C3380CC4-5D6E-409C-BE32-E72D297353CC}">
                <c16:uniqueId val="{000002C7-1232-45F6-B1F6-F4CAD9477139}"/>
              </c:ext>
            </c:extLst>
          </c:dPt>
          <c:dPt>
            <c:idx val="301"/>
            <c:invertIfNegative val="0"/>
            <c:bubble3D val="0"/>
            <c:extLst>
              <c:ext xmlns:c16="http://schemas.microsoft.com/office/drawing/2014/chart" uri="{C3380CC4-5D6E-409C-BE32-E72D297353CC}">
                <c16:uniqueId val="{000002C8-1232-45F6-B1F6-F4CAD9477139}"/>
              </c:ext>
            </c:extLst>
          </c:dPt>
          <c:dPt>
            <c:idx val="302"/>
            <c:invertIfNegative val="0"/>
            <c:bubble3D val="0"/>
            <c:extLst>
              <c:ext xmlns:c16="http://schemas.microsoft.com/office/drawing/2014/chart" uri="{C3380CC4-5D6E-409C-BE32-E72D297353CC}">
                <c16:uniqueId val="{000002C9-1232-45F6-B1F6-F4CAD9477139}"/>
              </c:ext>
            </c:extLst>
          </c:dPt>
          <c:dPt>
            <c:idx val="303"/>
            <c:invertIfNegative val="0"/>
            <c:bubble3D val="0"/>
            <c:extLst>
              <c:ext xmlns:c16="http://schemas.microsoft.com/office/drawing/2014/chart" uri="{C3380CC4-5D6E-409C-BE32-E72D297353CC}">
                <c16:uniqueId val="{000002CA-1232-45F6-B1F6-F4CAD9477139}"/>
              </c:ext>
            </c:extLst>
          </c:dPt>
          <c:dPt>
            <c:idx val="304"/>
            <c:invertIfNegative val="0"/>
            <c:bubble3D val="0"/>
            <c:extLst>
              <c:ext xmlns:c16="http://schemas.microsoft.com/office/drawing/2014/chart" uri="{C3380CC4-5D6E-409C-BE32-E72D297353CC}">
                <c16:uniqueId val="{000002CB-1232-45F6-B1F6-F4CAD9477139}"/>
              </c:ext>
            </c:extLst>
          </c:dPt>
          <c:dPt>
            <c:idx val="305"/>
            <c:invertIfNegative val="0"/>
            <c:bubble3D val="0"/>
            <c:extLst>
              <c:ext xmlns:c16="http://schemas.microsoft.com/office/drawing/2014/chart" uri="{C3380CC4-5D6E-409C-BE32-E72D297353CC}">
                <c16:uniqueId val="{000002CC-1232-45F6-B1F6-F4CAD9477139}"/>
              </c:ext>
            </c:extLst>
          </c:dPt>
          <c:dPt>
            <c:idx val="306"/>
            <c:invertIfNegative val="0"/>
            <c:bubble3D val="0"/>
            <c:extLst>
              <c:ext xmlns:c16="http://schemas.microsoft.com/office/drawing/2014/chart" uri="{C3380CC4-5D6E-409C-BE32-E72D297353CC}">
                <c16:uniqueId val="{000002CD-1232-45F6-B1F6-F4CAD9477139}"/>
              </c:ext>
            </c:extLst>
          </c:dPt>
          <c:dPt>
            <c:idx val="307"/>
            <c:invertIfNegative val="0"/>
            <c:bubble3D val="0"/>
            <c:extLst>
              <c:ext xmlns:c16="http://schemas.microsoft.com/office/drawing/2014/chart" uri="{C3380CC4-5D6E-409C-BE32-E72D297353CC}">
                <c16:uniqueId val="{000002CE-1232-45F6-B1F6-F4CAD9477139}"/>
              </c:ext>
            </c:extLst>
          </c:dPt>
          <c:dPt>
            <c:idx val="308"/>
            <c:invertIfNegative val="0"/>
            <c:bubble3D val="0"/>
            <c:extLst>
              <c:ext xmlns:c16="http://schemas.microsoft.com/office/drawing/2014/chart" uri="{C3380CC4-5D6E-409C-BE32-E72D297353CC}">
                <c16:uniqueId val="{000002CF-1232-45F6-B1F6-F4CAD9477139}"/>
              </c:ext>
            </c:extLst>
          </c:dPt>
          <c:dPt>
            <c:idx val="309"/>
            <c:invertIfNegative val="0"/>
            <c:bubble3D val="0"/>
            <c:extLst>
              <c:ext xmlns:c16="http://schemas.microsoft.com/office/drawing/2014/chart" uri="{C3380CC4-5D6E-409C-BE32-E72D297353CC}">
                <c16:uniqueId val="{000002D0-1232-45F6-B1F6-F4CAD9477139}"/>
              </c:ext>
            </c:extLst>
          </c:dPt>
          <c:dPt>
            <c:idx val="310"/>
            <c:invertIfNegative val="0"/>
            <c:bubble3D val="0"/>
            <c:extLst>
              <c:ext xmlns:c16="http://schemas.microsoft.com/office/drawing/2014/chart" uri="{C3380CC4-5D6E-409C-BE32-E72D297353CC}">
                <c16:uniqueId val="{000002D1-1232-45F6-B1F6-F4CAD9477139}"/>
              </c:ext>
            </c:extLst>
          </c:dPt>
          <c:dPt>
            <c:idx val="311"/>
            <c:invertIfNegative val="0"/>
            <c:bubble3D val="0"/>
            <c:extLst>
              <c:ext xmlns:c16="http://schemas.microsoft.com/office/drawing/2014/chart" uri="{C3380CC4-5D6E-409C-BE32-E72D297353CC}">
                <c16:uniqueId val="{000002D2-1232-45F6-B1F6-F4CAD9477139}"/>
              </c:ext>
            </c:extLst>
          </c:dPt>
          <c:dPt>
            <c:idx val="312"/>
            <c:invertIfNegative val="0"/>
            <c:bubble3D val="0"/>
            <c:extLst>
              <c:ext xmlns:c16="http://schemas.microsoft.com/office/drawing/2014/chart" uri="{C3380CC4-5D6E-409C-BE32-E72D297353CC}">
                <c16:uniqueId val="{000002D3-1232-45F6-B1F6-F4CAD9477139}"/>
              </c:ext>
            </c:extLst>
          </c:dPt>
          <c:dPt>
            <c:idx val="313"/>
            <c:invertIfNegative val="0"/>
            <c:bubble3D val="0"/>
            <c:extLst>
              <c:ext xmlns:c16="http://schemas.microsoft.com/office/drawing/2014/chart" uri="{C3380CC4-5D6E-409C-BE32-E72D297353CC}">
                <c16:uniqueId val="{000002D4-1232-45F6-B1F6-F4CAD9477139}"/>
              </c:ext>
            </c:extLst>
          </c:dPt>
          <c:dPt>
            <c:idx val="314"/>
            <c:invertIfNegative val="0"/>
            <c:bubble3D val="0"/>
            <c:extLst>
              <c:ext xmlns:c16="http://schemas.microsoft.com/office/drawing/2014/chart" uri="{C3380CC4-5D6E-409C-BE32-E72D297353CC}">
                <c16:uniqueId val="{000002D5-1232-45F6-B1F6-F4CAD9477139}"/>
              </c:ext>
            </c:extLst>
          </c:dPt>
          <c:dPt>
            <c:idx val="315"/>
            <c:invertIfNegative val="0"/>
            <c:bubble3D val="0"/>
            <c:extLst>
              <c:ext xmlns:c16="http://schemas.microsoft.com/office/drawing/2014/chart" uri="{C3380CC4-5D6E-409C-BE32-E72D297353CC}">
                <c16:uniqueId val="{000002D6-1232-45F6-B1F6-F4CAD9477139}"/>
              </c:ext>
            </c:extLst>
          </c:dPt>
          <c:dPt>
            <c:idx val="316"/>
            <c:invertIfNegative val="0"/>
            <c:bubble3D val="0"/>
            <c:extLst>
              <c:ext xmlns:c16="http://schemas.microsoft.com/office/drawing/2014/chart" uri="{C3380CC4-5D6E-409C-BE32-E72D297353CC}">
                <c16:uniqueId val="{000002D7-1232-45F6-B1F6-F4CAD9477139}"/>
              </c:ext>
            </c:extLst>
          </c:dPt>
          <c:dPt>
            <c:idx val="317"/>
            <c:invertIfNegative val="0"/>
            <c:bubble3D val="0"/>
            <c:extLst>
              <c:ext xmlns:c16="http://schemas.microsoft.com/office/drawing/2014/chart" uri="{C3380CC4-5D6E-409C-BE32-E72D297353CC}">
                <c16:uniqueId val="{000002D8-1232-45F6-B1F6-F4CAD9477139}"/>
              </c:ext>
            </c:extLst>
          </c:dPt>
          <c:dPt>
            <c:idx val="318"/>
            <c:invertIfNegative val="0"/>
            <c:bubble3D val="0"/>
            <c:extLst>
              <c:ext xmlns:c16="http://schemas.microsoft.com/office/drawing/2014/chart" uri="{C3380CC4-5D6E-409C-BE32-E72D297353CC}">
                <c16:uniqueId val="{000002D9-1232-45F6-B1F6-F4CAD9477139}"/>
              </c:ext>
            </c:extLst>
          </c:dPt>
          <c:dPt>
            <c:idx val="319"/>
            <c:invertIfNegative val="0"/>
            <c:bubble3D val="0"/>
            <c:extLst>
              <c:ext xmlns:c16="http://schemas.microsoft.com/office/drawing/2014/chart" uri="{C3380CC4-5D6E-409C-BE32-E72D297353CC}">
                <c16:uniqueId val="{000002DA-1232-45F6-B1F6-F4CAD9477139}"/>
              </c:ext>
            </c:extLst>
          </c:dPt>
          <c:dPt>
            <c:idx val="320"/>
            <c:invertIfNegative val="0"/>
            <c:bubble3D val="0"/>
            <c:extLst>
              <c:ext xmlns:c16="http://schemas.microsoft.com/office/drawing/2014/chart" uri="{C3380CC4-5D6E-409C-BE32-E72D297353CC}">
                <c16:uniqueId val="{000002DB-1232-45F6-B1F6-F4CAD9477139}"/>
              </c:ext>
            </c:extLst>
          </c:dPt>
          <c:dPt>
            <c:idx val="321"/>
            <c:invertIfNegative val="0"/>
            <c:bubble3D val="0"/>
            <c:extLst>
              <c:ext xmlns:c16="http://schemas.microsoft.com/office/drawing/2014/chart" uri="{C3380CC4-5D6E-409C-BE32-E72D297353CC}">
                <c16:uniqueId val="{000002DC-1232-45F6-B1F6-F4CAD9477139}"/>
              </c:ext>
            </c:extLst>
          </c:dPt>
          <c:dPt>
            <c:idx val="322"/>
            <c:invertIfNegative val="0"/>
            <c:bubble3D val="0"/>
            <c:extLst>
              <c:ext xmlns:c16="http://schemas.microsoft.com/office/drawing/2014/chart" uri="{C3380CC4-5D6E-409C-BE32-E72D297353CC}">
                <c16:uniqueId val="{000002DD-1232-45F6-B1F6-F4CAD9477139}"/>
              </c:ext>
            </c:extLst>
          </c:dPt>
          <c:dPt>
            <c:idx val="323"/>
            <c:invertIfNegative val="0"/>
            <c:bubble3D val="0"/>
            <c:extLst>
              <c:ext xmlns:c16="http://schemas.microsoft.com/office/drawing/2014/chart" uri="{C3380CC4-5D6E-409C-BE32-E72D297353CC}">
                <c16:uniqueId val="{000002DE-1232-45F6-B1F6-F4CAD9477139}"/>
              </c:ext>
            </c:extLst>
          </c:dPt>
          <c:dPt>
            <c:idx val="324"/>
            <c:invertIfNegative val="0"/>
            <c:bubble3D val="0"/>
            <c:extLst>
              <c:ext xmlns:c16="http://schemas.microsoft.com/office/drawing/2014/chart" uri="{C3380CC4-5D6E-409C-BE32-E72D297353CC}">
                <c16:uniqueId val="{000002DF-1232-45F6-B1F6-F4CAD9477139}"/>
              </c:ext>
            </c:extLst>
          </c:dPt>
          <c:dPt>
            <c:idx val="325"/>
            <c:invertIfNegative val="0"/>
            <c:bubble3D val="0"/>
            <c:extLst>
              <c:ext xmlns:c16="http://schemas.microsoft.com/office/drawing/2014/chart" uri="{C3380CC4-5D6E-409C-BE32-E72D297353CC}">
                <c16:uniqueId val="{000002E0-1232-45F6-B1F6-F4CAD9477139}"/>
              </c:ext>
            </c:extLst>
          </c:dPt>
          <c:dPt>
            <c:idx val="326"/>
            <c:invertIfNegative val="0"/>
            <c:bubble3D val="0"/>
            <c:extLst>
              <c:ext xmlns:c16="http://schemas.microsoft.com/office/drawing/2014/chart" uri="{C3380CC4-5D6E-409C-BE32-E72D297353CC}">
                <c16:uniqueId val="{000002E1-1232-45F6-B1F6-F4CAD9477139}"/>
              </c:ext>
            </c:extLst>
          </c:dPt>
          <c:dPt>
            <c:idx val="327"/>
            <c:invertIfNegative val="0"/>
            <c:bubble3D val="0"/>
            <c:extLst>
              <c:ext xmlns:c16="http://schemas.microsoft.com/office/drawing/2014/chart" uri="{C3380CC4-5D6E-409C-BE32-E72D297353CC}">
                <c16:uniqueId val="{000002E2-1232-45F6-B1F6-F4CAD9477139}"/>
              </c:ext>
            </c:extLst>
          </c:dPt>
          <c:dPt>
            <c:idx val="328"/>
            <c:invertIfNegative val="0"/>
            <c:bubble3D val="0"/>
            <c:extLst>
              <c:ext xmlns:c16="http://schemas.microsoft.com/office/drawing/2014/chart" uri="{C3380CC4-5D6E-409C-BE32-E72D297353CC}">
                <c16:uniqueId val="{000002E3-1232-45F6-B1F6-F4CAD9477139}"/>
              </c:ext>
            </c:extLst>
          </c:dPt>
          <c:dPt>
            <c:idx val="329"/>
            <c:invertIfNegative val="0"/>
            <c:bubble3D val="0"/>
            <c:extLst>
              <c:ext xmlns:c16="http://schemas.microsoft.com/office/drawing/2014/chart" uri="{C3380CC4-5D6E-409C-BE32-E72D297353CC}">
                <c16:uniqueId val="{000002E4-1232-45F6-B1F6-F4CAD9477139}"/>
              </c:ext>
            </c:extLst>
          </c:dPt>
          <c:dPt>
            <c:idx val="330"/>
            <c:invertIfNegative val="0"/>
            <c:bubble3D val="0"/>
            <c:extLst>
              <c:ext xmlns:c16="http://schemas.microsoft.com/office/drawing/2014/chart" uri="{C3380CC4-5D6E-409C-BE32-E72D297353CC}">
                <c16:uniqueId val="{000002E5-1232-45F6-B1F6-F4CAD9477139}"/>
              </c:ext>
            </c:extLst>
          </c:dPt>
          <c:dPt>
            <c:idx val="331"/>
            <c:invertIfNegative val="0"/>
            <c:bubble3D val="0"/>
            <c:extLst>
              <c:ext xmlns:c16="http://schemas.microsoft.com/office/drawing/2014/chart" uri="{C3380CC4-5D6E-409C-BE32-E72D297353CC}">
                <c16:uniqueId val="{000002E6-1232-45F6-B1F6-F4CAD9477139}"/>
              </c:ext>
            </c:extLst>
          </c:dPt>
          <c:dPt>
            <c:idx val="332"/>
            <c:invertIfNegative val="0"/>
            <c:bubble3D val="0"/>
            <c:extLst>
              <c:ext xmlns:c16="http://schemas.microsoft.com/office/drawing/2014/chart" uri="{C3380CC4-5D6E-409C-BE32-E72D297353CC}">
                <c16:uniqueId val="{000002E7-1232-45F6-B1F6-F4CAD9477139}"/>
              </c:ext>
            </c:extLst>
          </c:dPt>
          <c:dPt>
            <c:idx val="333"/>
            <c:invertIfNegative val="0"/>
            <c:bubble3D val="0"/>
            <c:extLst>
              <c:ext xmlns:c16="http://schemas.microsoft.com/office/drawing/2014/chart" uri="{C3380CC4-5D6E-409C-BE32-E72D297353CC}">
                <c16:uniqueId val="{000002E8-1232-45F6-B1F6-F4CAD9477139}"/>
              </c:ext>
            </c:extLst>
          </c:dPt>
          <c:dPt>
            <c:idx val="334"/>
            <c:invertIfNegative val="0"/>
            <c:bubble3D val="0"/>
            <c:extLst>
              <c:ext xmlns:c16="http://schemas.microsoft.com/office/drawing/2014/chart" uri="{C3380CC4-5D6E-409C-BE32-E72D297353CC}">
                <c16:uniqueId val="{000002E9-1232-45F6-B1F6-F4CAD9477139}"/>
              </c:ext>
            </c:extLst>
          </c:dPt>
          <c:dPt>
            <c:idx val="335"/>
            <c:invertIfNegative val="0"/>
            <c:bubble3D val="0"/>
            <c:extLst>
              <c:ext xmlns:c16="http://schemas.microsoft.com/office/drawing/2014/chart" uri="{C3380CC4-5D6E-409C-BE32-E72D297353CC}">
                <c16:uniqueId val="{000002EA-1232-45F6-B1F6-F4CAD9477139}"/>
              </c:ext>
            </c:extLst>
          </c:dPt>
          <c:dPt>
            <c:idx val="336"/>
            <c:invertIfNegative val="0"/>
            <c:bubble3D val="0"/>
            <c:extLst>
              <c:ext xmlns:c16="http://schemas.microsoft.com/office/drawing/2014/chart" uri="{C3380CC4-5D6E-409C-BE32-E72D297353CC}">
                <c16:uniqueId val="{000002EB-1232-45F6-B1F6-F4CAD9477139}"/>
              </c:ext>
            </c:extLst>
          </c:dPt>
          <c:dPt>
            <c:idx val="337"/>
            <c:invertIfNegative val="0"/>
            <c:bubble3D val="0"/>
            <c:extLst>
              <c:ext xmlns:c16="http://schemas.microsoft.com/office/drawing/2014/chart" uri="{C3380CC4-5D6E-409C-BE32-E72D297353CC}">
                <c16:uniqueId val="{000002EC-1232-45F6-B1F6-F4CAD9477139}"/>
              </c:ext>
            </c:extLst>
          </c:dPt>
          <c:dPt>
            <c:idx val="338"/>
            <c:invertIfNegative val="0"/>
            <c:bubble3D val="0"/>
            <c:extLst>
              <c:ext xmlns:c16="http://schemas.microsoft.com/office/drawing/2014/chart" uri="{C3380CC4-5D6E-409C-BE32-E72D297353CC}">
                <c16:uniqueId val="{000002ED-1232-45F6-B1F6-F4CAD9477139}"/>
              </c:ext>
            </c:extLst>
          </c:dPt>
          <c:dPt>
            <c:idx val="339"/>
            <c:invertIfNegative val="0"/>
            <c:bubble3D val="0"/>
            <c:extLst>
              <c:ext xmlns:c16="http://schemas.microsoft.com/office/drawing/2014/chart" uri="{C3380CC4-5D6E-409C-BE32-E72D297353CC}">
                <c16:uniqueId val="{000002EE-1232-45F6-B1F6-F4CAD9477139}"/>
              </c:ext>
            </c:extLst>
          </c:dPt>
          <c:dPt>
            <c:idx val="340"/>
            <c:invertIfNegative val="0"/>
            <c:bubble3D val="0"/>
            <c:extLst>
              <c:ext xmlns:c16="http://schemas.microsoft.com/office/drawing/2014/chart" uri="{C3380CC4-5D6E-409C-BE32-E72D297353CC}">
                <c16:uniqueId val="{000002EF-1232-45F6-B1F6-F4CAD9477139}"/>
              </c:ext>
            </c:extLst>
          </c:dPt>
          <c:dPt>
            <c:idx val="341"/>
            <c:invertIfNegative val="0"/>
            <c:bubble3D val="0"/>
            <c:extLst>
              <c:ext xmlns:c16="http://schemas.microsoft.com/office/drawing/2014/chart" uri="{C3380CC4-5D6E-409C-BE32-E72D297353CC}">
                <c16:uniqueId val="{000002F0-1232-45F6-B1F6-F4CAD9477139}"/>
              </c:ext>
            </c:extLst>
          </c:dPt>
          <c:dPt>
            <c:idx val="342"/>
            <c:invertIfNegative val="0"/>
            <c:bubble3D val="0"/>
            <c:extLst>
              <c:ext xmlns:c16="http://schemas.microsoft.com/office/drawing/2014/chart" uri="{C3380CC4-5D6E-409C-BE32-E72D297353CC}">
                <c16:uniqueId val="{000002F1-1232-45F6-B1F6-F4CAD9477139}"/>
              </c:ext>
            </c:extLst>
          </c:dPt>
          <c:dPt>
            <c:idx val="343"/>
            <c:invertIfNegative val="0"/>
            <c:bubble3D val="0"/>
            <c:extLst>
              <c:ext xmlns:c16="http://schemas.microsoft.com/office/drawing/2014/chart" uri="{C3380CC4-5D6E-409C-BE32-E72D297353CC}">
                <c16:uniqueId val="{000002F2-1232-45F6-B1F6-F4CAD9477139}"/>
              </c:ext>
            </c:extLst>
          </c:dPt>
          <c:dPt>
            <c:idx val="344"/>
            <c:invertIfNegative val="0"/>
            <c:bubble3D val="0"/>
            <c:extLst>
              <c:ext xmlns:c16="http://schemas.microsoft.com/office/drawing/2014/chart" uri="{C3380CC4-5D6E-409C-BE32-E72D297353CC}">
                <c16:uniqueId val="{000002F3-1232-45F6-B1F6-F4CAD9477139}"/>
              </c:ext>
            </c:extLst>
          </c:dPt>
          <c:dPt>
            <c:idx val="345"/>
            <c:invertIfNegative val="0"/>
            <c:bubble3D val="0"/>
            <c:extLst>
              <c:ext xmlns:c16="http://schemas.microsoft.com/office/drawing/2014/chart" uri="{C3380CC4-5D6E-409C-BE32-E72D297353CC}">
                <c16:uniqueId val="{000002F4-1232-45F6-B1F6-F4CAD9477139}"/>
              </c:ext>
            </c:extLst>
          </c:dPt>
          <c:dPt>
            <c:idx val="346"/>
            <c:invertIfNegative val="0"/>
            <c:bubble3D val="0"/>
            <c:extLst>
              <c:ext xmlns:c16="http://schemas.microsoft.com/office/drawing/2014/chart" uri="{C3380CC4-5D6E-409C-BE32-E72D297353CC}">
                <c16:uniqueId val="{000002F5-1232-45F6-B1F6-F4CAD9477139}"/>
              </c:ext>
            </c:extLst>
          </c:dPt>
          <c:dPt>
            <c:idx val="347"/>
            <c:invertIfNegative val="0"/>
            <c:bubble3D val="0"/>
            <c:extLst>
              <c:ext xmlns:c16="http://schemas.microsoft.com/office/drawing/2014/chart" uri="{C3380CC4-5D6E-409C-BE32-E72D297353CC}">
                <c16:uniqueId val="{000002F6-1232-45F6-B1F6-F4CAD9477139}"/>
              </c:ext>
            </c:extLst>
          </c:dPt>
          <c:dPt>
            <c:idx val="348"/>
            <c:invertIfNegative val="0"/>
            <c:bubble3D val="0"/>
            <c:extLst>
              <c:ext xmlns:c16="http://schemas.microsoft.com/office/drawing/2014/chart" uri="{C3380CC4-5D6E-409C-BE32-E72D297353CC}">
                <c16:uniqueId val="{000002F7-1232-45F6-B1F6-F4CAD9477139}"/>
              </c:ext>
            </c:extLst>
          </c:dPt>
          <c:dPt>
            <c:idx val="349"/>
            <c:invertIfNegative val="0"/>
            <c:bubble3D val="0"/>
            <c:extLst>
              <c:ext xmlns:c16="http://schemas.microsoft.com/office/drawing/2014/chart" uri="{C3380CC4-5D6E-409C-BE32-E72D297353CC}">
                <c16:uniqueId val="{000002F8-1232-45F6-B1F6-F4CAD9477139}"/>
              </c:ext>
            </c:extLst>
          </c:dPt>
          <c:dPt>
            <c:idx val="350"/>
            <c:invertIfNegative val="0"/>
            <c:bubble3D val="0"/>
            <c:extLst>
              <c:ext xmlns:c16="http://schemas.microsoft.com/office/drawing/2014/chart" uri="{C3380CC4-5D6E-409C-BE32-E72D297353CC}">
                <c16:uniqueId val="{000002F9-1232-45F6-B1F6-F4CAD9477139}"/>
              </c:ext>
            </c:extLst>
          </c:dPt>
          <c:dPt>
            <c:idx val="351"/>
            <c:invertIfNegative val="0"/>
            <c:bubble3D val="0"/>
            <c:extLst>
              <c:ext xmlns:c16="http://schemas.microsoft.com/office/drawing/2014/chart" uri="{C3380CC4-5D6E-409C-BE32-E72D297353CC}">
                <c16:uniqueId val="{000002FA-1232-45F6-B1F6-F4CAD9477139}"/>
              </c:ext>
            </c:extLst>
          </c:dPt>
          <c:dPt>
            <c:idx val="352"/>
            <c:invertIfNegative val="0"/>
            <c:bubble3D val="0"/>
            <c:extLst>
              <c:ext xmlns:c16="http://schemas.microsoft.com/office/drawing/2014/chart" uri="{C3380CC4-5D6E-409C-BE32-E72D297353CC}">
                <c16:uniqueId val="{000002FB-1232-45F6-B1F6-F4CAD9477139}"/>
              </c:ext>
            </c:extLst>
          </c:dPt>
          <c:dPt>
            <c:idx val="353"/>
            <c:invertIfNegative val="0"/>
            <c:bubble3D val="0"/>
            <c:extLst>
              <c:ext xmlns:c16="http://schemas.microsoft.com/office/drawing/2014/chart" uri="{C3380CC4-5D6E-409C-BE32-E72D297353CC}">
                <c16:uniqueId val="{000002FC-1232-45F6-B1F6-F4CAD9477139}"/>
              </c:ext>
            </c:extLst>
          </c:dPt>
          <c:dPt>
            <c:idx val="354"/>
            <c:invertIfNegative val="0"/>
            <c:bubble3D val="0"/>
            <c:extLst>
              <c:ext xmlns:c16="http://schemas.microsoft.com/office/drawing/2014/chart" uri="{C3380CC4-5D6E-409C-BE32-E72D297353CC}">
                <c16:uniqueId val="{000002FD-1232-45F6-B1F6-F4CAD9477139}"/>
              </c:ext>
            </c:extLst>
          </c:dPt>
          <c:dPt>
            <c:idx val="355"/>
            <c:invertIfNegative val="0"/>
            <c:bubble3D val="0"/>
            <c:extLst>
              <c:ext xmlns:c16="http://schemas.microsoft.com/office/drawing/2014/chart" uri="{C3380CC4-5D6E-409C-BE32-E72D297353CC}">
                <c16:uniqueId val="{000002FE-1232-45F6-B1F6-F4CAD9477139}"/>
              </c:ext>
            </c:extLst>
          </c:dPt>
          <c:dPt>
            <c:idx val="356"/>
            <c:invertIfNegative val="0"/>
            <c:bubble3D val="0"/>
            <c:extLst>
              <c:ext xmlns:c16="http://schemas.microsoft.com/office/drawing/2014/chart" uri="{C3380CC4-5D6E-409C-BE32-E72D297353CC}">
                <c16:uniqueId val="{000002FF-1232-45F6-B1F6-F4CAD9477139}"/>
              </c:ext>
            </c:extLst>
          </c:dPt>
          <c:dPt>
            <c:idx val="357"/>
            <c:invertIfNegative val="0"/>
            <c:bubble3D val="0"/>
            <c:extLst>
              <c:ext xmlns:c16="http://schemas.microsoft.com/office/drawing/2014/chart" uri="{C3380CC4-5D6E-409C-BE32-E72D297353CC}">
                <c16:uniqueId val="{00000300-1232-45F6-B1F6-F4CAD9477139}"/>
              </c:ext>
            </c:extLst>
          </c:dPt>
          <c:dPt>
            <c:idx val="358"/>
            <c:invertIfNegative val="0"/>
            <c:bubble3D val="0"/>
            <c:extLst>
              <c:ext xmlns:c16="http://schemas.microsoft.com/office/drawing/2014/chart" uri="{C3380CC4-5D6E-409C-BE32-E72D297353CC}">
                <c16:uniqueId val="{00000301-1232-45F6-B1F6-F4CAD9477139}"/>
              </c:ext>
            </c:extLst>
          </c:dPt>
          <c:dPt>
            <c:idx val="359"/>
            <c:invertIfNegative val="0"/>
            <c:bubble3D val="0"/>
            <c:extLst>
              <c:ext xmlns:c16="http://schemas.microsoft.com/office/drawing/2014/chart" uri="{C3380CC4-5D6E-409C-BE32-E72D297353CC}">
                <c16:uniqueId val="{00000302-1232-45F6-B1F6-F4CAD9477139}"/>
              </c:ext>
            </c:extLst>
          </c:dPt>
          <c:dPt>
            <c:idx val="360"/>
            <c:invertIfNegative val="0"/>
            <c:bubble3D val="0"/>
            <c:extLst>
              <c:ext xmlns:c16="http://schemas.microsoft.com/office/drawing/2014/chart" uri="{C3380CC4-5D6E-409C-BE32-E72D297353CC}">
                <c16:uniqueId val="{00000303-1232-45F6-B1F6-F4CAD9477139}"/>
              </c:ext>
            </c:extLst>
          </c:dPt>
          <c:dPt>
            <c:idx val="361"/>
            <c:invertIfNegative val="0"/>
            <c:bubble3D val="0"/>
            <c:extLst>
              <c:ext xmlns:c16="http://schemas.microsoft.com/office/drawing/2014/chart" uri="{C3380CC4-5D6E-409C-BE32-E72D297353CC}">
                <c16:uniqueId val="{00000304-1232-45F6-B1F6-F4CAD9477139}"/>
              </c:ext>
            </c:extLst>
          </c:dPt>
          <c:dPt>
            <c:idx val="362"/>
            <c:invertIfNegative val="0"/>
            <c:bubble3D val="0"/>
            <c:extLst>
              <c:ext xmlns:c16="http://schemas.microsoft.com/office/drawing/2014/chart" uri="{C3380CC4-5D6E-409C-BE32-E72D297353CC}">
                <c16:uniqueId val="{00000305-1232-45F6-B1F6-F4CAD9477139}"/>
              </c:ext>
            </c:extLst>
          </c:dPt>
          <c:dPt>
            <c:idx val="363"/>
            <c:invertIfNegative val="0"/>
            <c:bubble3D val="0"/>
            <c:extLst>
              <c:ext xmlns:c16="http://schemas.microsoft.com/office/drawing/2014/chart" uri="{C3380CC4-5D6E-409C-BE32-E72D297353CC}">
                <c16:uniqueId val="{00000306-1232-45F6-B1F6-F4CAD9477139}"/>
              </c:ext>
            </c:extLst>
          </c:dPt>
          <c:dPt>
            <c:idx val="364"/>
            <c:invertIfNegative val="0"/>
            <c:bubble3D val="0"/>
            <c:extLst>
              <c:ext xmlns:c16="http://schemas.microsoft.com/office/drawing/2014/chart" uri="{C3380CC4-5D6E-409C-BE32-E72D297353CC}">
                <c16:uniqueId val="{00000307-1232-45F6-B1F6-F4CAD9477139}"/>
              </c:ext>
            </c:extLst>
          </c:dPt>
          <c:dPt>
            <c:idx val="365"/>
            <c:invertIfNegative val="0"/>
            <c:bubble3D val="0"/>
            <c:extLst>
              <c:ext xmlns:c16="http://schemas.microsoft.com/office/drawing/2014/chart" uri="{C3380CC4-5D6E-409C-BE32-E72D297353CC}">
                <c16:uniqueId val="{00000308-1232-45F6-B1F6-F4CAD9477139}"/>
              </c:ext>
            </c:extLst>
          </c:dPt>
          <c:dPt>
            <c:idx val="366"/>
            <c:invertIfNegative val="0"/>
            <c:bubble3D val="0"/>
            <c:extLst>
              <c:ext xmlns:c16="http://schemas.microsoft.com/office/drawing/2014/chart" uri="{C3380CC4-5D6E-409C-BE32-E72D297353CC}">
                <c16:uniqueId val="{00000309-1232-45F6-B1F6-F4CAD9477139}"/>
              </c:ext>
            </c:extLst>
          </c:dPt>
          <c:dPt>
            <c:idx val="367"/>
            <c:invertIfNegative val="0"/>
            <c:bubble3D val="0"/>
            <c:extLst>
              <c:ext xmlns:c16="http://schemas.microsoft.com/office/drawing/2014/chart" uri="{C3380CC4-5D6E-409C-BE32-E72D297353CC}">
                <c16:uniqueId val="{0000030A-1232-45F6-B1F6-F4CAD9477139}"/>
              </c:ext>
            </c:extLst>
          </c:dPt>
          <c:dPt>
            <c:idx val="368"/>
            <c:invertIfNegative val="0"/>
            <c:bubble3D val="0"/>
            <c:extLst>
              <c:ext xmlns:c16="http://schemas.microsoft.com/office/drawing/2014/chart" uri="{C3380CC4-5D6E-409C-BE32-E72D297353CC}">
                <c16:uniqueId val="{0000030B-1232-45F6-B1F6-F4CAD9477139}"/>
              </c:ext>
            </c:extLst>
          </c:dPt>
          <c:dPt>
            <c:idx val="369"/>
            <c:invertIfNegative val="0"/>
            <c:bubble3D val="0"/>
            <c:extLst>
              <c:ext xmlns:c16="http://schemas.microsoft.com/office/drawing/2014/chart" uri="{C3380CC4-5D6E-409C-BE32-E72D297353CC}">
                <c16:uniqueId val="{0000030C-1232-45F6-B1F6-F4CAD9477139}"/>
              </c:ext>
            </c:extLst>
          </c:dPt>
          <c:dPt>
            <c:idx val="370"/>
            <c:invertIfNegative val="0"/>
            <c:bubble3D val="0"/>
            <c:extLst>
              <c:ext xmlns:c16="http://schemas.microsoft.com/office/drawing/2014/chart" uri="{C3380CC4-5D6E-409C-BE32-E72D297353CC}">
                <c16:uniqueId val="{0000030D-1232-45F6-B1F6-F4CAD9477139}"/>
              </c:ext>
            </c:extLst>
          </c:dPt>
          <c:dPt>
            <c:idx val="371"/>
            <c:invertIfNegative val="0"/>
            <c:bubble3D val="0"/>
            <c:extLst>
              <c:ext xmlns:c16="http://schemas.microsoft.com/office/drawing/2014/chart" uri="{C3380CC4-5D6E-409C-BE32-E72D297353CC}">
                <c16:uniqueId val="{0000030E-1232-45F6-B1F6-F4CAD9477139}"/>
              </c:ext>
            </c:extLst>
          </c:dPt>
          <c:dPt>
            <c:idx val="372"/>
            <c:invertIfNegative val="0"/>
            <c:bubble3D val="0"/>
            <c:extLst>
              <c:ext xmlns:c16="http://schemas.microsoft.com/office/drawing/2014/chart" uri="{C3380CC4-5D6E-409C-BE32-E72D297353CC}">
                <c16:uniqueId val="{0000030F-1232-45F6-B1F6-F4CAD9477139}"/>
              </c:ext>
            </c:extLst>
          </c:dPt>
          <c:dPt>
            <c:idx val="373"/>
            <c:invertIfNegative val="0"/>
            <c:bubble3D val="0"/>
            <c:extLst>
              <c:ext xmlns:c16="http://schemas.microsoft.com/office/drawing/2014/chart" uri="{C3380CC4-5D6E-409C-BE32-E72D297353CC}">
                <c16:uniqueId val="{00000310-1232-45F6-B1F6-F4CAD9477139}"/>
              </c:ext>
            </c:extLst>
          </c:dPt>
          <c:dPt>
            <c:idx val="374"/>
            <c:invertIfNegative val="0"/>
            <c:bubble3D val="0"/>
            <c:extLst>
              <c:ext xmlns:c16="http://schemas.microsoft.com/office/drawing/2014/chart" uri="{C3380CC4-5D6E-409C-BE32-E72D297353CC}">
                <c16:uniqueId val="{00000311-1232-45F6-B1F6-F4CAD9477139}"/>
              </c:ext>
            </c:extLst>
          </c:dPt>
          <c:dPt>
            <c:idx val="375"/>
            <c:invertIfNegative val="0"/>
            <c:bubble3D val="0"/>
            <c:extLst>
              <c:ext xmlns:c16="http://schemas.microsoft.com/office/drawing/2014/chart" uri="{C3380CC4-5D6E-409C-BE32-E72D297353CC}">
                <c16:uniqueId val="{00000312-1232-45F6-B1F6-F4CAD9477139}"/>
              </c:ext>
            </c:extLst>
          </c:dPt>
          <c:dPt>
            <c:idx val="376"/>
            <c:invertIfNegative val="0"/>
            <c:bubble3D val="0"/>
            <c:extLst>
              <c:ext xmlns:c16="http://schemas.microsoft.com/office/drawing/2014/chart" uri="{C3380CC4-5D6E-409C-BE32-E72D297353CC}">
                <c16:uniqueId val="{00000313-1232-45F6-B1F6-F4CAD9477139}"/>
              </c:ext>
            </c:extLst>
          </c:dPt>
          <c:dPt>
            <c:idx val="377"/>
            <c:invertIfNegative val="0"/>
            <c:bubble3D val="0"/>
            <c:extLst>
              <c:ext xmlns:c16="http://schemas.microsoft.com/office/drawing/2014/chart" uri="{C3380CC4-5D6E-409C-BE32-E72D297353CC}">
                <c16:uniqueId val="{00000314-1232-45F6-B1F6-F4CAD9477139}"/>
              </c:ext>
            </c:extLst>
          </c:dPt>
          <c:dPt>
            <c:idx val="378"/>
            <c:invertIfNegative val="0"/>
            <c:bubble3D val="0"/>
            <c:extLst>
              <c:ext xmlns:c16="http://schemas.microsoft.com/office/drawing/2014/chart" uri="{C3380CC4-5D6E-409C-BE32-E72D297353CC}">
                <c16:uniqueId val="{00000315-1232-45F6-B1F6-F4CAD9477139}"/>
              </c:ext>
            </c:extLst>
          </c:dPt>
          <c:dPt>
            <c:idx val="379"/>
            <c:invertIfNegative val="0"/>
            <c:bubble3D val="0"/>
            <c:extLst>
              <c:ext xmlns:c16="http://schemas.microsoft.com/office/drawing/2014/chart" uri="{C3380CC4-5D6E-409C-BE32-E72D297353CC}">
                <c16:uniqueId val="{00000316-1232-45F6-B1F6-F4CAD9477139}"/>
              </c:ext>
            </c:extLst>
          </c:dPt>
          <c:dPt>
            <c:idx val="380"/>
            <c:invertIfNegative val="0"/>
            <c:bubble3D val="0"/>
            <c:extLst>
              <c:ext xmlns:c16="http://schemas.microsoft.com/office/drawing/2014/chart" uri="{C3380CC4-5D6E-409C-BE32-E72D297353CC}">
                <c16:uniqueId val="{00000317-1232-45F6-B1F6-F4CAD9477139}"/>
              </c:ext>
            </c:extLst>
          </c:dPt>
          <c:dPt>
            <c:idx val="381"/>
            <c:invertIfNegative val="0"/>
            <c:bubble3D val="0"/>
            <c:extLst>
              <c:ext xmlns:c16="http://schemas.microsoft.com/office/drawing/2014/chart" uri="{C3380CC4-5D6E-409C-BE32-E72D297353CC}">
                <c16:uniqueId val="{00000318-1232-45F6-B1F6-F4CAD9477139}"/>
              </c:ext>
            </c:extLst>
          </c:dPt>
          <c:dPt>
            <c:idx val="382"/>
            <c:invertIfNegative val="0"/>
            <c:bubble3D val="0"/>
            <c:extLst>
              <c:ext xmlns:c16="http://schemas.microsoft.com/office/drawing/2014/chart" uri="{C3380CC4-5D6E-409C-BE32-E72D297353CC}">
                <c16:uniqueId val="{00000319-1232-45F6-B1F6-F4CAD9477139}"/>
              </c:ext>
            </c:extLst>
          </c:dPt>
          <c:dPt>
            <c:idx val="383"/>
            <c:invertIfNegative val="0"/>
            <c:bubble3D val="0"/>
            <c:extLst>
              <c:ext xmlns:c16="http://schemas.microsoft.com/office/drawing/2014/chart" uri="{C3380CC4-5D6E-409C-BE32-E72D297353CC}">
                <c16:uniqueId val="{0000031A-1232-45F6-B1F6-F4CAD9477139}"/>
              </c:ext>
            </c:extLst>
          </c:dPt>
          <c:dPt>
            <c:idx val="384"/>
            <c:invertIfNegative val="0"/>
            <c:bubble3D val="0"/>
            <c:extLst>
              <c:ext xmlns:c16="http://schemas.microsoft.com/office/drawing/2014/chart" uri="{C3380CC4-5D6E-409C-BE32-E72D297353CC}">
                <c16:uniqueId val="{0000031B-1232-45F6-B1F6-F4CAD9477139}"/>
              </c:ext>
            </c:extLst>
          </c:dPt>
          <c:dPt>
            <c:idx val="385"/>
            <c:invertIfNegative val="0"/>
            <c:bubble3D val="0"/>
            <c:extLst>
              <c:ext xmlns:c16="http://schemas.microsoft.com/office/drawing/2014/chart" uri="{C3380CC4-5D6E-409C-BE32-E72D297353CC}">
                <c16:uniqueId val="{0000031C-1232-45F6-B1F6-F4CAD9477139}"/>
              </c:ext>
            </c:extLst>
          </c:dPt>
          <c:dPt>
            <c:idx val="386"/>
            <c:invertIfNegative val="0"/>
            <c:bubble3D val="0"/>
            <c:extLst>
              <c:ext xmlns:c16="http://schemas.microsoft.com/office/drawing/2014/chart" uri="{C3380CC4-5D6E-409C-BE32-E72D297353CC}">
                <c16:uniqueId val="{0000031D-1232-45F6-B1F6-F4CAD9477139}"/>
              </c:ext>
            </c:extLst>
          </c:dPt>
          <c:cat>
            <c:multiLvlStrRef>
              <c:f>pt.lvl3_generic_3!$B$8:$C$56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pt.lvl3_generic_3!$D$8:$D$56</c:f>
              <c:numCache>
                <c:formatCode>General</c:formatCode>
                <c:ptCount val="48"/>
                <c:pt idx="0">
                  <c:v>1</c:v>
                </c:pt>
                <c:pt idx="1">
                  <c:v>1</c:v>
                </c:pt>
                <c:pt idx="2">
                  <c:v>1</c:v>
                </c:pt>
                <c:pt idx="3">
                  <c:v>1</c:v>
                </c:pt>
                <c:pt idx="4">
                  <c:v>1</c:v>
                </c:pt>
                <c:pt idx="5">
                  <c:v>1</c:v>
                </c:pt>
                <c:pt idx="6">
                  <c:v>1</c:v>
                </c:pt>
                <c:pt idx="7">
                  <c:v>1</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0.9438339438339437</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0.87179487179487181</c:v>
                </c:pt>
                <c:pt idx="33">
                  <c:v>0.92401433691756285</c:v>
                </c:pt>
                <c:pt idx="34">
                  <c:v>0.97549019607843146</c:v>
                </c:pt>
                <c:pt idx="35">
                  <c:v>0.91299790356394139</c:v>
                </c:pt>
                <c:pt idx="36">
                  <c:v>0.34757834757834755</c:v>
                </c:pt>
                <c:pt idx="37">
                  <c:v>0.22222222222222221</c:v>
                </c:pt>
                <c:pt idx="38">
                  <c:v>0.41904761904761906</c:v>
                </c:pt>
                <c:pt idx="39">
                  <c:v>1</c:v>
                </c:pt>
                <c:pt idx="40">
                  <c:v>1</c:v>
                </c:pt>
                <c:pt idx="41">
                  <c:v>1</c:v>
                </c:pt>
                <c:pt idx="42">
                  <c:v>1</c:v>
                </c:pt>
                <c:pt idx="43">
                  <c:v>1</c:v>
                </c:pt>
                <c:pt idx="44">
                  <c:v>1</c:v>
                </c:pt>
                <c:pt idx="45">
                  <c:v>1</c:v>
                </c:pt>
                <c:pt idx="46">
                  <c:v>0.95424836601307195</c:v>
                </c:pt>
                <c:pt idx="47">
                  <c:v>0.93333333333333324</c:v>
                </c:pt>
              </c:numCache>
            </c:numRef>
          </c:val>
          <c:extLst>
            <c:ext xmlns:c16="http://schemas.microsoft.com/office/drawing/2014/chart" uri="{C3380CC4-5D6E-409C-BE32-E72D297353CC}">
              <c16:uniqueId val="{00000022-BDD8-4FC3-BBB7-DA9CBCF10FDA}"/>
            </c:ext>
          </c:extLst>
        </c:ser>
        <c:dLbls>
          <c:showLegendKey val="0"/>
          <c:showVal val="0"/>
          <c:showCatName val="0"/>
          <c:showSerName val="0"/>
          <c:showPercent val="0"/>
          <c:showBubbleSize val="0"/>
        </c:dLbls>
        <c:gapWidth val="200"/>
        <c:overlap val="-27"/>
        <c:axId val="446335648"/>
        <c:axId val="446336040"/>
      </c:barChart>
      <c:lineChart>
        <c:grouping val="standard"/>
        <c:varyColors val="0"/>
        <c:ser>
          <c:idx val="1"/>
          <c:order val="1"/>
          <c:tx>
            <c:strRef>
              <c:f>pt.lvl3_generic_3!$E$7</c:f>
              <c:strCache>
                <c:ptCount val="1"/>
                <c:pt idx="0">
                  <c:v>Average of Cíl %</c:v>
                </c:pt>
              </c:strCache>
            </c:strRef>
          </c:tx>
          <c:spPr>
            <a:ln w="28575" cap="rnd">
              <a:solidFill>
                <a:srgbClr val="000000"/>
              </a:solidFill>
              <a:round/>
            </a:ln>
            <a:effectLst/>
          </c:spPr>
          <c:marker>
            <c:symbol val="none"/>
          </c:marker>
          <c:cat>
            <c:multiLvlStrRef>
              <c:f>pt.lvl3_generic_3!$B$8:$C$56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pt.lvl3_generic_3!$E$8:$E$56</c:f>
              <c:numCache>
                <c:formatCode>General</c:formatCode>
                <c:ptCount val="48"/>
                <c:pt idx="0">
                  <c:v>0.8</c:v>
                </c:pt>
                <c:pt idx="1">
                  <c:v>0.8</c:v>
                </c:pt>
                <c:pt idx="2">
                  <c:v>0.80000000000000016</c:v>
                </c:pt>
                <c:pt idx="3">
                  <c:v>0.80000000000000016</c:v>
                </c:pt>
                <c:pt idx="4">
                  <c:v>0.8</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0.80000000000000016</c:v>
                </c:pt>
                <c:pt idx="38">
                  <c:v>0.80000000000000016</c:v>
                </c:pt>
                <c:pt idx="39">
                  <c:v>0.80000000000000016</c:v>
                </c:pt>
                <c:pt idx="40">
                  <c:v>0.8</c:v>
                </c:pt>
                <c:pt idx="41">
                  <c:v>0.8</c:v>
                </c:pt>
                <c:pt idx="42">
                  <c:v>0.80000000000000016</c:v>
                </c:pt>
                <c:pt idx="43">
                  <c:v>0.80000000000000016</c:v>
                </c:pt>
                <c:pt idx="44">
                  <c:v>0.80000000000000016</c:v>
                </c:pt>
                <c:pt idx="45">
                  <c:v>0.8</c:v>
                </c:pt>
                <c:pt idx="46">
                  <c:v>0.80000000000000016</c:v>
                </c:pt>
                <c:pt idx="47">
                  <c:v>0.80000000000000016</c:v>
                </c:pt>
              </c:numCache>
            </c:numRef>
          </c:val>
          <c:smooth val="0"/>
          <c:extLst>
            <c:ext xmlns:c16="http://schemas.microsoft.com/office/drawing/2014/chart" uri="{C3380CC4-5D6E-409C-BE32-E72D297353CC}">
              <c16:uniqueId val="{00000024-BDD8-4FC3-BBB7-DA9CBCF10FDA}"/>
            </c:ext>
          </c:extLst>
        </c:ser>
        <c:ser>
          <c:idx val="2"/>
          <c:order val="2"/>
          <c:tx>
            <c:strRef>
              <c:f>pt.lvl3_generic_3!$F$7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3-3697-41D2-834B-AD3F8F69EF2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BCDC-4BA6-943D-AE67E3EA1A05}"/>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BCDC-4BA6-943D-AE67E3EA1A05}"/>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BCDC-4BA6-943D-AE67E3EA1A05}"/>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BCDC-4BA6-943D-AE67E3EA1A05}"/>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BCDC-4BA6-943D-AE67E3EA1A05}"/>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BCDC-4BA6-943D-AE67E3EA1A05}"/>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BCDC-4BA6-943D-AE67E3EA1A05}"/>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BCDC-4BA6-943D-AE67E3EA1A05}"/>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BCDC-4BA6-943D-AE67E3EA1A05}"/>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BCDC-4BA6-943D-AE67E3EA1A05}"/>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BCDC-4BA6-943D-AE67E3EA1A05}"/>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BCDC-4BA6-943D-AE67E3EA1A05}"/>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BCDC-4BA6-943D-AE67E3EA1A05}"/>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BCDC-4BA6-943D-AE67E3EA1A05}"/>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BCDC-4BA6-943D-AE67E3EA1A05}"/>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BCDC-4BA6-943D-AE67E3EA1A05}"/>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F78D-4966-8644-89CF39FCDFEB}"/>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F78D-4966-8644-89CF39FCDFEB}"/>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F78D-4966-8644-89CF39FCDFEB}"/>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C-F78D-4966-8644-89CF39FCDFEB}"/>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F78D-4966-8644-89CF39FCDFEB}"/>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E-F78D-4966-8644-89CF39FCDFEB}"/>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F78D-4966-8644-89CF39FCDFEB}"/>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2-F78D-4966-8644-89CF39FCDFEB}"/>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F78D-4966-8644-89CF39FCDFEB}"/>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6-F78D-4966-8644-89CF39FCDFEB}"/>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F78D-4966-8644-89CF39FCDFEB}"/>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4030-4A96-9042-28AB757A830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4030-4A96-9042-28AB757A830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4030-4A96-9042-28AB757A830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4030-4A96-9042-28AB757A830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4030-4A96-9042-28AB757A830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4030-4A96-9042-28AB757A830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4030-4A96-9042-28AB757A830E}"/>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4030-4A96-9042-28AB757A830E}"/>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4030-4A96-9042-28AB757A830E}"/>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4030-4A96-9042-28AB757A830E}"/>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4030-4A96-9042-28AB757A830E}"/>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4030-4A96-9042-28AB757A830E}"/>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4030-4A96-9042-28AB757A830E}"/>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4030-4A96-9042-28AB757A830E}"/>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4030-4A96-9042-28AB757A830E}"/>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4030-4A96-9042-28AB757A830E}"/>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4030-4A96-9042-28AB757A830E}"/>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4030-4A96-9042-28AB757A830E}"/>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4030-4A96-9042-28AB757A830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4030-4A96-9042-28AB757A830E}"/>
              </c:ext>
            </c:extLst>
          </c:dPt>
          <c:dPt>
            <c:idx val="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4-4030-4A96-9042-28AB757A830E}"/>
              </c:ext>
            </c:extLst>
          </c:dPt>
          <c:dPt>
            <c:idx val="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5-4030-4A96-9042-28AB757A830E}"/>
              </c:ext>
            </c:extLst>
          </c:dPt>
          <c:dPt>
            <c:idx val="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6-4030-4A96-9042-28AB757A830E}"/>
              </c:ext>
            </c:extLst>
          </c:dPt>
          <c:dPt>
            <c:idx val="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7-4030-4A96-9042-28AB757A830E}"/>
              </c:ext>
            </c:extLst>
          </c:dPt>
          <c:dPt>
            <c:idx val="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8-4030-4A96-9042-28AB757A830E}"/>
              </c:ext>
            </c:extLst>
          </c:dPt>
          <c:dPt>
            <c:idx val="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9-4030-4A96-9042-28AB757A830E}"/>
              </c:ext>
            </c:extLst>
          </c:dPt>
          <c:dPt>
            <c:idx val="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A-4030-4A96-9042-28AB757A830E}"/>
              </c:ext>
            </c:extLst>
          </c:dPt>
          <c:dPt>
            <c:idx val="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B-4030-4A96-9042-28AB757A830E}"/>
              </c:ext>
            </c:extLst>
          </c:dPt>
          <c:dPt>
            <c:idx val="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C-4030-4A96-9042-28AB757A830E}"/>
              </c:ext>
            </c:extLst>
          </c:dPt>
          <c:dPt>
            <c:idx val="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D-4030-4A96-9042-28AB757A830E}"/>
              </c:ext>
            </c:extLst>
          </c:dPt>
          <c:dPt>
            <c:idx val="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E-4030-4A96-9042-28AB757A830E}"/>
              </c:ext>
            </c:extLst>
          </c:dPt>
          <c:dPt>
            <c:idx val="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BF-4030-4A96-9042-28AB757A830E}"/>
              </c:ext>
            </c:extLst>
          </c:dPt>
          <c:dPt>
            <c:idx val="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5-8F27-4D3A-8CB8-318C81DFFB69}"/>
              </c:ext>
            </c:extLst>
          </c:dPt>
          <c:dPt>
            <c:idx val="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7-8F27-4D3A-8CB8-318C81DFFB69}"/>
              </c:ext>
            </c:extLst>
          </c:dPt>
          <c:dPt>
            <c:idx val="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9-8F27-4D3A-8CB8-318C81DFFB69}"/>
              </c:ext>
            </c:extLst>
          </c:dPt>
          <c:dPt>
            <c:idx val="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B-8F27-4D3A-8CB8-318C81DFFB69}"/>
              </c:ext>
            </c:extLst>
          </c:dPt>
          <c:dPt>
            <c:idx val="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D-8F27-4D3A-8CB8-318C81DFFB69}"/>
              </c:ext>
            </c:extLst>
          </c:dPt>
          <c:dPt>
            <c:idx val="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1F-8F27-4D3A-8CB8-318C81DFFB69}"/>
              </c:ext>
            </c:extLst>
          </c:dPt>
          <c:dPt>
            <c:idx val="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1-8F27-4D3A-8CB8-318C81DFFB69}"/>
              </c:ext>
            </c:extLst>
          </c:dPt>
          <c:dPt>
            <c:idx val="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3-8F27-4D3A-8CB8-318C81DFFB69}"/>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5-8F27-4D3A-8CB8-318C81DFFB69}"/>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7-8F27-4D3A-8CB8-318C81DFFB69}"/>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9-8F27-4D3A-8CB8-318C81DFFB69}"/>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B-8F27-4D3A-8CB8-318C81DFFB69}"/>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D-8F27-4D3A-8CB8-318C81DFFB69}"/>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2F-8F27-4D3A-8CB8-318C81DFFB69}"/>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1-8F27-4D3A-8CB8-318C81DFFB69}"/>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3-8F27-4D3A-8CB8-318C81DFFB69}"/>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5-8F27-4D3A-8CB8-318C81DFFB69}"/>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7-8F27-4D3A-8CB8-318C81DFFB69}"/>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87F2-4354-B83C-1CD3AAC20B2E}"/>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87F2-4354-B83C-1CD3AAC20B2E}"/>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87F2-4354-B83C-1CD3AAC20B2E}"/>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87F2-4354-B83C-1CD3AAC20B2E}"/>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87F2-4354-B83C-1CD3AAC20B2E}"/>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87F2-4354-B83C-1CD3AAC20B2E}"/>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87F2-4354-B83C-1CD3AAC20B2E}"/>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87F2-4354-B83C-1CD3AAC20B2E}"/>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87F2-4354-B83C-1CD3AAC20B2E}"/>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87F2-4354-B83C-1CD3AAC20B2E}"/>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87F2-4354-B83C-1CD3AAC20B2E}"/>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87F2-4354-B83C-1CD3AAC20B2E}"/>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87F2-4354-B83C-1CD3AAC20B2E}"/>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87F2-4354-B83C-1CD3AAC20B2E}"/>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87F2-4354-B83C-1CD3AAC20B2E}"/>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87F2-4354-B83C-1CD3AAC20B2E}"/>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87F2-4354-B83C-1CD3AAC20B2E}"/>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87F2-4354-B83C-1CD3AAC20B2E}"/>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87F2-4354-B83C-1CD3AAC20B2E}"/>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87F2-4354-B83C-1CD3AAC20B2E}"/>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87F2-4354-B83C-1CD3AAC20B2E}"/>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87F2-4354-B83C-1CD3AAC20B2E}"/>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87F2-4354-B83C-1CD3AAC20B2E}"/>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87F2-4354-B83C-1CD3AAC20B2E}"/>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87F2-4354-B83C-1CD3AAC20B2E}"/>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87F2-4354-B83C-1CD3AAC20B2E}"/>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87F2-4354-B83C-1CD3AAC20B2E}"/>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9-A0F5-4684-8D9B-0006CA9B93DF}"/>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B-A0F5-4684-8D9B-0006CA9B93DF}"/>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A0F5-4684-8D9B-0006CA9B93DF}"/>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A0F5-4684-8D9B-0006CA9B93DF}"/>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A0F5-4684-8D9B-0006CA9B93DF}"/>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A0F5-4684-8D9B-0006CA9B93DF}"/>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A0F5-4684-8D9B-0006CA9B93DF}"/>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A0F5-4684-8D9B-0006CA9B93DF}"/>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A0F5-4684-8D9B-0006CA9B93DF}"/>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A0F5-4684-8D9B-0006CA9B93DF}"/>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A0F5-4684-8D9B-0006CA9B93DF}"/>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A0F5-4684-8D9B-0006CA9B93DF}"/>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A0F5-4684-8D9B-0006CA9B93DF}"/>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A0F5-4684-8D9B-0006CA9B93DF}"/>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A0F5-4684-8D9B-0006CA9B93DF}"/>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A0F5-4684-8D9B-0006CA9B93DF}"/>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5-3BB8-4CD6-9B43-03F41F0CC230}"/>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7-3BB8-4CD6-9B43-03F41F0CC230}"/>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3BB8-4CD6-9B43-03F41F0CC230}"/>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3BB8-4CD6-9B43-03F41F0CC230}"/>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3BB8-4CD6-9B43-03F41F0CC230}"/>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3BB8-4CD6-9B43-03F41F0CC230}"/>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A0F5-4684-8D9B-0006CA9B93DF}"/>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A0F5-4684-8D9B-0006CA9B93DF}"/>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2533-4E60-9B8C-87487D8AAD20}"/>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2533-4E60-9B8C-87487D8AAD20}"/>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2533-4E60-9B8C-87487D8AAD20}"/>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B-2533-4E60-9B8C-87487D8AAD20}"/>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9C88-4085-A79E-0DC7937C9F0A}"/>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9C88-4085-A79E-0DC7937C9F0A}"/>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1D4D-4D40-8B3F-15D6C7D28C85}"/>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F-1D4D-4D40-8B3F-15D6C7D28C85}"/>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1232-45F6-B1F6-F4CAD9477139}"/>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1232-45F6-B1F6-F4CAD9477139}"/>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1232-45F6-B1F6-F4CAD9477139}"/>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1232-45F6-B1F6-F4CAD9477139}"/>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1232-45F6-B1F6-F4CAD9477139}"/>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1232-45F6-B1F6-F4CAD9477139}"/>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1232-45F6-B1F6-F4CAD9477139}"/>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1232-45F6-B1F6-F4CAD9477139}"/>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1232-45F6-B1F6-F4CAD9477139}"/>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1232-45F6-B1F6-F4CAD9477139}"/>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1232-45F6-B1F6-F4CAD9477139}"/>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1232-45F6-B1F6-F4CAD9477139}"/>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1232-45F6-B1F6-F4CAD9477139}"/>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1232-45F6-B1F6-F4CAD9477139}"/>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1232-45F6-B1F6-F4CAD9477139}"/>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1232-45F6-B1F6-F4CAD9477139}"/>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1232-45F6-B1F6-F4CAD9477139}"/>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1232-45F6-B1F6-F4CAD9477139}"/>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1232-45F6-B1F6-F4CAD9477139}"/>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1232-45F6-B1F6-F4CAD9477139}"/>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1232-45F6-B1F6-F4CAD9477139}"/>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1232-45F6-B1F6-F4CAD9477139}"/>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1232-45F6-B1F6-F4CAD9477139}"/>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1232-45F6-B1F6-F4CAD9477139}"/>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1232-45F6-B1F6-F4CAD9477139}"/>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1232-45F6-B1F6-F4CAD9477139}"/>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1232-45F6-B1F6-F4CAD9477139}"/>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1232-45F6-B1F6-F4CAD9477139}"/>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1232-45F6-B1F6-F4CAD9477139}"/>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1232-45F6-B1F6-F4CAD9477139}"/>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1232-45F6-B1F6-F4CAD9477139}"/>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1232-45F6-B1F6-F4CAD9477139}"/>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1232-45F6-B1F6-F4CAD9477139}"/>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1232-45F6-B1F6-F4CAD9477139}"/>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1232-45F6-B1F6-F4CAD9477139}"/>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1232-45F6-B1F6-F4CAD9477139}"/>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1232-45F6-B1F6-F4CAD9477139}"/>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1232-45F6-B1F6-F4CAD9477139}"/>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1232-45F6-B1F6-F4CAD9477139}"/>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1232-45F6-B1F6-F4CAD9477139}"/>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1232-45F6-B1F6-F4CAD9477139}"/>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1232-45F6-B1F6-F4CAD9477139}"/>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1232-45F6-B1F6-F4CAD9477139}"/>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1232-45F6-B1F6-F4CAD9477139}"/>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1232-45F6-B1F6-F4CAD9477139}"/>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1232-45F6-B1F6-F4CAD9477139}"/>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1232-45F6-B1F6-F4CAD9477139}"/>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1232-45F6-B1F6-F4CAD9477139}"/>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1232-45F6-B1F6-F4CAD9477139}"/>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1232-45F6-B1F6-F4CAD9477139}"/>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1232-45F6-B1F6-F4CAD9477139}"/>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1232-45F6-B1F6-F4CAD9477139}"/>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1232-45F6-B1F6-F4CAD9477139}"/>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1232-45F6-B1F6-F4CAD9477139}"/>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1232-45F6-B1F6-F4CAD9477139}"/>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1232-45F6-B1F6-F4CAD9477139}"/>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1232-45F6-B1F6-F4CAD9477139}"/>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1232-45F6-B1F6-F4CAD9477139}"/>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1232-45F6-B1F6-F4CAD9477139}"/>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1232-45F6-B1F6-F4CAD9477139}"/>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1232-45F6-B1F6-F4CAD9477139}"/>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1232-45F6-B1F6-F4CAD9477139}"/>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1232-45F6-B1F6-F4CAD9477139}"/>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1232-45F6-B1F6-F4CAD9477139}"/>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1232-45F6-B1F6-F4CAD9477139}"/>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1232-45F6-B1F6-F4CAD9477139}"/>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1232-45F6-B1F6-F4CAD9477139}"/>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1232-45F6-B1F6-F4CAD9477139}"/>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1232-45F6-B1F6-F4CAD9477139}"/>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1232-45F6-B1F6-F4CAD9477139}"/>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1232-45F6-B1F6-F4CAD9477139}"/>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1232-45F6-B1F6-F4CAD9477139}"/>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1232-45F6-B1F6-F4CAD9477139}"/>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1232-45F6-B1F6-F4CAD9477139}"/>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1232-45F6-B1F6-F4CAD9477139}"/>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1232-45F6-B1F6-F4CAD9477139}"/>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1232-45F6-B1F6-F4CAD9477139}"/>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1232-45F6-B1F6-F4CAD9477139}"/>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1232-45F6-B1F6-F4CAD9477139}"/>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1232-45F6-B1F6-F4CAD9477139}"/>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1232-45F6-B1F6-F4CAD9477139}"/>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1232-45F6-B1F6-F4CAD9477139}"/>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1232-45F6-B1F6-F4CAD9477139}"/>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1232-45F6-B1F6-F4CAD9477139}"/>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1232-45F6-B1F6-F4CAD9477139}"/>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1232-45F6-B1F6-F4CAD9477139}"/>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1232-45F6-B1F6-F4CAD9477139}"/>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1232-45F6-B1F6-F4CAD9477139}"/>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1232-45F6-B1F6-F4CAD9477139}"/>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1232-45F6-B1F6-F4CAD9477139}"/>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1232-45F6-B1F6-F4CAD9477139}"/>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1232-45F6-B1F6-F4CAD9477139}"/>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1232-45F6-B1F6-F4CAD9477139}"/>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1232-45F6-B1F6-F4CAD9477139}"/>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1232-45F6-B1F6-F4CAD9477139}"/>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1232-45F6-B1F6-F4CAD9477139}"/>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1232-45F6-B1F6-F4CAD9477139}"/>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1232-45F6-B1F6-F4CAD9477139}"/>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1232-45F6-B1F6-F4CAD9477139}"/>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1232-45F6-B1F6-F4CAD9477139}"/>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1232-45F6-B1F6-F4CAD9477139}"/>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1232-45F6-B1F6-F4CAD9477139}"/>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1232-45F6-B1F6-F4CAD9477139}"/>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1232-45F6-B1F6-F4CAD9477139}"/>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1232-45F6-B1F6-F4CAD9477139}"/>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1232-45F6-B1F6-F4CAD9477139}"/>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1232-45F6-B1F6-F4CAD9477139}"/>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1232-45F6-B1F6-F4CAD9477139}"/>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1232-45F6-B1F6-F4CAD9477139}"/>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1232-45F6-B1F6-F4CAD9477139}"/>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1232-45F6-B1F6-F4CAD9477139}"/>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1232-45F6-B1F6-F4CAD9477139}"/>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1232-45F6-B1F6-F4CAD9477139}"/>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1232-45F6-B1F6-F4CAD9477139}"/>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1232-45F6-B1F6-F4CAD9477139}"/>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1232-45F6-B1F6-F4CAD9477139}"/>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1232-45F6-B1F6-F4CAD9477139}"/>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1232-45F6-B1F6-F4CAD9477139}"/>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1232-45F6-B1F6-F4CAD9477139}"/>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1232-45F6-B1F6-F4CAD9477139}"/>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1232-45F6-B1F6-F4CAD9477139}"/>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1232-45F6-B1F6-F4CAD9477139}"/>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1232-45F6-B1F6-F4CAD9477139}"/>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1232-45F6-B1F6-F4CAD9477139}"/>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1232-45F6-B1F6-F4CAD9477139}"/>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1232-45F6-B1F6-F4CAD9477139}"/>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1232-45F6-B1F6-F4CAD9477139}"/>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1232-45F6-B1F6-F4CAD9477139}"/>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1232-45F6-B1F6-F4CAD9477139}"/>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1232-45F6-B1F6-F4CAD9477139}"/>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1232-45F6-B1F6-F4CAD9477139}"/>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1232-45F6-B1F6-F4CAD9477139}"/>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1232-45F6-B1F6-F4CAD9477139}"/>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1232-45F6-B1F6-F4CAD9477139}"/>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1232-45F6-B1F6-F4CAD9477139}"/>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1232-45F6-B1F6-F4CAD9477139}"/>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1232-45F6-B1F6-F4CAD9477139}"/>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1232-45F6-B1F6-F4CAD9477139}"/>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1232-45F6-B1F6-F4CAD9477139}"/>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1232-45F6-B1F6-F4CAD9477139}"/>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1232-45F6-B1F6-F4CAD9477139}"/>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1232-45F6-B1F6-F4CAD9477139}"/>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1232-45F6-B1F6-F4CAD9477139}"/>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1232-45F6-B1F6-F4CAD9477139}"/>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1232-45F6-B1F6-F4CAD9477139}"/>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1232-45F6-B1F6-F4CAD9477139}"/>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1232-45F6-B1F6-F4CAD9477139}"/>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1232-45F6-B1F6-F4CAD9477139}"/>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1232-45F6-B1F6-F4CAD9477139}"/>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1232-45F6-B1F6-F4CAD9477139}"/>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1232-45F6-B1F6-F4CAD9477139}"/>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1232-45F6-B1F6-F4CAD9477139}"/>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1232-45F6-B1F6-F4CAD9477139}"/>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1232-45F6-B1F6-F4CAD9477139}"/>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1232-45F6-B1F6-F4CAD9477139}"/>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1232-45F6-B1F6-F4CAD9477139}"/>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1232-45F6-B1F6-F4CAD9477139}"/>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1232-45F6-B1F6-F4CAD9477139}"/>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1232-45F6-B1F6-F4CAD9477139}"/>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1232-45F6-B1F6-F4CAD9477139}"/>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1232-45F6-B1F6-F4CAD9477139}"/>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1232-45F6-B1F6-F4CAD9477139}"/>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1232-45F6-B1F6-F4CAD9477139}"/>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1232-45F6-B1F6-F4CAD9477139}"/>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1232-45F6-B1F6-F4CAD9477139}"/>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1232-45F6-B1F6-F4CAD9477139}"/>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1232-45F6-B1F6-F4CAD9477139}"/>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1232-45F6-B1F6-F4CAD9477139}"/>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1232-45F6-B1F6-F4CAD9477139}"/>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1232-45F6-B1F6-F4CAD9477139}"/>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1232-45F6-B1F6-F4CAD9477139}"/>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1232-45F6-B1F6-F4CAD9477139}"/>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1232-45F6-B1F6-F4CAD9477139}"/>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1232-45F6-B1F6-F4CAD9477139}"/>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1232-45F6-B1F6-F4CAD9477139}"/>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1232-45F6-B1F6-F4CAD9477139}"/>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1232-45F6-B1F6-F4CAD9477139}"/>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1232-45F6-B1F6-F4CAD9477139}"/>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1232-45F6-B1F6-F4CAD9477139}"/>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1232-45F6-B1F6-F4CAD9477139}"/>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1232-45F6-B1F6-F4CAD9477139}"/>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1232-45F6-B1F6-F4CAD9477139}"/>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1232-45F6-B1F6-F4CAD9477139}"/>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1232-45F6-B1F6-F4CAD9477139}"/>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1232-45F6-B1F6-F4CAD9477139}"/>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1232-45F6-B1F6-F4CAD9477139}"/>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1232-45F6-B1F6-F4CAD9477139}"/>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1232-45F6-B1F6-F4CAD9477139}"/>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1232-45F6-B1F6-F4CAD9477139}"/>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1232-45F6-B1F6-F4CAD9477139}"/>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1232-45F6-B1F6-F4CAD9477139}"/>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1232-45F6-B1F6-F4CAD9477139}"/>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1232-45F6-B1F6-F4CAD9477139}"/>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1232-45F6-B1F6-F4CAD9477139}"/>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1232-45F6-B1F6-F4CAD9477139}"/>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1232-45F6-B1F6-F4CAD9477139}"/>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1232-45F6-B1F6-F4CAD9477139}"/>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1232-45F6-B1F6-F4CAD9477139}"/>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1232-45F6-B1F6-F4CAD9477139}"/>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1232-45F6-B1F6-F4CAD9477139}"/>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1232-45F6-B1F6-F4CAD9477139}"/>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1232-45F6-B1F6-F4CAD9477139}"/>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1232-45F6-B1F6-F4CAD9477139}"/>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1232-45F6-B1F6-F4CAD9477139}"/>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1232-45F6-B1F6-F4CAD9477139}"/>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1232-45F6-B1F6-F4CAD9477139}"/>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1232-45F6-B1F6-F4CAD9477139}"/>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1232-45F6-B1F6-F4CAD9477139}"/>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1232-45F6-B1F6-F4CAD9477139}"/>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1232-45F6-B1F6-F4CAD9477139}"/>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1232-45F6-B1F6-F4CAD9477139}"/>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1232-45F6-B1F6-F4CAD9477139}"/>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1232-45F6-B1F6-F4CAD9477139}"/>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1232-45F6-B1F6-F4CAD9477139}"/>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1232-45F6-B1F6-F4CAD9477139}"/>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1232-45F6-B1F6-F4CAD9477139}"/>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1232-45F6-B1F6-F4CAD9477139}"/>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1232-45F6-B1F6-F4CAD9477139}"/>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1232-45F6-B1F6-F4CAD9477139}"/>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1232-45F6-B1F6-F4CAD9477139}"/>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1232-45F6-B1F6-F4CAD9477139}"/>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1232-45F6-B1F6-F4CAD9477139}"/>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1232-45F6-B1F6-F4CAD9477139}"/>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1232-45F6-B1F6-F4CAD9477139}"/>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1232-45F6-B1F6-F4CAD9477139}"/>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1232-45F6-B1F6-F4CAD9477139}"/>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1232-45F6-B1F6-F4CAD9477139}"/>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1232-45F6-B1F6-F4CAD9477139}"/>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1232-45F6-B1F6-F4CAD9477139}"/>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1232-45F6-B1F6-F4CAD9477139}"/>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1232-45F6-B1F6-F4CAD9477139}"/>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1232-45F6-B1F6-F4CAD9477139}"/>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1232-45F6-B1F6-F4CAD9477139}"/>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1232-45F6-B1F6-F4CAD9477139}"/>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1232-45F6-B1F6-F4CAD9477139}"/>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1232-45F6-B1F6-F4CAD9477139}"/>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1232-45F6-B1F6-F4CAD9477139}"/>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1232-45F6-B1F6-F4CAD9477139}"/>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1232-45F6-B1F6-F4CAD9477139}"/>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1232-45F6-B1F6-F4CAD9477139}"/>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1232-45F6-B1F6-F4CAD9477139}"/>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1232-45F6-B1F6-F4CAD9477139}"/>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1232-45F6-B1F6-F4CAD9477139}"/>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1232-45F6-B1F6-F4CAD9477139}"/>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1232-45F6-B1F6-F4CAD9477139}"/>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1232-45F6-B1F6-F4CAD9477139}"/>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1232-45F6-B1F6-F4CAD9477139}"/>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1232-45F6-B1F6-F4CAD9477139}"/>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1232-45F6-B1F6-F4CAD9477139}"/>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1232-45F6-B1F6-F4CAD9477139}"/>
              </c:ext>
            </c:extLst>
          </c:dPt>
          <c:cat>
            <c:multiLvlStrRef>
              <c:f>pt.lvl3_generic_3!$B$8:$C$56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pt.lvl3_generic_3!$F$8:$F$56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c:ext xmlns:c16="http://schemas.microsoft.com/office/drawing/2014/chart" uri="{C3380CC4-5D6E-409C-BE32-E72D297353CC}">
              <c16:uniqueId val="{00000012-3697-41D2-834B-AD3F8F69EF27}"/>
            </c:ext>
          </c:extLst>
        </c:ser>
        <c:dLbls>
          <c:showLegendKey val="0"/>
          <c:showVal val="0"/>
          <c:showCatName val="0"/>
          <c:showSerName val="0"/>
          <c:showPercent val="0"/>
          <c:showBubbleSize val="0"/>
        </c:dLbls>
        <c:marker val="1"/>
        <c:smooth val="0"/>
        <c:axId val="446335648"/>
        <c:axId val="446336040"/>
      </c:lineChart>
      <c:catAx>
        <c:axId val="44633564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6040"/>
        <c:crosses val="autoZero"/>
        <c:auto val="1"/>
        <c:lblAlgn val="ctr"/>
        <c:lblOffset val="100"/>
        <c:noMultiLvlLbl val="0"/>
      </c:catAx>
      <c:valAx>
        <c:axId val="4463360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564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1.3_3_2.xlsm]pt.lvl3_generic_4!pt.lvl3_generic_4</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spPr>
          <a:solidFill>
            <a:srgbClr val="9CC746"/>
          </a:solidFill>
          <a:ln>
            <a:solidFill>
              <a:srgbClr val="5B9BD5"/>
            </a:solidFill>
          </a:ln>
          <a:effectLst/>
        </c:spPr>
        <c:marker>
          <c:symbol val="circle"/>
          <c:size val="5"/>
          <c:spPr>
            <a:solidFill>
              <a:srgbClr val="9CC746"/>
            </a:solidFill>
            <a:ln w="3175">
              <a:solidFill>
                <a:srgbClr val="9CC746"/>
              </a:solidFill>
              <a:prstDash val="solid"/>
            </a:ln>
            <a:effectLst/>
          </c:spPr>
        </c:marker>
      </c:pivotFmt>
      <c:pivotFmt>
        <c:idx val="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pPr>
            <a:solidFill>
              <a:srgbClr val="9CC746"/>
            </a:solidFill>
            <a:ln w="9525">
              <a:solidFill>
                <a:srgbClr val="9CC746"/>
              </a:solidFill>
              <a:prstDash val="solid"/>
            </a:ln>
            <a:effectLst/>
          </c:spPr>
        </c:marker>
      </c:pivotFmt>
      <c:pivotFmt>
        <c:idx val="19"/>
        <c:spPr>
          <a:solidFill>
            <a:srgbClr val="9CC746"/>
          </a:solidFill>
          <a:ln>
            <a:noFill/>
          </a:ln>
          <a:effectLst/>
        </c:spPr>
        <c:marker>
          <c:spPr>
            <a:solidFill>
              <a:srgbClr val="9CC746"/>
            </a:solidFill>
            <a:ln w="9525">
              <a:solidFill>
                <a:srgbClr val="9CC746"/>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barChart>
        <c:barDir val="col"/>
        <c:grouping val="clustered"/>
        <c:varyColors val="0"/>
        <c:ser>
          <c:idx val="0"/>
          <c:order val="0"/>
          <c:tx>
            <c:strRef>
              <c:f>pt.lvl3_generic_4!$D$7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D-4D84-4F41-B867-1DE59949B750}"/>
              </c:ext>
            </c:extLst>
          </c:dPt>
          <c:dPt>
            <c:idx val="1"/>
            <c:invertIfNegative val="0"/>
            <c:bubble3D val="0"/>
            <c:spPr>
              <a:solidFill>
                <a:srgbClr val="9CC746"/>
              </a:solidFill>
              <a:ln>
                <a:noFill/>
              </a:ln>
              <a:effectLst/>
            </c:spPr>
            <c:extLst>
              <c:ext xmlns:c16="http://schemas.microsoft.com/office/drawing/2014/chart" uri="{C3380CC4-5D6E-409C-BE32-E72D297353CC}">
                <c16:uniqueId val="{0000000E-4D84-4F41-B867-1DE59949B750}"/>
              </c:ext>
            </c:extLst>
          </c:dPt>
          <c:dPt>
            <c:idx val="2"/>
            <c:invertIfNegative val="0"/>
            <c:bubble3D val="0"/>
            <c:spPr>
              <a:solidFill>
                <a:srgbClr val="9CC746"/>
              </a:solidFill>
              <a:ln>
                <a:noFill/>
              </a:ln>
              <a:effectLst/>
            </c:spPr>
            <c:extLst>
              <c:ext xmlns:c16="http://schemas.microsoft.com/office/drawing/2014/chart" uri="{C3380CC4-5D6E-409C-BE32-E72D297353CC}">
                <c16:uniqueId val="{00000006-85A0-442A-BFC9-AA214FBBFD27}"/>
              </c:ext>
            </c:extLst>
          </c:dPt>
          <c:dPt>
            <c:idx val="3"/>
            <c:invertIfNegative val="0"/>
            <c:bubble3D val="0"/>
            <c:spPr>
              <a:solidFill>
                <a:srgbClr val="9CC746"/>
              </a:solidFill>
              <a:ln>
                <a:noFill/>
              </a:ln>
              <a:effectLst/>
            </c:spPr>
            <c:extLst>
              <c:ext xmlns:c16="http://schemas.microsoft.com/office/drawing/2014/chart" uri="{C3380CC4-5D6E-409C-BE32-E72D297353CC}">
                <c16:uniqueId val="{00000007-85A0-442A-BFC9-AA214FBBFD27}"/>
              </c:ext>
            </c:extLst>
          </c:dPt>
          <c:dPt>
            <c:idx val="4"/>
            <c:invertIfNegative val="0"/>
            <c:bubble3D val="0"/>
            <c:spPr>
              <a:solidFill>
                <a:srgbClr val="9CC746"/>
              </a:solidFill>
              <a:ln>
                <a:noFill/>
              </a:ln>
              <a:effectLst/>
            </c:spPr>
            <c:extLst>
              <c:ext xmlns:c16="http://schemas.microsoft.com/office/drawing/2014/chart" uri="{C3380CC4-5D6E-409C-BE32-E72D297353CC}">
                <c16:uniqueId val="{00000008-85A0-442A-BFC9-AA214FBBFD27}"/>
              </c:ext>
            </c:extLst>
          </c:dPt>
          <c:dPt>
            <c:idx val="5"/>
            <c:invertIfNegative val="0"/>
            <c:bubble3D val="0"/>
            <c:spPr>
              <a:solidFill>
                <a:srgbClr val="9B2D2A"/>
              </a:solidFill>
              <a:ln>
                <a:noFill/>
              </a:ln>
              <a:effectLst/>
            </c:spPr>
            <c:extLst>
              <c:ext xmlns:c16="http://schemas.microsoft.com/office/drawing/2014/chart" uri="{C3380CC4-5D6E-409C-BE32-E72D297353CC}">
                <c16:uniqueId val="{00000009-85A0-442A-BFC9-AA214FBBFD27}"/>
              </c:ext>
            </c:extLst>
          </c:dPt>
          <c:dPt>
            <c:idx val="6"/>
            <c:invertIfNegative val="0"/>
            <c:bubble3D val="0"/>
            <c:spPr>
              <a:solidFill>
                <a:srgbClr val="9CC746"/>
              </a:solidFill>
              <a:ln>
                <a:noFill/>
              </a:ln>
              <a:effectLst/>
            </c:spPr>
            <c:extLst>
              <c:ext xmlns:c16="http://schemas.microsoft.com/office/drawing/2014/chart" uri="{C3380CC4-5D6E-409C-BE32-E72D297353CC}">
                <c16:uniqueId val="{0000000A-85A0-442A-BFC9-AA214FBBFD27}"/>
              </c:ext>
            </c:extLst>
          </c:dPt>
          <c:dPt>
            <c:idx val="7"/>
            <c:invertIfNegative val="0"/>
            <c:bubble3D val="0"/>
            <c:spPr>
              <a:solidFill>
                <a:srgbClr val="9CC746"/>
              </a:solidFill>
              <a:ln>
                <a:noFill/>
              </a:ln>
              <a:effectLst/>
            </c:spPr>
            <c:extLst>
              <c:ext xmlns:c16="http://schemas.microsoft.com/office/drawing/2014/chart" uri="{C3380CC4-5D6E-409C-BE32-E72D297353CC}">
                <c16:uniqueId val="{0000000B-85A0-442A-BFC9-AA214FBBFD27}"/>
              </c:ext>
            </c:extLst>
          </c:dPt>
          <c:dPt>
            <c:idx val="8"/>
            <c:invertIfNegative val="0"/>
            <c:bubble3D val="0"/>
            <c:spPr>
              <a:solidFill>
                <a:srgbClr val="9B2D2A"/>
              </a:solidFill>
              <a:ln>
                <a:noFill/>
              </a:ln>
              <a:effectLst/>
            </c:spPr>
            <c:extLst>
              <c:ext xmlns:c16="http://schemas.microsoft.com/office/drawing/2014/chart" uri="{C3380CC4-5D6E-409C-BE32-E72D297353CC}">
                <c16:uniqueId val="{0000000C-85A0-442A-BFC9-AA214FBBFD27}"/>
              </c:ext>
            </c:extLst>
          </c:dPt>
          <c:dPt>
            <c:idx val="9"/>
            <c:invertIfNegative val="0"/>
            <c:bubble3D val="0"/>
            <c:spPr>
              <a:solidFill>
                <a:srgbClr val="9B2D2A"/>
              </a:solidFill>
              <a:ln>
                <a:noFill/>
              </a:ln>
              <a:effectLst/>
            </c:spPr>
            <c:extLst>
              <c:ext xmlns:c16="http://schemas.microsoft.com/office/drawing/2014/chart" uri="{C3380CC4-5D6E-409C-BE32-E72D297353CC}">
                <c16:uniqueId val="{0000000D-85A0-442A-BFC9-AA214FBBFD27}"/>
              </c:ext>
            </c:extLst>
          </c:dPt>
          <c:dPt>
            <c:idx val="10"/>
            <c:invertIfNegative val="0"/>
            <c:bubble3D val="0"/>
            <c:spPr>
              <a:solidFill>
                <a:srgbClr val="9B2D2A"/>
              </a:solidFill>
              <a:ln>
                <a:noFill/>
              </a:ln>
              <a:effectLst/>
            </c:spPr>
            <c:extLst>
              <c:ext xmlns:c16="http://schemas.microsoft.com/office/drawing/2014/chart" uri="{C3380CC4-5D6E-409C-BE32-E72D297353CC}">
                <c16:uniqueId val="{0000000E-85A0-442A-BFC9-AA214FBBFD27}"/>
              </c:ext>
            </c:extLst>
          </c:dPt>
          <c:dPt>
            <c:idx val="11"/>
            <c:invertIfNegative val="0"/>
            <c:bubble3D val="0"/>
            <c:spPr>
              <a:solidFill>
                <a:srgbClr val="9CC746"/>
              </a:solidFill>
              <a:ln>
                <a:noFill/>
              </a:ln>
              <a:effectLst/>
            </c:spPr>
            <c:extLst>
              <c:ext xmlns:c16="http://schemas.microsoft.com/office/drawing/2014/chart" uri="{C3380CC4-5D6E-409C-BE32-E72D297353CC}">
                <c16:uniqueId val="{0000000F-85A0-442A-BFC9-AA214FBBFD27}"/>
              </c:ext>
            </c:extLst>
          </c:dPt>
          <c:dPt>
            <c:idx val="12"/>
            <c:invertIfNegative val="0"/>
            <c:bubble3D val="0"/>
            <c:spPr>
              <a:solidFill>
                <a:srgbClr val="9CC746"/>
              </a:solidFill>
              <a:ln>
                <a:noFill/>
              </a:ln>
              <a:effectLst/>
            </c:spPr>
            <c:extLst>
              <c:ext xmlns:c16="http://schemas.microsoft.com/office/drawing/2014/chart" uri="{C3380CC4-5D6E-409C-BE32-E72D297353CC}">
                <c16:uniqueId val="{00000010-85A0-442A-BFC9-AA214FBBFD27}"/>
              </c:ext>
            </c:extLst>
          </c:dPt>
          <c:dPt>
            <c:idx val="13"/>
            <c:invertIfNegative val="0"/>
            <c:bubble3D val="0"/>
            <c:spPr>
              <a:solidFill>
                <a:srgbClr val="9CC746"/>
              </a:solidFill>
              <a:ln>
                <a:noFill/>
              </a:ln>
              <a:effectLst/>
            </c:spPr>
            <c:extLst>
              <c:ext xmlns:c16="http://schemas.microsoft.com/office/drawing/2014/chart" uri="{C3380CC4-5D6E-409C-BE32-E72D297353CC}">
                <c16:uniqueId val="{00000011-85A0-442A-BFC9-AA214FBBFD27}"/>
              </c:ext>
            </c:extLst>
          </c:dPt>
          <c:dPt>
            <c:idx val="14"/>
            <c:invertIfNegative val="0"/>
            <c:bubble3D val="0"/>
            <c:spPr>
              <a:solidFill>
                <a:srgbClr val="9CC746"/>
              </a:solidFill>
              <a:ln>
                <a:noFill/>
              </a:ln>
              <a:effectLst/>
            </c:spPr>
            <c:extLst>
              <c:ext xmlns:c16="http://schemas.microsoft.com/office/drawing/2014/chart" uri="{C3380CC4-5D6E-409C-BE32-E72D297353CC}">
                <c16:uniqueId val="{00000012-85A0-442A-BFC9-AA214FBBFD27}"/>
              </c:ext>
            </c:extLst>
          </c:dPt>
          <c:dPt>
            <c:idx val="15"/>
            <c:invertIfNegative val="0"/>
            <c:bubble3D val="0"/>
            <c:spPr>
              <a:solidFill>
                <a:srgbClr val="9CC746"/>
              </a:solidFill>
              <a:ln>
                <a:noFill/>
              </a:ln>
              <a:effectLst/>
            </c:spPr>
            <c:extLst>
              <c:ext xmlns:c16="http://schemas.microsoft.com/office/drawing/2014/chart" uri="{C3380CC4-5D6E-409C-BE32-E72D297353CC}">
                <c16:uniqueId val="{00000013-85A0-442A-BFC9-AA214FBBFD27}"/>
              </c:ext>
            </c:extLst>
          </c:dPt>
          <c:dPt>
            <c:idx val="16"/>
            <c:invertIfNegative val="0"/>
            <c:bubble3D val="0"/>
            <c:spPr>
              <a:solidFill>
                <a:srgbClr val="9CC746"/>
              </a:solidFill>
              <a:ln>
                <a:noFill/>
              </a:ln>
              <a:effectLst/>
            </c:spPr>
            <c:extLst>
              <c:ext xmlns:c16="http://schemas.microsoft.com/office/drawing/2014/chart" uri="{C3380CC4-5D6E-409C-BE32-E72D297353CC}">
                <c16:uniqueId val="{00000014-85A0-442A-BFC9-AA214FBBFD27}"/>
              </c:ext>
            </c:extLst>
          </c:dPt>
          <c:dPt>
            <c:idx val="17"/>
            <c:invertIfNegative val="0"/>
            <c:bubble3D val="0"/>
            <c:spPr>
              <a:solidFill>
                <a:srgbClr val="9CC746"/>
              </a:solidFill>
              <a:ln>
                <a:noFill/>
              </a:ln>
              <a:effectLst/>
            </c:spPr>
            <c:extLst>
              <c:ext xmlns:c16="http://schemas.microsoft.com/office/drawing/2014/chart" uri="{C3380CC4-5D6E-409C-BE32-E72D297353CC}">
                <c16:uniqueId val="{00000015-85A0-442A-BFC9-AA214FBBFD27}"/>
              </c:ext>
            </c:extLst>
          </c:dPt>
          <c:dPt>
            <c:idx val="18"/>
            <c:invertIfNegative val="0"/>
            <c:bubble3D val="0"/>
            <c:spPr>
              <a:solidFill>
                <a:srgbClr val="9CC746"/>
              </a:solidFill>
              <a:ln>
                <a:noFill/>
              </a:ln>
              <a:effectLst/>
            </c:spPr>
            <c:extLst>
              <c:ext xmlns:c16="http://schemas.microsoft.com/office/drawing/2014/chart" uri="{C3380CC4-5D6E-409C-BE32-E72D297353CC}">
                <c16:uniqueId val="{00000016-85A0-442A-BFC9-AA214FBBFD27}"/>
              </c:ext>
            </c:extLst>
          </c:dPt>
          <c:dPt>
            <c:idx val="19"/>
            <c:invertIfNegative val="0"/>
            <c:bubble3D val="0"/>
            <c:spPr>
              <a:solidFill>
                <a:srgbClr val="9CC746"/>
              </a:solidFill>
              <a:ln>
                <a:noFill/>
              </a:ln>
              <a:effectLst/>
            </c:spPr>
            <c:extLst>
              <c:ext xmlns:c16="http://schemas.microsoft.com/office/drawing/2014/chart" uri="{C3380CC4-5D6E-409C-BE32-E72D297353CC}">
                <c16:uniqueId val="{00000017-85A0-442A-BFC9-AA214FBBFD27}"/>
              </c:ext>
            </c:extLst>
          </c:dPt>
          <c:dPt>
            <c:idx val="20"/>
            <c:invertIfNegative val="0"/>
            <c:bubble3D val="0"/>
            <c:spPr>
              <a:solidFill>
                <a:srgbClr val="9CC746"/>
              </a:solidFill>
              <a:ln>
                <a:noFill/>
              </a:ln>
              <a:effectLst/>
            </c:spPr>
            <c:extLst>
              <c:ext xmlns:c16="http://schemas.microsoft.com/office/drawing/2014/chart" uri="{C3380CC4-5D6E-409C-BE32-E72D297353CC}">
                <c16:uniqueId val="{00000018-85A0-442A-BFC9-AA214FBBFD27}"/>
              </c:ext>
            </c:extLst>
          </c:dPt>
          <c:dPt>
            <c:idx val="21"/>
            <c:invertIfNegative val="0"/>
            <c:bubble3D val="0"/>
            <c:spPr>
              <a:solidFill>
                <a:srgbClr val="9B2D2A"/>
              </a:solidFill>
              <a:ln>
                <a:noFill/>
              </a:ln>
              <a:effectLst/>
            </c:spPr>
            <c:extLst>
              <c:ext xmlns:c16="http://schemas.microsoft.com/office/drawing/2014/chart" uri="{C3380CC4-5D6E-409C-BE32-E72D297353CC}">
                <c16:uniqueId val="{00000019-85A0-442A-BFC9-AA214FBBFD27}"/>
              </c:ext>
            </c:extLst>
          </c:dPt>
          <c:dPt>
            <c:idx val="22"/>
            <c:invertIfNegative val="0"/>
            <c:bubble3D val="0"/>
            <c:spPr>
              <a:solidFill>
                <a:srgbClr val="9CC746"/>
              </a:solidFill>
              <a:ln>
                <a:noFill/>
              </a:ln>
              <a:effectLst/>
            </c:spPr>
            <c:extLst>
              <c:ext xmlns:c16="http://schemas.microsoft.com/office/drawing/2014/chart" uri="{C3380CC4-5D6E-409C-BE32-E72D297353CC}">
                <c16:uniqueId val="{0000001A-85A0-442A-BFC9-AA214FBBFD27}"/>
              </c:ext>
            </c:extLst>
          </c:dPt>
          <c:dPt>
            <c:idx val="23"/>
            <c:invertIfNegative val="0"/>
            <c:bubble3D val="0"/>
            <c:spPr>
              <a:solidFill>
                <a:srgbClr val="9B2D2A"/>
              </a:solidFill>
              <a:ln>
                <a:noFill/>
              </a:ln>
              <a:effectLst/>
            </c:spPr>
            <c:extLst>
              <c:ext xmlns:c16="http://schemas.microsoft.com/office/drawing/2014/chart" uri="{C3380CC4-5D6E-409C-BE32-E72D297353CC}">
                <c16:uniqueId val="{0000001B-85A0-442A-BFC9-AA214FBBFD27}"/>
              </c:ext>
            </c:extLst>
          </c:dPt>
          <c:dPt>
            <c:idx val="24"/>
            <c:invertIfNegative val="0"/>
            <c:bubble3D val="0"/>
            <c:spPr>
              <a:solidFill>
                <a:srgbClr val="9B2D2A"/>
              </a:solidFill>
              <a:ln>
                <a:noFill/>
              </a:ln>
              <a:effectLst/>
            </c:spPr>
            <c:extLst>
              <c:ext xmlns:c16="http://schemas.microsoft.com/office/drawing/2014/chart" uri="{C3380CC4-5D6E-409C-BE32-E72D297353CC}">
                <c16:uniqueId val="{0000001C-85A0-442A-BFC9-AA214FBBFD27}"/>
              </c:ext>
            </c:extLst>
          </c:dPt>
          <c:dPt>
            <c:idx val="25"/>
            <c:invertIfNegative val="0"/>
            <c:bubble3D val="0"/>
            <c:spPr>
              <a:solidFill>
                <a:srgbClr val="9B2D2A"/>
              </a:solidFill>
              <a:ln>
                <a:noFill/>
              </a:ln>
              <a:effectLst/>
            </c:spPr>
            <c:extLst>
              <c:ext xmlns:c16="http://schemas.microsoft.com/office/drawing/2014/chart" uri="{C3380CC4-5D6E-409C-BE32-E72D297353CC}">
                <c16:uniqueId val="{0000001D-85A0-442A-BFC9-AA214FBBFD27}"/>
              </c:ext>
            </c:extLst>
          </c:dPt>
          <c:dPt>
            <c:idx val="26"/>
            <c:invertIfNegative val="0"/>
            <c:bubble3D val="0"/>
            <c:spPr>
              <a:solidFill>
                <a:srgbClr val="9CC746"/>
              </a:solidFill>
              <a:ln>
                <a:noFill/>
              </a:ln>
              <a:effectLst/>
            </c:spPr>
            <c:extLst>
              <c:ext xmlns:c16="http://schemas.microsoft.com/office/drawing/2014/chart" uri="{C3380CC4-5D6E-409C-BE32-E72D297353CC}">
                <c16:uniqueId val="{0000001E-85A0-442A-BFC9-AA214FBBFD27}"/>
              </c:ext>
            </c:extLst>
          </c:dPt>
          <c:dPt>
            <c:idx val="27"/>
            <c:invertIfNegative val="0"/>
            <c:bubble3D val="0"/>
            <c:spPr>
              <a:solidFill>
                <a:srgbClr val="9CC746"/>
              </a:solidFill>
              <a:ln>
                <a:noFill/>
              </a:ln>
              <a:effectLst/>
            </c:spPr>
            <c:extLst>
              <c:ext xmlns:c16="http://schemas.microsoft.com/office/drawing/2014/chart" uri="{C3380CC4-5D6E-409C-BE32-E72D297353CC}">
                <c16:uniqueId val="{0000001F-85A0-442A-BFC9-AA214FBBFD27}"/>
              </c:ext>
            </c:extLst>
          </c:dPt>
          <c:dPt>
            <c:idx val="28"/>
            <c:invertIfNegative val="0"/>
            <c:bubble3D val="0"/>
            <c:spPr>
              <a:solidFill>
                <a:srgbClr val="9B2D2A"/>
              </a:solidFill>
              <a:ln>
                <a:noFill/>
              </a:ln>
              <a:effectLst/>
            </c:spPr>
            <c:extLst>
              <c:ext xmlns:c16="http://schemas.microsoft.com/office/drawing/2014/chart" uri="{C3380CC4-5D6E-409C-BE32-E72D297353CC}">
                <c16:uniqueId val="{00000020-85A0-442A-BFC9-AA214FBBFD27}"/>
              </c:ext>
            </c:extLst>
          </c:dPt>
          <c:dPt>
            <c:idx val="29"/>
            <c:invertIfNegative val="0"/>
            <c:bubble3D val="0"/>
            <c:spPr>
              <a:solidFill>
                <a:srgbClr val="9B2D2A"/>
              </a:solidFill>
              <a:ln>
                <a:noFill/>
              </a:ln>
              <a:effectLst/>
            </c:spPr>
            <c:extLst>
              <c:ext xmlns:c16="http://schemas.microsoft.com/office/drawing/2014/chart" uri="{C3380CC4-5D6E-409C-BE32-E72D297353CC}">
                <c16:uniqueId val="{00000021-85A0-442A-BFC9-AA214FBBFD27}"/>
              </c:ext>
            </c:extLst>
          </c:dPt>
          <c:dPt>
            <c:idx val="30"/>
            <c:invertIfNegative val="0"/>
            <c:bubble3D val="0"/>
            <c:spPr>
              <a:solidFill>
                <a:srgbClr val="9CC746"/>
              </a:solidFill>
              <a:ln>
                <a:noFill/>
              </a:ln>
              <a:effectLst/>
            </c:spPr>
            <c:extLst>
              <c:ext xmlns:c16="http://schemas.microsoft.com/office/drawing/2014/chart" uri="{C3380CC4-5D6E-409C-BE32-E72D297353CC}">
                <c16:uniqueId val="{00000022-85A0-442A-BFC9-AA214FBBFD27}"/>
              </c:ext>
            </c:extLst>
          </c:dPt>
          <c:dPt>
            <c:idx val="31"/>
            <c:invertIfNegative val="0"/>
            <c:bubble3D val="0"/>
            <c:spPr>
              <a:solidFill>
                <a:srgbClr val="9CC746"/>
              </a:solidFill>
              <a:ln>
                <a:noFill/>
              </a:ln>
              <a:effectLst/>
            </c:spPr>
            <c:extLst>
              <c:ext xmlns:c16="http://schemas.microsoft.com/office/drawing/2014/chart" uri="{C3380CC4-5D6E-409C-BE32-E72D297353CC}">
                <c16:uniqueId val="{00000023-85A0-442A-BFC9-AA214FBBFD27}"/>
              </c:ext>
            </c:extLst>
          </c:dPt>
          <c:dPt>
            <c:idx val="32"/>
            <c:invertIfNegative val="0"/>
            <c:bubble3D val="0"/>
            <c:spPr>
              <a:solidFill>
                <a:srgbClr val="9CC746"/>
              </a:solidFill>
              <a:ln>
                <a:noFill/>
              </a:ln>
              <a:effectLst/>
            </c:spPr>
            <c:extLst>
              <c:ext xmlns:c16="http://schemas.microsoft.com/office/drawing/2014/chart" uri="{C3380CC4-5D6E-409C-BE32-E72D297353CC}">
                <c16:uniqueId val="{00000024-85A0-442A-BFC9-AA214FBBFD27}"/>
              </c:ext>
            </c:extLst>
          </c:dPt>
          <c:dPt>
            <c:idx val="33"/>
            <c:invertIfNegative val="0"/>
            <c:bubble3D val="0"/>
            <c:spPr>
              <a:solidFill>
                <a:srgbClr val="9B2D2A"/>
              </a:solidFill>
              <a:ln>
                <a:noFill/>
              </a:ln>
              <a:effectLst/>
            </c:spPr>
            <c:extLst>
              <c:ext xmlns:c16="http://schemas.microsoft.com/office/drawing/2014/chart" uri="{C3380CC4-5D6E-409C-BE32-E72D297353CC}">
                <c16:uniqueId val="{00000025-85A0-442A-BFC9-AA214FBBFD27}"/>
              </c:ext>
            </c:extLst>
          </c:dPt>
          <c:dPt>
            <c:idx val="34"/>
            <c:invertIfNegative val="0"/>
            <c:bubble3D val="0"/>
            <c:spPr>
              <a:solidFill>
                <a:srgbClr val="9CC746"/>
              </a:solidFill>
              <a:ln>
                <a:noFill/>
              </a:ln>
              <a:effectLst/>
            </c:spPr>
            <c:extLst>
              <c:ext xmlns:c16="http://schemas.microsoft.com/office/drawing/2014/chart" uri="{C3380CC4-5D6E-409C-BE32-E72D297353CC}">
                <c16:uniqueId val="{00000026-85A0-442A-BFC9-AA214FBBFD27}"/>
              </c:ext>
            </c:extLst>
          </c:dPt>
          <c:dPt>
            <c:idx val="35"/>
            <c:invertIfNegative val="0"/>
            <c:bubble3D val="0"/>
            <c:spPr>
              <a:solidFill>
                <a:srgbClr val="9CC746"/>
              </a:solidFill>
              <a:ln>
                <a:noFill/>
              </a:ln>
              <a:effectLst/>
            </c:spPr>
            <c:extLst>
              <c:ext xmlns:c16="http://schemas.microsoft.com/office/drawing/2014/chart" uri="{C3380CC4-5D6E-409C-BE32-E72D297353CC}">
                <c16:uniqueId val="{00000027-85A0-442A-BFC9-AA214FBBFD27}"/>
              </c:ext>
            </c:extLst>
          </c:dPt>
          <c:dPt>
            <c:idx val="36"/>
            <c:invertIfNegative val="0"/>
            <c:bubble3D val="0"/>
            <c:spPr>
              <a:solidFill>
                <a:srgbClr val="9B2D2A"/>
              </a:solidFill>
              <a:ln>
                <a:noFill/>
              </a:ln>
              <a:effectLst/>
            </c:spPr>
            <c:extLst>
              <c:ext xmlns:c16="http://schemas.microsoft.com/office/drawing/2014/chart" uri="{C3380CC4-5D6E-409C-BE32-E72D297353CC}">
                <c16:uniqueId val="{00000028-85A0-442A-BFC9-AA214FBBFD27}"/>
              </c:ext>
            </c:extLst>
          </c:dPt>
          <c:dPt>
            <c:idx val="37"/>
            <c:invertIfNegative val="0"/>
            <c:bubble3D val="0"/>
            <c:spPr>
              <a:solidFill>
                <a:srgbClr val="9B2D2A"/>
              </a:solidFill>
              <a:ln>
                <a:noFill/>
              </a:ln>
              <a:effectLst/>
            </c:spPr>
            <c:extLst>
              <c:ext xmlns:c16="http://schemas.microsoft.com/office/drawing/2014/chart" uri="{C3380CC4-5D6E-409C-BE32-E72D297353CC}">
                <c16:uniqueId val="{00000029-85A0-442A-BFC9-AA214FBBFD27}"/>
              </c:ext>
            </c:extLst>
          </c:dPt>
          <c:dPt>
            <c:idx val="38"/>
            <c:invertIfNegative val="0"/>
            <c:bubble3D val="0"/>
            <c:spPr>
              <a:solidFill>
                <a:srgbClr val="9B2D2A"/>
              </a:solidFill>
              <a:ln>
                <a:noFill/>
              </a:ln>
              <a:effectLst/>
            </c:spPr>
            <c:extLst>
              <c:ext xmlns:c16="http://schemas.microsoft.com/office/drawing/2014/chart" uri="{C3380CC4-5D6E-409C-BE32-E72D297353CC}">
                <c16:uniqueId val="{0000002A-85A0-442A-BFC9-AA214FBBFD27}"/>
              </c:ext>
            </c:extLst>
          </c:dPt>
          <c:dPt>
            <c:idx val="39"/>
            <c:invertIfNegative val="0"/>
            <c:bubble3D val="0"/>
            <c:spPr>
              <a:solidFill>
                <a:srgbClr val="9CC746"/>
              </a:solidFill>
              <a:ln>
                <a:noFill/>
              </a:ln>
              <a:effectLst/>
            </c:spPr>
            <c:extLst>
              <c:ext xmlns:c16="http://schemas.microsoft.com/office/drawing/2014/chart" uri="{C3380CC4-5D6E-409C-BE32-E72D297353CC}">
                <c16:uniqueId val="{0000002B-85A0-442A-BFC9-AA214FBBFD27}"/>
              </c:ext>
            </c:extLst>
          </c:dPt>
          <c:dPt>
            <c:idx val="40"/>
            <c:invertIfNegative val="0"/>
            <c:bubble3D val="0"/>
            <c:spPr>
              <a:solidFill>
                <a:srgbClr val="9CC746"/>
              </a:solidFill>
              <a:ln>
                <a:noFill/>
              </a:ln>
              <a:effectLst/>
            </c:spPr>
            <c:extLst>
              <c:ext xmlns:c16="http://schemas.microsoft.com/office/drawing/2014/chart" uri="{C3380CC4-5D6E-409C-BE32-E72D297353CC}">
                <c16:uniqueId val="{0000002C-85A0-442A-BFC9-AA214FBBFD27}"/>
              </c:ext>
            </c:extLst>
          </c:dPt>
          <c:dPt>
            <c:idx val="41"/>
            <c:invertIfNegative val="0"/>
            <c:bubble3D val="0"/>
            <c:spPr>
              <a:solidFill>
                <a:srgbClr val="9CC746"/>
              </a:solidFill>
              <a:ln>
                <a:noFill/>
              </a:ln>
              <a:effectLst/>
            </c:spPr>
            <c:extLst>
              <c:ext xmlns:c16="http://schemas.microsoft.com/office/drawing/2014/chart" uri="{C3380CC4-5D6E-409C-BE32-E72D297353CC}">
                <c16:uniqueId val="{0000002D-85A0-442A-BFC9-AA214FBBFD27}"/>
              </c:ext>
            </c:extLst>
          </c:dPt>
          <c:dPt>
            <c:idx val="42"/>
            <c:invertIfNegative val="0"/>
            <c:bubble3D val="0"/>
            <c:spPr>
              <a:solidFill>
                <a:srgbClr val="9CC746"/>
              </a:solidFill>
              <a:ln>
                <a:noFill/>
              </a:ln>
              <a:effectLst/>
            </c:spPr>
            <c:extLst>
              <c:ext xmlns:c16="http://schemas.microsoft.com/office/drawing/2014/chart" uri="{C3380CC4-5D6E-409C-BE32-E72D297353CC}">
                <c16:uniqueId val="{0000002E-85A0-442A-BFC9-AA214FBBFD27}"/>
              </c:ext>
            </c:extLst>
          </c:dPt>
          <c:dPt>
            <c:idx val="43"/>
            <c:invertIfNegative val="0"/>
            <c:bubble3D val="0"/>
            <c:spPr>
              <a:solidFill>
                <a:srgbClr val="9CC746"/>
              </a:solidFill>
              <a:ln>
                <a:noFill/>
              </a:ln>
              <a:effectLst/>
            </c:spPr>
            <c:extLst>
              <c:ext xmlns:c16="http://schemas.microsoft.com/office/drawing/2014/chart" uri="{C3380CC4-5D6E-409C-BE32-E72D297353CC}">
                <c16:uniqueId val="{0000002F-85A0-442A-BFC9-AA214FBBFD27}"/>
              </c:ext>
            </c:extLst>
          </c:dPt>
          <c:dPt>
            <c:idx val="44"/>
            <c:invertIfNegative val="0"/>
            <c:bubble3D val="0"/>
            <c:spPr>
              <a:solidFill>
                <a:srgbClr val="9CC746"/>
              </a:solidFill>
              <a:ln>
                <a:noFill/>
              </a:ln>
              <a:effectLst/>
            </c:spPr>
            <c:extLst>
              <c:ext xmlns:c16="http://schemas.microsoft.com/office/drawing/2014/chart" uri="{C3380CC4-5D6E-409C-BE32-E72D297353CC}">
                <c16:uniqueId val="{00000030-85A0-442A-BFC9-AA214FBBFD27}"/>
              </c:ext>
            </c:extLst>
          </c:dPt>
          <c:dPt>
            <c:idx val="45"/>
            <c:invertIfNegative val="0"/>
            <c:bubble3D val="0"/>
            <c:spPr>
              <a:solidFill>
                <a:srgbClr val="9CC746"/>
              </a:solidFill>
              <a:ln>
                <a:noFill/>
              </a:ln>
              <a:effectLst/>
            </c:spPr>
            <c:extLst>
              <c:ext xmlns:c16="http://schemas.microsoft.com/office/drawing/2014/chart" uri="{C3380CC4-5D6E-409C-BE32-E72D297353CC}">
                <c16:uniqueId val="{00000031-85A0-442A-BFC9-AA214FBBFD27}"/>
              </c:ext>
            </c:extLst>
          </c:dPt>
          <c:dPt>
            <c:idx val="46"/>
            <c:invertIfNegative val="0"/>
            <c:bubble3D val="0"/>
            <c:spPr>
              <a:solidFill>
                <a:srgbClr val="9CC746"/>
              </a:solidFill>
              <a:ln>
                <a:noFill/>
              </a:ln>
              <a:effectLst/>
            </c:spPr>
            <c:extLst>
              <c:ext xmlns:c16="http://schemas.microsoft.com/office/drawing/2014/chart" uri="{C3380CC4-5D6E-409C-BE32-E72D297353CC}">
                <c16:uniqueId val="{00000032-85A0-442A-BFC9-AA214FBBFD27}"/>
              </c:ext>
            </c:extLst>
          </c:dPt>
          <c:dPt>
            <c:idx val="47"/>
            <c:invertIfNegative val="0"/>
            <c:bubble3D val="0"/>
            <c:spPr>
              <a:solidFill>
                <a:srgbClr val="9CC746"/>
              </a:solidFill>
              <a:ln>
                <a:noFill/>
              </a:ln>
              <a:effectLst/>
            </c:spPr>
            <c:extLst>
              <c:ext xmlns:c16="http://schemas.microsoft.com/office/drawing/2014/chart" uri="{C3380CC4-5D6E-409C-BE32-E72D297353CC}">
                <c16:uniqueId val="{00000033-85A0-442A-BFC9-AA214FBBFD27}"/>
              </c:ext>
            </c:extLst>
          </c:dPt>
          <c:dPt>
            <c:idx val="48"/>
            <c:invertIfNegative val="0"/>
            <c:bubble3D val="0"/>
            <c:extLst>
              <c:ext xmlns:c16="http://schemas.microsoft.com/office/drawing/2014/chart" uri="{C3380CC4-5D6E-409C-BE32-E72D297353CC}">
                <c16:uniqueId val="{00000034-85A0-442A-BFC9-AA214FBBFD27}"/>
              </c:ext>
            </c:extLst>
          </c:dPt>
          <c:dPt>
            <c:idx val="49"/>
            <c:invertIfNegative val="0"/>
            <c:bubble3D val="0"/>
            <c:extLst>
              <c:ext xmlns:c16="http://schemas.microsoft.com/office/drawing/2014/chart" uri="{C3380CC4-5D6E-409C-BE32-E72D297353CC}">
                <c16:uniqueId val="{00000035-85A0-442A-BFC9-AA214FBBFD27}"/>
              </c:ext>
            </c:extLst>
          </c:dPt>
          <c:dPt>
            <c:idx val="50"/>
            <c:invertIfNegative val="0"/>
            <c:bubble3D val="0"/>
            <c:extLst>
              <c:ext xmlns:c16="http://schemas.microsoft.com/office/drawing/2014/chart" uri="{C3380CC4-5D6E-409C-BE32-E72D297353CC}">
                <c16:uniqueId val="{00000036-85A0-442A-BFC9-AA214FBBFD27}"/>
              </c:ext>
            </c:extLst>
          </c:dPt>
          <c:dPt>
            <c:idx val="51"/>
            <c:invertIfNegative val="0"/>
            <c:bubble3D val="0"/>
            <c:extLst>
              <c:ext xmlns:c16="http://schemas.microsoft.com/office/drawing/2014/chart" uri="{C3380CC4-5D6E-409C-BE32-E72D297353CC}">
                <c16:uniqueId val="{00000037-85A0-442A-BFC9-AA214FBBFD27}"/>
              </c:ext>
            </c:extLst>
          </c:dPt>
          <c:dPt>
            <c:idx val="52"/>
            <c:invertIfNegative val="0"/>
            <c:bubble3D val="0"/>
            <c:extLst>
              <c:ext xmlns:c16="http://schemas.microsoft.com/office/drawing/2014/chart" uri="{C3380CC4-5D6E-409C-BE32-E72D297353CC}">
                <c16:uniqueId val="{00000038-85A0-442A-BFC9-AA214FBBFD27}"/>
              </c:ext>
            </c:extLst>
          </c:dPt>
          <c:dPt>
            <c:idx val="53"/>
            <c:invertIfNegative val="0"/>
            <c:bubble3D val="0"/>
            <c:extLst>
              <c:ext xmlns:c16="http://schemas.microsoft.com/office/drawing/2014/chart" uri="{C3380CC4-5D6E-409C-BE32-E72D297353CC}">
                <c16:uniqueId val="{00000039-85A0-442A-BFC9-AA214FBBFD27}"/>
              </c:ext>
            </c:extLst>
          </c:dPt>
          <c:dPt>
            <c:idx val="54"/>
            <c:invertIfNegative val="0"/>
            <c:bubble3D val="0"/>
            <c:extLst>
              <c:ext xmlns:c16="http://schemas.microsoft.com/office/drawing/2014/chart" uri="{C3380CC4-5D6E-409C-BE32-E72D297353CC}">
                <c16:uniqueId val="{0000003A-85A0-442A-BFC9-AA214FBBFD27}"/>
              </c:ext>
            </c:extLst>
          </c:dPt>
          <c:dPt>
            <c:idx val="55"/>
            <c:invertIfNegative val="0"/>
            <c:bubble3D val="0"/>
            <c:extLst>
              <c:ext xmlns:c16="http://schemas.microsoft.com/office/drawing/2014/chart" uri="{C3380CC4-5D6E-409C-BE32-E72D297353CC}">
                <c16:uniqueId val="{0000003B-85A0-442A-BFC9-AA214FBBFD27}"/>
              </c:ext>
            </c:extLst>
          </c:dPt>
          <c:dPt>
            <c:idx val="56"/>
            <c:invertIfNegative val="0"/>
            <c:bubble3D val="0"/>
            <c:extLst>
              <c:ext xmlns:c16="http://schemas.microsoft.com/office/drawing/2014/chart" uri="{C3380CC4-5D6E-409C-BE32-E72D297353CC}">
                <c16:uniqueId val="{0000003C-85A0-442A-BFC9-AA214FBBFD27}"/>
              </c:ext>
            </c:extLst>
          </c:dPt>
          <c:dPt>
            <c:idx val="57"/>
            <c:invertIfNegative val="0"/>
            <c:bubble3D val="0"/>
            <c:extLst>
              <c:ext xmlns:c16="http://schemas.microsoft.com/office/drawing/2014/chart" uri="{C3380CC4-5D6E-409C-BE32-E72D297353CC}">
                <c16:uniqueId val="{0000003D-85A0-442A-BFC9-AA214FBBFD27}"/>
              </c:ext>
            </c:extLst>
          </c:dPt>
          <c:dPt>
            <c:idx val="58"/>
            <c:invertIfNegative val="0"/>
            <c:bubble3D val="0"/>
            <c:extLst>
              <c:ext xmlns:c16="http://schemas.microsoft.com/office/drawing/2014/chart" uri="{C3380CC4-5D6E-409C-BE32-E72D297353CC}">
                <c16:uniqueId val="{0000003E-85A0-442A-BFC9-AA214FBBFD27}"/>
              </c:ext>
            </c:extLst>
          </c:dPt>
          <c:dPt>
            <c:idx val="59"/>
            <c:invertIfNegative val="0"/>
            <c:bubble3D val="0"/>
            <c:extLst>
              <c:ext xmlns:c16="http://schemas.microsoft.com/office/drawing/2014/chart" uri="{C3380CC4-5D6E-409C-BE32-E72D297353CC}">
                <c16:uniqueId val="{0000003F-85A0-442A-BFC9-AA214FBBFD27}"/>
              </c:ext>
            </c:extLst>
          </c:dPt>
          <c:dPt>
            <c:idx val="60"/>
            <c:invertIfNegative val="0"/>
            <c:bubble3D val="0"/>
            <c:extLst>
              <c:ext xmlns:c16="http://schemas.microsoft.com/office/drawing/2014/chart" uri="{C3380CC4-5D6E-409C-BE32-E72D297353CC}">
                <c16:uniqueId val="{00000040-85A0-442A-BFC9-AA214FBBFD27}"/>
              </c:ext>
            </c:extLst>
          </c:dPt>
          <c:dPt>
            <c:idx val="61"/>
            <c:invertIfNegative val="0"/>
            <c:bubble3D val="0"/>
            <c:extLst>
              <c:ext xmlns:c16="http://schemas.microsoft.com/office/drawing/2014/chart" uri="{C3380CC4-5D6E-409C-BE32-E72D297353CC}">
                <c16:uniqueId val="{00000041-85A0-442A-BFC9-AA214FBBFD27}"/>
              </c:ext>
            </c:extLst>
          </c:dPt>
          <c:dPt>
            <c:idx val="62"/>
            <c:invertIfNegative val="0"/>
            <c:bubble3D val="0"/>
            <c:extLst>
              <c:ext xmlns:c16="http://schemas.microsoft.com/office/drawing/2014/chart" uri="{C3380CC4-5D6E-409C-BE32-E72D297353CC}">
                <c16:uniqueId val="{00000042-85A0-442A-BFC9-AA214FBBFD27}"/>
              </c:ext>
            </c:extLst>
          </c:dPt>
          <c:dPt>
            <c:idx val="63"/>
            <c:invertIfNegative val="0"/>
            <c:bubble3D val="0"/>
            <c:extLst>
              <c:ext xmlns:c16="http://schemas.microsoft.com/office/drawing/2014/chart" uri="{C3380CC4-5D6E-409C-BE32-E72D297353CC}">
                <c16:uniqueId val="{00000043-85A0-442A-BFC9-AA214FBBFD27}"/>
              </c:ext>
            </c:extLst>
          </c:dPt>
          <c:dPt>
            <c:idx val="64"/>
            <c:invertIfNegative val="0"/>
            <c:bubble3D val="0"/>
            <c:extLst>
              <c:ext xmlns:c16="http://schemas.microsoft.com/office/drawing/2014/chart" uri="{C3380CC4-5D6E-409C-BE32-E72D297353CC}">
                <c16:uniqueId val="{00000044-85A0-442A-BFC9-AA214FBBFD27}"/>
              </c:ext>
            </c:extLst>
          </c:dPt>
          <c:dPt>
            <c:idx val="65"/>
            <c:invertIfNegative val="0"/>
            <c:bubble3D val="0"/>
            <c:extLst>
              <c:ext xmlns:c16="http://schemas.microsoft.com/office/drawing/2014/chart" uri="{C3380CC4-5D6E-409C-BE32-E72D297353CC}">
                <c16:uniqueId val="{00000045-85A0-442A-BFC9-AA214FBBFD27}"/>
              </c:ext>
            </c:extLst>
          </c:dPt>
          <c:dPt>
            <c:idx val="66"/>
            <c:invertIfNegative val="0"/>
            <c:bubble3D val="0"/>
            <c:extLst>
              <c:ext xmlns:c16="http://schemas.microsoft.com/office/drawing/2014/chart" uri="{C3380CC4-5D6E-409C-BE32-E72D297353CC}">
                <c16:uniqueId val="{00000046-85A0-442A-BFC9-AA214FBBFD27}"/>
              </c:ext>
            </c:extLst>
          </c:dPt>
          <c:dPt>
            <c:idx val="67"/>
            <c:invertIfNegative val="0"/>
            <c:bubble3D val="0"/>
            <c:extLst>
              <c:ext xmlns:c16="http://schemas.microsoft.com/office/drawing/2014/chart" uri="{C3380CC4-5D6E-409C-BE32-E72D297353CC}">
                <c16:uniqueId val="{00000047-85A0-442A-BFC9-AA214FBBFD27}"/>
              </c:ext>
            </c:extLst>
          </c:dPt>
          <c:dPt>
            <c:idx val="68"/>
            <c:invertIfNegative val="0"/>
            <c:bubble3D val="0"/>
            <c:extLst>
              <c:ext xmlns:c16="http://schemas.microsoft.com/office/drawing/2014/chart" uri="{C3380CC4-5D6E-409C-BE32-E72D297353CC}">
                <c16:uniqueId val="{00000048-85A0-442A-BFC9-AA214FBBFD27}"/>
              </c:ext>
            </c:extLst>
          </c:dPt>
          <c:dPt>
            <c:idx val="69"/>
            <c:invertIfNegative val="0"/>
            <c:bubble3D val="0"/>
            <c:extLst>
              <c:ext xmlns:c16="http://schemas.microsoft.com/office/drawing/2014/chart" uri="{C3380CC4-5D6E-409C-BE32-E72D297353CC}">
                <c16:uniqueId val="{00000049-85A0-442A-BFC9-AA214FBBFD27}"/>
              </c:ext>
            </c:extLst>
          </c:dPt>
          <c:dPt>
            <c:idx val="70"/>
            <c:invertIfNegative val="0"/>
            <c:bubble3D val="0"/>
            <c:extLst>
              <c:ext xmlns:c16="http://schemas.microsoft.com/office/drawing/2014/chart" uri="{C3380CC4-5D6E-409C-BE32-E72D297353CC}">
                <c16:uniqueId val="{0000004A-85A0-442A-BFC9-AA214FBBFD27}"/>
              </c:ext>
            </c:extLst>
          </c:dPt>
          <c:dPt>
            <c:idx val="71"/>
            <c:invertIfNegative val="0"/>
            <c:bubble3D val="0"/>
            <c:extLst>
              <c:ext xmlns:c16="http://schemas.microsoft.com/office/drawing/2014/chart" uri="{C3380CC4-5D6E-409C-BE32-E72D297353CC}">
                <c16:uniqueId val="{0000004B-85A0-442A-BFC9-AA214FBBFD27}"/>
              </c:ext>
            </c:extLst>
          </c:dPt>
          <c:dPt>
            <c:idx val="72"/>
            <c:invertIfNegative val="0"/>
            <c:bubble3D val="0"/>
            <c:extLst>
              <c:ext xmlns:c16="http://schemas.microsoft.com/office/drawing/2014/chart" uri="{C3380CC4-5D6E-409C-BE32-E72D297353CC}">
                <c16:uniqueId val="{0000004C-85A0-442A-BFC9-AA214FBBFD27}"/>
              </c:ext>
            </c:extLst>
          </c:dPt>
          <c:dPt>
            <c:idx val="73"/>
            <c:invertIfNegative val="0"/>
            <c:bubble3D val="0"/>
            <c:extLst>
              <c:ext xmlns:c16="http://schemas.microsoft.com/office/drawing/2014/chart" uri="{C3380CC4-5D6E-409C-BE32-E72D297353CC}">
                <c16:uniqueId val="{0000004D-85A0-442A-BFC9-AA214FBBFD27}"/>
              </c:ext>
            </c:extLst>
          </c:dPt>
          <c:dPt>
            <c:idx val="74"/>
            <c:invertIfNegative val="0"/>
            <c:bubble3D val="0"/>
            <c:extLst>
              <c:ext xmlns:c16="http://schemas.microsoft.com/office/drawing/2014/chart" uri="{C3380CC4-5D6E-409C-BE32-E72D297353CC}">
                <c16:uniqueId val="{0000004E-85A0-442A-BFC9-AA214FBBFD27}"/>
              </c:ext>
            </c:extLst>
          </c:dPt>
          <c:dPt>
            <c:idx val="75"/>
            <c:invertIfNegative val="0"/>
            <c:bubble3D val="0"/>
            <c:extLst>
              <c:ext xmlns:c16="http://schemas.microsoft.com/office/drawing/2014/chart" uri="{C3380CC4-5D6E-409C-BE32-E72D297353CC}">
                <c16:uniqueId val="{0000004F-85A0-442A-BFC9-AA214FBBFD27}"/>
              </c:ext>
            </c:extLst>
          </c:dPt>
          <c:dPt>
            <c:idx val="76"/>
            <c:invertIfNegative val="0"/>
            <c:bubble3D val="0"/>
            <c:extLst>
              <c:ext xmlns:c16="http://schemas.microsoft.com/office/drawing/2014/chart" uri="{C3380CC4-5D6E-409C-BE32-E72D297353CC}">
                <c16:uniqueId val="{00000097-A9C0-4E3F-AB3C-9C44AB2F6327}"/>
              </c:ext>
            </c:extLst>
          </c:dPt>
          <c:dPt>
            <c:idx val="77"/>
            <c:invertIfNegative val="0"/>
            <c:bubble3D val="0"/>
            <c:extLst>
              <c:ext xmlns:c16="http://schemas.microsoft.com/office/drawing/2014/chart" uri="{C3380CC4-5D6E-409C-BE32-E72D297353CC}">
                <c16:uniqueId val="{00000099-A9C0-4E3F-AB3C-9C44AB2F6327}"/>
              </c:ext>
            </c:extLst>
          </c:dPt>
          <c:dPt>
            <c:idx val="78"/>
            <c:invertIfNegative val="0"/>
            <c:bubble3D val="0"/>
            <c:extLst>
              <c:ext xmlns:c16="http://schemas.microsoft.com/office/drawing/2014/chart" uri="{C3380CC4-5D6E-409C-BE32-E72D297353CC}">
                <c16:uniqueId val="{00000138-3975-41AC-81CC-2F131FC932A7}"/>
              </c:ext>
            </c:extLst>
          </c:dPt>
          <c:dPt>
            <c:idx val="79"/>
            <c:invertIfNegative val="0"/>
            <c:bubble3D val="0"/>
            <c:extLst>
              <c:ext xmlns:c16="http://schemas.microsoft.com/office/drawing/2014/chart" uri="{C3380CC4-5D6E-409C-BE32-E72D297353CC}">
                <c16:uniqueId val="{00000139-3975-41AC-81CC-2F131FC932A7}"/>
              </c:ext>
            </c:extLst>
          </c:dPt>
          <c:dPt>
            <c:idx val="80"/>
            <c:invertIfNegative val="0"/>
            <c:bubble3D val="0"/>
            <c:extLst>
              <c:ext xmlns:c16="http://schemas.microsoft.com/office/drawing/2014/chart" uri="{C3380CC4-5D6E-409C-BE32-E72D297353CC}">
                <c16:uniqueId val="{0000013A-3975-41AC-81CC-2F131FC932A7}"/>
              </c:ext>
            </c:extLst>
          </c:dPt>
          <c:dPt>
            <c:idx val="81"/>
            <c:invertIfNegative val="0"/>
            <c:bubble3D val="0"/>
            <c:extLst>
              <c:ext xmlns:c16="http://schemas.microsoft.com/office/drawing/2014/chart" uri="{C3380CC4-5D6E-409C-BE32-E72D297353CC}">
                <c16:uniqueId val="{0000013B-3975-41AC-81CC-2F131FC932A7}"/>
              </c:ext>
            </c:extLst>
          </c:dPt>
          <c:dPt>
            <c:idx val="82"/>
            <c:invertIfNegative val="0"/>
            <c:bubble3D val="0"/>
            <c:extLst>
              <c:ext xmlns:c16="http://schemas.microsoft.com/office/drawing/2014/chart" uri="{C3380CC4-5D6E-409C-BE32-E72D297353CC}">
                <c16:uniqueId val="{0000013C-3975-41AC-81CC-2F131FC932A7}"/>
              </c:ext>
            </c:extLst>
          </c:dPt>
          <c:dPt>
            <c:idx val="83"/>
            <c:invertIfNegative val="0"/>
            <c:bubble3D val="0"/>
            <c:extLst>
              <c:ext xmlns:c16="http://schemas.microsoft.com/office/drawing/2014/chart" uri="{C3380CC4-5D6E-409C-BE32-E72D297353CC}">
                <c16:uniqueId val="{0000013D-3975-41AC-81CC-2F131FC932A7}"/>
              </c:ext>
            </c:extLst>
          </c:dPt>
          <c:dPt>
            <c:idx val="84"/>
            <c:invertIfNegative val="0"/>
            <c:bubble3D val="0"/>
            <c:extLst>
              <c:ext xmlns:c16="http://schemas.microsoft.com/office/drawing/2014/chart" uri="{C3380CC4-5D6E-409C-BE32-E72D297353CC}">
                <c16:uniqueId val="{0000013E-3975-41AC-81CC-2F131FC932A7}"/>
              </c:ext>
            </c:extLst>
          </c:dPt>
          <c:dPt>
            <c:idx val="85"/>
            <c:invertIfNegative val="0"/>
            <c:bubble3D val="0"/>
            <c:extLst>
              <c:ext xmlns:c16="http://schemas.microsoft.com/office/drawing/2014/chart" uri="{C3380CC4-5D6E-409C-BE32-E72D297353CC}">
                <c16:uniqueId val="{0000013F-3975-41AC-81CC-2F131FC932A7}"/>
              </c:ext>
            </c:extLst>
          </c:dPt>
          <c:dPt>
            <c:idx val="86"/>
            <c:invertIfNegative val="0"/>
            <c:bubble3D val="0"/>
            <c:extLst>
              <c:ext xmlns:c16="http://schemas.microsoft.com/office/drawing/2014/chart" uri="{C3380CC4-5D6E-409C-BE32-E72D297353CC}">
                <c16:uniqueId val="{00000140-3975-41AC-81CC-2F131FC932A7}"/>
              </c:ext>
            </c:extLst>
          </c:dPt>
          <c:dPt>
            <c:idx val="87"/>
            <c:invertIfNegative val="0"/>
            <c:bubble3D val="0"/>
            <c:extLst>
              <c:ext xmlns:c16="http://schemas.microsoft.com/office/drawing/2014/chart" uri="{C3380CC4-5D6E-409C-BE32-E72D297353CC}">
                <c16:uniqueId val="{00000141-3975-41AC-81CC-2F131FC932A7}"/>
              </c:ext>
            </c:extLst>
          </c:dPt>
          <c:dPt>
            <c:idx val="88"/>
            <c:invertIfNegative val="0"/>
            <c:bubble3D val="0"/>
            <c:extLst>
              <c:ext xmlns:c16="http://schemas.microsoft.com/office/drawing/2014/chart" uri="{C3380CC4-5D6E-409C-BE32-E72D297353CC}">
                <c16:uniqueId val="{00000142-3975-41AC-81CC-2F131FC932A7}"/>
              </c:ext>
            </c:extLst>
          </c:dPt>
          <c:dPt>
            <c:idx val="89"/>
            <c:invertIfNegative val="0"/>
            <c:bubble3D val="0"/>
            <c:extLst>
              <c:ext xmlns:c16="http://schemas.microsoft.com/office/drawing/2014/chart" uri="{C3380CC4-5D6E-409C-BE32-E72D297353CC}">
                <c16:uniqueId val="{00000143-3975-41AC-81CC-2F131FC932A7}"/>
              </c:ext>
            </c:extLst>
          </c:dPt>
          <c:dPt>
            <c:idx val="90"/>
            <c:invertIfNegative val="0"/>
            <c:bubble3D val="0"/>
            <c:extLst>
              <c:ext xmlns:c16="http://schemas.microsoft.com/office/drawing/2014/chart" uri="{C3380CC4-5D6E-409C-BE32-E72D297353CC}">
                <c16:uniqueId val="{00000144-3975-41AC-81CC-2F131FC932A7}"/>
              </c:ext>
            </c:extLst>
          </c:dPt>
          <c:dPt>
            <c:idx val="91"/>
            <c:invertIfNegative val="0"/>
            <c:bubble3D val="0"/>
            <c:extLst>
              <c:ext xmlns:c16="http://schemas.microsoft.com/office/drawing/2014/chart" uri="{C3380CC4-5D6E-409C-BE32-E72D297353CC}">
                <c16:uniqueId val="{00000145-3975-41AC-81CC-2F131FC932A7}"/>
              </c:ext>
            </c:extLst>
          </c:dPt>
          <c:dPt>
            <c:idx val="92"/>
            <c:invertIfNegative val="0"/>
            <c:bubble3D val="0"/>
            <c:extLst>
              <c:ext xmlns:c16="http://schemas.microsoft.com/office/drawing/2014/chart" uri="{C3380CC4-5D6E-409C-BE32-E72D297353CC}">
                <c16:uniqueId val="{00000146-3975-41AC-81CC-2F131FC932A7}"/>
              </c:ext>
            </c:extLst>
          </c:dPt>
          <c:dPt>
            <c:idx val="93"/>
            <c:invertIfNegative val="0"/>
            <c:bubble3D val="0"/>
            <c:extLst>
              <c:ext xmlns:c16="http://schemas.microsoft.com/office/drawing/2014/chart" uri="{C3380CC4-5D6E-409C-BE32-E72D297353CC}">
                <c16:uniqueId val="{00000147-3975-41AC-81CC-2F131FC932A7}"/>
              </c:ext>
            </c:extLst>
          </c:dPt>
          <c:dPt>
            <c:idx val="94"/>
            <c:invertIfNegative val="0"/>
            <c:bubble3D val="0"/>
            <c:extLst>
              <c:ext xmlns:c16="http://schemas.microsoft.com/office/drawing/2014/chart" uri="{C3380CC4-5D6E-409C-BE32-E72D297353CC}">
                <c16:uniqueId val="{00000148-3975-41AC-81CC-2F131FC932A7}"/>
              </c:ext>
            </c:extLst>
          </c:dPt>
          <c:dPt>
            <c:idx val="95"/>
            <c:invertIfNegative val="0"/>
            <c:bubble3D val="0"/>
            <c:extLst>
              <c:ext xmlns:c16="http://schemas.microsoft.com/office/drawing/2014/chart" uri="{C3380CC4-5D6E-409C-BE32-E72D297353CC}">
                <c16:uniqueId val="{00000149-3975-41AC-81CC-2F131FC932A7}"/>
              </c:ext>
            </c:extLst>
          </c:dPt>
          <c:dPt>
            <c:idx val="96"/>
            <c:invertIfNegative val="0"/>
            <c:bubble3D val="0"/>
            <c:extLst>
              <c:ext xmlns:c16="http://schemas.microsoft.com/office/drawing/2014/chart" uri="{C3380CC4-5D6E-409C-BE32-E72D297353CC}">
                <c16:uniqueId val="{0000014A-3975-41AC-81CC-2F131FC932A7}"/>
              </c:ext>
            </c:extLst>
          </c:dPt>
          <c:dPt>
            <c:idx val="97"/>
            <c:invertIfNegative val="0"/>
            <c:bubble3D val="0"/>
            <c:extLst>
              <c:ext xmlns:c16="http://schemas.microsoft.com/office/drawing/2014/chart" uri="{C3380CC4-5D6E-409C-BE32-E72D297353CC}">
                <c16:uniqueId val="{0000014B-3975-41AC-81CC-2F131FC932A7}"/>
              </c:ext>
            </c:extLst>
          </c:dPt>
          <c:dPt>
            <c:idx val="98"/>
            <c:invertIfNegative val="0"/>
            <c:bubble3D val="0"/>
            <c:extLst>
              <c:ext xmlns:c16="http://schemas.microsoft.com/office/drawing/2014/chart" uri="{C3380CC4-5D6E-409C-BE32-E72D297353CC}">
                <c16:uniqueId val="{0000014C-3975-41AC-81CC-2F131FC932A7}"/>
              </c:ext>
            </c:extLst>
          </c:dPt>
          <c:dPt>
            <c:idx val="99"/>
            <c:invertIfNegative val="0"/>
            <c:bubble3D val="0"/>
            <c:extLst>
              <c:ext xmlns:c16="http://schemas.microsoft.com/office/drawing/2014/chart" uri="{C3380CC4-5D6E-409C-BE32-E72D297353CC}">
                <c16:uniqueId val="{0000014D-3975-41AC-81CC-2F131FC932A7}"/>
              </c:ext>
            </c:extLst>
          </c:dPt>
          <c:dPt>
            <c:idx val="100"/>
            <c:invertIfNegative val="0"/>
            <c:bubble3D val="0"/>
            <c:extLst>
              <c:ext xmlns:c16="http://schemas.microsoft.com/office/drawing/2014/chart" uri="{C3380CC4-5D6E-409C-BE32-E72D297353CC}">
                <c16:uniqueId val="{0000014E-3975-41AC-81CC-2F131FC932A7}"/>
              </c:ext>
            </c:extLst>
          </c:dPt>
          <c:dPt>
            <c:idx val="101"/>
            <c:invertIfNegative val="0"/>
            <c:bubble3D val="0"/>
            <c:extLst>
              <c:ext xmlns:c16="http://schemas.microsoft.com/office/drawing/2014/chart" uri="{C3380CC4-5D6E-409C-BE32-E72D297353CC}">
                <c16:uniqueId val="{0000014F-3975-41AC-81CC-2F131FC932A7}"/>
              </c:ext>
            </c:extLst>
          </c:dPt>
          <c:dPt>
            <c:idx val="102"/>
            <c:invertIfNegative val="0"/>
            <c:bubble3D val="0"/>
            <c:extLst>
              <c:ext xmlns:c16="http://schemas.microsoft.com/office/drawing/2014/chart" uri="{C3380CC4-5D6E-409C-BE32-E72D297353CC}">
                <c16:uniqueId val="{00000150-3975-41AC-81CC-2F131FC932A7}"/>
              </c:ext>
            </c:extLst>
          </c:dPt>
          <c:dPt>
            <c:idx val="103"/>
            <c:invertIfNegative val="0"/>
            <c:bubble3D val="0"/>
            <c:extLst>
              <c:ext xmlns:c16="http://schemas.microsoft.com/office/drawing/2014/chart" uri="{C3380CC4-5D6E-409C-BE32-E72D297353CC}">
                <c16:uniqueId val="{00000151-3975-41AC-81CC-2F131FC932A7}"/>
              </c:ext>
            </c:extLst>
          </c:dPt>
          <c:dPt>
            <c:idx val="104"/>
            <c:invertIfNegative val="0"/>
            <c:bubble3D val="0"/>
            <c:extLst>
              <c:ext xmlns:c16="http://schemas.microsoft.com/office/drawing/2014/chart" uri="{C3380CC4-5D6E-409C-BE32-E72D297353CC}">
                <c16:uniqueId val="{00000152-3975-41AC-81CC-2F131FC932A7}"/>
              </c:ext>
            </c:extLst>
          </c:dPt>
          <c:dPt>
            <c:idx val="105"/>
            <c:invertIfNegative val="0"/>
            <c:bubble3D val="0"/>
            <c:extLst>
              <c:ext xmlns:c16="http://schemas.microsoft.com/office/drawing/2014/chart" uri="{C3380CC4-5D6E-409C-BE32-E72D297353CC}">
                <c16:uniqueId val="{000000D3-3DE3-460E-B20A-1F64B13538CE}"/>
              </c:ext>
            </c:extLst>
          </c:dPt>
          <c:dPt>
            <c:idx val="106"/>
            <c:invertIfNegative val="0"/>
            <c:bubble3D val="0"/>
            <c:extLst>
              <c:ext xmlns:c16="http://schemas.microsoft.com/office/drawing/2014/chart" uri="{C3380CC4-5D6E-409C-BE32-E72D297353CC}">
                <c16:uniqueId val="{000000D5-3DE3-460E-B20A-1F64B13538CE}"/>
              </c:ext>
            </c:extLst>
          </c:dPt>
          <c:dPt>
            <c:idx val="107"/>
            <c:invertIfNegative val="0"/>
            <c:bubble3D val="0"/>
            <c:extLst>
              <c:ext xmlns:c16="http://schemas.microsoft.com/office/drawing/2014/chart" uri="{C3380CC4-5D6E-409C-BE32-E72D297353CC}">
                <c16:uniqueId val="{000001AC-3DE3-460E-B20A-1F64B13538CE}"/>
              </c:ext>
            </c:extLst>
          </c:dPt>
          <c:dPt>
            <c:idx val="108"/>
            <c:invertIfNegative val="0"/>
            <c:bubble3D val="0"/>
            <c:extLst>
              <c:ext xmlns:c16="http://schemas.microsoft.com/office/drawing/2014/chart" uri="{C3380CC4-5D6E-409C-BE32-E72D297353CC}">
                <c16:uniqueId val="{000001AD-3DE3-460E-B20A-1F64B13538CE}"/>
              </c:ext>
            </c:extLst>
          </c:dPt>
          <c:dPt>
            <c:idx val="109"/>
            <c:invertIfNegative val="0"/>
            <c:bubble3D val="0"/>
            <c:extLst>
              <c:ext xmlns:c16="http://schemas.microsoft.com/office/drawing/2014/chart" uri="{C3380CC4-5D6E-409C-BE32-E72D297353CC}">
                <c16:uniqueId val="{000001AE-3DE3-460E-B20A-1F64B13538CE}"/>
              </c:ext>
            </c:extLst>
          </c:dPt>
          <c:dPt>
            <c:idx val="110"/>
            <c:invertIfNegative val="0"/>
            <c:bubble3D val="0"/>
            <c:extLst>
              <c:ext xmlns:c16="http://schemas.microsoft.com/office/drawing/2014/chart" uri="{C3380CC4-5D6E-409C-BE32-E72D297353CC}">
                <c16:uniqueId val="{000001AF-3DE3-460E-B20A-1F64B13538CE}"/>
              </c:ext>
            </c:extLst>
          </c:dPt>
          <c:dPt>
            <c:idx val="111"/>
            <c:invertIfNegative val="0"/>
            <c:bubble3D val="0"/>
            <c:extLst>
              <c:ext xmlns:c16="http://schemas.microsoft.com/office/drawing/2014/chart" uri="{C3380CC4-5D6E-409C-BE32-E72D297353CC}">
                <c16:uniqueId val="{000001B0-3DE3-460E-B20A-1F64B13538CE}"/>
              </c:ext>
            </c:extLst>
          </c:dPt>
          <c:dPt>
            <c:idx val="112"/>
            <c:invertIfNegative val="0"/>
            <c:bubble3D val="0"/>
            <c:extLst>
              <c:ext xmlns:c16="http://schemas.microsoft.com/office/drawing/2014/chart" uri="{C3380CC4-5D6E-409C-BE32-E72D297353CC}">
                <c16:uniqueId val="{000001B1-3DE3-460E-B20A-1F64B13538CE}"/>
              </c:ext>
            </c:extLst>
          </c:dPt>
          <c:dPt>
            <c:idx val="113"/>
            <c:invertIfNegative val="0"/>
            <c:bubble3D val="0"/>
            <c:extLst>
              <c:ext xmlns:c16="http://schemas.microsoft.com/office/drawing/2014/chart" uri="{C3380CC4-5D6E-409C-BE32-E72D297353CC}">
                <c16:uniqueId val="{000001B2-3DE3-460E-B20A-1F64B13538CE}"/>
              </c:ext>
            </c:extLst>
          </c:dPt>
          <c:dPt>
            <c:idx val="114"/>
            <c:invertIfNegative val="0"/>
            <c:bubble3D val="0"/>
            <c:extLst>
              <c:ext xmlns:c16="http://schemas.microsoft.com/office/drawing/2014/chart" uri="{C3380CC4-5D6E-409C-BE32-E72D297353CC}">
                <c16:uniqueId val="{000001B3-3DE3-460E-B20A-1F64B13538CE}"/>
              </c:ext>
            </c:extLst>
          </c:dPt>
          <c:dPt>
            <c:idx val="115"/>
            <c:invertIfNegative val="0"/>
            <c:bubble3D val="0"/>
            <c:extLst>
              <c:ext xmlns:c16="http://schemas.microsoft.com/office/drawing/2014/chart" uri="{C3380CC4-5D6E-409C-BE32-E72D297353CC}">
                <c16:uniqueId val="{000001B4-3DE3-460E-B20A-1F64B13538CE}"/>
              </c:ext>
            </c:extLst>
          </c:dPt>
          <c:dPt>
            <c:idx val="116"/>
            <c:invertIfNegative val="0"/>
            <c:bubble3D val="0"/>
            <c:extLst>
              <c:ext xmlns:c16="http://schemas.microsoft.com/office/drawing/2014/chart" uri="{C3380CC4-5D6E-409C-BE32-E72D297353CC}">
                <c16:uniqueId val="{000001B5-3DE3-460E-B20A-1F64B13538CE}"/>
              </c:ext>
            </c:extLst>
          </c:dPt>
          <c:dPt>
            <c:idx val="117"/>
            <c:invertIfNegative val="0"/>
            <c:bubble3D val="0"/>
            <c:extLst>
              <c:ext xmlns:c16="http://schemas.microsoft.com/office/drawing/2014/chart" uri="{C3380CC4-5D6E-409C-BE32-E72D297353CC}">
                <c16:uniqueId val="{000001B6-3DE3-460E-B20A-1F64B13538CE}"/>
              </c:ext>
            </c:extLst>
          </c:dPt>
          <c:dPt>
            <c:idx val="118"/>
            <c:invertIfNegative val="0"/>
            <c:bubble3D val="0"/>
            <c:extLst>
              <c:ext xmlns:c16="http://schemas.microsoft.com/office/drawing/2014/chart" uri="{C3380CC4-5D6E-409C-BE32-E72D297353CC}">
                <c16:uniqueId val="{000001B7-3DE3-460E-B20A-1F64B13538CE}"/>
              </c:ext>
            </c:extLst>
          </c:dPt>
          <c:dPt>
            <c:idx val="119"/>
            <c:invertIfNegative val="0"/>
            <c:bubble3D val="0"/>
            <c:extLst>
              <c:ext xmlns:c16="http://schemas.microsoft.com/office/drawing/2014/chart" uri="{C3380CC4-5D6E-409C-BE32-E72D297353CC}">
                <c16:uniqueId val="{000001B8-3DE3-460E-B20A-1F64B13538CE}"/>
              </c:ext>
            </c:extLst>
          </c:dPt>
          <c:dPt>
            <c:idx val="120"/>
            <c:invertIfNegative val="0"/>
            <c:bubble3D val="0"/>
            <c:extLst>
              <c:ext xmlns:c16="http://schemas.microsoft.com/office/drawing/2014/chart" uri="{C3380CC4-5D6E-409C-BE32-E72D297353CC}">
                <c16:uniqueId val="{000001B9-3DE3-460E-B20A-1F64B13538CE}"/>
              </c:ext>
            </c:extLst>
          </c:dPt>
          <c:dPt>
            <c:idx val="121"/>
            <c:invertIfNegative val="0"/>
            <c:bubble3D val="0"/>
            <c:extLst>
              <c:ext xmlns:c16="http://schemas.microsoft.com/office/drawing/2014/chart" uri="{C3380CC4-5D6E-409C-BE32-E72D297353CC}">
                <c16:uniqueId val="{000000F3-6B59-4A36-B436-F5C1122D8819}"/>
              </c:ext>
            </c:extLst>
          </c:dPt>
          <c:dPt>
            <c:idx val="122"/>
            <c:invertIfNegative val="0"/>
            <c:bubble3D val="0"/>
            <c:extLst>
              <c:ext xmlns:c16="http://schemas.microsoft.com/office/drawing/2014/chart" uri="{C3380CC4-5D6E-409C-BE32-E72D297353CC}">
                <c16:uniqueId val="{000000F5-6B59-4A36-B436-F5C1122D8819}"/>
              </c:ext>
            </c:extLst>
          </c:dPt>
          <c:dPt>
            <c:idx val="123"/>
            <c:invertIfNegative val="0"/>
            <c:bubble3D val="0"/>
            <c:extLst>
              <c:ext xmlns:c16="http://schemas.microsoft.com/office/drawing/2014/chart" uri="{C3380CC4-5D6E-409C-BE32-E72D297353CC}">
                <c16:uniqueId val="{000000F7-6B59-4A36-B436-F5C1122D8819}"/>
              </c:ext>
            </c:extLst>
          </c:dPt>
          <c:dPt>
            <c:idx val="124"/>
            <c:invertIfNegative val="0"/>
            <c:bubble3D val="0"/>
            <c:extLst>
              <c:ext xmlns:c16="http://schemas.microsoft.com/office/drawing/2014/chart" uri="{C3380CC4-5D6E-409C-BE32-E72D297353CC}">
                <c16:uniqueId val="{000000F9-6B59-4A36-B436-F5C1122D8819}"/>
              </c:ext>
            </c:extLst>
          </c:dPt>
          <c:dPt>
            <c:idx val="125"/>
            <c:invertIfNegative val="0"/>
            <c:bubble3D val="0"/>
            <c:extLst>
              <c:ext xmlns:c16="http://schemas.microsoft.com/office/drawing/2014/chart" uri="{C3380CC4-5D6E-409C-BE32-E72D297353CC}">
                <c16:uniqueId val="{000000FB-6B59-4A36-B436-F5C1122D8819}"/>
              </c:ext>
            </c:extLst>
          </c:dPt>
          <c:dPt>
            <c:idx val="126"/>
            <c:invertIfNegative val="0"/>
            <c:bubble3D val="0"/>
            <c:extLst>
              <c:ext xmlns:c16="http://schemas.microsoft.com/office/drawing/2014/chart" uri="{C3380CC4-5D6E-409C-BE32-E72D297353CC}">
                <c16:uniqueId val="{000000FD-6B59-4A36-B436-F5C1122D8819}"/>
              </c:ext>
            </c:extLst>
          </c:dPt>
          <c:dPt>
            <c:idx val="127"/>
            <c:invertIfNegative val="0"/>
            <c:bubble3D val="0"/>
            <c:extLst>
              <c:ext xmlns:c16="http://schemas.microsoft.com/office/drawing/2014/chart" uri="{C3380CC4-5D6E-409C-BE32-E72D297353CC}">
                <c16:uniqueId val="{000001C8-3DE3-460E-B20A-1F64B13538CE}"/>
              </c:ext>
            </c:extLst>
          </c:dPt>
          <c:dPt>
            <c:idx val="128"/>
            <c:invertIfNegative val="0"/>
            <c:bubble3D val="0"/>
            <c:extLst>
              <c:ext xmlns:c16="http://schemas.microsoft.com/office/drawing/2014/chart" uri="{C3380CC4-5D6E-409C-BE32-E72D297353CC}">
                <c16:uniqueId val="{000001C9-3DE3-460E-B20A-1F64B13538CE}"/>
              </c:ext>
            </c:extLst>
          </c:dPt>
          <c:dPt>
            <c:idx val="129"/>
            <c:invertIfNegative val="0"/>
            <c:bubble3D val="0"/>
            <c:extLst>
              <c:ext xmlns:c16="http://schemas.microsoft.com/office/drawing/2014/chart" uri="{C3380CC4-5D6E-409C-BE32-E72D297353CC}">
                <c16:uniqueId val="{00000204-8320-4CD7-B263-7DD06620D044}"/>
              </c:ext>
            </c:extLst>
          </c:dPt>
          <c:dPt>
            <c:idx val="130"/>
            <c:invertIfNegative val="0"/>
            <c:bubble3D val="0"/>
            <c:extLst>
              <c:ext xmlns:c16="http://schemas.microsoft.com/office/drawing/2014/chart" uri="{C3380CC4-5D6E-409C-BE32-E72D297353CC}">
                <c16:uniqueId val="{00000205-8320-4CD7-B263-7DD06620D044}"/>
              </c:ext>
            </c:extLst>
          </c:dPt>
          <c:dPt>
            <c:idx val="131"/>
            <c:invertIfNegative val="0"/>
            <c:bubble3D val="0"/>
            <c:extLst>
              <c:ext xmlns:c16="http://schemas.microsoft.com/office/drawing/2014/chart" uri="{C3380CC4-5D6E-409C-BE32-E72D297353CC}">
                <c16:uniqueId val="{00000206-8320-4CD7-B263-7DD06620D044}"/>
              </c:ext>
            </c:extLst>
          </c:dPt>
          <c:dPt>
            <c:idx val="132"/>
            <c:invertIfNegative val="0"/>
            <c:bubble3D val="0"/>
            <c:extLst>
              <c:ext xmlns:c16="http://schemas.microsoft.com/office/drawing/2014/chart" uri="{C3380CC4-5D6E-409C-BE32-E72D297353CC}">
                <c16:uniqueId val="{00000207-8320-4CD7-B263-7DD06620D044}"/>
              </c:ext>
            </c:extLst>
          </c:dPt>
          <c:dPt>
            <c:idx val="133"/>
            <c:invertIfNegative val="0"/>
            <c:bubble3D val="0"/>
            <c:extLst>
              <c:ext xmlns:c16="http://schemas.microsoft.com/office/drawing/2014/chart" uri="{C3380CC4-5D6E-409C-BE32-E72D297353CC}">
                <c16:uniqueId val="{00000214-3F93-468C-816C-2C826A4946EC}"/>
              </c:ext>
            </c:extLst>
          </c:dPt>
          <c:dPt>
            <c:idx val="134"/>
            <c:invertIfNegative val="0"/>
            <c:bubble3D val="0"/>
            <c:extLst>
              <c:ext xmlns:c16="http://schemas.microsoft.com/office/drawing/2014/chart" uri="{C3380CC4-5D6E-409C-BE32-E72D297353CC}">
                <c16:uniqueId val="{00000215-3F93-468C-816C-2C826A4946EC}"/>
              </c:ext>
            </c:extLst>
          </c:dPt>
          <c:dPt>
            <c:idx val="135"/>
            <c:invertIfNegative val="0"/>
            <c:bubble3D val="0"/>
            <c:extLst>
              <c:ext xmlns:c16="http://schemas.microsoft.com/office/drawing/2014/chart" uri="{C3380CC4-5D6E-409C-BE32-E72D297353CC}">
                <c16:uniqueId val="{0000021C-EBE0-41D3-BA0B-F183E00F98CD}"/>
              </c:ext>
            </c:extLst>
          </c:dPt>
          <c:dPt>
            <c:idx val="136"/>
            <c:invertIfNegative val="0"/>
            <c:bubble3D val="0"/>
            <c:extLst>
              <c:ext xmlns:c16="http://schemas.microsoft.com/office/drawing/2014/chart" uri="{C3380CC4-5D6E-409C-BE32-E72D297353CC}">
                <c16:uniqueId val="{0000021D-EBE0-41D3-BA0B-F183E00F98CD}"/>
              </c:ext>
            </c:extLst>
          </c:dPt>
          <c:dPt>
            <c:idx val="137"/>
            <c:invertIfNegative val="0"/>
            <c:bubble3D val="0"/>
            <c:extLst>
              <c:ext xmlns:c16="http://schemas.microsoft.com/office/drawing/2014/chart" uri="{C3380CC4-5D6E-409C-BE32-E72D297353CC}">
                <c16:uniqueId val="{00000224-2B32-44CA-BD44-3A0C08BFDC9B}"/>
              </c:ext>
            </c:extLst>
          </c:dPt>
          <c:dPt>
            <c:idx val="138"/>
            <c:invertIfNegative val="0"/>
            <c:bubble3D val="0"/>
            <c:extLst>
              <c:ext xmlns:c16="http://schemas.microsoft.com/office/drawing/2014/chart" uri="{C3380CC4-5D6E-409C-BE32-E72D297353CC}">
                <c16:uniqueId val="{00000225-2B32-44CA-BD44-3A0C08BFDC9B}"/>
              </c:ext>
            </c:extLst>
          </c:dPt>
          <c:dPt>
            <c:idx val="139"/>
            <c:invertIfNegative val="0"/>
            <c:bubble3D val="0"/>
            <c:extLst>
              <c:ext xmlns:c16="http://schemas.microsoft.com/office/drawing/2014/chart" uri="{C3380CC4-5D6E-409C-BE32-E72D297353CC}">
                <c16:uniqueId val="{00000226-2B32-44CA-BD44-3A0C08BFDC9B}"/>
              </c:ext>
            </c:extLst>
          </c:dPt>
          <c:dPt>
            <c:idx val="140"/>
            <c:invertIfNegative val="0"/>
            <c:bubble3D val="0"/>
            <c:extLst>
              <c:ext xmlns:c16="http://schemas.microsoft.com/office/drawing/2014/chart" uri="{C3380CC4-5D6E-409C-BE32-E72D297353CC}">
                <c16:uniqueId val="{00000227-2B32-44CA-BD44-3A0C08BFDC9B}"/>
              </c:ext>
            </c:extLst>
          </c:dPt>
          <c:dPt>
            <c:idx val="141"/>
            <c:invertIfNegative val="0"/>
            <c:bubble3D val="0"/>
            <c:extLst>
              <c:ext xmlns:c16="http://schemas.microsoft.com/office/drawing/2014/chart" uri="{C3380CC4-5D6E-409C-BE32-E72D297353CC}">
                <c16:uniqueId val="{00000228-2B32-44CA-BD44-3A0C08BFDC9B}"/>
              </c:ext>
            </c:extLst>
          </c:dPt>
          <c:dPt>
            <c:idx val="142"/>
            <c:invertIfNegative val="0"/>
            <c:bubble3D val="0"/>
            <c:extLst>
              <c:ext xmlns:c16="http://schemas.microsoft.com/office/drawing/2014/chart" uri="{C3380CC4-5D6E-409C-BE32-E72D297353CC}">
                <c16:uniqueId val="{00000229-2B32-44CA-BD44-3A0C08BFDC9B}"/>
              </c:ext>
            </c:extLst>
          </c:dPt>
          <c:dPt>
            <c:idx val="143"/>
            <c:invertIfNegative val="0"/>
            <c:bubble3D val="0"/>
            <c:extLst>
              <c:ext xmlns:c16="http://schemas.microsoft.com/office/drawing/2014/chart" uri="{C3380CC4-5D6E-409C-BE32-E72D297353CC}">
                <c16:uniqueId val="{0000022A-2B32-44CA-BD44-3A0C08BFDC9B}"/>
              </c:ext>
            </c:extLst>
          </c:dPt>
          <c:dPt>
            <c:idx val="144"/>
            <c:invertIfNegative val="0"/>
            <c:bubble3D val="0"/>
            <c:extLst>
              <c:ext xmlns:c16="http://schemas.microsoft.com/office/drawing/2014/chart" uri="{C3380CC4-5D6E-409C-BE32-E72D297353CC}">
                <c16:uniqueId val="{0000022B-2B32-44CA-BD44-3A0C08BFDC9B}"/>
              </c:ext>
            </c:extLst>
          </c:dPt>
          <c:dPt>
            <c:idx val="145"/>
            <c:invertIfNegative val="0"/>
            <c:bubble3D val="0"/>
            <c:extLst>
              <c:ext xmlns:c16="http://schemas.microsoft.com/office/drawing/2014/chart" uri="{C3380CC4-5D6E-409C-BE32-E72D297353CC}">
                <c16:uniqueId val="{0000022C-2B32-44CA-BD44-3A0C08BFDC9B}"/>
              </c:ext>
            </c:extLst>
          </c:dPt>
          <c:dPt>
            <c:idx val="146"/>
            <c:invertIfNegative val="0"/>
            <c:bubble3D val="0"/>
            <c:extLst>
              <c:ext xmlns:c16="http://schemas.microsoft.com/office/drawing/2014/chart" uri="{C3380CC4-5D6E-409C-BE32-E72D297353CC}">
                <c16:uniqueId val="{0000022D-2B32-44CA-BD44-3A0C08BFDC9B}"/>
              </c:ext>
            </c:extLst>
          </c:dPt>
          <c:dPt>
            <c:idx val="147"/>
            <c:invertIfNegative val="0"/>
            <c:bubble3D val="0"/>
            <c:extLst>
              <c:ext xmlns:c16="http://schemas.microsoft.com/office/drawing/2014/chart" uri="{C3380CC4-5D6E-409C-BE32-E72D297353CC}">
                <c16:uniqueId val="{0000022E-2B32-44CA-BD44-3A0C08BFDC9B}"/>
              </c:ext>
            </c:extLst>
          </c:dPt>
          <c:dPt>
            <c:idx val="148"/>
            <c:invertIfNegative val="0"/>
            <c:bubble3D val="0"/>
            <c:extLst>
              <c:ext xmlns:c16="http://schemas.microsoft.com/office/drawing/2014/chart" uri="{C3380CC4-5D6E-409C-BE32-E72D297353CC}">
                <c16:uniqueId val="{0000022F-2B32-44CA-BD44-3A0C08BFDC9B}"/>
              </c:ext>
            </c:extLst>
          </c:dPt>
          <c:dPt>
            <c:idx val="149"/>
            <c:invertIfNegative val="0"/>
            <c:bubble3D val="0"/>
            <c:extLst>
              <c:ext xmlns:c16="http://schemas.microsoft.com/office/drawing/2014/chart" uri="{C3380CC4-5D6E-409C-BE32-E72D297353CC}">
                <c16:uniqueId val="{00000230-2B32-44CA-BD44-3A0C08BFDC9B}"/>
              </c:ext>
            </c:extLst>
          </c:dPt>
          <c:dPt>
            <c:idx val="150"/>
            <c:invertIfNegative val="0"/>
            <c:bubble3D val="0"/>
            <c:extLst>
              <c:ext xmlns:c16="http://schemas.microsoft.com/office/drawing/2014/chart" uri="{C3380CC4-5D6E-409C-BE32-E72D297353CC}">
                <c16:uniqueId val="{00000231-2B32-44CA-BD44-3A0C08BFDC9B}"/>
              </c:ext>
            </c:extLst>
          </c:dPt>
          <c:dPt>
            <c:idx val="151"/>
            <c:invertIfNegative val="0"/>
            <c:bubble3D val="0"/>
            <c:extLst>
              <c:ext xmlns:c16="http://schemas.microsoft.com/office/drawing/2014/chart" uri="{C3380CC4-5D6E-409C-BE32-E72D297353CC}">
                <c16:uniqueId val="{00000232-2B32-44CA-BD44-3A0C08BFDC9B}"/>
              </c:ext>
            </c:extLst>
          </c:dPt>
          <c:dPt>
            <c:idx val="152"/>
            <c:invertIfNegative val="0"/>
            <c:bubble3D val="0"/>
            <c:extLst>
              <c:ext xmlns:c16="http://schemas.microsoft.com/office/drawing/2014/chart" uri="{C3380CC4-5D6E-409C-BE32-E72D297353CC}">
                <c16:uniqueId val="{00000233-2B32-44CA-BD44-3A0C08BFDC9B}"/>
              </c:ext>
            </c:extLst>
          </c:dPt>
          <c:dPt>
            <c:idx val="153"/>
            <c:invertIfNegative val="0"/>
            <c:bubble3D val="0"/>
            <c:extLst>
              <c:ext xmlns:c16="http://schemas.microsoft.com/office/drawing/2014/chart" uri="{C3380CC4-5D6E-409C-BE32-E72D297353CC}">
                <c16:uniqueId val="{00000234-2B32-44CA-BD44-3A0C08BFDC9B}"/>
              </c:ext>
            </c:extLst>
          </c:dPt>
          <c:dPt>
            <c:idx val="154"/>
            <c:invertIfNegative val="0"/>
            <c:bubble3D val="0"/>
            <c:extLst>
              <c:ext xmlns:c16="http://schemas.microsoft.com/office/drawing/2014/chart" uri="{C3380CC4-5D6E-409C-BE32-E72D297353CC}">
                <c16:uniqueId val="{00000235-2B32-44CA-BD44-3A0C08BFDC9B}"/>
              </c:ext>
            </c:extLst>
          </c:dPt>
          <c:dPt>
            <c:idx val="155"/>
            <c:invertIfNegative val="0"/>
            <c:bubble3D val="0"/>
            <c:extLst>
              <c:ext xmlns:c16="http://schemas.microsoft.com/office/drawing/2014/chart" uri="{C3380CC4-5D6E-409C-BE32-E72D297353CC}">
                <c16:uniqueId val="{00000236-2B32-44CA-BD44-3A0C08BFDC9B}"/>
              </c:ext>
            </c:extLst>
          </c:dPt>
          <c:dPt>
            <c:idx val="156"/>
            <c:invertIfNegative val="0"/>
            <c:bubble3D val="0"/>
            <c:extLst>
              <c:ext xmlns:c16="http://schemas.microsoft.com/office/drawing/2014/chart" uri="{C3380CC4-5D6E-409C-BE32-E72D297353CC}">
                <c16:uniqueId val="{00000237-2B32-44CA-BD44-3A0C08BFDC9B}"/>
              </c:ext>
            </c:extLst>
          </c:dPt>
          <c:dPt>
            <c:idx val="157"/>
            <c:invertIfNegative val="0"/>
            <c:bubble3D val="0"/>
            <c:extLst>
              <c:ext xmlns:c16="http://schemas.microsoft.com/office/drawing/2014/chart" uri="{C3380CC4-5D6E-409C-BE32-E72D297353CC}">
                <c16:uniqueId val="{00000238-2B32-44CA-BD44-3A0C08BFDC9B}"/>
              </c:ext>
            </c:extLst>
          </c:dPt>
          <c:dPt>
            <c:idx val="158"/>
            <c:invertIfNegative val="0"/>
            <c:bubble3D val="0"/>
            <c:extLst>
              <c:ext xmlns:c16="http://schemas.microsoft.com/office/drawing/2014/chart" uri="{C3380CC4-5D6E-409C-BE32-E72D297353CC}">
                <c16:uniqueId val="{00000239-2B32-44CA-BD44-3A0C08BFDC9B}"/>
              </c:ext>
            </c:extLst>
          </c:dPt>
          <c:dPt>
            <c:idx val="159"/>
            <c:invertIfNegative val="0"/>
            <c:bubble3D val="0"/>
            <c:extLst>
              <c:ext xmlns:c16="http://schemas.microsoft.com/office/drawing/2014/chart" uri="{C3380CC4-5D6E-409C-BE32-E72D297353CC}">
                <c16:uniqueId val="{0000023A-2B32-44CA-BD44-3A0C08BFDC9B}"/>
              </c:ext>
            </c:extLst>
          </c:dPt>
          <c:dPt>
            <c:idx val="160"/>
            <c:invertIfNegative val="0"/>
            <c:bubble3D val="0"/>
            <c:extLst>
              <c:ext xmlns:c16="http://schemas.microsoft.com/office/drawing/2014/chart" uri="{C3380CC4-5D6E-409C-BE32-E72D297353CC}">
                <c16:uniqueId val="{0000023B-2B32-44CA-BD44-3A0C08BFDC9B}"/>
              </c:ext>
            </c:extLst>
          </c:dPt>
          <c:dPt>
            <c:idx val="161"/>
            <c:invertIfNegative val="0"/>
            <c:bubble3D val="0"/>
            <c:extLst>
              <c:ext xmlns:c16="http://schemas.microsoft.com/office/drawing/2014/chart" uri="{C3380CC4-5D6E-409C-BE32-E72D297353CC}">
                <c16:uniqueId val="{0000023C-2B32-44CA-BD44-3A0C08BFDC9B}"/>
              </c:ext>
            </c:extLst>
          </c:dPt>
          <c:dPt>
            <c:idx val="162"/>
            <c:invertIfNegative val="0"/>
            <c:bubble3D val="0"/>
            <c:extLst>
              <c:ext xmlns:c16="http://schemas.microsoft.com/office/drawing/2014/chart" uri="{C3380CC4-5D6E-409C-BE32-E72D297353CC}">
                <c16:uniqueId val="{0000023D-2B32-44CA-BD44-3A0C08BFDC9B}"/>
              </c:ext>
            </c:extLst>
          </c:dPt>
          <c:dPt>
            <c:idx val="163"/>
            <c:invertIfNegative val="0"/>
            <c:bubble3D val="0"/>
            <c:extLst>
              <c:ext xmlns:c16="http://schemas.microsoft.com/office/drawing/2014/chart" uri="{C3380CC4-5D6E-409C-BE32-E72D297353CC}">
                <c16:uniqueId val="{0000023E-2B32-44CA-BD44-3A0C08BFDC9B}"/>
              </c:ext>
            </c:extLst>
          </c:dPt>
          <c:dPt>
            <c:idx val="164"/>
            <c:invertIfNegative val="0"/>
            <c:bubble3D val="0"/>
            <c:extLst>
              <c:ext xmlns:c16="http://schemas.microsoft.com/office/drawing/2014/chart" uri="{C3380CC4-5D6E-409C-BE32-E72D297353CC}">
                <c16:uniqueId val="{0000023F-2B32-44CA-BD44-3A0C08BFDC9B}"/>
              </c:ext>
            </c:extLst>
          </c:dPt>
          <c:dPt>
            <c:idx val="165"/>
            <c:invertIfNegative val="0"/>
            <c:bubble3D val="0"/>
            <c:extLst>
              <c:ext xmlns:c16="http://schemas.microsoft.com/office/drawing/2014/chart" uri="{C3380CC4-5D6E-409C-BE32-E72D297353CC}">
                <c16:uniqueId val="{00000240-2B32-44CA-BD44-3A0C08BFDC9B}"/>
              </c:ext>
            </c:extLst>
          </c:dPt>
          <c:dPt>
            <c:idx val="166"/>
            <c:invertIfNegative val="0"/>
            <c:bubble3D val="0"/>
            <c:extLst>
              <c:ext xmlns:c16="http://schemas.microsoft.com/office/drawing/2014/chart" uri="{C3380CC4-5D6E-409C-BE32-E72D297353CC}">
                <c16:uniqueId val="{00000241-2B32-44CA-BD44-3A0C08BFDC9B}"/>
              </c:ext>
            </c:extLst>
          </c:dPt>
          <c:dPt>
            <c:idx val="167"/>
            <c:invertIfNegative val="0"/>
            <c:bubble3D val="0"/>
            <c:extLst>
              <c:ext xmlns:c16="http://schemas.microsoft.com/office/drawing/2014/chart" uri="{C3380CC4-5D6E-409C-BE32-E72D297353CC}">
                <c16:uniqueId val="{00000242-2B32-44CA-BD44-3A0C08BFDC9B}"/>
              </c:ext>
            </c:extLst>
          </c:dPt>
          <c:dPt>
            <c:idx val="168"/>
            <c:invertIfNegative val="0"/>
            <c:bubble3D val="0"/>
            <c:extLst>
              <c:ext xmlns:c16="http://schemas.microsoft.com/office/drawing/2014/chart" uri="{C3380CC4-5D6E-409C-BE32-E72D297353CC}">
                <c16:uniqueId val="{00000243-2B32-44CA-BD44-3A0C08BFDC9B}"/>
              </c:ext>
            </c:extLst>
          </c:dPt>
          <c:dPt>
            <c:idx val="169"/>
            <c:invertIfNegative val="0"/>
            <c:bubble3D val="0"/>
            <c:extLst>
              <c:ext xmlns:c16="http://schemas.microsoft.com/office/drawing/2014/chart" uri="{C3380CC4-5D6E-409C-BE32-E72D297353CC}">
                <c16:uniqueId val="{00000244-2B32-44CA-BD44-3A0C08BFDC9B}"/>
              </c:ext>
            </c:extLst>
          </c:dPt>
          <c:dPt>
            <c:idx val="170"/>
            <c:invertIfNegative val="0"/>
            <c:bubble3D val="0"/>
            <c:extLst>
              <c:ext xmlns:c16="http://schemas.microsoft.com/office/drawing/2014/chart" uri="{C3380CC4-5D6E-409C-BE32-E72D297353CC}">
                <c16:uniqueId val="{00000245-2B32-44CA-BD44-3A0C08BFDC9B}"/>
              </c:ext>
            </c:extLst>
          </c:dPt>
          <c:dPt>
            <c:idx val="171"/>
            <c:invertIfNegative val="0"/>
            <c:bubble3D val="0"/>
            <c:extLst>
              <c:ext xmlns:c16="http://schemas.microsoft.com/office/drawing/2014/chart" uri="{C3380CC4-5D6E-409C-BE32-E72D297353CC}">
                <c16:uniqueId val="{00000246-2B32-44CA-BD44-3A0C08BFDC9B}"/>
              </c:ext>
            </c:extLst>
          </c:dPt>
          <c:dPt>
            <c:idx val="172"/>
            <c:invertIfNegative val="0"/>
            <c:bubble3D val="0"/>
            <c:extLst>
              <c:ext xmlns:c16="http://schemas.microsoft.com/office/drawing/2014/chart" uri="{C3380CC4-5D6E-409C-BE32-E72D297353CC}">
                <c16:uniqueId val="{00000247-2B32-44CA-BD44-3A0C08BFDC9B}"/>
              </c:ext>
            </c:extLst>
          </c:dPt>
          <c:dPt>
            <c:idx val="173"/>
            <c:invertIfNegative val="0"/>
            <c:bubble3D val="0"/>
            <c:extLst>
              <c:ext xmlns:c16="http://schemas.microsoft.com/office/drawing/2014/chart" uri="{C3380CC4-5D6E-409C-BE32-E72D297353CC}">
                <c16:uniqueId val="{00000248-2B32-44CA-BD44-3A0C08BFDC9B}"/>
              </c:ext>
            </c:extLst>
          </c:dPt>
          <c:dPt>
            <c:idx val="174"/>
            <c:invertIfNegative val="0"/>
            <c:bubble3D val="0"/>
            <c:extLst>
              <c:ext xmlns:c16="http://schemas.microsoft.com/office/drawing/2014/chart" uri="{C3380CC4-5D6E-409C-BE32-E72D297353CC}">
                <c16:uniqueId val="{00000249-2B32-44CA-BD44-3A0C08BFDC9B}"/>
              </c:ext>
            </c:extLst>
          </c:dPt>
          <c:dPt>
            <c:idx val="175"/>
            <c:invertIfNegative val="0"/>
            <c:bubble3D val="0"/>
            <c:extLst>
              <c:ext xmlns:c16="http://schemas.microsoft.com/office/drawing/2014/chart" uri="{C3380CC4-5D6E-409C-BE32-E72D297353CC}">
                <c16:uniqueId val="{0000024A-2B32-44CA-BD44-3A0C08BFDC9B}"/>
              </c:ext>
            </c:extLst>
          </c:dPt>
          <c:dPt>
            <c:idx val="176"/>
            <c:invertIfNegative val="0"/>
            <c:bubble3D val="0"/>
            <c:extLst>
              <c:ext xmlns:c16="http://schemas.microsoft.com/office/drawing/2014/chart" uri="{C3380CC4-5D6E-409C-BE32-E72D297353CC}">
                <c16:uniqueId val="{0000024B-2B32-44CA-BD44-3A0C08BFDC9B}"/>
              </c:ext>
            </c:extLst>
          </c:dPt>
          <c:dPt>
            <c:idx val="177"/>
            <c:invertIfNegative val="0"/>
            <c:bubble3D val="0"/>
            <c:extLst>
              <c:ext xmlns:c16="http://schemas.microsoft.com/office/drawing/2014/chart" uri="{C3380CC4-5D6E-409C-BE32-E72D297353CC}">
                <c16:uniqueId val="{0000024C-2B32-44CA-BD44-3A0C08BFDC9B}"/>
              </c:ext>
            </c:extLst>
          </c:dPt>
          <c:dPt>
            <c:idx val="178"/>
            <c:invertIfNegative val="0"/>
            <c:bubble3D val="0"/>
            <c:extLst>
              <c:ext xmlns:c16="http://schemas.microsoft.com/office/drawing/2014/chart" uri="{C3380CC4-5D6E-409C-BE32-E72D297353CC}">
                <c16:uniqueId val="{0000024D-2B32-44CA-BD44-3A0C08BFDC9B}"/>
              </c:ext>
            </c:extLst>
          </c:dPt>
          <c:dPt>
            <c:idx val="179"/>
            <c:invertIfNegative val="0"/>
            <c:bubble3D val="0"/>
            <c:extLst>
              <c:ext xmlns:c16="http://schemas.microsoft.com/office/drawing/2014/chart" uri="{C3380CC4-5D6E-409C-BE32-E72D297353CC}">
                <c16:uniqueId val="{0000024E-2B32-44CA-BD44-3A0C08BFDC9B}"/>
              </c:ext>
            </c:extLst>
          </c:dPt>
          <c:dPt>
            <c:idx val="180"/>
            <c:invertIfNegative val="0"/>
            <c:bubble3D val="0"/>
            <c:extLst>
              <c:ext xmlns:c16="http://schemas.microsoft.com/office/drawing/2014/chart" uri="{C3380CC4-5D6E-409C-BE32-E72D297353CC}">
                <c16:uniqueId val="{0000024F-2B32-44CA-BD44-3A0C08BFDC9B}"/>
              </c:ext>
            </c:extLst>
          </c:dPt>
          <c:dPt>
            <c:idx val="181"/>
            <c:invertIfNegative val="0"/>
            <c:bubble3D val="0"/>
            <c:extLst>
              <c:ext xmlns:c16="http://schemas.microsoft.com/office/drawing/2014/chart" uri="{C3380CC4-5D6E-409C-BE32-E72D297353CC}">
                <c16:uniqueId val="{00000250-2B32-44CA-BD44-3A0C08BFDC9B}"/>
              </c:ext>
            </c:extLst>
          </c:dPt>
          <c:dPt>
            <c:idx val="182"/>
            <c:invertIfNegative val="0"/>
            <c:bubble3D val="0"/>
            <c:extLst>
              <c:ext xmlns:c16="http://schemas.microsoft.com/office/drawing/2014/chart" uri="{C3380CC4-5D6E-409C-BE32-E72D297353CC}">
                <c16:uniqueId val="{00000251-2B32-44CA-BD44-3A0C08BFDC9B}"/>
              </c:ext>
            </c:extLst>
          </c:dPt>
          <c:dPt>
            <c:idx val="183"/>
            <c:invertIfNegative val="0"/>
            <c:bubble3D val="0"/>
            <c:extLst>
              <c:ext xmlns:c16="http://schemas.microsoft.com/office/drawing/2014/chart" uri="{C3380CC4-5D6E-409C-BE32-E72D297353CC}">
                <c16:uniqueId val="{00000252-2B32-44CA-BD44-3A0C08BFDC9B}"/>
              </c:ext>
            </c:extLst>
          </c:dPt>
          <c:dPt>
            <c:idx val="184"/>
            <c:invertIfNegative val="0"/>
            <c:bubble3D val="0"/>
            <c:extLst>
              <c:ext xmlns:c16="http://schemas.microsoft.com/office/drawing/2014/chart" uri="{C3380CC4-5D6E-409C-BE32-E72D297353CC}">
                <c16:uniqueId val="{00000253-2B32-44CA-BD44-3A0C08BFDC9B}"/>
              </c:ext>
            </c:extLst>
          </c:dPt>
          <c:dPt>
            <c:idx val="185"/>
            <c:invertIfNegative val="0"/>
            <c:bubble3D val="0"/>
            <c:extLst>
              <c:ext xmlns:c16="http://schemas.microsoft.com/office/drawing/2014/chart" uri="{C3380CC4-5D6E-409C-BE32-E72D297353CC}">
                <c16:uniqueId val="{00000254-2B32-44CA-BD44-3A0C08BFDC9B}"/>
              </c:ext>
            </c:extLst>
          </c:dPt>
          <c:dPt>
            <c:idx val="186"/>
            <c:invertIfNegative val="0"/>
            <c:bubble3D val="0"/>
            <c:extLst>
              <c:ext xmlns:c16="http://schemas.microsoft.com/office/drawing/2014/chart" uri="{C3380CC4-5D6E-409C-BE32-E72D297353CC}">
                <c16:uniqueId val="{00000255-2B32-44CA-BD44-3A0C08BFDC9B}"/>
              </c:ext>
            </c:extLst>
          </c:dPt>
          <c:dPt>
            <c:idx val="187"/>
            <c:invertIfNegative val="0"/>
            <c:bubble3D val="0"/>
            <c:extLst>
              <c:ext xmlns:c16="http://schemas.microsoft.com/office/drawing/2014/chart" uri="{C3380CC4-5D6E-409C-BE32-E72D297353CC}">
                <c16:uniqueId val="{00000256-2B32-44CA-BD44-3A0C08BFDC9B}"/>
              </c:ext>
            </c:extLst>
          </c:dPt>
          <c:dPt>
            <c:idx val="188"/>
            <c:invertIfNegative val="0"/>
            <c:bubble3D val="0"/>
            <c:extLst>
              <c:ext xmlns:c16="http://schemas.microsoft.com/office/drawing/2014/chart" uri="{C3380CC4-5D6E-409C-BE32-E72D297353CC}">
                <c16:uniqueId val="{00000257-2B32-44CA-BD44-3A0C08BFDC9B}"/>
              </c:ext>
            </c:extLst>
          </c:dPt>
          <c:dPt>
            <c:idx val="189"/>
            <c:invertIfNegative val="0"/>
            <c:bubble3D val="0"/>
            <c:extLst>
              <c:ext xmlns:c16="http://schemas.microsoft.com/office/drawing/2014/chart" uri="{C3380CC4-5D6E-409C-BE32-E72D297353CC}">
                <c16:uniqueId val="{00000258-2B32-44CA-BD44-3A0C08BFDC9B}"/>
              </c:ext>
            </c:extLst>
          </c:dPt>
          <c:dPt>
            <c:idx val="190"/>
            <c:invertIfNegative val="0"/>
            <c:bubble3D val="0"/>
            <c:extLst>
              <c:ext xmlns:c16="http://schemas.microsoft.com/office/drawing/2014/chart" uri="{C3380CC4-5D6E-409C-BE32-E72D297353CC}">
                <c16:uniqueId val="{00000259-2B32-44CA-BD44-3A0C08BFDC9B}"/>
              </c:ext>
            </c:extLst>
          </c:dPt>
          <c:dPt>
            <c:idx val="191"/>
            <c:invertIfNegative val="0"/>
            <c:bubble3D val="0"/>
            <c:extLst>
              <c:ext xmlns:c16="http://schemas.microsoft.com/office/drawing/2014/chart" uri="{C3380CC4-5D6E-409C-BE32-E72D297353CC}">
                <c16:uniqueId val="{0000025A-2B32-44CA-BD44-3A0C08BFDC9B}"/>
              </c:ext>
            </c:extLst>
          </c:dPt>
          <c:dPt>
            <c:idx val="192"/>
            <c:invertIfNegative val="0"/>
            <c:bubble3D val="0"/>
            <c:extLst>
              <c:ext xmlns:c16="http://schemas.microsoft.com/office/drawing/2014/chart" uri="{C3380CC4-5D6E-409C-BE32-E72D297353CC}">
                <c16:uniqueId val="{0000025B-2B32-44CA-BD44-3A0C08BFDC9B}"/>
              </c:ext>
            </c:extLst>
          </c:dPt>
          <c:dPt>
            <c:idx val="193"/>
            <c:invertIfNegative val="0"/>
            <c:bubble3D val="0"/>
            <c:extLst>
              <c:ext xmlns:c16="http://schemas.microsoft.com/office/drawing/2014/chart" uri="{C3380CC4-5D6E-409C-BE32-E72D297353CC}">
                <c16:uniqueId val="{0000025C-2B32-44CA-BD44-3A0C08BFDC9B}"/>
              </c:ext>
            </c:extLst>
          </c:dPt>
          <c:dPt>
            <c:idx val="194"/>
            <c:invertIfNegative val="0"/>
            <c:bubble3D val="0"/>
            <c:extLst>
              <c:ext xmlns:c16="http://schemas.microsoft.com/office/drawing/2014/chart" uri="{C3380CC4-5D6E-409C-BE32-E72D297353CC}">
                <c16:uniqueId val="{0000025D-2B32-44CA-BD44-3A0C08BFDC9B}"/>
              </c:ext>
            </c:extLst>
          </c:dPt>
          <c:dPt>
            <c:idx val="195"/>
            <c:invertIfNegative val="0"/>
            <c:bubble3D val="0"/>
            <c:extLst>
              <c:ext xmlns:c16="http://schemas.microsoft.com/office/drawing/2014/chart" uri="{C3380CC4-5D6E-409C-BE32-E72D297353CC}">
                <c16:uniqueId val="{0000025E-2B32-44CA-BD44-3A0C08BFDC9B}"/>
              </c:ext>
            </c:extLst>
          </c:dPt>
          <c:dPt>
            <c:idx val="196"/>
            <c:invertIfNegative val="0"/>
            <c:bubble3D val="0"/>
            <c:extLst>
              <c:ext xmlns:c16="http://schemas.microsoft.com/office/drawing/2014/chart" uri="{C3380CC4-5D6E-409C-BE32-E72D297353CC}">
                <c16:uniqueId val="{0000025F-2B32-44CA-BD44-3A0C08BFDC9B}"/>
              </c:ext>
            </c:extLst>
          </c:dPt>
          <c:dPt>
            <c:idx val="197"/>
            <c:invertIfNegative val="0"/>
            <c:bubble3D val="0"/>
            <c:extLst>
              <c:ext xmlns:c16="http://schemas.microsoft.com/office/drawing/2014/chart" uri="{C3380CC4-5D6E-409C-BE32-E72D297353CC}">
                <c16:uniqueId val="{00000260-2B32-44CA-BD44-3A0C08BFDC9B}"/>
              </c:ext>
            </c:extLst>
          </c:dPt>
          <c:dPt>
            <c:idx val="198"/>
            <c:invertIfNegative val="0"/>
            <c:bubble3D val="0"/>
            <c:extLst>
              <c:ext xmlns:c16="http://schemas.microsoft.com/office/drawing/2014/chart" uri="{C3380CC4-5D6E-409C-BE32-E72D297353CC}">
                <c16:uniqueId val="{00000261-2B32-44CA-BD44-3A0C08BFDC9B}"/>
              </c:ext>
            </c:extLst>
          </c:dPt>
          <c:dPt>
            <c:idx val="199"/>
            <c:invertIfNegative val="0"/>
            <c:bubble3D val="0"/>
            <c:extLst>
              <c:ext xmlns:c16="http://schemas.microsoft.com/office/drawing/2014/chart" uri="{C3380CC4-5D6E-409C-BE32-E72D297353CC}">
                <c16:uniqueId val="{00000262-2B32-44CA-BD44-3A0C08BFDC9B}"/>
              </c:ext>
            </c:extLst>
          </c:dPt>
          <c:dPt>
            <c:idx val="200"/>
            <c:invertIfNegative val="0"/>
            <c:bubble3D val="0"/>
            <c:extLst>
              <c:ext xmlns:c16="http://schemas.microsoft.com/office/drawing/2014/chart" uri="{C3380CC4-5D6E-409C-BE32-E72D297353CC}">
                <c16:uniqueId val="{00000263-2B32-44CA-BD44-3A0C08BFDC9B}"/>
              </c:ext>
            </c:extLst>
          </c:dPt>
          <c:dPt>
            <c:idx val="201"/>
            <c:invertIfNegative val="0"/>
            <c:bubble3D val="0"/>
            <c:extLst>
              <c:ext xmlns:c16="http://schemas.microsoft.com/office/drawing/2014/chart" uri="{C3380CC4-5D6E-409C-BE32-E72D297353CC}">
                <c16:uniqueId val="{00000264-2B32-44CA-BD44-3A0C08BFDC9B}"/>
              </c:ext>
            </c:extLst>
          </c:dPt>
          <c:dPt>
            <c:idx val="202"/>
            <c:invertIfNegative val="0"/>
            <c:bubble3D val="0"/>
            <c:extLst>
              <c:ext xmlns:c16="http://schemas.microsoft.com/office/drawing/2014/chart" uri="{C3380CC4-5D6E-409C-BE32-E72D297353CC}">
                <c16:uniqueId val="{00000265-2B32-44CA-BD44-3A0C08BFDC9B}"/>
              </c:ext>
            </c:extLst>
          </c:dPt>
          <c:dPt>
            <c:idx val="203"/>
            <c:invertIfNegative val="0"/>
            <c:bubble3D val="0"/>
            <c:extLst>
              <c:ext xmlns:c16="http://schemas.microsoft.com/office/drawing/2014/chart" uri="{C3380CC4-5D6E-409C-BE32-E72D297353CC}">
                <c16:uniqueId val="{00000266-2B32-44CA-BD44-3A0C08BFDC9B}"/>
              </c:ext>
            </c:extLst>
          </c:dPt>
          <c:dPt>
            <c:idx val="204"/>
            <c:invertIfNegative val="0"/>
            <c:bubble3D val="0"/>
            <c:extLst>
              <c:ext xmlns:c16="http://schemas.microsoft.com/office/drawing/2014/chart" uri="{C3380CC4-5D6E-409C-BE32-E72D297353CC}">
                <c16:uniqueId val="{00000267-2B32-44CA-BD44-3A0C08BFDC9B}"/>
              </c:ext>
            </c:extLst>
          </c:dPt>
          <c:dPt>
            <c:idx val="205"/>
            <c:invertIfNegative val="0"/>
            <c:bubble3D val="0"/>
            <c:extLst>
              <c:ext xmlns:c16="http://schemas.microsoft.com/office/drawing/2014/chart" uri="{C3380CC4-5D6E-409C-BE32-E72D297353CC}">
                <c16:uniqueId val="{00000268-2B32-44CA-BD44-3A0C08BFDC9B}"/>
              </c:ext>
            </c:extLst>
          </c:dPt>
          <c:dPt>
            <c:idx val="206"/>
            <c:invertIfNegative val="0"/>
            <c:bubble3D val="0"/>
            <c:extLst>
              <c:ext xmlns:c16="http://schemas.microsoft.com/office/drawing/2014/chart" uri="{C3380CC4-5D6E-409C-BE32-E72D297353CC}">
                <c16:uniqueId val="{00000269-2B32-44CA-BD44-3A0C08BFDC9B}"/>
              </c:ext>
            </c:extLst>
          </c:dPt>
          <c:dPt>
            <c:idx val="207"/>
            <c:invertIfNegative val="0"/>
            <c:bubble3D val="0"/>
            <c:extLst>
              <c:ext xmlns:c16="http://schemas.microsoft.com/office/drawing/2014/chart" uri="{C3380CC4-5D6E-409C-BE32-E72D297353CC}">
                <c16:uniqueId val="{0000026A-2B32-44CA-BD44-3A0C08BFDC9B}"/>
              </c:ext>
            </c:extLst>
          </c:dPt>
          <c:dPt>
            <c:idx val="208"/>
            <c:invertIfNegative val="0"/>
            <c:bubble3D val="0"/>
            <c:extLst>
              <c:ext xmlns:c16="http://schemas.microsoft.com/office/drawing/2014/chart" uri="{C3380CC4-5D6E-409C-BE32-E72D297353CC}">
                <c16:uniqueId val="{0000026B-2B32-44CA-BD44-3A0C08BFDC9B}"/>
              </c:ext>
            </c:extLst>
          </c:dPt>
          <c:dPt>
            <c:idx val="209"/>
            <c:invertIfNegative val="0"/>
            <c:bubble3D val="0"/>
            <c:extLst>
              <c:ext xmlns:c16="http://schemas.microsoft.com/office/drawing/2014/chart" uri="{C3380CC4-5D6E-409C-BE32-E72D297353CC}">
                <c16:uniqueId val="{0000026C-2B32-44CA-BD44-3A0C08BFDC9B}"/>
              </c:ext>
            </c:extLst>
          </c:dPt>
          <c:dPt>
            <c:idx val="210"/>
            <c:invertIfNegative val="0"/>
            <c:bubble3D val="0"/>
            <c:extLst>
              <c:ext xmlns:c16="http://schemas.microsoft.com/office/drawing/2014/chart" uri="{C3380CC4-5D6E-409C-BE32-E72D297353CC}">
                <c16:uniqueId val="{0000026D-2B32-44CA-BD44-3A0C08BFDC9B}"/>
              </c:ext>
            </c:extLst>
          </c:dPt>
          <c:dPt>
            <c:idx val="211"/>
            <c:invertIfNegative val="0"/>
            <c:bubble3D val="0"/>
            <c:extLst>
              <c:ext xmlns:c16="http://schemas.microsoft.com/office/drawing/2014/chart" uri="{C3380CC4-5D6E-409C-BE32-E72D297353CC}">
                <c16:uniqueId val="{0000026E-2B32-44CA-BD44-3A0C08BFDC9B}"/>
              </c:ext>
            </c:extLst>
          </c:dPt>
          <c:dPt>
            <c:idx val="212"/>
            <c:invertIfNegative val="0"/>
            <c:bubble3D val="0"/>
            <c:extLst>
              <c:ext xmlns:c16="http://schemas.microsoft.com/office/drawing/2014/chart" uri="{C3380CC4-5D6E-409C-BE32-E72D297353CC}">
                <c16:uniqueId val="{0000026F-2B32-44CA-BD44-3A0C08BFDC9B}"/>
              </c:ext>
            </c:extLst>
          </c:dPt>
          <c:dPt>
            <c:idx val="213"/>
            <c:invertIfNegative val="0"/>
            <c:bubble3D val="0"/>
            <c:extLst>
              <c:ext xmlns:c16="http://schemas.microsoft.com/office/drawing/2014/chart" uri="{C3380CC4-5D6E-409C-BE32-E72D297353CC}">
                <c16:uniqueId val="{00000270-2B32-44CA-BD44-3A0C08BFDC9B}"/>
              </c:ext>
            </c:extLst>
          </c:dPt>
          <c:dPt>
            <c:idx val="214"/>
            <c:invertIfNegative val="0"/>
            <c:bubble3D val="0"/>
            <c:extLst>
              <c:ext xmlns:c16="http://schemas.microsoft.com/office/drawing/2014/chart" uri="{C3380CC4-5D6E-409C-BE32-E72D297353CC}">
                <c16:uniqueId val="{00000271-2B32-44CA-BD44-3A0C08BFDC9B}"/>
              </c:ext>
            </c:extLst>
          </c:dPt>
          <c:dPt>
            <c:idx val="215"/>
            <c:invertIfNegative val="0"/>
            <c:bubble3D val="0"/>
            <c:extLst>
              <c:ext xmlns:c16="http://schemas.microsoft.com/office/drawing/2014/chart" uri="{C3380CC4-5D6E-409C-BE32-E72D297353CC}">
                <c16:uniqueId val="{00000272-2B32-44CA-BD44-3A0C08BFDC9B}"/>
              </c:ext>
            </c:extLst>
          </c:dPt>
          <c:dPt>
            <c:idx val="216"/>
            <c:invertIfNegative val="0"/>
            <c:bubble3D val="0"/>
            <c:extLst>
              <c:ext xmlns:c16="http://schemas.microsoft.com/office/drawing/2014/chart" uri="{C3380CC4-5D6E-409C-BE32-E72D297353CC}">
                <c16:uniqueId val="{00000273-2B32-44CA-BD44-3A0C08BFDC9B}"/>
              </c:ext>
            </c:extLst>
          </c:dPt>
          <c:dPt>
            <c:idx val="217"/>
            <c:invertIfNegative val="0"/>
            <c:bubble3D val="0"/>
            <c:extLst>
              <c:ext xmlns:c16="http://schemas.microsoft.com/office/drawing/2014/chart" uri="{C3380CC4-5D6E-409C-BE32-E72D297353CC}">
                <c16:uniqueId val="{00000274-2B32-44CA-BD44-3A0C08BFDC9B}"/>
              </c:ext>
            </c:extLst>
          </c:dPt>
          <c:dPt>
            <c:idx val="218"/>
            <c:invertIfNegative val="0"/>
            <c:bubble3D val="0"/>
            <c:extLst>
              <c:ext xmlns:c16="http://schemas.microsoft.com/office/drawing/2014/chart" uri="{C3380CC4-5D6E-409C-BE32-E72D297353CC}">
                <c16:uniqueId val="{00000275-2B32-44CA-BD44-3A0C08BFDC9B}"/>
              </c:ext>
            </c:extLst>
          </c:dPt>
          <c:dPt>
            <c:idx val="219"/>
            <c:invertIfNegative val="0"/>
            <c:bubble3D val="0"/>
            <c:extLst>
              <c:ext xmlns:c16="http://schemas.microsoft.com/office/drawing/2014/chart" uri="{C3380CC4-5D6E-409C-BE32-E72D297353CC}">
                <c16:uniqueId val="{00000276-2B32-44CA-BD44-3A0C08BFDC9B}"/>
              </c:ext>
            </c:extLst>
          </c:dPt>
          <c:dPt>
            <c:idx val="220"/>
            <c:invertIfNegative val="0"/>
            <c:bubble3D val="0"/>
            <c:extLst>
              <c:ext xmlns:c16="http://schemas.microsoft.com/office/drawing/2014/chart" uri="{C3380CC4-5D6E-409C-BE32-E72D297353CC}">
                <c16:uniqueId val="{00000277-2B32-44CA-BD44-3A0C08BFDC9B}"/>
              </c:ext>
            </c:extLst>
          </c:dPt>
          <c:dPt>
            <c:idx val="221"/>
            <c:invertIfNegative val="0"/>
            <c:bubble3D val="0"/>
            <c:extLst>
              <c:ext xmlns:c16="http://schemas.microsoft.com/office/drawing/2014/chart" uri="{C3380CC4-5D6E-409C-BE32-E72D297353CC}">
                <c16:uniqueId val="{00000278-2B32-44CA-BD44-3A0C08BFDC9B}"/>
              </c:ext>
            </c:extLst>
          </c:dPt>
          <c:dPt>
            <c:idx val="222"/>
            <c:invertIfNegative val="0"/>
            <c:bubble3D val="0"/>
            <c:extLst>
              <c:ext xmlns:c16="http://schemas.microsoft.com/office/drawing/2014/chart" uri="{C3380CC4-5D6E-409C-BE32-E72D297353CC}">
                <c16:uniqueId val="{00000279-2B32-44CA-BD44-3A0C08BFDC9B}"/>
              </c:ext>
            </c:extLst>
          </c:dPt>
          <c:dPt>
            <c:idx val="223"/>
            <c:invertIfNegative val="0"/>
            <c:bubble3D val="0"/>
            <c:extLst>
              <c:ext xmlns:c16="http://schemas.microsoft.com/office/drawing/2014/chart" uri="{C3380CC4-5D6E-409C-BE32-E72D297353CC}">
                <c16:uniqueId val="{0000027A-2B32-44CA-BD44-3A0C08BFDC9B}"/>
              </c:ext>
            </c:extLst>
          </c:dPt>
          <c:dPt>
            <c:idx val="224"/>
            <c:invertIfNegative val="0"/>
            <c:bubble3D val="0"/>
            <c:extLst>
              <c:ext xmlns:c16="http://schemas.microsoft.com/office/drawing/2014/chart" uri="{C3380CC4-5D6E-409C-BE32-E72D297353CC}">
                <c16:uniqueId val="{0000027B-2B32-44CA-BD44-3A0C08BFDC9B}"/>
              </c:ext>
            </c:extLst>
          </c:dPt>
          <c:dPt>
            <c:idx val="225"/>
            <c:invertIfNegative val="0"/>
            <c:bubble3D val="0"/>
            <c:extLst>
              <c:ext xmlns:c16="http://schemas.microsoft.com/office/drawing/2014/chart" uri="{C3380CC4-5D6E-409C-BE32-E72D297353CC}">
                <c16:uniqueId val="{0000027C-2B32-44CA-BD44-3A0C08BFDC9B}"/>
              </c:ext>
            </c:extLst>
          </c:dPt>
          <c:dPt>
            <c:idx val="226"/>
            <c:invertIfNegative val="0"/>
            <c:bubble3D val="0"/>
            <c:extLst>
              <c:ext xmlns:c16="http://schemas.microsoft.com/office/drawing/2014/chart" uri="{C3380CC4-5D6E-409C-BE32-E72D297353CC}">
                <c16:uniqueId val="{0000027D-2B32-44CA-BD44-3A0C08BFDC9B}"/>
              </c:ext>
            </c:extLst>
          </c:dPt>
          <c:dPt>
            <c:idx val="227"/>
            <c:invertIfNegative val="0"/>
            <c:bubble3D val="0"/>
            <c:extLst>
              <c:ext xmlns:c16="http://schemas.microsoft.com/office/drawing/2014/chart" uri="{C3380CC4-5D6E-409C-BE32-E72D297353CC}">
                <c16:uniqueId val="{0000027E-2B32-44CA-BD44-3A0C08BFDC9B}"/>
              </c:ext>
            </c:extLst>
          </c:dPt>
          <c:dPt>
            <c:idx val="228"/>
            <c:invertIfNegative val="0"/>
            <c:bubble3D val="0"/>
            <c:extLst>
              <c:ext xmlns:c16="http://schemas.microsoft.com/office/drawing/2014/chart" uri="{C3380CC4-5D6E-409C-BE32-E72D297353CC}">
                <c16:uniqueId val="{0000027F-2B32-44CA-BD44-3A0C08BFDC9B}"/>
              </c:ext>
            </c:extLst>
          </c:dPt>
          <c:dPt>
            <c:idx val="229"/>
            <c:invertIfNegative val="0"/>
            <c:bubble3D val="0"/>
            <c:extLst>
              <c:ext xmlns:c16="http://schemas.microsoft.com/office/drawing/2014/chart" uri="{C3380CC4-5D6E-409C-BE32-E72D297353CC}">
                <c16:uniqueId val="{00000280-2B32-44CA-BD44-3A0C08BFDC9B}"/>
              </c:ext>
            </c:extLst>
          </c:dPt>
          <c:dPt>
            <c:idx val="230"/>
            <c:invertIfNegative val="0"/>
            <c:bubble3D val="0"/>
            <c:extLst>
              <c:ext xmlns:c16="http://schemas.microsoft.com/office/drawing/2014/chart" uri="{C3380CC4-5D6E-409C-BE32-E72D297353CC}">
                <c16:uniqueId val="{00000281-2B32-44CA-BD44-3A0C08BFDC9B}"/>
              </c:ext>
            </c:extLst>
          </c:dPt>
          <c:dPt>
            <c:idx val="231"/>
            <c:invertIfNegative val="0"/>
            <c:bubble3D val="0"/>
            <c:extLst>
              <c:ext xmlns:c16="http://schemas.microsoft.com/office/drawing/2014/chart" uri="{C3380CC4-5D6E-409C-BE32-E72D297353CC}">
                <c16:uniqueId val="{00000282-2B32-44CA-BD44-3A0C08BFDC9B}"/>
              </c:ext>
            </c:extLst>
          </c:dPt>
          <c:dPt>
            <c:idx val="232"/>
            <c:invertIfNegative val="0"/>
            <c:bubble3D val="0"/>
            <c:extLst>
              <c:ext xmlns:c16="http://schemas.microsoft.com/office/drawing/2014/chart" uri="{C3380CC4-5D6E-409C-BE32-E72D297353CC}">
                <c16:uniqueId val="{00000283-2B32-44CA-BD44-3A0C08BFDC9B}"/>
              </c:ext>
            </c:extLst>
          </c:dPt>
          <c:dPt>
            <c:idx val="233"/>
            <c:invertIfNegative val="0"/>
            <c:bubble3D val="0"/>
            <c:extLst>
              <c:ext xmlns:c16="http://schemas.microsoft.com/office/drawing/2014/chart" uri="{C3380CC4-5D6E-409C-BE32-E72D297353CC}">
                <c16:uniqueId val="{00000284-2B32-44CA-BD44-3A0C08BFDC9B}"/>
              </c:ext>
            </c:extLst>
          </c:dPt>
          <c:dPt>
            <c:idx val="234"/>
            <c:invertIfNegative val="0"/>
            <c:bubble3D val="0"/>
            <c:extLst>
              <c:ext xmlns:c16="http://schemas.microsoft.com/office/drawing/2014/chart" uri="{C3380CC4-5D6E-409C-BE32-E72D297353CC}">
                <c16:uniqueId val="{00000285-2B32-44CA-BD44-3A0C08BFDC9B}"/>
              </c:ext>
            </c:extLst>
          </c:dPt>
          <c:dPt>
            <c:idx val="235"/>
            <c:invertIfNegative val="0"/>
            <c:bubble3D val="0"/>
            <c:extLst>
              <c:ext xmlns:c16="http://schemas.microsoft.com/office/drawing/2014/chart" uri="{C3380CC4-5D6E-409C-BE32-E72D297353CC}">
                <c16:uniqueId val="{00000286-2B32-44CA-BD44-3A0C08BFDC9B}"/>
              </c:ext>
            </c:extLst>
          </c:dPt>
          <c:dPt>
            <c:idx val="236"/>
            <c:invertIfNegative val="0"/>
            <c:bubble3D val="0"/>
            <c:extLst>
              <c:ext xmlns:c16="http://schemas.microsoft.com/office/drawing/2014/chart" uri="{C3380CC4-5D6E-409C-BE32-E72D297353CC}">
                <c16:uniqueId val="{00000287-2B32-44CA-BD44-3A0C08BFDC9B}"/>
              </c:ext>
            </c:extLst>
          </c:dPt>
          <c:dPt>
            <c:idx val="237"/>
            <c:invertIfNegative val="0"/>
            <c:bubble3D val="0"/>
            <c:extLst>
              <c:ext xmlns:c16="http://schemas.microsoft.com/office/drawing/2014/chart" uri="{C3380CC4-5D6E-409C-BE32-E72D297353CC}">
                <c16:uniqueId val="{00000288-2B32-44CA-BD44-3A0C08BFDC9B}"/>
              </c:ext>
            </c:extLst>
          </c:dPt>
          <c:dPt>
            <c:idx val="238"/>
            <c:invertIfNegative val="0"/>
            <c:bubble3D val="0"/>
            <c:extLst>
              <c:ext xmlns:c16="http://schemas.microsoft.com/office/drawing/2014/chart" uri="{C3380CC4-5D6E-409C-BE32-E72D297353CC}">
                <c16:uniqueId val="{00000289-2B32-44CA-BD44-3A0C08BFDC9B}"/>
              </c:ext>
            </c:extLst>
          </c:dPt>
          <c:dPt>
            <c:idx val="239"/>
            <c:invertIfNegative val="0"/>
            <c:bubble3D val="0"/>
            <c:extLst>
              <c:ext xmlns:c16="http://schemas.microsoft.com/office/drawing/2014/chart" uri="{C3380CC4-5D6E-409C-BE32-E72D297353CC}">
                <c16:uniqueId val="{0000028A-2B32-44CA-BD44-3A0C08BFDC9B}"/>
              </c:ext>
            </c:extLst>
          </c:dPt>
          <c:dPt>
            <c:idx val="240"/>
            <c:invertIfNegative val="0"/>
            <c:bubble3D val="0"/>
            <c:extLst>
              <c:ext xmlns:c16="http://schemas.microsoft.com/office/drawing/2014/chart" uri="{C3380CC4-5D6E-409C-BE32-E72D297353CC}">
                <c16:uniqueId val="{0000028B-2B32-44CA-BD44-3A0C08BFDC9B}"/>
              </c:ext>
            </c:extLst>
          </c:dPt>
          <c:dPt>
            <c:idx val="241"/>
            <c:invertIfNegative val="0"/>
            <c:bubble3D val="0"/>
            <c:extLst>
              <c:ext xmlns:c16="http://schemas.microsoft.com/office/drawing/2014/chart" uri="{C3380CC4-5D6E-409C-BE32-E72D297353CC}">
                <c16:uniqueId val="{0000028C-2B32-44CA-BD44-3A0C08BFDC9B}"/>
              </c:ext>
            </c:extLst>
          </c:dPt>
          <c:dPt>
            <c:idx val="242"/>
            <c:invertIfNegative val="0"/>
            <c:bubble3D val="0"/>
            <c:extLst>
              <c:ext xmlns:c16="http://schemas.microsoft.com/office/drawing/2014/chart" uri="{C3380CC4-5D6E-409C-BE32-E72D297353CC}">
                <c16:uniqueId val="{0000028D-2B32-44CA-BD44-3A0C08BFDC9B}"/>
              </c:ext>
            </c:extLst>
          </c:dPt>
          <c:dPt>
            <c:idx val="243"/>
            <c:invertIfNegative val="0"/>
            <c:bubble3D val="0"/>
            <c:extLst>
              <c:ext xmlns:c16="http://schemas.microsoft.com/office/drawing/2014/chart" uri="{C3380CC4-5D6E-409C-BE32-E72D297353CC}">
                <c16:uniqueId val="{0000028E-2B32-44CA-BD44-3A0C08BFDC9B}"/>
              </c:ext>
            </c:extLst>
          </c:dPt>
          <c:dPt>
            <c:idx val="244"/>
            <c:invertIfNegative val="0"/>
            <c:bubble3D val="0"/>
            <c:extLst>
              <c:ext xmlns:c16="http://schemas.microsoft.com/office/drawing/2014/chart" uri="{C3380CC4-5D6E-409C-BE32-E72D297353CC}">
                <c16:uniqueId val="{0000028F-2B32-44CA-BD44-3A0C08BFDC9B}"/>
              </c:ext>
            </c:extLst>
          </c:dPt>
          <c:dPt>
            <c:idx val="245"/>
            <c:invertIfNegative val="0"/>
            <c:bubble3D val="0"/>
            <c:extLst>
              <c:ext xmlns:c16="http://schemas.microsoft.com/office/drawing/2014/chart" uri="{C3380CC4-5D6E-409C-BE32-E72D297353CC}">
                <c16:uniqueId val="{00000290-2B32-44CA-BD44-3A0C08BFDC9B}"/>
              </c:ext>
            </c:extLst>
          </c:dPt>
          <c:dPt>
            <c:idx val="246"/>
            <c:invertIfNegative val="0"/>
            <c:bubble3D val="0"/>
            <c:extLst>
              <c:ext xmlns:c16="http://schemas.microsoft.com/office/drawing/2014/chart" uri="{C3380CC4-5D6E-409C-BE32-E72D297353CC}">
                <c16:uniqueId val="{00000291-2B32-44CA-BD44-3A0C08BFDC9B}"/>
              </c:ext>
            </c:extLst>
          </c:dPt>
          <c:dPt>
            <c:idx val="247"/>
            <c:invertIfNegative val="0"/>
            <c:bubble3D val="0"/>
            <c:extLst>
              <c:ext xmlns:c16="http://schemas.microsoft.com/office/drawing/2014/chart" uri="{C3380CC4-5D6E-409C-BE32-E72D297353CC}">
                <c16:uniqueId val="{00000292-2B32-44CA-BD44-3A0C08BFDC9B}"/>
              </c:ext>
            </c:extLst>
          </c:dPt>
          <c:dPt>
            <c:idx val="248"/>
            <c:invertIfNegative val="0"/>
            <c:bubble3D val="0"/>
            <c:extLst>
              <c:ext xmlns:c16="http://schemas.microsoft.com/office/drawing/2014/chart" uri="{C3380CC4-5D6E-409C-BE32-E72D297353CC}">
                <c16:uniqueId val="{00000293-2B32-44CA-BD44-3A0C08BFDC9B}"/>
              </c:ext>
            </c:extLst>
          </c:dPt>
          <c:dPt>
            <c:idx val="249"/>
            <c:invertIfNegative val="0"/>
            <c:bubble3D val="0"/>
            <c:extLst>
              <c:ext xmlns:c16="http://schemas.microsoft.com/office/drawing/2014/chart" uri="{C3380CC4-5D6E-409C-BE32-E72D297353CC}">
                <c16:uniqueId val="{00000294-2B32-44CA-BD44-3A0C08BFDC9B}"/>
              </c:ext>
            </c:extLst>
          </c:dPt>
          <c:dPt>
            <c:idx val="250"/>
            <c:invertIfNegative val="0"/>
            <c:bubble3D val="0"/>
            <c:extLst>
              <c:ext xmlns:c16="http://schemas.microsoft.com/office/drawing/2014/chart" uri="{C3380CC4-5D6E-409C-BE32-E72D297353CC}">
                <c16:uniqueId val="{00000295-2B32-44CA-BD44-3A0C08BFDC9B}"/>
              </c:ext>
            </c:extLst>
          </c:dPt>
          <c:dPt>
            <c:idx val="251"/>
            <c:invertIfNegative val="0"/>
            <c:bubble3D val="0"/>
            <c:extLst>
              <c:ext xmlns:c16="http://schemas.microsoft.com/office/drawing/2014/chart" uri="{C3380CC4-5D6E-409C-BE32-E72D297353CC}">
                <c16:uniqueId val="{00000296-2B32-44CA-BD44-3A0C08BFDC9B}"/>
              </c:ext>
            </c:extLst>
          </c:dPt>
          <c:dPt>
            <c:idx val="252"/>
            <c:invertIfNegative val="0"/>
            <c:bubble3D val="0"/>
            <c:extLst>
              <c:ext xmlns:c16="http://schemas.microsoft.com/office/drawing/2014/chart" uri="{C3380CC4-5D6E-409C-BE32-E72D297353CC}">
                <c16:uniqueId val="{00000297-2B32-44CA-BD44-3A0C08BFDC9B}"/>
              </c:ext>
            </c:extLst>
          </c:dPt>
          <c:dPt>
            <c:idx val="253"/>
            <c:invertIfNegative val="0"/>
            <c:bubble3D val="0"/>
            <c:extLst>
              <c:ext xmlns:c16="http://schemas.microsoft.com/office/drawing/2014/chart" uri="{C3380CC4-5D6E-409C-BE32-E72D297353CC}">
                <c16:uniqueId val="{00000298-2B32-44CA-BD44-3A0C08BFDC9B}"/>
              </c:ext>
            </c:extLst>
          </c:dPt>
          <c:dPt>
            <c:idx val="254"/>
            <c:invertIfNegative val="0"/>
            <c:bubble3D val="0"/>
            <c:extLst>
              <c:ext xmlns:c16="http://schemas.microsoft.com/office/drawing/2014/chart" uri="{C3380CC4-5D6E-409C-BE32-E72D297353CC}">
                <c16:uniqueId val="{00000299-2B32-44CA-BD44-3A0C08BFDC9B}"/>
              </c:ext>
            </c:extLst>
          </c:dPt>
          <c:dPt>
            <c:idx val="255"/>
            <c:invertIfNegative val="0"/>
            <c:bubble3D val="0"/>
            <c:extLst>
              <c:ext xmlns:c16="http://schemas.microsoft.com/office/drawing/2014/chart" uri="{C3380CC4-5D6E-409C-BE32-E72D297353CC}">
                <c16:uniqueId val="{0000029A-2B32-44CA-BD44-3A0C08BFDC9B}"/>
              </c:ext>
            </c:extLst>
          </c:dPt>
          <c:dPt>
            <c:idx val="256"/>
            <c:invertIfNegative val="0"/>
            <c:bubble3D val="0"/>
            <c:extLst>
              <c:ext xmlns:c16="http://schemas.microsoft.com/office/drawing/2014/chart" uri="{C3380CC4-5D6E-409C-BE32-E72D297353CC}">
                <c16:uniqueId val="{0000029B-2B32-44CA-BD44-3A0C08BFDC9B}"/>
              </c:ext>
            </c:extLst>
          </c:dPt>
          <c:dPt>
            <c:idx val="257"/>
            <c:invertIfNegative val="0"/>
            <c:bubble3D val="0"/>
            <c:extLst>
              <c:ext xmlns:c16="http://schemas.microsoft.com/office/drawing/2014/chart" uri="{C3380CC4-5D6E-409C-BE32-E72D297353CC}">
                <c16:uniqueId val="{0000029C-2B32-44CA-BD44-3A0C08BFDC9B}"/>
              </c:ext>
            </c:extLst>
          </c:dPt>
          <c:dPt>
            <c:idx val="258"/>
            <c:invertIfNegative val="0"/>
            <c:bubble3D val="0"/>
            <c:extLst>
              <c:ext xmlns:c16="http://schemas.microsoft.com/office/drawing/2014/chart" uri="{C3380CC4-5D6E-409C-BE32-E72D297353CC}">
                <c16:uniqueId val="{0000029D-2B32-44CA-BD44-3A0C08BFDC9B}"/>
              </c:ext>
            </c:extLst>
          </c:dPt>
          <c:dPt>
            <c:idx val="259"/>
            <c:invertIfNegative val="0"/>
            <c:bubble3D val="0"/>
            <c:extLst>
              <c:ext xmlns:c16="http://schemas.microsoft.com/office/drawing/2014/chart" uri="{C3380CC4-5D6E-409C-BE32-E72D297353CC}">
                <c16:uniqueId val="{0000029E-2B32-44CA-BD44-3A0C08BFDC9B}"/>
              </c:ext>
            </c:extLst>
          </c:dPt>
          <c:dPt>
            <c:idx val="260"/>
            <c:invertIfNegative val="0"/>
            <c:bubble3D val="0"/>
            <c:extLst>
              <c:ext xmlns:c16="http://schemas.microsoft.com/office/drawing/2014/chart" uri="{C3380CC4-5D6E-409C-BE32-E72D297353CC}">
                <c16:uniqueId val="{0000029F-2B32-44CA-BD44-3A0C08BFDC9B}"/>
              </c:ext>
            </c:extLst>
          </c:dPt>
          <c:dPt>
            <c:idx val="261"/>
            <c:invertIfNegative val="0"/>
            <c:bubble3D val="0"/>
            <c:extLst>
              <c:ext xmlns:c16="http://schemas.microsoft.com/office/drawing/2014/chart" uri="{C3380CC4-5D6E-409C-BE32-E72D297353CC}">
                <c16:uniqueId val="{000002A0-2B32-44CA-BD44-3A0C08BFDC9B}"/>
              </c:ext>
            </c:extLst>
          </c:dPt>
          <c:dPt>
            <c:idx val="262"/>
            <c:invertIfNegative val="0"/>
            <c:bubble3D val="0"/>
            <c:extLst>
              <c:ext xmlns:c16="http://schemas.microsoft.com/office/drawing/2014/chart" uri="{C3380CC4-5D6E-409C-BE32-E72D297353CC}">
                <c16:uniqueId val="{000002A1-2B32-44CA-BD44-3A0C08BFDC9B}"/>
              </c:ext>
            </c:extLst>
          </c:dPt>
          <c:dPt>
            <c:idx val="263"/>
            <c:invertIfNegative val="0"/>
            <c:bubble3D val="0"/>
            <c:extLst>
              <c:ext xmlns:c16="http://schemas.microsoft.com/office/drawing/2014/chart" uri="{C3380CC4-5D6E-409C-BE32-E72D297353CC}">
                <c16:uniqueId val="{000002A2-2B32-44CA-BD44-3A0C08BFDC9B}"/>
              </c:ext>
            </c:extLst>
          </c:dPt>
          <c:dPt>
            <c:idx val="264"/>
            <c:invertIfNegative val="0"/>
            <c:bubble3D val="0"/>
            <c:extLst>
              <c:ext xmlns:c16="http://schemas.microsoft.com/office/drawing/2014/chart" uri="{C3380CC4-5D6E-409C-BE32-E72D297353CC}">
                <c16:uniqueId val="{000002A3-2B32-44CA-BD44-3A0C08BFDC9B}"/>
              </c:ext>
            </c:extLst>
          </c:dPt>
          <c:dPt>
            <c:idx val="265"/>
            <c:invertIfNegative val="0"/>
            <c:bubble3D val="0"/>
            <c:extLst>
              <c:ext xmlns:c16="http://schemas.microsoft.com/office/drawing/2014/chart" uri="{C3380CC4-5D6E-409C-BE32-E72D297353CC}">
                <c16:uniqueId val="{000002A4-2B32-44CA-BD44-3A0C08BFDC9B}"/>
              </c:ext>
            </c:extLst>
          </c:dPt>
          <c:dPt>
            <c:idx val="266"/>
            <c:invertIfNegative val="0"/>
            <c:bubble3D val="0"/>
            <c:extLst>
              <c:ext xmlns:c16="http://schemas.microsoft.com/office/drawing/2014/chart" uri="{C3380CC4-5D6E-409C-BE32-E72D297353CC}">
                <c16:uniqueId val="{000002A5-2B32-44CA-BD44-3A0C08BFDC9B}"/>
              </c:ext>
            </c:extLst>
          </c:dPt>
          <c:dPt>
            <c:idx val="267"/>
            <c:invertIfNegative val="0"/>
            <c:bubble3D val="0"/>
            <c:extLst>
              <c:ext xmlns:c16="http://schemas.microsoft.com/office/drawing/2014/chart" uri="{C3380CC4-5D6E-409C-BE32-E72D297353CC}">
                <c16:uniqueId val="{000002A6-2B32-44CA-BD44-3A0C08BFDC9B}"/>
              </c:ext>
            </c:extLst>
          </c:dPt>
          <c:dPt>
            <c:idx val="268"/>
            <c:invertIfNegative val="0"/>
            <c:bubble3D val="0"/>
            <c:extLst>
              <c:ext xmlns:c16="http://schemas.microsoft.com/office/drawing/2014/chart" uri="{C3380CC4-5D6E-409C-BE32-E72D297353CC}">
                <c16:uniqueId val="{000002A7-2B32-44CA-BD44-3A0C08BFDC9B}"/>
              </c:ext>
            </c:extLst>
          </c:dPt>
          <c:dPt>
            <c:idx val="269"/>
            <c:invertIfNegative val="0"/>
            <c:bubble3D val="0"/>
            <c:extLst>
              <c:ext xmlns:c16="http://schemas.microsoft.com/office/drawing/2014/chart" uri="{C3380CC4-5D6E-409C-BE32-E72D297353CC}">
                <c16:uniqueId val="{000002A8-2B32-44CA-BD44-3A0C08BFDC9B}"/>
              </c:ext>
            </c:extLst>
          </c:dPt>
          <c:dPt>
            <c:idx val="270"/>
            <c:invertIfNegative val="0"/>
            <c:bubble3D val="0"/>
            <c:extLst>
              <c:ext xmlns:c16="http://schemas.microsoft.com/office/drawing/2014/chart" uri="{C3380CC4-5D6E-409C-BE32-E72D297353CC}">
                <c16:uniqueId val="{000002A9-2B32-44CA-BD44-3A0C08BFDC9B}"/>
              </c:ext>
            </c:extLst>
          </c:dPt>
          <c:dPt>
            <c:idx val="271"/>
            <c:invertIfNegative val="0"/>
            <c:bubble3D val="0"/>
            <c:extLst>
              <c:ext xmlns:c16="http://schemas.microsoft.com/office/drawing/2014/chart" uri="{C3380CC4-5D6E-409C-BE32-E72D297353CC}">
                <c16:uniqueId val="{000002AA-2B32-44CA-BD44-3A0C08BFDC9B}"/>
              </c:ext>
            </c:extLst>
          </c:dPt>
          <c:dPt>
            <c:idx val="272"/>
            <c:invertIfNegative val="0"/>
            <c:bubble3D val="0"/>
            <c:extLst>
              <c:ext xmlns:c16="http://schemas.microsoft.com/office/drawing/2014/chart" uri="{C3380CC4-5D6E-409C-BE32-E72D297353CC}">
                <c16:uniqueId val="{000002AB-2B32-44CA-BD44-3A0C08BFDC9B}"/>
              </c:ext>
            </c:extLst>
          </c:dPt>
          <c:dPt>
            <c:idx val="273"/>
            <c:invertIfNegative val="0"/>
            <c:bubble3D val="0"/>
            <c:extLst>
              <c:ext xmlns:c16="http://schemas.microsoft.com/office/drawing/2014/chart" uri="{C3380CC4-5D6E-409C-BE32-E72D297353CC}">
                <c16:uniqueId val="{000002AC-2B32-44CA-BD44-3A0C08BFDC9B}"/>
              </c:ext>
            </c:extLst>
          </c:dPt>
          <c:dPt>
            <c:idx val="274"/>
            <c:invertIfNegative val="0"/>
            <c:bubble3D val="0"/>
            <c:extLst>
              <c:ext xmlns:c16="http://schemas.microsoft.com/office/drawing/2014/chart" uri="{C3380CC4-5D6E-409C-BE32-E72D297353CC}">
                <c16:uniqueId val="{000002AD-2B32-44CA-BD44-3A0C08BFDC9B}"/>
              </c:ext>
            </c:extLst>
          </c:dPt>
          <c:dPt>
            <c:idx val="275"/>
            <c:invertIfNegative val="0"/>
            <c:bubble3D val="0"/>
            <c:extLst>
              <c:ext xmlns:c16="http://schemas.microsoft.com/office/drawing/2014/chart" uri="{C3380CC4-5D6E-409C-BE32-E72D297353CC}">
                <c16:uniqueId val="{000002AE-2B32-44CA-BD44-3A0C08BFDC9B}"/>
              </c:ext>
            </c:extLst>
          </c:dPt>
          <c:dPt>
            <c:idx val="276"/>
            <c:invertIfNegative val="0"/>
            <c:bubble3D val="0"/>
            <c:extLst>
              <c:ext xmlns:c16="http://schemas.microsoft.com/office/drawing/2014/chart" uri="{C3380CC4-5D6E-409C-BE32-E72D297353CC}">
                <c16:uniqueId val="{000002AF-2B32-44CA-BD44-3A0C08BFDC9B}"/>
              </c:ext>
            </c:extLst>
          </c:dPt>
          <c:dPt>
            <c:idx val="277"/>
            <c:invertIfNegative val="0"/>
            <c:bubble3D val="0"/>
            <c:extLst>
              <c:ext xmlns:c16="http://schemas.microsoft.com/office/drawing/2014/chart" uri="{C3380CC4-5D6E-409C-BE32-E72D297353CC}">
                <c16:uniqueId val="{000002B0-2B32-44CA-BD44-3A0C08BFDC9B}"/>
              </c:ext>
            </c:extLst>
          </c:dPt>
          <c:dPt>
            <c:idx val="278"/>
            <c:invertIfNegative val="0"/>
            <c:bubble3D val="0"/>
            <c:extLst>
              <c:ext xmlns:c16="http://schemas.microsoft.com/office/drawing/2014/chart" uri="{C3380CC4-5D6E-409C-BE32-E72D297353CC}">
                <c16:uniqueId val="{000002B1-2B32-44CA-BD44-3A0C08BFDC9B}"/>
              </c:ext>
            </c:extLst>
          </c:dPt>
          <c:dPt>
            <c:idx val="279"/>
            <c:invertIfNegative val="0"/>
            <c:bubble3D val="0"/>
            <c:extLst>
              <c:ext xmlns:c16="http://schemas.microsoft.com/office/drawing/2014/chart" uri="{C3380CC4-5D6E-409C-BE32-E72D297353CC}">
                <c16:uniqueId val="{000002B2-2B32-44CA-BD44-3A0C08BFDC9B}"/>
              </c:ext>
            </c:extLst>
          </c:dPt>
          <c:dPt>
            <c:idx val="280"/>
            <c:invertIfNegative val="0"/>
            <c:bubble3D val="0"/>
            <c:extLst>
              <c:ext xmlns:c16="http://schemas.microsoft.com/office/drawing/2014/chart" uri="{C3380CC4-5D6E-409C-BE32-E72D297353CC}">
                <c16:uniqueId val="{000002B3-2B32-44CA-BD44-3A0C08BFDC9B}"/>
              </c:ext>
            </c:extLst>
          </c:dPt>
          <c:dPt>
            <c:idx val="281"/>
            <c:invertIfNegative val="0"/>
            <c:bubble3D val="0"/>
            <c:extLst>
              <c:ext xmlns:c16="http://schemas.microsoft.com/office/drawing/2014/chart" uri="{C3380CC4-5D6E-409C-BE32-E72D297353CC}">
                <c16:uniqueId val="{000002B4-2B32-44CA-BD44-3A0C08BFDC9B}"/>
              </c:ext>
            </c:extLst>
          </c:dPt>
          <c:dPt>
            <c:idx val="282"/>
            <c:invertIfNegative val="0"/>
            <c:bubble3D val="0"/>
            <c:extLst>
              <c:ext xmlns:c16="http://schemas.microsoft.com/office/drawing/2014/chart" uri="{C3380CC4-5D6E-409C-BE32-E72D297353CC}">
                <c16:uniqueId val="{000002B5-2B32-44CA-BD44-3A0C08BFDC9B}"/>
              </c:ext>
            </c:extLst>
          </c:dPt>
          <c:dPt>
            <c:idx val="283"/>
            <c:invertIfNegative val="0"/>
            <c:bubble3D val="0"/>
            <c:extLst>
              <c:ext xmlns:c16="http://schemas.microsoft.com/office/drawing/2014/chart" uri="{C3380CC4-5D6E-409C-BE32-E72D297353CC}">
                <c16:uniqueId val="{000002B6-2B32-44CA-BD44-3A0C08BFDC9B}"/>
              </c:ext>
            </c:extLst>
          </c:dPt>
          <c:dPt>
            <c:idx val="284"/>
            <c:invertIfNegative val="0"/>
            <c:bubble3D val="0"/>
            <c:extLst>
              <c:ext xmlns:c16="http://schemas.microsoft.com/office/drawing/2014/chart" uri="{C3380CC4-5D6E-409C-BE32-E72D297353CC}">
                <c16:uniqueId val="{000002B7-2B32-44CA-BD44-3A0C08BFDC9B}"/>
              </c:ext>
            </c:extLst>
          </c:dPt>
          <c:dPt>
            <c:idx val="285"/>
            <c:invertIfNegative val="0"/>
            <c:bubble3D val="0"/>
            <c:extLst>
              <c:ext xmlns:c16="http://schemas.microsoft.com/office/drawing/2014/chart" uri="{C3380CC4-5D6E-409C-BE32-E72D297353CC}">
                <c16:uniqueId val="{000002B8-2B32-44CA-BD44-3A0C08BFDC9B}"/>
              </c:ext>
            </c:extLst>
          </c:dPt>
          <c:dPt>
            <c:idx val="286"/>
            <c:invertIfNegative val="0"/>
            <c:bubble3D val="0"/>
            <c:extLst>
              <c:ext xmlns:c16="http://schemas.microsoft.com/office/drawing/2014/chart" uri="{C3380CC4-5D6E-409C-BE32-E72D297353CC}">
                <c16:uniqueId val="{000002B9-2B32-44CA-BD44-3A0C08BFDC9B}"/>
              </c:ext>
            </c:extLst>
          </c:dPt>
          <c:dPt>
            <c:idx val="287"/>
            <c:invertIfNegative val="0"/>
            <c:bubble3D val="0"/>
            <c:extLst>
              <c:ext xmlns:c16="http://schemas.microsoft.com/office/drawing/2014/chart" uri="{C3380CC4-5D6E-409C-BE32-E72D297353CC}">
                <c16:uniqueId val="{000002BA-2B32-44CA-BD44-3A0C08BFDC9B}"/>
              </c:ext>
            </c:extLst>
          </c:dPt>
          <c:dPt>
            <c:idx val="288"/>
            <c:invertIfNegative val="0"/>
            <c:bubble3D val="0"/>
            <c:extLst>
              <c:ext xmlns:c16="http://schemas.microsoft.com/office/drawing/2014/chart" uri="{C3380CC4-5D6E-409C-BE32-E72D297353CC}">
                <c16:uniqueId val="{000002BB-2B32-44CA-BD44-3A0C08BFDC9B}"/>
              </c:ext>
            </c:extLst>
          </c:dPt>
          <c:dPt>
            <c:idx val="289"/>
            <c:invertIfNegative val="0"/>
            <c:bubble3D val="0"/>
            <c:extLst>
              <c:ext xmlns:c16="http://schemas.microsoft.com/office/drawing/2014/chart" uri="{C3380CC4-5D6E-409C-BE32-E72D297353CC}">
                <c16:uniqueId val="{000002BC-2B32-44CA-BD44-3A0C08BFDC9B}"/>
              </c:ext>
            </c:extLst>
          </c:dPt>
          <c:dPt>
            <c:idx val="290"/>
            <c:invertIfNegative val="0"/>
            <c:bubble3D val="0"/>
            <c:extLst>
              <c:ext xmlns:c16="http://schemas.microsoft.com/office/drawing/2014/chart" uri="{C3380CC4-5D6E-409C-BE32-E72D297353CC}">
                <c16:uniqueId val="{000002BD-2B32-44CA-BD44-3A0C08BFDC9B}"/>
              </c:ext>
            </c:extLst>
          </c:dPt>
          <c:dPt>
            <c:idx val="291"/>
            <c:invertIfNegative val="0"/>
            <c:bubble3D val="0"/>
            <c:extLst>
              <c:ext xmlns:c16="http://schemas.microsoft.com/office/drawing/2014/chart" uri="{C3380CC4-5D6E-409C-BE32-E72D297353CC}">
                <c16:uniqueId val="{000002BE-2B32-44CA-BD44-3A0C08BFDC9B}"/>
              </c:ext>
            </c:extLst>
          </c:dPt>
          <c:dPt>
            <c:idx val="292"/>
            <c:invertIfNegative val="0"/>
            <c:bubble3D val="0"/>
            <c:extLst>
              <c:ext xmlns:c16="http://schemas.microsoft.com/office/drawing/2014/chart" uri="{C3380CC4-5D6E-409C-BE32-E72D297353CC}">
                <c16:uniqueId val="{000002BF-2B32-44CA-BD44-3A0C08BFDC9B}"/>
              </c:ext>
            </c:extLst>
          </c:dPt>
          <c:dPt>
            <c:idx val="293"/>
            <c:invertIfNegative val="0"/>
            <c:bubble3D val="0"/>
            <c:extLst>
              <c:ext xmlns:c16="http://schemas.microsoft.com/office/drawing/2014/chart" uri="{C3380CC4-5D6E-409C-BE32-E72D297353CC}">
                <c16:uniqueId val="{000002C0-2B32-44CA-BD44-3A0C08BFDC9B}"/>
              </c:ext>
            </c:extLst>
          </c:dPt>
          <c:dPt>
            <c:idx val="294"/>
            <c:invertIfNegative val="0"/>
            <c:bubble3D val="0"/>
            <c:extLst>
              <c:ext xmlns:c16="http://schemas.microsoft.com/office/drawing/2014/chart" uri="{C3380CC4-5D6E-409C-BE32-E72D297353CC}">
                <c16:uniqueId val="{000002C1-2B32-44CA-BD44-3A0C08BFDC9B}"/>
              </c:ext>
            </c:extLst>
          </c:dPt>
          <c:dPt>
            <c:idx val="295"/>
            <c:invertIfNegative val="0"/>
            <c:bubble3D val="0"/>
            <c:extLst>
              <c:ext xmlns:c16="http://schemas.microsoft.com/office/drawing/2014/chart" uri="{C3380CC4-5D6E-409C-BE32-E72D297353CC}">
                <c16:uniqueId val="{000002C2-2B32-44CA-BD44-3A0C08BFDC9B}"/>
              </c:ext>
            </c:extLst>
          </c:dPt>
          <c:dPt>
            <c:idx val="296"/>
            <c:invertIfNegative val="0"/>
            <c:bubble3D val="0"/>
            <c:extLst>
              <c:ext xmlns:c16="http://schemas.microsoft.com/office/drawing/2014/chart" uri="{C3380CC4-5D6E-409C-BE32-E72D297353CC}">
                <c16:uniqueId val="{000002C3-2B32-44CA-BD44-3A0C08BFDC9B}"/>
              </c:ext>
            </c:extLst>
          </c:dPt>
          <c:dPt>
            <c:idx val="297"/>
            <c:invertIfNegative val="0"/>
            <c:bubble3D val="0"/>
            <c:extLst>
              <c:ext xmlns:c16="http://schemas.microsoft.com/office/drawing/2014/chart" uri="{C3380CC4-5D6E-409C-BE32-E72D297353CC}">
                <c16:uniqueId val="{000002C4-2B32-44CA-BD44-3A0C08BFDC9B}"/>
              </c:ext>
            </c:extLst>
          </c:dPt>
          <c:dPt>
            <c:idx val="298"/>
            <c:invertIfNegative val="0"/>
            <c:bubble3D val="0"/>
            <c:extLst>
              <c:ext xmlns:c16="http://schemas.microsoft.com/office/drawing/2014/chart" uri="{C3380CC4-5D6E-409C-BE32-E72D297353CC}">
                <c16:uniqueId val="{000002C5-2B32-44CA-BD44-3A0C08BFDC9B}"/>
              </c:ext>
            </c:extLst>
          </c:dPt>
          <c:dPt>
            <c:idx val="299"/>
            <c:invertIfNegative val="0"/>
            <c:bubble3D val="0"/>
            <c:extLst>
              <c:ext xmlns:c16="http://schemas.microsoft.com/office/drawing/2014/chart" uri="{C3380CC4-5D6E-409C-BE32-E72D297353CC}">
                <c16:uniqueId val="{000002C6-2B32-44CA-BD44-3A0C08BFDC9B}"/>
              </c:ext>
            </c:extLst>
          </c:dPt>
          <c:dPt>
            <c:idx val="300"/>
            <c:invertIfNegative val="0"/>
            <c:bubble3D val="0"/>
            <c:extLst>
              <c:ext xmlns:c16="http://schemas.microsoft.com/office/drawing/2014/chart" uri="{C3380CC4-5D6E-409C-BE32-E72D297353CC}">
                <c16:uniqueId val="{000002C7-2B32-44CA-BD44-3A0C08BFDC9B}"/>
              </c:ext>
            </c:extLst>
          </c:dPt>
          <c:dPt>
            <c:idx val="301"/>
            <c:invertIfNegative val="0"/>
            <c:bubble3D val="0"/>
            <c:extLst>
              <c:ext xmlns:c16="http://schemas.microsoft.com/office/drawing/2014/chart" uri="{C3380CC4-5D6E-409C-BE32-E72D297353CC}">
                <c16:uniqueId val="{000002C8-2B32-44CA-BD44-3A0C08BFDC9B}"/>
              </c:ext>
            </c:extLst>
          </c:dPt>
          <c:dPt>
            <c:idx val="302"/>
            <c:invertIfNegative val="0"/>
            <c:bubble3D val="0"/>
            <c:extLst>
              <c:ext xmlns:c16="http://schemas.microsoft.com/office/drawing/2014/chart" uri="{C3380CC4-5D6E-409C-BE32-E72D297353CC}">
                <c16:uniqueId val="{000002C9-2B32-44CA-BD44-3A0C08BFDC9B}"/>
              </c:ext>
            </c:extLst>
          </c:dPt>
          <c:dPt>
            <c:idx val="303"/>
            <c:invertIfNegative val="0"/>
            <c:bubble3D val="0"/>
            <c:extLst>
              <c:ext xmlns:c16="http://schemas.microsoft.com/office/drawing/2014/chart" uri="{C3380CC4-5D6E-409C-BE32-E72D297353CC}">
                <c16:uniqueId val="{000002CA-2B32-44CA-BD44-3A0C08BFDC9B}"/>
              </c:ext>
            </c:extLst>
          </c:dPt>
          <c:dPt>
            <c:idx val="304"/>
            <c:invertIfNegative val="0"/>
            <c:bubble3D val="0"/>
            <c:extLst>
              <c:ext xmlns:c16="http://schemas.microsoft.com/office/drawing/2014/chart" uri="{C3380CC4-5D6E-409C-BE32-E72D297353CC}">
                <c16:uniqueId val="{000002CB-2B32-44CA-BD44-3A0C08BFDC9B}"/>
              </c:ext>
            </c:extLst>
          </c:dPt>
          <c:dPt>
            <c:idx val="305"/>
            <c:invertIfNegative val="0"/>
            <c:bubble3D val="0"/>
            <c:extLst>
              <c:ext xmlns:c16="http://schemas.microsoft.com/office/drawing/2014/chart" uri="{C3380CC4-5D6E-409C-BE32-E72D297353CC}">
                <c16:uniqueId val="{000002CC-2B32-44CA-BD44-3A0C08BFDC9B}"/>
              </c:ext>
            </c:extLst>
          </c:dPt>
          <c:dPt>
            <c:idx val="306"/>
            <c:invertIfNegative val="0"/>
            <c:bubble3D val="0"/>
            <c:extLst>
              <c:ext xmlns:c16="http://schemas.microsoft.com/office/drawing/2014/chart" uri="{C3380CC4-5D6E-409C-BE32-E72D297353CC}">
                <c16:uniqueId val="{000002CD-2B32-44CA-BD44-3A0C08BFDC9B}"/>
              </c:ext>
            </c:extLst>
          </c:dPt>
          <c:dPt>
            <c:idx val="307"/>
            <c:invertIfNegative val="0"/>
            <c:bubble3D val="0"/>
            <c:extLst>
              <c:ext xmlns:c16="http://schemas.microsoft.com/office/drawing/2014/chart" uri="{C3380CC4-5D6E-409C-BE32-E72D297353CC}">
                <c16:uniqueId val="{000002CE-2B32-44CA-BD44-3A0C08BFDC9B}"/>
              </c:ext>
            </c:extLst>
          </c:dPt>
          <c:dPt>
            <c:idx val="308"/>
            <c:invertIfNegative val="0"/>
            <c:bubble3D val="0"/>
            <c:extLst>
              <c:ext xmlns:c16="http://schemas.microsoft.com/office/drawing/2014/chart" uri="{C3380CC4-5D6E-409C-BE32-E72D297353CC}">
                <c16:uniqueId val="{000002CF-2B32-44CA-BD44-3A0C08BFDC9B}"/>
              </c:ext>
            </c:extLst>
          </c:dPt>
          <c:dPt>
            <c:idx val="309"/>
            <c:invertIfNegative val="0"/>
            <c:bubble3D val="0"/>
            <c:extLst>
              <c:ext xmlns:c16="http://schemas.microsoft.com/office/drawing/2014/chart" uri="{C3380CC4-5D6E-409C-BE32-E72D297353CC}">
                <c16:uniqueId val="{000002D0-2B32-44CA-BD44-3A0C08BFDC9B}"/>
              </c:ext>
            </c:extLst>
          </c:dPt>
          <c:dPt>
            <c:idx val="310"/>
            <c:invertIfNegative val="0"/>
            <c:bubble3D val="0"/>
            <c:extLst>
              <c:ext xmlns:c16="http://schemas.microsoft.com/office/drawing/2014/chart" uri="{C3380CC4-5D6E-409C-BE32-E72D297353CC}">
                <c16:uniqueId val="{000002D1-2B32-44CA-BD44-3A0C08BFDC9B}"/>
              </c:ext>
            </c:extLst>
          </c:dPt>
          <c:dPt>
            <c:idx val="311"/>
            <c:invertIfNegative val="0"/>
            <c:bubble3D val="0"/>
            <c:extLst>
              <c:ext xmlns:c16="http://schemas.microsoft.com/office/drawing/2014/chart" uri="{C3380CC4-5D6E-409C-BE32-E72D297353CC}">
                <c16:uniqueId val="{000002D2-2B32-44CA-BD44-3A0C08BFDC9B}"/>
              </c:ext>
            </c:extLst>
          </c:dPt>
          <c:dPt>
            <c:idx val="312"/>
            <c:invertIfNegative val="0"/>
            <c:bubble3D val="0"/>
            <c:extLst>
              <c:ext xmlns:c16="http://schemas.microsoft.com/office/drawing/2014/chart" uri="{C3380CC4-5D6E-409C-BE32-E72D297353CC}">
                <c16:uniqueId val="{000002D3-2B32-44CA-BD44-3A0C08BFDC9B}"/>
              </c:ext>
            </c:extLst>
          </c:dPt>
          <c:dPt>
            <c:idx val="313"/>
            <c:invertIfNegative val="0"/>
            <c:bubble3D val="0"/>
            <c:extLst>
              <c:ext xmlns:c16="http://schemas.microsoft.com/office/drawing/2014/chart" uri="{C3380CC4-5D6E-409C-BE32-E72D297353CC}">
                <c16:uniqueId val="{000002D4-2B32-44CA-BD44-3A0C08BFDC9B}"/>
              </c:ext>
            </c:extLst>
          </c:dPt>
          <c:dPt>
            <c:idx val="314"/>
            <c:invertIfNegative val="0"/>
            <c:bubble3D val="0"/>
            <c:extLst>
              <c:ext xmlns:c16="http://schemas.microsoft.com/office/drawing/2014/chart" uri="{C3380CC4-5D6E-409C-BE32-E72D297353CC}">
                <c16:uniqueId val="{000002D5-2B32-44CA-BD44-3A0C08BFDC9B}"/>
              </c:ext>
            </c:extLst>
          </c:dPt>
          <c:dPt>
            <c:idx val="315"/>
            <c:invertIfNegative val="0"/>
            <c:bubble3D val="0"/>
            <c:extLst>
              <c:ext xmlns:c16="http://schemas.microsoft.com/office/drawing/2014/chart" uri="{C3380CC4-5D6E-409C-BE32-E72D297353CC}">
                <c16:uniqueId val="{000002D6-2B32-44CA-BD44-3A0C08BFDC9B}"/>
              </c:ext>
            </c:extLst>
          </c:dPt>
          <c:dPt>
            <c:idx val="316"/>
            <c:invertIfNegative val="0"/>
            <c:bubble3D val="0"/>
            <c:extLst>
              <c:ext xmlns:c16="http://schemas.microsoft.com/office/drawing/2014/chart" uri="{C3380CC4-5D6E-409C-BE32-E72D297353CC}">
                <c16:uniqueId val="{000002D7-2B32-44CA-BD44-3A0C08BFDC9B}"/>
              </c:ext>
            </c:extLst>
          </c:dPt>
          <c:dPt>
            <c:idx val="317"/>
            <c:invertIfNegative val="0"/>
            <c:bubble3D val="0"/>
            <c:extLst>
              <c:ext xmlns:c16="http://schemas.microsoft.com/office/drawing/2014/chart" uri="{C3380CC4-5D6E-409C-BE32-E72D297353CC}">
                <c16:uniqueId val="{000002D8-2B32-44CA-BD44-3A0C08BFDC9B}"/>
              </c:ext>
            </c:extLst>
          </c:dPt>
          <c:dPt>
            <c:idx val="318"/>
            <c:invertIfNegative val="0"/>
            <c:bubble3D val="0"/>
            <c:extLst>
              <c:ext xmlns:c16="http://schemas.microsoft.com/office/drawing/2014/chart" uri="{C3380CC4-5D6E-409C-BE32-E72D297353CC}">
                <c16:uniqueId val="{000002D9-2B32-44CA-BD44-3A0C08BFDC9B}"/>
              </c:ext>
            </c:extLst>
          </c:dPt>
          <c:dPt>
            <c:idx val="319"/>
            <c:invertIfNegative val="0"/>
            <c:bubble3D val="0"/>
            <c:extLst>
              <c:ext xmlns:c16="http://schemas.microsoft.com/office/drawing/2014/chart" uri="{C3380CC4-5D6E-409C-BE32-E72D297353CC}">
                <c16:uniqueId val="{000002DA-2B32-44CA-BD44-3A0C08BFDC9B}"/>
              </c:ext>
            </c:extLst>
          </c:dPt>
          <c:dPt>
            <c:idx val="320"/>
            <c:invertIfNegative val="0"/>
            <c:bubble3D val="0"/>
            <c:extLst>
              <c:ext xmlns:c16="http://schemas.microsoft.com/office/drawing/2014/chart" uri="{C3380CC4-5D6E-409C-BE32-E72D297353CC}">
                <c16:uniqueId val="{000002DB-2B32-44CA-BD44-3A0C08BFDC9B}"/>
              </c:ext>
            </c:extLst>
          </c:dPt>
          <c:dPt>
            <c:idx val="321"/>
            <c:invertIfNegative val="0"/>
            <c:bubble3D val="0"/>
            <c:extLst>
              <c:ext xmlns:c16="http://schemas.microsoft.com/office/drawing/2014/chart" uri="{C3380CC4-5D6E-409C-BE32-E72D297353CC}">
                <c16:uniqueId val="{000002DC-2B32-44CA-BD44-3A0C08BFDC9B}"/>
              </c:ext>
            </c:extLst>
          </c:dPt>
          <c:dPt>
            <c:idx val="322"/>
            <c:invertIfNegative val="0"/>
            <c:bubble3D val="0"/>
            <c:extLst>
              <c:ext xmlns:c16="http://schemas.microsoft.com/office/drawing/2014/chart" uri="{C3380CC4-5D6E-409C-BE32-E72D297353CC}">
                <c16:uniqueId val="{000002DD-2B32-44CA-BD44-3A0C08BFDC9B}"/>
              </c:ext>
            </c:extLst>
          </c:dPt>
          <c:dPt>
            <c:idx val="323"/>
            <c:invertIfNegative val="0"/>
            <c:bubble3D val="0"/>
            <c:extLst>
              <c:ext xmlns:c16="http://schemas.microsoft.com/office/drawing/2014/chart" uri="{C3380CC4-5D6E-409C-BE32-E72D297353CC}">
                <c16:uniqueId val="{000002DE-2B32-44CA-BD44-3A0C08BFDC9B}"/>
              </c:ext>
            </c:extLst>
          </c:dPt>
          <c:dPt>
            <c:idx val="324"/>
            <c:invertIfNegative val="0"/>
            <c:bubble3D val="0"/>
            <c:extLst>
              <c:ext xmlns:c16="http://schemas.microsoft.com/office/drawing/2014/chart" uri="{C3380CC4-5D6E-409C-BE32-E72D297353CC}">
                <c16:uniqueId val="{000002DF-2B32-44CA-BD44-3A0C08BFDC9B}"/>
              </c:ext>
            </c:extLst>
          </c:dPt>
          <c:dPt>
            <c:idx val="325"/>
            <c:invertIfNegative val="0"/>
            <c:bubble3D val="0"/>
            <c:extLst>
              <c:ext xmlns:c16="http://schemas.microsoft.com/office/drawing/2014/chart" uri="{C3380CC4-5D6E-409C-BE32-E72D297353CC}">
                <c16:uniqueId val="{000002E0-2B32-44CA-BD44-3A0C08BFDC9B}"/>
              </c:ext>
            </c:extLst>
          </c:dPt>
          <c:dPt>
            <c:idx val="326"/>
            <c:invertIfNegative val="0"/>
            <c:bubble3D val="0"/>
            <c:extLst>
              <c:ext xmlns:c16="http://schemas.microsoft.com/office/drawing/2014/chart" uri="{C3380CC4-5D6E-409C-BE32-E72D297353CC}">
                <c16:uniqueId val="{000002E1-2B32-44CA-BD44-3A0C08BFDC9B}"/>
              </c:ext>
            </c:extLst>
          </c:dPt>
          <c:dPt>
            <c:idx val="327"/>
            <c:invertIfNegative val="0"/>
            <c:bubble3D val="0"/>
            <c:extLst>
              <c:ext xmlns:c16="http://schemas.microsoft.com/office/drawing/2014/chart" uri="{C3380CC4-5D6E-409C-BE32-E72D297353CC}">
                <c16:uniqueId val="{000002E2-2B32-44CA-BD44-3A0C08BFDC9B}"/>
              </c:ext>
            </c:extLst>
          </c:dPt>
          <c:dPt>
            <c:idx val="328"/>
            <c:invertIfNegative val="0"/>
            <c:bubble3D val="0"/>
            <c:extLst>
              <c:ext xmlns:c16="http://schemas.microsoft.com/office/drawing/2014/chart" uri="{C3380CC4-5D6E-409C-BE32-E72D297353CC}">
                <c16:uniqueId val="{000002E3-2B32-44CA-BD44-3A0C08BFDC9B}"/>
              </c:ext>
            </c:extLst>
          </c:dPt>
          <c:dPt>
            <c:idx val="329"/>
            <c:invertIfNegative val="0"/>
            <c:bubble3D val="0"/>
            <c:extLst>
              <c:ext xmlns:c16="http://schemas.microsoft.com/office/drawing/2014/chart" uri="{C3380CC4-5D6E-409C-BE32-E72D297353CC}">
                <c16:uniqueId val="{000002E4-2B32-44CA-BD44-3A0C08BFDC9B}"/>
              </c:ext>
            </c:extLst>
          </c:dPt>
          <c:dPt>
            <c:idx val="330"/>
            <c:invertIfNegative val="0"/>
            <c:bubble3D val="0"/>
            <c:extLst>
              <c:ext xmlns:c16="http://schemas.microsoft.com/office/drawing/2014/chart" uri="{C3380CC4-5D6E-409C-BE32-E72D297353CC}">
                <c16:uniqueId val="{000002E5-2B32-44CA-BD44-3A0C08BFDC9B}"/>
              </c:ext>
            </c:extLst>
          </c:dPt>
          <c:dPt>
            <c:idx val="331"/>
            <c:invertIfNegative val="0"/>
            <c:bubble3D val="0"/>
            <c:extLst>
              <c:ext xmlns:c16="http://schemas.microsoft.com/office/drawing/2014/chart" uri="{C3380CC4-5D6E-409C-BE32-E72D297353CC}">
                <c16:uniqueId val="{000002E6-2B32-44CA-BD44-3A0C08BFDC9B}"/>
              </c:ext>
            </c:extLst>
          </c:dPt>
          <c:dPt>
            <c:idx val="332"/>
            <c:invertIfNegative val="0"/>
            <c:bubble3D val="0"/>
            <c:extLst>
              <c:ext xmlns:c16="http://schemas.microsoft.com/office/drawing/2014/chart" uri="{C3380CC4-5D6E-409C-BE32-E72D297353CC}">
                <c16:uniqueId val="{000002E7-2B32-44CA-BD44-3A0C08BFDC9B}"/>
              </c:ext>
            </c:extLst>
          </c:dPt>
          <c:dPt>
            <c:idx val="333"/>
            <c:invertIfNegative val="0"/>
            <c:bubble3D val="0"/>
            <c:extLst>
              <c:ext xmlns:c16="http://schemas.microsoft.com/office/drawing/2014/chart" uri="{C3380CC4-5D6E-409C-BE32-E72D297353CC}">
                <c16:uniqueId val="{000002E8-2B32-44CA-BD44-3A0C08BFDC9B}"/>
              </c:ext>
            </c:extLst>
          </c:dPt>
          <c:dPt>
            <c:idx val="334"/>
            <c:invertIfNegative val="0"/>
            <c:bubble3D val="0"/>
            <c:extLst>
              <c:ext xmlns:c16="http://schemas.microsoft.com/office/drawing/2014/chart" uri="{C3380CC4-5D6E-409C-BE32-E72D297353CC}">
                <c16:uniqueId val="{000002E9-2B32-44CA-BD44-3A0C08BFDC9B}"/>
              </c:ext>
            </c:extLst>
          </c:dPt>
          <c:dPt>
            <c:idx val="335"/>
            <c:invertIfNegative val="0"/>
            <c:bubble3D val="0"/>
            <c:extLst>
              <c:ext xmlns:c16="http://schemas.microsoft.com/office/drawing/2014/chart" uri="{C3380CC4-5D6E-409C-BE32-E72D297353CC}">
                <c16:uniqueId val="{000002EA-2B32-44CA-BD44-3A0C08BFDC9B}"/>
              </c:ext>
            </c:extLst>
          </c:dPt>
          <c:dPt>
            <c:idx val="336"/>
            <c:invertIfNegative val="0"/>
            <c:bubble3D val="0"/>
            <c:extLst>
              <c:ext xmlns:c16="http://schemas.microsoft.com/office/drawing/2014/chart" uri="{C3380CC4-5D6E-409C-BE32-E72D297353CC}">
                <c16:uniqueId val="{000002EB-2B32-44CA-BD44-3A0C08BFDC9B}"/>
              </c:ext>
            </c:extLst>
          </c:dPt>
          <c:dPt>
            <c:idx val="337"/>
            <c:invertIfNegative val="0"/>
            <c:bubble3D val="0"/>
            <c:extLst>
              <c:ext xmlns:c16="http://schemas.microsoft.com/office/drawing/2014/chart" uri="{C3380CC4-5D6E-409C-BE32-E72D297353CC}">
                <c16:uniqueId val="{000002EC-2B32-44CA-BD44-3A0C08BFDC9B}"/>
              </c:ext>
            </c:extLst>
          </c:dPt>
          <c:dPt>
            <c:idx val="338"/>
            <c:invertIfNegative val="0"/>
            <c:bubble3D val="0"/>
            <c:extLst>
              <c:ext xmlns:c16="http://schemas.microsoft.com/office/drawing/2014/chart" uri="{C3380CC4-5D6E-409C-BE32-E72D297353CC}">
                <c16:uniqueId val="{000002ED-2B32-44CA-BD44-3A0C08BFDC9B}"/>
              </c:ext>
            </c:extLst>
          </c:dPt>
          <c:dPt>
            <c:idx val="339"/>
            <c:invertIfNegative val="0"/>
            <c:bubble3D val="0"/>
            <c:extLst>
              <c:ext xmlns:c16="http://schemas.microsoft.com/office/drawing/2014/chart" uri="{C3380CC4-5D6E-409C-BE32-E72D297353CC}">
                <c16:uniqueId val="{000002EE-2B32-44CA-BD44-3A0C08BFDC9B}"/>
              </c:ext>
            </c:extLst>
          </c:dPt>
          <c:dPt>
            <c:idx val="340"/>
            <c:invertIfNegative val="0"/>
            <c:bubble3D val="0"/>
            <c:extLst>
              <c:ext xmlns:c16="http://schemas.microsoft.com/office/drawing/2014/chart" uri="{C3380CC4-5D6E-409C-BE32-E72D297353CC}">
                <c16:uniqueId val="{000002EF-2B32-44CA-BD44-3A0C08BFDC9B}"/>
              </c:ext>
            </c:extLst>
          </c:dPt>
          <c:dPt>
            <c:idx val="341"/>
            <c:invertIfNegative val="0"/>
            <c:bubble3D val="0"/>
            <c:extLst>
              <c:ext xmlns:c16="http://schemas.microsoft.com/office/drawing/2014/chart" uri="{C3380CC4-5D6E-409C-BE32-E72D297353CC}">
                <c16:uniqueId val="{000002F0-2B32-44CA-BD44-3A0C08BFDC9B}"/>
              </c:ext>
            </c:extLst>
          </c:dPt>
          <c:dPt>
            <c:idx val="342"/>
            <c:invertIfNegative val="0"/>
            <c:bubble3D val="0"/>
            <c:extLst>
              <c:ext xmlns:c16="http://schemas.microsoft.com/office/drawing/2014/chart" uri="{C3380CC4-5D6E-409C-BE32-E72D297353CC}">
                <c16:uniqueId val="{000002F1-2B32-44CA-BD44-3A0C08BFDC9B}"/>
              </c:ext>
            </c:extLst>
          </c:dPt>
          <c:dPt>
            <c:idx val="343"/>
            <c:invertIfNegative val="0"/>
            <c:bubble3D val="0"/>
            <c:extLst>
              <c:ext xmlns:c16="http://schemas.microsoft.com/office/drawing/2014/chart" uri="{C3380CC4-5D6E-409C-BE32-E72D297353CC}">
                <c16:uniqueId val="{000002F2-2B32-44CA-BD44-3A0C08BFDC9B}"/>
              </c:ext>
            </c:extLst>
          </c:dPt>
          <c:dPt>
            <c:idx val="344"/>
            <c:invertIfNegative val="0"/>
            <c:bubble3D val="0"/>
            <c:extLst>
              <c:ext xmlns:c16="http://schemas.microsoft.com/office/drawing/2014/chart" uri="{C3380CC4-5D6E-409C-BE32-E72D297353CC}">
                <c16:uniqueId val="{000002F3-2B32-44CA-BD44-3A0C08BFDC9B}"/>
              </c:ext>
            </c:extLst>
          </c:dPt>
          <c:dPt>
            <c:idx val="345"/>
            <c:invertIfNegative val="0"/>
            <c:bubble3D val="0"/>
            <c:extLst>
              <c:ext xmlns:c16="http://schemas.microsoft.com/office/drawing/2014/chart" uri="{C3380CC4-5D6E-409C-BE32-E72D297353CC}">
                <c16:uniqueId val="{000002F4-2B32-44CA-BD44-3A0C08BFDC9B}"/>
              </c:ext>
            </c:extLst>
          </c:dPt>
          <c:dPt>
            <c:idx val="346"/>
            <c:invertIfNegative val="0"/>
            <c:bubble3D val="0"/>
            <c:extLst>
              <c:ext xmlns:c16="http://schemas.microsoft.com/office/drawing/2014/chart" uri="{C3380CC4-5D6E-409C-BE32-E72D297353CC}">
                <c16:uniqueId val="{000002F5-2B32-44CA-BD44-3A0C08BFDC9B}"/>
              </c:ext>
            </c:extLst>
          </c:dPt>
          <c:dPt>
            <c:idx val="347"/>
            <c:invertIfNegative val="0"/>
            <c:bubble3D val="0"/>
            <c:extLst>
              <c:ext xmlns:c16="http://schemas.microsoft.com/office/drawing/2014/chart" uri="{C3380CC4-5D6E-409C-BE32-E72D297353CC}">
                <c16:uniqueId val="{000002F6-2B32-44CA-BD44-3A0C08BFDC9B}"/>
              </c:ext>
            </c:extLst>
          </c:dPt>
          <c:dPt>
            <c:idx val="348"/>
            <c:invertIfNegative val="0"/>
            <c:bubble3D val="0"/>
            <c:extLst>
              <c:ext xmlns:c16="http://schemas.microsoft.com/office/drawing/2014/chart" uri="{C3380CC4-5D6E-409C-BE32-E72D297353CC}">
                <c16:uniqueId val="{000002F7-2B32-44CA-BD44-3A0C08BFDC9B}"/>
              </c:ext>
            </c:extLst>
          </c:dPt>
          <c:dPt>
            <c:idx val="349"/>
            <c:invertIfNegative val="0"/>
            <c:bubble3D val="0"/>
            <c:extLst>
              <c:ext xmlns:c16="http://schemas.microsoft.com/office/drawing/2014/chart" uri="{C3380CC4-5D6E-409C-BE32-E72D297353CC}">
                <c16:uniqueId val="{000002F8-2B32-44CA-BD44-3A0C08BFDC9B}"/>
              </c:ext>
            </c:extLst>
          </c:dPt>
          <c:dPt>
            <c:idx val="350"/>
            <c:invertIfNegative val="0"/>
            <c:bubble3D val="0"/>
            <c:extLst>
              <c:ext xmlns:c16="http://schemas.microsoft.com/office/drawing/2014/chart" uri="{C3380CC4-5D6E-409C-BE32-E72D297353CC}">
                <c16:uniqueId val="{000002F9-2B32-44CA-BD44-3A0C08BFDC9B}"/>
              </c:ext>
            </c:extLst>
          </c:dPt>
          <c:dPt>
            <c:idx val="351"/>
            <c:invertIfNegative val="0"/>
            <c:bubble3D val="0"/>
            <c:extLst>
              <c:ext xmlns:c16="http://schemas.microsoft.com/office/drawing/2014/chart" uri="{C3380CC4-5D6E-409C-BE32-E72D297353CC}">
                <c16:uniqueId val="{000002FA-2B32-44CA-BD44-3A0C08BFDC9B}"/>
              </c:ext>
            </c:extLst>
          </c:dPt>
          <c:dPt>
            <c:idx val="352"/>
            <c:invertIfNegative val="0"/>
            <c:bubble3D val="0"/>
            <c:extLst>
              <c:ext xmlns:c16="http://schemas.microsoft.com/office/drawing/2014/chart" uri="{C3380CC4-5D6E-409C-BE32-E72D297353CC}">
                <c16:uniqueId val="{000002FB-2B32-44CA-BD44-3A0C08BFDC9B}"/>
              </c:ext>
            </c:extLst>
          </c:dPt>
          <c:dPt>
            <c:idx val="353"/>
            <c:invertIfNegative val="0"/>
            <c:bubble3D val="0"/>
            <c:extLst>
              <c:ext xmlns:c16="http://schemas.microsoft.com/office/drawing/2014/chart" uri="{C3380CC4-5D6E-409C-BE32-E72D297353CC}">
                <c16:uniqueId val="{000002FC-2B32-44CA-BD44-3A0C08BFDC9B}"/>
              </c:ext>
            </c:extLst>
          </c:dPt>
          <c:dPt>
            <c:idx val="354"/>
            <c:invertIfNegative val="0"/>
            <c:bubble3D val="0"/>
            <c:extLst>
              <c:ext xmlns:c16="http://schemas.microsoft.com/office/drawing/2014/chart" uri="{C3380CC4-5D6E-409C-BE32-E72D297353CC}">
                <c16:uniqueId val="{000002FD-2B32-44CA-BD44-3A0C08BFDC9B}"/>
              </c:ext>
            </c:extLst>
          </c:dPt>
          <c:dPt>
            <c:idx val="355"/>
            <c:invertIfNegative val="0"/>
            <c:bubble3D val="0"/>
            <c:extLst>
              <c:ext xmlns:c16="http://schemas.microsoft.com/office/drawing/2014/chart" uri="{C3380CC4-5D6E-409C-BE32-E72D297353CC}">
                <c16:uniqueId val="{000002FE-2B32-44CA-BD44-3A0C08BFDC9B}"/>
              </c:ext>
            </c:extLst>
          </c:dPt>
          <c:dPt>
            <c:idx val="356"/>
            <c:invertIfNegative val="0"/>
            <c:bubble3D val="0"/>
            <c:extLst>
              <c:ext xmlns:c16="http://schemas.microsoft.com/office/drawing/2014/chart" uri="{C3380CC4-5D6E-409C-BE32-E72D297353CC}">
                <c16:uniqueId val="{000002FF-2B32-44CA-BD44-3A0C08BFDC9B}"/>
              </c:ext>
            </c:extLst>
          </c:dPt>
          <c:dPt>
            <c:idx val="357"/>
            <c:invertIfNegative val="0"/>
            <c:bubble3D val="0"/>
            <c:extLst>
              <c:ext xmlns:c16="http://schemas.microsoft.com/office/drawing/2014/chart" uri="{C3380CC4-5D6E-409C-BE32-E72D297353CC}">
                <c16:uniqueId val="{00000300-2B32-44CA-BD44-3A0C08BFDC9B}"/>
              </c:ext>
            </c:extLst>
          </c:dPt>
          <c:dPt>
            <c:idx val="358"/>
            <c:invertIfNegative val="0"/>
            <c:bubble3D val="0"/>
            <c:extLst>
              <c:ext xmlns:c16="http://schemas.microsoft.com/office/drawing/2014/chart" uri="{C3380CC4-5D6E-409C-BE32-E72D297353CC}">
                <c16:uniqueId val="{00000301-2B32-44CA-BD44-3A0C08BFDC9B}"/>
              </c:ext>
            </c:extLst>
          </c:dPt>
          <c:dPt>
            <c:idx val="359"/>
            <c:invertIfNegative val="0"/>
            <c:bubble3D val="0"/>
            <c:extLst>
              <c:ext xmlns:c16="http://schemas.microsoft.com/office/drawing/2014/chart" uri="{C3380CC4-5D6E-409C-BE32-E72D297353CC}">
                <c16:uniqueId val="{00000302-2B32-44CA-BD44-3A0C08BFDC9B}"/>
              </c:ext>
            </c:extLst>
          </c:dPt>
          <c:dPt>
            <c:idx val="360"/>
            <c:invertIfNegative val="0"/>
            <c:bubble3D val="0"/>
            <c:extLst>
              <c:ext xmlns:c16="http://schemas.microsoft.com/office/drawing/2014/chart" uri="{C3380CC4-5D6E-409C-BE32-E72D297353CC}">
                <c16:uniqueId val="{00000303-2B32-44CA-BD44-3A0C08BFDC9B}"/>
              </c:ext>
            </c:extLst>
          </c:dPt>
          <c:dPt>
            <c:idx val="361"/>
            <c:invertIfNegative val="0"/>
            <c:bubble3D val="0"/>
            <c:extLst>
              <c:ext xmlns:c16="http://schemas.microsoft.com/office/drawing/2014/chart" uri="{C3380CC4-5D6E-409C-BE32-E72D297353CC}">
                <c16:uniqueId val="{00000304-2B32-44CA-BD44-3A0C08BFDC9B}"/>
              </c:ext>
            </c:extLst>
          </c:dPt>
          <c:dPt>
            <c:idx val="362"/>
            <c:invertIfNegative val="0"/>
            <c:bubble3D val="0"/>
            <c:extLst>
              <c:ext xmlns:c16="http://schemas.microsoft.com/office/drawing/2014/chart" uri="{C3380CC4-5D6E-409C-BE32-E72D297353CC}">
                <c16:uniqueId val="{00000305-2B32-44CA-BD44-3A0C08BFDC9B}"/>
              </c:ext>
            </c:extLst>
          </c:dPt>
          <c:dPt>
            <c:idx val="363"/>
            <c:invertIfNegative val="0"/>
            <c:bubble3D val="0"/>
            <c:extLst>
              <c:ext xmlns:c16="http://schemas.microsoft.com/office/drawing/2014/chart" uri="{C3380CC4-5D6E-409C-BE32-E72D297353CC}">
                <c16:uniqueId val="{00000306-2B32-44CA-BD44-3A0C08BFDC9B}"/>
              </c:ext>
            </c:extLst>
          </c:dPt>
          <c:dPt>
            <c:idx val="364"/>
            <c:invertIfNegative val="0"/>
            <c:bubble3D val="0"/>
            <c:extLst>
              <c:ext xmlns:c16="http://schemas.microsoft.com/office/drawing/2014/chart" uri="{C3380CC4-5D6E-409C-BE32-E72D297353CC}">
                <c16:uniqueId val="{00000307-2B32-44CA-BD44-3A0C08BFDC9B}"/>
              </c:ext>
            </c:extLst>
          </c:dPt>
          <c:dPt>
            <c:idx val="365"/>
            <c:invertIfNegative val="0"/>
            <c:bubble3D val="0"/>
            <c:extLst>
              <c:ext xmlns:c16="http://schemas.microsoft.com/office/drawing/2014/chart" uri="{C3380CC4-5D6E-409C-BE32-E72D297353CC}">
                <c16:uniqueId val="{00000308-2B32-44CA-BD44-3A0C08BFDC9B}"/>
              </c:ext>
            </c:extLst>
          </c:dPt>
          <c:dPt>
            <c:idx val="366"/>
            <c:invertIfNegative val="0"/>
            <c:bubble3D val="0"/>
            <c:extLst>
              <c:ext xmlns:c16="http://schemas.microsoft.com/office/drawing/2014/chart" uri="{C3380CC4-5D6E-409C-BE32-E72D297353CC}">
                <c16:uniqueId val="{00000309-2B32-44CA-BD44-3A0C08BFDC9B}"/>
              </c:ext>
            </c:extLst>
          </c:dPt>
          <c:dPt>
            <c:idx val="367"/>
            <c:invertIfNegative val="0"/>
            <c:bubble3D val="0"/>
            <c:extLst>
              <c:ext xmlns:c16="http://schemas.microsoft.com/office/drawing/2014/chart" uri="{C3380CC4-5D6E-409C-BE32-E72D297353CC}">
                <c16:uniqueId val="{0000030A-2B32-44CA-BD44-3A0C08BFDC9B}"/>
              </c:ext>
            </c:extLst>
          </c:dPt>
          <c:dPt>
            <c:idx val="368"/>
            <c:invertIfNegative val="0"/>
            <c:bubble3D val="0"/>
            <c:extLst>
              <c:ext xmlns:c16="http://schemas.microsoft.com/office/drawing/2014/chart" uri="{C3380CC4-5D6E-409C-BE32-E72D297353CC}">
                <c16:uniqueId val="{0000030B-2B32-44CA-BD44-3A0C08BFDC9B}"/>
              </c:ext>
            </c:extLst>
          </c:dPt>
          <c:dPt>
            <c:idx val="369"/>
            <c:invertIfNegative val="0"/>
            <c:bubble3D val="0"/>
            <c:extLst>
              <c:ext xmlns:c16="http://schemas.microsoft.com/office/drawing/2014/chart" uri="{C3380CC4-5D6E-409C-BE32-E72D297353CC}">
                <c16:uniqueId val="{0000030C-2B32-44CA-BD44-3A0C08BFDC9B}"/>
              </c:ext>
            </c:extLst>
          </c:dPt>
          <c:dPt>
            <c:idx val="370"/>
            <c:invertIfNegative val="0"/>
            <c:bubble3D val="0"/>
            <c:extLst>
              <c:ext xmlns:c16="http://schemas.microsoft.com/office/drawing/2014/chart" uri="{C3380CC4-5D6E-409C-BE32-E72D297353CC}">
                <c16:uniqueId val="{0000030D-2B32-44CA-BD44-3A0C08BFDC9B}"/>
              </c:ext>
            </c:extLst>
          </c:dPt>
          <c:dPt>
            <c:idx val="371"/>
            <c:invertIfNegative val="0"/>
            <c:bubble3D val="0"/>
            <c:extLst>
              <c:ext xmlns:c16="http://schemas.microsoft.com/office/drawing/2014/chart" uri="{C3380CC4-5D6E-409C-BE32-E72D297353CC}">
                <c16:uniqueId val="{0000030E-2B32-44CA-BD44-3A0C08BFDC9B}"/>
              </c:ext>
            </c:extLst>
          </c:dPt>
          <c:dPt>
            <c:idx val="372"/>
            <c:invertIfNegative val="0"/>
            <c:bubble3D val="0"/>
            <c:extLst>
              <c:ext xmlns:c16="http://schemas.microsoft.com/office/drawing/2014/chart" uri="{C3380CC4-5D6E-409C-BE32-E72D297353CC}">
                <c16:uniqueId val="{0000030F-2B32-44CA-BD44-3A0C08BFDC9B}"/>
              </c:ext>
            </c:extLst>
          </c:dPt>
          <c:dPt>
            <c:idx val="373"/>
            <c:invertIfNegative val="0"/>
            <c:bubble3D val="0"/>
            <c:extLst>
              <c:ext xmlns:c16="http://schemas.microsoft.com/office/drawing/2014/chart" uri="{C3380CC4-5D6E-409C-BE32-E72D297353CC}">
                <c16:uniqueId val="{00000310-2B32-44CA-BD44-3A0C08BFDC9B}"/>
              </c:ext>
            </c:extLst>
          </c:dPt>
          <c:dPt>
            <c:idx val="374"/>
            <c:invertIfNegative val="0"/>
            <c:bubble3D val="0"/>
            <c:extLst>
              <c:ext xmlns:c16="http://schemas.microsoft.com/office/drawing/2014/chart" uri="{C3380CC4-5D6E-409C-BE32-E72D297353CC}">
                <c16:uniqueId val="{00000311-2B32-44CA-BD44-3A0C08BFDC9B}"/>
              </c:ext>
            </c:extLst>
          </c:dPt>
          <c:dPt>
            <c:idx val="375"/>
            <c:invertIfNegative val="0"/>
            <c:bubble3D val="0"/>
            <c:extLst>
              <c:ext xmlns:c16="http://schemas.microsoft.com/office/drawing/2014/chart" uri="{C3380CC4-5D6E-409C-BE32-E72D297353CC}">
                <c16:uniqueId val="{00000312-2B32-44CA-BD44-3A0C08BFDC9B}"/>
              </c:ext>
            </c:extLst>
          </c:dPt>
          <c:dPt>
            <c:idx val="376"/>
            <c:invertIfNegative val="0"/>
            <c:bubble3D val="0"/>
            <c:extLst>
              <c:ext xmlns:c16="http://schemas.microsoft.com/office/drawing/2014/chart" uri="{C3380CC4-5D6E-409C-BE32-E72D297353CC}">
                <c16:uniqueId val="{00000313-2B32-44CA-BD44-3A0C08BFDC9B}"/>
              </c:ext>
            </c:extLst>
          </c:dPt>
          <c:dPt>
            <c:idx val="377"/>
            <c:invertIfNegative val="0"/>
            <c:bubble3D val="0"/>
            <c:extLst>
              <c:ext xmlns:c16="http://schemas.microsoft.com/office/drawing/2014/chart" uri="{C3380CC4-5D6E-409C-BE32-E72D297353CC}">
                <c16:uniqueId val="{00000314-2B32-44CA-BD44-3A0C08BFDC9B}"/>
              </c:ext>
            </c:extLst>
          </c:dPt>
          <c:dPt>
            <c:idx val="378"/>
            <c:invertIfNegative val="0"/>
            <c:bubble3D val="0"/>
            <c:extLst>
              <c:ext xmlns:c16="http://schemas.microsoft.com/office/drawing/2014/chart" uri="{C3380CC4-5D6E-409C-BE32-E72D297353CC}">
                <c16:uniqueId val="{00000315-2B32-44CA-BD44-3A0C08BFDC9B}"/>
              </c:ext>
            </c:extLst>
          </c:dPt>
          <c:dPt>
            <c:idx val="379"/>
            <c:invertIfNegative val="0"/>
            <c:bubble3D val="0"/>
            <c:extLst>
              <c:ext xmlns:c16="http://schemas.microsoft.com/office/drawing/2014/chart" uri="{C3380CC4-5D6E-409C-BE32-E72D297353CC}">
                <c16:uniqueId val="{00000316-2B32-44CA-BD44-3A0C08BFDC9B}"/>
              </c:ext>
            </c:extLst>
          </c:dPt>
          <c:dPt>
            <c:idx val="380"/>
            <c:invertIfNegative val="0"/>
            <c:bubble3D val="0"/>
            <c:extLst>
              <c:ext xmlns:c16="http://schemas.microsoft.com/office/drawing/2014/chart" uri="{C3380CC4-5D6E-409C-BE32-E72D297353CC}">
                <c16:uniqueId val="{00000317-2B32-44CA-BD44-3A0C08BFDC9B}"/>
              </c:ext>
            </c:extLst>
          </c:dPt>
          <c:dPt>
            <c:idx val="381"/>
            <c:invertIfNegative val="0"/>
            <c:bubble3D val="0"/>
            <c:extLst>
              <c:ext xmlns:c16="http://schemas.microsoft.com/office/drawing/2014/chart" uri="{C3380CC4-5D6E-409C-BE32-E72D297353CC}">
                <c16:uniqueId val="{00000318-2B32-44CA-BD44-3A0C08BFDC9B}"/>
              </c:ext>
            </c:extLst>
          </c:dPt>
          <c:dPt>
            <c:idx val="382"/>
            <c:invertIfNegative val="0"/>
            <c:bubble3D val="0"/>
            <c:extLst>
              <c:ext xmlns:c16="http://schemas.microsoft.com/office/drawing/2014/chart" uri="{C3380CC4-5D6E-409C-BE32-E72D297353CC}">
                <c16:uniqueId val="{00000319-2B32-44CA-BD44-3A0C08BFDC9B}"/>
              </c:ext>
            </c:extLst>
          </c:dPt>
          <c:dPt>
            <c:idx val="383"/>
            <c:invertIfNegative val="0"/>
            <c:bubble3D val="0"/>
            <c:extLst>
              <c:ext xmlns:c16="http://schemas.microsoft.com/office/drawing/2014/chart" uri="{C3380CC4-5D6E-409C-BE32-E72D297353CC}">
                <c16:uniqueId val="{0000031A-2B32-44CA-BD44-3A0C08BFDC9B}"/>
              </c:ext>
            </c:extLst>
          </c:dPt>
          <c:dPt>
            <c:idx val="384"/>
            <c:invertIfNegative val="0"/>
            <c:bubble3D val="0"/>
            <c:extLst>
              <c:ext xmlns:c16="http://schemas.microsoft.com/office/drawing/2014/chart" uri="{C3380CC4-5D6E-409C-BE32-E72D297353CC}">
                <c16:uniqueId val="{0000031B-2B32-44CA-BD44-3A0C08BFDC9B}"/>
              </c:ext>
            </c:extLst>
          </c:dPt>
          <c:dPt>
            <c:idx val="385"/>
            <c:invertIfNegative val="0"/>
            <c:bubble3D val="0"/>
            <c:extLst>
              <c:ext xmlns:c16="http://schemas.microsoft.com/office/drawing/2014/chart" uri="{C3380CC4-5D6E-409C-BE32-E72D297353CC}">
                <c16:uniqueId val="{0000031C-2B32-44CA-BD44-3A0C08BFDC9B}"/>
              </c:ext>
            </c:extLst>
          </c:dPt>
          <c:dPt>
            <c:idx val="386"/>
            <c:invertIfNegative val="0"/>
            <c:bubble3D val="0"/>
            <c:extLst>
              <c:ext xmlns:c16="http://schemas.microsoft.com/office/drawing/2014/chart" uri="{C3380CC4-5D6E-409C-BE32-E72D297353CC}">
                <c16:uniqueId val="{0000031D-2B32-44CA-BD44-3A0C08BFDC9B}"/>
              </c:ext>
            </c:extLst>
          </c:dPt>
          <c:cat>
            <c:multiLvlStrRef>
              <c:f>pt.lvl3_generic_4!$B$8:$C$56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pt.lvl3_generic_4!$D$8:$D$56</c:f>
              <c:numCache>
                <c:formatCode>General</c:formatCode>
                <c:ptCount val="48"/>
                <c:pt idx="0">
                  <c:v>1</c:v>
                </c:pt>
                <c:pt idx="1">
                  <c:v>1</c:v>
                </c:pt>
                <c:pt idx="2">
                  <c:v>1</c:v>
                </c:pt>
                <c:pt idx="3">
                  <c:v>1</c:v>
                </c:pt>
                <c:pt idx="4">
                  <c:v>1</c:v>
                </c:pt>
                <c:pt idx="5">
                  <c:v>1</c:v>
                </c:pt>
                <c:pt idx="6">
                  <c:v>1</c:v>
                </c:pt>
                <c:pt idx="7">
                  <c:v>1</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0.9438339438339437</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0.87179487179487181</c:v>
                </c:pt>
                <c:pt idx="33">
                  <c:v>0.92401433691756285</c:v>
                </c:pt>
                <c:pt idx="34">
                  <c:v>0.97549019607843146</c:v>
                </c:pt>
                <c:pt idx="35">
                  <c:v>0.91299790356394139</c:v>
                </c:pt>
                <c:pt idx="36">
                  <c:v>0.34757834757834755</c:v>
                </c:pt>
                <c:pt idx="37">
                  <c:v>0.22222222222222221</c:v>
                </c:pt>
                <c:pt idx="38">
                  <c:v>0.41904761904761906</c:v>
                </c:pt>
                <c:pt idx="39">
                  <c:v>1</c:v>
                </c:pt>
                <c:pt idx="40">
                  <c:v>1</c:v>
                </c:pt>
                <c:pt idx="41">
                  <c:v>1</c:v>
                </c:pt>
                <c:pt idx="42">
                  <c:v>1</c:v>
                </c:pt>
                <c:pt idx="43">
                  <c:v>1</c:v>
                </c:pt>
                <c:pt idx="44">
                  <c:v>1</c:v>
                </c:pt>
                <c:pt idx="45">
                  <c:v>1</c:v>
                </c:pt>
                <c:pt idx="46">
                  <c:v>0.95424836601307195</c:v>
                </c:pt>
                <c:pt idx="47">
                  <c:v>0.93333333333333324</c:v>
                </c:pt>
              </c:numCache>
            </c:numRef>
          </c:val>
          <c:extLst>
            <c:ext xmlns:c16="http://schemas.microsoft.com/office/drawing/2014/chart" uri="{C3380CC4-5D6E-409C-BE32-E72D297353CC}">
              <c16:uniqueId val="{0000000A-4D84-4F41-B867-1DE59949B750}"/>
            </c:ext>
          </c:extLst>
        </c:ser>
        <c:dLbls>
          <c:showLegendKey val="0"/>
          <c:showVal val="0"/>
          <c:showCatName val="0"/>
          <c:showSerName val="0"/>
          <c:showPercent val="0"/>
          <c:showBubbleSize val="0"/>
        </c:dLbls>
        <c:gapWidth val="200"/>
        <c:overlap val="-27"/>
        <c:axId val="448492632"/>
        <c:axId val="448493024"/>
      </c:barChart>
      <c:lineChart>
        <c:grouping val="standard"/>
        <c:varyColors val="0"/>
        <c:ser>
          <c:idx val="1"/>
          <c:order val="1"/>
          <c:tx>
            <c:strRef>
              <c:f>pt.lvl3_generic_4!$E$7</c:f>
              <c:strCache>
                <c:ptCount val="1"/>
                <c:pt idx="0">
                  <c:v>Average of Cíl %</c:v>
                </c:pt>
              </c:strCache>
            </c:strRef>
          </c:tx>
          <c:spPr>
            <a:ln w="28575" cap="rnd">
              <a:solidFill>
                <a:srgbClr val="000000"/>
              </a:solidFill>
              <a:round/>
            </a:ln>
            <a:effectLst/>
          </c:spPr>
          <c:marker>
            <c:symbol val="none"/>
          </c:marker>
          <c:cat>
            <c:multiLvlStrRef>
              <c:f>pt.lvl3_generic_4!$B$8:$C$56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pt.lvl3_generic_4!$E$8:$E$56</c:f>
              <c:numCache>
                <c:formatCode>General</c:formatCode>
                <c:ptCount val="48"/>
                <c:pt idx="0">
                  <c:v>0.8</c:v>
                </c:pt>
                <c:pt idx="1">
                  <c:v>0.8</c:v>
                </c:pt>
                <c:pt idx="2">
                  <c:v>0.80000000000000016</c:v>
                </c:pt>
                <c:pt idx="3">
                  <c:v>0.80000000000000016</c:v>
                </c:pt>
                <c:pt idx="4">
                  <c:v>0.8</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0.80000000000000016</c:v>
                </c:pt>
                <c:pt idx="38">
                  <c:v>0.80000000000000016</c:v>
                </c:pt>
                <c:pt idx="39">
                  <c:v>0.80000000000000016</c:v>
                </c:pt>
                <c:pt idx="40">
                  <c:v>0.8</c:v>
                </c:pt>
                <c:pt idx="41">
                  <c:v>0.8</c:v>
                </c:pt>
                <c:pt idx="42">
                  <c:v>0.80000000000000016</c:v>
                </c:pt>
                <c:pt idx="43">
                  <c:v>0.80000000000000016</c:v>
                </c:pt>
                <c:pt idx="44">
                  <c:v>0.80000000000000016</c:v>
                </c:pt>
                <c:pt idx="45">
                  <c:v>0.8</c:v>
                </c:pt>
                <c:pt idx="46">
                  <c:v>0.80000000000000016</c:v>
                </c:pt>
                <c:pt idx="47">
                  <c:v>0.80000000000000016</c:v>
                </c:pt>
              </c:numCache>
            </c:numRef>
          </c:val>
          <c:smooth val="0"/>
          <c:extLst>
            <c:ext xmlns:c16="http://schemas.microsoft.com/office/drawing/2014/chart" uri="{C3380CC4-5D6E-409C-BE32-E72D297353CC}">
              <c16:uniqueId val="{0000000B-4D84-4F41-B867-1DE59949B750}"/>
            </c:ext>
          </c:extLst>
        </c:ser>
        <c:ser>
          <c:idx val="2"/>
          <c:order val="2"/>
          <c:tx>
            <c:strRef>
              <c:f>pt.lvl3_generic_4!$F$7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F-4D84-4F41-B867-1DE59949B750}"/>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0-4D84-4F41-B867-1DE59949B750}"/>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85A0-442A-BFC9-AA214FBBFD2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85A0-442A-BFC9-AA214FBBFD2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2-85A0-442A-BFC9-AA214FBBFD2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3-85A0-442A-BFC9-AA214FBBFD2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4-85A0-442A-BFC9-AA214FBBFD2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5-85A0-442A-BFC9-AA214FBBFD2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6-85A0-442A-BFC9-AA214FBBFD2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7-85A0-442A-BFC9-AA214FBBFD2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8-85A0-442A-BFC9-AA214FBBFD2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9-85A0-442A-BFC9-AA214FBBFD2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A-85A0-442A-BFC9-AA214FBBFD2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B-85A0-442A-BFC9-AA214FBBFD2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85A0-442A-BFC9-AA214FBBFD2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85A0-442A-BFC9-AA214FBBFD2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85A0-442A-BFC9-AA214FBBFD2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85A0-442A-BFC9-AA214FBBFD2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85A0-442A-BFC9-AA214FBBFD2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85A0-442A-BFC9-AA214FBBFD2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85A0-442A-BFC9-AA214FBBFD2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85A0-442A-BFC9-AA214FBBFD2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85A0-442A-BFC9-AA214FBBFD2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85A0-442A-BFC9-AA214FBBFD2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85A0-442A-BFC9-AA214FBBFD27}"/>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85A0-442A-BFC9-AA214FBBFD27}"/>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8-85A0-442A-BFC9-AA214FBBFD27}"/>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85A0-442A-BFC9-AA214FBBFD27}"/>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A-85A0-442A-BFC9-AA214FBBFD27}"/>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85A0-442A-BFC9-AA214FBBFD27}"/>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C-85A0-442A-BFC9-AA214FBBFD27}"/>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85A0-442A-BFC9-AA214FBBFD27}"/>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E-85A0-442A-BFC9-AA214FBBFD27}"/>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85A0-442A-BFC9-AA214FBBFD27}"/>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0-85A0-442A-BFC9-AA214FBBFD27}"/>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1-85A0-442A-BFC9-AA214FBBFD27}"/>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2-85A0-442A-BFC9-AA214FBBFD27}"/>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3-85A0-442A-BFC9-AA214FBBFD27}"/>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4-85A0-442A-BFC9-AA214FBBFD27}"/>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85A0-442A-BFC9-AA214FBBFD27}"/>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6-85A0-442A-BFC9-AA214FBBFD27}"/>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7-85A0-442A-BFC9-AA214FBBFD27}"/>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8-85A0-442A-BFC9-AA214FBBFD27}"/>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9-85A0-442A-BFC9-AA214FBBFD27}"/>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A-85A0-442A-BFC9-AA214FBBFD27}"/>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B-85A0-442A-BFC9-AA214FBBFD27}"/>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C-85A0-442A-BFC9-AA214FBBFD27}"/>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5A0-442A-BFC9-AA214FBBFD27}"/>
              </c:ext>
            </c:extLst>
          </c:dPt>
          <c:dPt>
            <c:idx val="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85A0-442A-BFC9-AA214FBBFD27}"/>
              </c:ext>
            </c:extLst>
          </c:dPt>
          <c:dPt>
            <c:idx val="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85A0-442A-BFC9-AA214FBBFD27}"/>
              </c:ext>
            </c:extLst>
          </c:dPt>
          <c:dPt>
            <c:idx val="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85A0-442A-BFC9-AA214FBBFD27}"/>
              </c:ext>
            </c:extLst>
          </c:dPt>
          <c:dPt>
            <c:idx val="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85A0-442A-BFC9-AA214FBBFD27}"/>
              </c:ext>
            </c:extLst>
          </c:dPt>
          <c:dPt>
            <c:idx val="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85A0-442A-BFC9-AA214FBBFD27}"/>
              </c:ext>
            </c:extLst>
          </c:dPt>
          <c:dPt>
            <c:idx val="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85A0-442A-BFC9-AA214FBBFD27}"/>
              </c:ext>
            </c:extLst>
          </c:dPt>
          <c:dPt>
            <c:idx val="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85A0-442A-BFC9-AA214FBBFD27}"/>
              </c:ext>
            </c:extLst>
          </c:dPt>
          <c:dPt>
            <c:idx val="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85A0-442A-BFC9-AA214FBBFD27}"/>
              </c:ext>
            </c:extLst>
          </c:dPt>
          <c:dPt>
            <c:idx val="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6-85A0-442A-BFC9-AA214FBBFD27}"/>
              </c:ext>
            </c:extLst>
          </c:dPt>
          <c:dPt>
            <c:idx val="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7-85A0-442A-BFC9-AA214FBBFD27}"/>
              </c:ext>
            </c:extLst>
          </c:dPt>
          <c:dPt>
            <c:idx val="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8-85A0-442A-BFC9-AA214FBBFD27}"/>
              </c:ext>
            </c:extLst>
          </c:dPt>
          <c:dPt>
            <c:idx val="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9-85A0-442A-BFC9-AA214FBBFD27}"/>
              </c:ext>
            </c:extLst>
          </c:dPt>
          <c:dPt>
            <c:idx val="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A-85A0-442A-BFC9-AA214FBBFD27}"/>
              </c:ext>
            </c:extLst>
          </c:dPt>
          <c:dPt>
            <c:idx val="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B-85A0-442A-BFC9-AA214FBBFD27}"/>
              </c:ext>
            </c:extLst>
          </c:dPt>
          <c:dPt>
            <c:idx val="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C-85A0-442A-BFC9-AA214FBBFD27}"/>
              </c:ext>
            </c:extLst>
          </c:dPt>
          <c:dPt>
            <c:idx val="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D-85A0-442A-BFC9-AA214FBBFD27}"/>
              </c:ext>
            </c:extLst>
          </c:dPt>
          <c:dPt>
            <c:idx val="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E-85A0-442A-BFC9-AA214FBBFD27}"/>
              </c:ext>
            </c:extLst>
          </c:dPt>
          <c:dPt>
            <c:idx val="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F-85A0-442A-BFC9-AA214FBBFD27}"/>
              </c:ext>
            </c:extLst>
          </c:dPt>
          <c:dPt>
            <c:idx val="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0-85A0-442A-BFC9-AA214FBBFD27}"/>
              </c:ext>
            </c:extLst>
          </c:dPt>
          <c:dPt>
            <c:idx val="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1-85A0-442A-BFC9-AA214FBBFD27}"/>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85A0-442A-BFC9-AA214FBBFD27}"/>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85A0-442A-BFC9-AA214FBBFD27}"/>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85A0-442A-BFC9-AA214FBBFD27}"/>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5-85A0-442A-BFC9-AA214FBBFD27}"/>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6-85A0-442A-BFC9-AA214FBBFD27}"/>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7-85A0-442A-BFC9-AA214FBBFD27}"/>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8-85A0-442A-BFC9-AA214FBBFD27}"/>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9-85A0-442A-BFC9-AA214FBBFD27}"/>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1-A9C0-4E3F-AB3C-9C44AB2F6327}"/>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33-A9C0-4E3F-AB3C-9C44AB2F6327}"/>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3-3975-41AC-81CC-2F131FC932A7}"/>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4-3975-41AC-81CC-2F131FC932A7}"/>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5-3975-41AC-81CC-2F131FC932A7}"/>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6-3975-41AC-81CC-2F131FC932A7}"/>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3975-41AC-81CC-2F131FC932A7}"/>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3975-41AC-81CC-2F131FC932A7}"/>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3975-41AC-81CC-2F131FC932A7}"/>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3975-41AC-81CC-2F131FC932A7}"/>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3975-41AC-81CC-2F131FC932A7}"/>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3975-41AC-81CC-2F131FC932A7}"/>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3975-41AC-81CC-2F131FC932A7}"/>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3975-41AC-81CC-2F131FC932A7}"/>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3975-41AC-81CC-2F131FC932A7}"/>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3975-41AC-81CC-2F131FC932A7}"/>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3975-41AC-81CC-2F131FC932A7}"/>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3975-41AC-81CC-2F131FC932A7}"/>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3975-41AC-81CC-2F131FC932A7}"/>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3975-41AC-81CC-2F131FC932A7}"/>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3975-41AC-81CC-2F131FC932A7}"/>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3975-41AC-81CC-2F131FC932A7}"/>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3975-41AC-81CC-2F131FC932A7}"/>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3975-41AC-81CC-2F131FC932A7}"/>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3975-41AC-81CC-2F131FC932A7}"/>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3975-41AC-81CC-2F131FC932A7}"/>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3975-41AC-81CC-2F131FC932A7}"/>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3975-41AC-81CC-2F131FC932A7}"/>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3975-41AC-81CC-2F131FC932A7}"/>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9-3DE3-460E-B20A-1F64B13538CE}"/>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B-3DE3-460E-B20A-1F64B13538CE}"/>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A-3DE3-460E-B20A-1F64B13538CE}"/>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B-3DE3-460E-B20A-1F64B13538CE}"/>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C-3DE3-460E-B20A-1F64B13538CE}"/>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D-3DE3-460E-B20A-1F64B13538CE}"/>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3DE3-460E-B20A-1F64B13538CE}"/>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3DE3-460E-B20A-1F64B13538CE}"/>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3DE3-460E-B20A-1F64B13538CE}"/>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3DE3-460E-B20A-1F64B13538CE}"/>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3DE3-460E-B20A-1F64B13538CE}"/>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3DE3-460E-B20A-1F64B13538CE}"/>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3DE3-460E-B20A-1F64B13538CE}"/>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3DE3-460E-B20A-1F64B13538CE}"/>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3DE3-460E-B20A-1F64B13538CE}"/>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3DE3-460E-B20A-1F64B13538CE}"/>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5-6B59-4A36-B436-F5C1122D8819}"/>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7-6B59-4A36-B436-F5C1122D8819}"/>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6B59-4A36-B436-F5C1122D8819}"/>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6B59-4A36-B436-F5C1122D8819}"/>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6B59-4A36-B436-F5C1122D8819}"/>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6B59-4A36-B436-F5C1122D8819}"/>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3DE3-460E-B20A-1F64B13538CE}"/>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3DE3-460E-B20A-1F64B13538CE}"/>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8-8320-4CD7-B263-7DD06620D044}"/>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9-8320-4CD7-B263-7DD06620D044}"/>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A-8320-4CD7-B263-7DD06620D044}"/>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B-8320-4CD7-B263-7DD06620D044}"/>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6-3F93-468C-816C-2C826A4946EC}"/>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7-3F93-468C-816C-2C826A4946EC}"/>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E-EBE0-41D3-BA0B-F183E00F98CD}"/>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F-EBE0-41D3-BA0B-F183E00F98CD}"/>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E-2B32-44CA-BD44-3A0C08BFDC9B}"/>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1F-2B32-44CA-BD44-3A0C08BFDC9B}"/>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0-2B32-44CA-BD44-3A0C08BFDC9B}"/>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1-2B32-44CA-BD44-3A0C08BFDC9B}"/>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2B32-44CA-BD44-3A0C08BFDC9B}"/>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2B32-44CA-BD44-3A0C08BFDC9B}"/>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2B32-44CA-BD44-3A0C08BFDC9B}"/>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2B32-44CA-BD44-3A0C08BFDC9B}"/>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2B32-44CA-BD44-3A0C08BFDC9B}"/>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2B32-44CA-BD44-3A0C08BFDC9B}"/>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2B32-44CA-BD44-3A0C08BFDC9B}"/>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2B32-44CA-BD44-3A0C08BFDC9B}"/>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2B32-44CA-BD44-3A0C08BFDC9B}"/>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2B32-44CA-BD44-3A0C08BFDC9B}"/>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2B32-44CA-BD44-3A0C08BFDC9B}"/>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2B32-44CA-BD44-3A0C08BFDC9B}"/>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2B32-44CA-BD44-3A0C08BFDC9B}"/>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2B32-44CA-BD44-3A0C08BFDC9B}"/>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2B32-44CA-BD44-3A0C08BFDC9B}"/>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2B32-44CA-BD44-3A0C08BFDC9B}"/>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2B32-44CA-BD44-3A0C08BFDC9B}"/>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2B32-44CA-BD44-3A0C08BFDC9B}"/>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2B32-44CA-BD44-3A0C08BFDC9B}"/>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2B32-44CA-BD44-3A0C08BFDC9B}"/>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2B32-44CA-BD44-3A0C08BFDC9B}"/>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2B32-44CA-BD44-3A0C08BFDC9B}"/>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2B32-44CA-BD44-3A0C08BFDC9B}"/>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2B32-44CA-BD44-3A0C08BFDC9B}"/>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2B32-44CA-BD44-3A0C08BFDC9B}"/>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2B32-44CA-BD44-3A0C08BFDC9B}"/>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2B32-44CA-BD44-3A0C08BFDC9B}"/>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2B32-44CA-BD44-3A0C08BFDC9B}"/>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2B32-44CA-BD44-3A0C08BFDC9B}"/>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2B32-44CA-BD44-3A0C08BFDC9B}"/>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2B32-44CA-BD44-3A0C08BFDC9B}"/>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2B32-44CA-BD44-3A0C08BFDC9B}"/>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2B32-44CA-BD44-3A0C08BFDC9B}"/>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2B32-44CA-BD44-3A0C08BFDC9B}"/>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2B32-44CA-BD44-3A0C08BFDC9B}"/>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2B32-44CA-BD44-3A0C08BFDC9B}"/>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2B32-44CA-BD44-3A0C08BFDC9B}"/>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2B32-44CA-BD44-3A0C08BFDC9B}"/>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2B32-44CA-BD44-3A0C08BFDC9B}"/>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2B32-44CA-BD44-3A0C08BFDC9B}"/>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2B32-44CA-BD44-3A0C08BFDC9B}"/>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2B32-44CA-BD44-3A0C08BFDC9B}"/>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2B32-44CA-BD44-3A0C08BFDC9B}"/>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2B32-44CA-BD44-3A0C08BFDC9B}"/>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2B32-44CA-BD44-3A0C08BFDC9B}"/>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2B32-44CA-BD44-3A0C08BFDC9B}"/>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2B32-44CA-BD44-3A0C08BFDC9B}"/>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2B32-44CA-BD44-3A0C08BFDC9B}"/>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2B32-44CA-BD44-3A0C08BFDC9B}"/>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2B32-44CA-BD44-3A0C08BFDC9B}"/>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2B32-44CA-BD44-3A0C08BFDC9B}"/>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2B32-44CA-BD44-3A0C08BFDC9B}"/>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2B32-44CA-BD44-3A0C08BFDC9B}"/>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2B32-44CA-BD44-3A0C08BFDC9B}"/>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2B32-44CA-BD44-3A0C08BFDC9B}"/>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2B32-44CA-BD44-3A0C08BFDC9B}"/>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2B32-44CA-BD44-3A0C08BFDC9B}"/>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2B32-44CA-BD44-3A0C08BFDC9B}"/>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2B32-44CA-BD44-3A0C08BFDC9B}"/>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2B32-44CA-BD44-3A0C08BFDC9B}"/>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2B32-44CA-BD44-3A0C08BFDC9B}"/>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2B32-44CA-BD44-3A0C08BFDC9B}"/>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2B32-44CA-BD44-3A0C08BFDC9B}"/>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2B32-44CA-BD44-3A0C08BFDC9B}"/>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2B32-44CA-BD44-3A0C08BFDC9B}"/>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2B32-44CA-BD44-3A0C08BFDC9B}"/>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2B32-44CA-BD44-3A0C08BFDC9B}"/>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2B32-44CA-BD44-3A0C08BFDC9B}"/>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2B32-44CA-BD44-3A0C08BFDC9B}"/>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2B32-44CA-BD44-3A0C08BFDC9B}"/>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2B32-44CA-BD44-3A0C08BFDC9B}"/>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2B32-44CA-BD44-3A0C08BFDC9B}"/>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2B32-44CA-BD44-3A0C08BFDC9B}"/>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2B32-44CA-BD44-3A0C08BFDC9B}"/>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2B32-44CA-BD44-3A0C08BFDC9B}"/>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2B32-44CA-BD44-3A0C08BFDC9B}"/>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2B32-44CA-BD44-3A0C08BFDC9B}"/>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2B32-44CA-BD44-3A0C08BFDC9B}"/>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2B32-44CA-BD44-3A0C08BFDC9B}"/>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2B32-44CA-BD44-3A0C08BFDC9B}"/>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2B32-44CA-BD44-3A0C08BFDC9B}"/>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2B32-44CA-BD44-3A0C08BFDC9B}"/>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2B32-44CA-BD44-3A0C08BFDC9B}"/>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2B32-44CA-BD44-3A0C08BFDC9B}"/>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2B32-44CA-BD44-3A0C08BFDC9B}"/>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2B32-44CA-BD44-3A0C08BFDC9B}"/>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2B32-44CA-BD44-3A0C08BFDC9B}"/>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2B32-44CA-BD44-3A0C08BFDC9B}"/>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2B32-44CA-BD44-3A0C08BFDC9B}"/>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2B32-44CA-BD44-3A0C08BFDC9B}"/>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2B32-44CA-BD44-3A0C08BFDC9B}"/>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2B32-44CA-BD44-3A0C08BFDC9B}"/>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2B32-44CA-BD44-3A0C08BFDC9B}"/>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2B32-44CA-BD44-3A0C08BFDC9B}"/>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2B32-44CA-BD44-3A0C08BFDC9B}"/>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2B32-44CA-BD44-3A0C08BFDC9B}"/>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2B32-44CA-BD44-3A0C08BFDC9B}"/>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2B32-44CA-BD44-3A0C08BFDC9B}"/>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2B32-44CA-BD44-3A0C08BFDC9B}"/>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2B32-44CA-BD44-3A0C08BFDC9B}"/>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2B32-44CA-BD44-3A0C08BFDC9B}"/>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2B32-44CA-BD44-3A0C08BFDC9B}"/>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2B32-44CA-BD44-3A0C08BFDC9B}"/>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2B32-44CA-BD44-3A0C08BFDC9B}"/>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2B32-44CA-BD44-3A0C08BFDC9B}"/>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2B32-44CA-BD44-3A0C08BFDC9B}"/>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2B32-44CA-BD44-3A0C08BFDC9B}"/>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2B32-44CA-BD44-3A0C08BFDC9B}"/>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2B32-44CA-BD44-3A0C08BFDC9B}"/>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2B32-44CA-BD44-3A0C08BFDC9B}"/>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2B32-44CA-BD44-3A0C08BFDC9B}"/>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2B32-44CA-BD44-3A0C08BFDC9B}"/>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2B32-44CA-BD44-3A0C08BFDC9B}"/>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2B32-44CA-BD44-3A0C08BFDC9B}"/>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2B32-44CA-BD44-3A0C08BFDC9B}"/>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2B32-44CA-BD44-3A0C08BFDC9B}"/>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2B32-44CA-BD44-3A0C08BFDC9B}"/>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2B32-44CA-BD44-3A0C08BFDC9B}"/>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2B32-44CA-BD44-3A0C08BFDC9B}"/>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2B32-44CA-BD44-3A0C08BFDC9B}"/>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2B32-44CA-BD44-3A0C08BFDC9B}"/>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2B32-44CA-BD44-3A0C08BFDC9B}"/>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2B32-44CA-BD44-3A0C08BFDC9B}"/>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2B32-44CA-BD44-3A0C08BFDC9B}"/>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2B32-44CA-BD44-3A0C08BFDC9B}"/>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2B32-44CA-BD44-3A0C08BFDC9B}"/>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2B32-44CA-BD44-3A0C08BFDC9B}"/>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2B32-44CA-BD44-3A0C08BFDC9B}"/>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2B32-44CA-BD44-3A0C08BFDC9B}"/>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2B32-44CA-BD44-3A0C08BFDC9B}"/>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2B32-44CA-BD44-3A0C08BFDC9B}"/>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2B32-44CA-BD44-3A0C08BFDC9B}"/>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2B32-44CA-BD44-3A0C08BFDC9B}"/>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2B32-44CA-BD44-3A0C08BFDC9B}"/>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2B32-44CA-BD44-3A0C08BFDC9B}"/>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2B32-44CA-BD44-3A0C08BFDC9B}"/>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2B32-44CA-BD44-3A0C08BFDC9B}"/>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2B32-44CA-BD44-3A0C08BFDC9B}"/>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2B32-44CA-BD44-3A0C08BFDC9B}"/>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2B32-44CA-BD44-3A0C08BFDC9B}"/>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2B32-44CA-BD44-3A0C08BFDC9B}"/>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2B32-44CA-BD44-3A0C08BFDC9B}"/>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2B32-44CA-BD44-3A0C08BFDC9B}"/>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2B32-44CA-BD44-3A0C08BFDC9B}"/>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2B32-44CA-BD44-3A0C08BFDC9B}"/>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2B32-44CA-BD44-3A0C08BFDC9B}"/>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2B32-44CA-BD44-3A0C08BFDC9B}"/>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2B32-44CA-BD44-3A0C08BFDC9B}"/>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2B32-44CA-BD44-3A0C08BFDC9B}"/>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2B32-44CA-BD44-3A0C08BFDC9B}"/>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2B32-44CA-BD44-3A0C08BFDC9B}"/>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2B32-44CA-BD44-3A0C08BFDC9B}"/>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2B32-44CA-BD44-3A0C08BFDC9B}"/>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2B32-44CA-BD44-3A0C08BFDC9B}"/>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2B32-44CA-BD44-3A0C08BFDC9B}"/>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2B32-44CA-BD44-3A0C08BFDC9B}"/>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2B32-44CA-BD44-3A0C08BFDC9B}"/>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2B32-44CA-BD44-3A0C08BFDC9B}"/>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2B32-44CA-BD44-3A0C08BFDC9B}"/>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2B32-44CA-BD44-3A0C08BFDC9B}"/>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2B32-44CA-BD44-3A0C08BFDC9B}"/>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2B32-44CA-BD44-3A0C08BFDC9B}"/>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2B32-44CA-BD44-3A0C08BFDC9B}"/>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2B32-44CA-BD44-3A0C08BFDC9B}"/>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2B32-44CA-BD44-3A0C08BFDC9B}"/>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2B32-44CA-BD44-3A0C08BFDC9B}"/>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2B32-44CA-BD44-3A0C08BFDC9B}"/>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2B32-44CA-BD44-3A0C08BFDC9B}"/>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2B32-44CA-BD44-3A0C08BFDC9B}"/>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2B32-44CA-BD44-3A0C08BFDC9B}"/>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2B32-44CA-BD44-3A0C08BFDC9B}"/>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2B32-44CA-BD44-3A0C08BFDC9B}"/>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2B32-44CA-BD44-3A0C08BFDC9B}"/>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2B32-44CA-BD44-3A0C08BFDC9B}"/>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2B32-44CA-BD44-3A0C08BFDC9B}"/>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2B32-44CA-BD44-3A0C08BFDC9B}"/>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2B32-44CA-BD44-3A0C08BFDC9B}"/>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2B32-44CA-BD44-3A0C08BFDC9B}"/>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2B32-44CA-BD44-3A0C08BFDC9B}"/>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2B32-44CA-BD44-3A0C08BFDC9B}"/>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2B32-44CA-BD44-3A0C08BFDC9B}"/>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2B32-44CA-BD44-3A0C08BFDC9B}"/>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2B32-44CA-BD44-3A0C08BFDC9B}"/>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2B32-44CA-BD44-3A0C08BFDC9B}"/>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2B32-44CA-BD44-3A0C08BFDC9B}"/>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2B32-44CA-BD44-3A0C08BFDC9B}"/>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2B32-44CA-BD44-3A0C08BFDC9B}"/>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2B32-44CA-BD44-3A0C08BFDC9B}"/>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2B32-44CA-BD44-3A0C08BFDC9B}"/>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2B32-44CA-BD44-3A0C08BFDC9B}"/>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2B32-44CA-BD44-3A0C08BFDC9B}"/>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2B32-44CA-BD44-3A0C08BFDC9B}"/>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2B32-44CA-BD44-3A0C08BFDC9B}"/>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2B32-44CA-BD44-3A0C08BFDC9B}"/>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2B32-44CA-BD44-3A0C08BFDC9B}"/>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2B32-44CA-BD44-3A0C08BFDC9B}"/>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2B32-44CA-BD44-3A0C08BFDC9B}"/>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2B32-44CA-BD44-3A0C08BFDC9B}"/>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2B32-44CA-BD44-3A0C08BFDC9B}"/>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2B32-44CA-BD44-3A0C08BFDC9B}"/>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2B32-44CA-BD44-3A0C08BFDC9B}"/>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2B32-44CA-BD44-3A0C08BFDC9B}"/>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2B32-44CA-BD44-3A0C08BFDC9B}"/>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2B32-44CA-BD44-3A0C08BFDC9B}"/>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2B32-44CA-BD44-3A0C08BFDC9B}"/>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2B32-44CA-BD44-3A0C08BFDC9B}"/>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2B32-44CA-BD44-3A0C08BFDC9B}"/>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2B32-44CA-BD44-3A0C08BFDC9B}"/>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2B32-44CA-BD44-3A0C08BFDC9B}"/>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2B32-44CA-BD44-3A0C08BFDC9B}"/>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2B32-44CA-BD44-3A0C08BFDC9B}"/>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2B32-44CA-BD44-3A0C08BFDC9B}"/>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2B32-44CA-BD44-3A0C08BFDC9B}"/>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2B32-44CA-BD44-3A0C08BFDC9B}"/>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2B32-44CA-BD44-3A0C08BFDC9B}"/>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2B32-44CA-BD44-3A0C08BFDC9B}"/>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2B32-44CA-BD44-3A0C08BFDC9B}"/>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2B32-44CA-BD44-3A0C08BFDC9B}"/>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2B32-44CA-BD44-3A0C08BFDC9B}"/>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2B32-44CA-BD44-3A0C08BFDC9B}"/>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2B32-44CA-BD44-3A0C08BFDC9B}"/>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2B32-44CA-BD44-3A0C08BFDC9B}"/>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2B32-44CA-BD44-3A0C08BFDC9B}"/>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2B32-44CA-BD44-3A0C08BFDC9B}"/>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2B32-44CA-BD44-3A0C08BFDC9B}"/>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2B32-44CA-BD44-3A0C08BFDC9B}"/>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2B32-44CA-BD44-3A0C08BFDC9B}"/>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2B32-44CA-BD44-3A0C08BFDC9B}"/>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2B32-44CA-BD44-3A0C08BFDC9B}"/>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2B32-44CA-BD44-3A0C08BFDC9B}"/>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2B32-44CA-BD44-3A0C08BFDC9B}"/>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2B32-44CA-BD44-3A0C08BFDC9B}"/>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2B32-44CA-BD44-3A0C08BFDC9B}"/>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2B32-44CA-BD44-3A0C08BFDC9B}"/>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2B32-44CA-BD44-3A0C08BFDC9B}"/>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2B32-44CA-BD44-3A0C08BFDC9B}"/>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2B32-44CA-BD44-3A0C08BFDC9B}"/>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2B32-44CA-BD44-3A0C08BFDC9B}"/>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2B32-44CA-BD44-3A0C08BFDC9B}"/>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2B32-44CA-BD44-3A0C08BFDC9B}"/>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2B32-44CA-BD44-3A0C08BFDC9B}"/>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2B32-44CA-BD44-3A0C08BFDC9B}"/>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2B32-44CA-BD44-3A0C08BFDC9B}"/>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2B32-44CA-BD44-3A0C08BFDC9B}"/>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2B32-44CA-BD44-3A0C08BFDC9B}"/>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2B32-44CA-BD44-3A0C08BFDC9B}"/>
              </c:ext>
            </c:extLst>
          </c:dPt>
          <c:cat>
            <c:multiLvlStrRef>
              <c:f>pt.lvl3_generic_4!$B$8:$C$56</c:f>
              <c:multiLvlStrCache>
                <c:ptCount val="48"/>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lvl>
                <c:lvl>
                  <c:pt idx="0">
                    <c:v>27.11.17</c:v>
                  </c:pt>
                  <c:pt idx="32">
                    <c:v>28.11.17</c:v>
                  </c:pt>
                </c:lvl>
              </c:multiLvlStrCache>
            </c:multiLvlStrRef>
          </c:cat>
          <c:val>
            <c:numRef>
              <c:f>pt.lvl3_generic_4!$F$8:$F$56</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extLst>
            <c:ext xmlns:c16="http://schemas.microsoft.com/office/drawing/2014/chart" uri="{C3380CC4-5D6E-409C-BE32-E72D297353CC}">
              <c16:uniqueId val="{0000000C-4D84-4F41-B867-1DE59949B750}"/>
            </c:ext>
          </c:extLst>
        </c:ser>
        <c:dLbls>
          <c:showLegendKey val="0"/>
          <c:showVal val="0"/>
          <c:showCatName val="0"/>
          <c:showSerName val="0"/>
          <c:showPercent val="0"/>
          <c:showBubbleSize val="0"/>
        </c:dLbls>
        <c:marker val="1"/>
        <c:smooth val="0"/>
        <c:axId val="448492632"/>
        <c:axId val="448493024"/>
      </c:lineChart>
      <c:catAx>
        <c:axId val="448492632"/>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024"/>
        <c:crosses val="autoZero"/>
        <c:auto val="1"/>
        <c:lblAlgn val="ctr"/>
        <c:lblOffset val="100"/>
        <c:noMultiLvlLbl val="0"/>
      </c:catAx>
      <c:valAx>
        <c:axId val="4484930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2632"/>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1.3_3_2.xlsm]pt.lvl3_generic_5!pt.lvl3_generic_5</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pivotFmt>
      <c:pivotFmt>
        <c:idx val="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pt.lvl3_generic_5!$D$7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C-2588-44BE-A1A9-6EDED6E9C3ED}"/>
              </c:ext>
            </c:extLst>
          </c:dPt>
          <c:dPt>
            <c:idx val="1"/>
            <c:invertIfNegative val="0"/>
            <c:bubble3D val="0"/>
            <c:extLst>
              <c:ext xmlns:c16="http://schemas.microsoft.com/office/drawing/2014/chart" uri="{C3380CC4-5D6E-409C-BE32-E72D297353CC}">
                <c16:uniqueId val="{0000000D-2588-44BE-A1A9-6EDED6E9C3ED}"/>
              </c:ext>
            </c:extLst>
          </c:dPt>
          <c:cat>
            <c:multiLvlStrRef>
              <c:f>pt.lvl3_generic_5!$B$8:$C$9</c:f>
              <c:multiLvlStrCache>
                <c:ptCount val="1"/>
                <c:lvl>
                  <c:pt idx="0">
                    <c:v>(blank)</c:v>
                  </c:pt>
                </c:lvl>
                <c:lvl>
                  <c:pt idx="0">
                    <c:v>(blank)</c:v>
                  </c:pt>
                </c:lvl>
              </c:multiLvlStrCache>
            </c:multiLvlStrRef>
          </c:cat>
          <c:val>
            <c:numRef>
              <c:f>pt.lvl3_generic_5!$D$8:$D$9</c:f>
              <c:numCache>
                <c:formatCode>General</c:formatCode>
                <c:ptCount val="1"/>
              </c:numCache>
            </c:numRef>
          </c:val>
          <c:extLst>
            <c:ext xmlns:c16="http://schemas.microsoft.com/office/drawing/2014/chart" uri="{C3380CC4-5D6E-409C-BE32-E72D297353CC}">
              <c16:uniqueId val="{00000009-2588-44BE-A1A9-6EDED6E9C3ED}"/>
            </c:ext>
          </c:extLst>
        </c:ser>
        <c:dLbls>
          <c:showLegendKey val="0"/>
          <c:showVal val="0"/>
          <c:showCatName val="0"/>
          <c:showSerName val="0"/>
          <c:showPercent val="0"/>
          <c:showBubbleSize val="0"/>
        </c:dLbls>
        <c:gapWidth val="200"/>
        <c:overlap val="-27"/>
        <c:axId val="448493808"/>
        <c:axId val="448494200"/>
      </c:barChart>
      <c:lineChart>
        <c:grouping val="standard"/>
        <c:varyColors val="0"/>
        <c:ser>
          <c:idx val="1"/>
          <c:order val="1"/>
          <c:tx>
            <c:strRef>
              <c:f>pt.lvl3_generic_5!$E$7</c:f>
              <c:strCache>
                <c:ptCount val="1"/>
                <c:pt idx="0">
                  <c:v>Average of Cíl %</c:v>
                </c:pt>
              </c:strCache>
            </c:strRef>
          </c:tx>
          <c:spPr>
            <a:ln w="28575" cap="rnd">
              <a:solidFill>
                <a:srgbClr val="000000"/>
              </a:solidFill>
              <a:round/>
            </a:ln>
            <a:effectLst/>
          </c:spPr>
          <c:marker>
            <c:symbol val="none"/>
          </c:marker>
          <c:cat>
            <c:multiLvlStrRef>
              <c:f>pt.lvl3_generic_5!$B$8:$C$9</c:f>
              <c:multiLvlStrCache>
                <c:ptCount val="1"/>
                <c:lvl>
                  <c:pt idx="0">
                    <c:v>(blank)</c:v>
                  </c:pt>
                </c:lvl>
                <c:lvl>
                  <c:pt idx="0">
                    <c:v>(blank)</c:v>
                  </c:pt>
                </c:lvl>
              </c:multiLvlStrCache>
            </c:multiLvlStrRef>
          </c:cat>
          <c:val>
            <c:numRef>
              <c:f>pt.lvl3_generic_5!$E$8:$E$9</c:f>
              <c:numCache>
                <c:formatCode>General</c:formatCode>
                <c:ptCount val="1"/>
              </c:numCache>
            </c:numRef>
          </c:val>
          <c:smooth val="0"/>
          <c:extLst>
            <c:ext xmlns:c16="http://schemas.microsoft.com/office/drawing/2014/chart" uri="{C3380CC4-5D6E-409C-BE32-E72D297353CC}">
              <c16:uniqueId val="{0000000A-2588-44BE-A1A9-6EDED6E9C3ED}"/>
            </c:ext>
          </c:extLst>
        </c:ser>
        <c:ser>
          <c:idx val="2"/>
          <c:order val="2"/>
          <c:tx>
            <c:strRef>
              <c:f>pt.lvl3_generic_5!$F$7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E-2588-44BE-A1A9-6EDED6E9C3ED}"/>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0F-2588-44BE-A1A9-6EDED6E9C3ED}"/>
              </c:ext>
            </c:extLst>
          </c:dPt>
          <c:cat>
            <c:multiLvlStrRef>
              <c:f>pt.lvl3_generic_5!$B$8:$C$9</c:f>
              <c:multiLvlStrCache>
                <c:ptCount val="1"/>
                <c:lvl>
                  <c:pt idx="0">
                    <c:v>(blank)</c:v>
                  </c:pt>
                </c:lvl>
                <c:lvl>
                  <c:pt idx="0">
                    <c:v>(blank)</c:v>
                  </c:pt>
                </c:lvl>
              </c:multiLvlStrCache>
            </c:multiLvlStrRef>
          </c:cat>
          <c:val>
            <c:numRef>
              <c:f>pt.lvl3_generic_5!$F$8:$F$9</c:f>
              <c:numCache>
                <c:formatCode>General</c:formatCode>
                <c:ptCount val="1"/>
              </c:numCache>
            </c:numRef>
          </c:val>
          <c:smooth val="0"/>
          <c:extLst>
            <c:ext xmlns:c16="http://schemas.microsoft.com/office/drawing/2014/chart" uri="{C3380CC4-5D6E-409C-BE32-E72D297353CC}">
              <c16:uniqueId val="{0000000B-2588-44BE-A1A9-6EDED6E9C3ED}"/>
            </c:ext>
          </c:extLst>
        </c:ser>
        <c:dLbls>
          <c:showLegendKey val="0"/>
          <c:showVal val="0"/>
          <c:showCatName val="0"/>
          <c:showSerName val="0"/>
          <c:showPercent val="0"/>
          <c:showBubbleSize val="0"/>
        </c:dLbls>
        <c:marker val="1"/>
        <c:smooth val="0"/>
        <c:axId val="448493808"/>
        <c:axId val="448494200"/>
      </c:lineChart>
      <c:catAx>
        <c:axId val="44849380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200"/>
        <c:crosses val="autoZero"/>
        <c:auto val="1"/>
        <c:lblAlgn val="ctr"/>
        <c:lblOffset val="100"/>
        <c:noMultiLvlLbl val="0"/>
      </c:catAx>
      <c:valAx>
        <c:axId val="4484942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80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1.3_3_2.xlsm]pt.lvl3_generic_6!pt.lvl3_generic_6</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6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pt.lvl3_generic_6!$D$7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64-DCE4-410B-8046-5BEF61FB3FC9}"/>
              </c:ext>
            </c:extLst>
          </c:dPt>
          <c:dPt>
            <c:idx val="1"/>
            <c:invertIfNegative val="0"/>
            <c:bubble3D val="0"/>
            <c:extLst>
              <c:ext xmlns:c16="http://schemas.microsoft.com/office/drawing/2014/chart" uri="{C3380CC4-5D6E-409C-BE32-E72D297353CC}">
                <c16:uniqueId val="{00000065-DCE4-410B-8046-5BEF61FB3FC9}"/>
              </c:ext>
            </c:extLst>
          </c:dPt>
          <c:dPt>
            <c:idx val="2"/>
            <c:invertIfNegative val="0"/>
            <c:bubble3D val="0"/>
            <c:extLst>
              <c:ext xmlns:c16="http://schemas.microsoft.com/office/drawing/2014/chart" uri="{C3380CC4-5D6E-409C-BE32-E72D297353CC}">
                <c16:uniqueId val="{00000066-DCE4-410B-8046-5BEF61FB3FC9}"/>
              </c:ext>
            </c:extLst>
          </c:dPt>
          <c:dPt>
            <c:idx val="3"/>
            <c:invertIfNegative val="0"/>
            <c:bubble3D val="0"/>
            <c:extLst>
              <c:ext xmlns:c16="http://schemas.microsoft.com/office/drawing/2014/chart" uri="{C3380CC4-5D6E-409C-BE32-E72D297353CC}">
                <c16:uniqueId val="{00000067-DCE4-410B-8046-5BEF61FB3FC9}"/>
              </c:ext>
            </c:extLst>
          </c:dPt>
          <c:dPt>
            <c:idx val="4"/>
            <c:invertIfNegative val="0"/>
            <c:bubble3D val="0"/>
            <c:extLst>
              <c:ext xmlns:c16="http://schemas.microsoft.com/office/drawing/2014/chart" uri="{C3380CC4-5D6E-409C-BE32-E72D297353CC}">
                <c16:uniqueId val="{00000068-DCE4-410B-8046-5BEF61FB3FC9}"/>
              </c:ext>
            </c:extLst>
          </c:dPt>
          <c:dPt>
            <c:idx val="5"/>
            <c:invertIfNegative val="0"/>
            <c:bubble3D val="0"/>
            <c:extLst>
              <c:ext xmlns:c16="http://schemas.microsoft.com/office/drawing/2014/chart" uri="{C3380CC4-5D6E-409C-BE32-E72D297353CC}">
                <c16:uniqueId val="{00000069-DCE4-410B-8046-5BEF61FB3FC9}"/>
              </c:ext>
            </c:extLst>
          </c:dPt>
          <c:dPt>
            <c:idx val="6"/>
            <c:invertIfNegative val="0"/>
            <c:bubble3D val="0"/>
            <c:extLst>
              <c:ext xmlns:c16="http://schemas.microsoft.com/office/drawing/2014/chart" uri="{C3380CC4-5D6E-409C-BE32-E72D297353CC}">
                <c16:uniqueId val="{0000006A-DCE4-410B-8046-5BEF61FB3FC9}"/>
              </c:ext>
            </c:extLst>
          </c:dPt>
          <c:dPt>
            <c:idx val="7"/>
            <c:invertIfNegative val="0"/>
            <c:bubble3D val="0"/>
            <c:extLst>
              <c:ext xmlns:c16="http://schemas.microsoft.com/office/drawing/2014/chart" uri="{C3380CC4-5D6E-409C-BE32-E72D297353CC}">
                <c16:uniqueId val="{0000006B-DCE4-410B-8046-5BEF61FB3FC9}"/>
              </c:ext>
            </c:extLst>
          </c:dPt>
          <c:dPt>
            <c:idx val="8"/>
            <c:invertIfNegative val="0"/>
            <c:bubble3D val="0"/>
            <c:extLst>
              <c:ext xmlns:c16="http://schemas.microsoft.com/office/drawing/2014/chart" uri="{C3380CC4-5D6E-409C-BE32-E72D297353CC}">
                <c16:uniqueId val="{0000006C-DCE4-410B-8046-5BEF61FB3FC9}"/>
              </c:ext>
            </c:extLst>
          </c:dPt>
          <c:dPt>
            <c:idx val="9"/>
            <c:invertIfNegative val="0"/>
            <c:bubble3D val="0"/>
            <c:extLst>
              <c:ext xmlns:c16="http://schemas.microsoft.com/office/drawing/2014/chart" uri="{C3380CC4-5D6E-409C-BE32-E72D297353CC}">
                <c16:uniqueId val="{0000006D-DCE4-410B-8046-5BEF61FB3FC9}"/>
              </c:ext>
            </c:extLst>
          </c:dPt>
          <c:dPt>
            <c:idx val="10"/>
            <c:invertIfNegative val="0"/>
            <c:bubble3D val="0"/>
            <c:extLst>
              <c:ext xmlns:c16="http://schemas.microsoft.com/office/drawing/2014/chart" uri="{C3380CC4-5D6E-409C-BE32-E72D297353CC}">
                <c16:uniqueId val="{0000006E-DCE4-410B-8046-5BEF61FB3FC9}"/>
              </c:ext>
            </c:extLst>
          </c:dPt>
          <c:dPt>
            <c:idx val="11"/>
            <c:invertIfNegative val="0"/>
            <c:bubble3D val="0"/>
            <c:extLst>
              <c:ext xmlns:c16="http://schemas.microsoft.com/office/drawing/2014/chart" uri="{C3380CC4-5D6E-409C-BE32-E72D297353CC}">
                <c16:uniqueId val="{0000006F-DCE4-410B-8046-5BEF61FB3FC9}"/>
              </c:ext>
            </c:extLst>
          </c:dPt>
          <c:dPt>
            <c:idx val="12"/>
            <c:invertIfNegative val="0"/>
            <c:bubble3D val="0"/>
            <c:extLst>
              <c:ext xmlns:c16="http://schemas.microsoft.com/office/drawing/2014/chart" uri="{C3380CC4-5D6E-409C-BE32-E72D297353CC}">
                <c16:uniqueId val="{00000070-DCE4-410B-8046-5BEF61FB3FC9}"/>
              </c:ext>
            </c:extLst>
          </c:dPt>
          <c:dPt>
            <c:idx val="13"/>
            <c:invertIfNegative val="0"/>
            <c:bubble3D val="0"/>
            <c:extLst>
              <c:ext xmlns:c16="http://schemas.microsoft.com/office/drawing/2014/chart" uri="{C3380CC4-5D6E-409C-BE32-E72D297353CC}">
                <c16:uniqueId val="{00000071-DCE4-410B-8046-5BEF61FB3FC9}"/>
              </c:ext>
            </c:extLst>
          </c:dPt>
          <c:dPt>
            <c:idx val="14"/>
            <c:invertIfNegative val="0"/>
            <c:bubble3D val="0"/>
            <c:extLst>
              <c:ext xmlns:c16="http://schemas.microsoft.com/office/drawing/2014/chart" uri="{C3380CC4-5D6E-409C-BE32-E72D297353CC}">
                <c16:uniqueId val="{00000072-DCE4-410B-8046-5BEF61FB3FC9}"/>
              </c:ext>
            </c:extLst>
          </c:dPt>
          <c:dPt>
            <c:idx val="15"/>
            <c:invertIfNegative val="0"/>
            <c:bubble3D val="0"/>
            <c:extLst>
              <c:ext xmlns:c16="http://schemas.microsoft.com/office/drawing/2014/chart" uri="{C3380CC4-5D6E-409C-BE32-E72D297353CC}">
                <c16:uniqueId val="{00000073-DCE4-410B-8046-5BEF61FB3FC9}"/>
              </c:ext>
            </c:extLst>
          </c:dPt>
          <c:dPt>
            <c:idx val="16"/>
            <c:invertIfNegative val="0"/>
            <c:bubble3D val="0"/>
            <c:extLst>
              <c:ext xmlns:c16="http://schemas.microsoft.com/office/drawing/2014/chart" uri="{C3380CC4-5D6E-409C-BE32-E72D297353CC}">
                <c16:uniqueId val="{00000074-DCE4-410B-8046-5BEF61FB3FC9}"/>
              </c:ext>
            </c:extLst>
          </c:dPt>
          <c:cat>
            <c:multiLvlStrRef>
              <c:f>pt.lvl3_generic_6!$B$8:$C$9</c:f>
              <c:multiLvlStrCache>
                <c:ptCount val="1"/>
                <c:lvl>
                  <c:pt idx="0">
                    <c:v>(blank)</c:v>
                  </c:pt>
                </c:lvl>
                <c:lvl>
                  <c:pt idx="0">
                    <c:v>(blank)</c:v>
                  </c:pt>
                </c:lvl>
              </c:multiLvlStrCache>
            </c:multiLvlStrRef>
          </c:cat>
          <c:val>
            <c:numRef>
              <c:f>pt.lvl3_generic_6!$D$8:$D$9</c:f>
              <c:numCache>
                <c:formatCode>General</c:formatCode>
                <c:ptCount val="1"/>
              </c:numCache>
            </c:numRef>
          </c:val>
          <c:extLst>
            <c:ext xmlns:c16="http://schemas.microsoft.com/office/drawing/2014/chart" uri="{C3380CC4-5D6E-409C-BE32-E72D297353CC}">
              <c16:uniqueId val="{00000061-DCE4-410B-8046-5BEF61FB3FC9}"/>
            </c:ext>
          </c:extLst>
        </c:ser>
        <c:dLbls>
          <c:showLegendKey val="0"/>
          <c:showVal val="0"/>
          <c:showCatName val="0"/>
          <c:showSerName val="0"/>
          <c:showPercent val="0"/>
          <c:showBubbleSize val="0"/>
        </c:dLbls>
        <c:gapWidth val="200"/>
        <c:overlap val="-27"/>
        <c:axId val="448494984"/>
        <c:axId val="448495376"/>
      </c:barChart>
      <c:lineChart>
        <c:grouping val="standard"/>
        <c:varyColors val="0"/>
        <c:ser>
          <c:idx val="1"/>
          <c:order val="1"/>
          <c:tx>
            <c:strRef>
              <c:f>pt.lvl3_generic_6!$E$7</c:f>
              <c:strCache>
                <c:ptCount val="1"/>
                <c:pt idx="0">
                  <c:v>Average of Cíl %</c:v>
                </c:pt>
              </c:strCache>
            </c:strRef>
          </c:tx>
          <c:spPr>
            <a:ln w="28575" cap="rnd">
              <a:solidFill>
                <a:srgbClr val="000000"/>
              </a:solidFill>
              <a:round/>
            </a:ln>
            <a:effectLst/>
          </c:spPr>
          <c:marker>
            <c:symbol val="none"/>
          </c:marker>
          <c:cat>
            <c:multiLvlStrRef>
              <c:f>pt.lvl3_generic_6!$B$8:$C$9</c:f>
              <c:multiLvlStrCache>
                <c:ptCount val="1"/>
                <c:lvl>
                  <c:pt idx="0">
                    <c:v>(blank)</c:v>
                  </c:pt>
                </c:lvl>
                <c:lvl>
                  <c:pt idx="0">
                    <c:v>(blank)</c:v>
                  </c:pt>
                </c:lvl>
              </c:multiLvlStrCache>
            </c:multiLvlStrRef>
          </c:cat>
          <c:val>
            <c:numRef>
              <c:f>pt.lvl3_generic_6!$E$8:$E$9</c:f>
              <c:numCache>
                <c:formatCode>General</c:formatCode>
                <c:ptCount val="1"/>
              </c:numCache>
            </c:numRef>
          </c:val>
          <c:smooth val="0"/>
          <c:extLst>
            <c:ext xmlns:c16="http://schemas.microsoft.com/office/drawing/2014/chart" uri="{C3380CC4-5D6E-409C-BE32-E72D297353CC}">
              <c16:uniqueId val="{00000062-DCE4-410B-8046-5BEF61FB3FC9}"/>
            </c:ext>
          </c:extLst>
        </c:ser>
        <c:ser>
          <c:idx val="2"/>
          <c:order val="2"/>
          <c:tx>
            <c:strRef>
              <c:f>pt.lvl3_generic_6!$F$7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DCE4-410B-8046-5BEF61FB3FC9}"/>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6-DCE4-410B-8046-5BEF61FB3FC9}"/>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7-DCE4-410B-8046-5BEF61FB3FC9}"/>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8-DCE4-410B-8046-5BEF61FB3FC9}"/>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9-DCE4-410B-8046-5BEF61FB3FC9}"/>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A-DCE4-410B-8046-5BEF61FB3FC9}"/>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B-DCE4-410B-8046-5BEF61FB3FC9}"/>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C-DCE4-410B-8046-5BEF61FB3FC9}"/>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DCE4-410B-8046-5BEF61FB3FC9}"/>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DCE4-410B-8046-5BEF61FB3FC9}"/>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DCE4-410B-8046-5BEF61FB3FC9}"/>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DCE4-410B-8046-5BEF61FB3FC9}"/>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DCE4-410B-8046-5BEF61FB3FC9}"/>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DCE4-410B-8046-5BEF61FB3FC9}"/>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DCE4-410B-8046-5BEF61FB3FC9}"/>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DCE4-410B-8046-5BEF61FB3FC9}"/>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DCE4-410B-8046-5BEF61FB3FC9}"/>
              </c:ext>
            </c:extLst>
          </c:dPt>
          <c:cat>
            <c:multiLvlStrRef>
              <c:f>pt.lvl3_generic_6!$B$8:$C$9</c:f>
              <c:multiLvlStrCache>
                <c:ptCount val="1"/>
                <c:lvl>
                  <c:pt idx="0">
                    <c:v>(blank)</c:v>
                  </c:pt>
                </c:lvl>
                <c:lvl>
                  <c:pt idx="0">
                    <c:v>(blank)</c:v>
                  </c:pt>
                </c:lvl>
              </c:multiLvlStrCache>
            </c:multiLvlStrRef>
          </c:cat>
          <c:val>
            <c:numRef>
              <c:f>pt.lvl3_generic_6!$F$8:$F$9</c:f>
              <c:numCache>
                <c:formatCode>General</c:formatCode>
                <c:ptCount val="1"/>
              </c:numCache>
            </c:numRef>
          </c:val>
          <c:smooth val="0"/>
          <c:extLst>
            <c:ext xmlns:c16="http://schemas.microsoft.com/office/drawing/2014/chart" uri="{C3380CC4-5D6E-409C-BE32-E72D297353CC}">
              <c16:uniqueId val="{00000063-DCE4-410B-8046-5BEF61FB3FC9}"/>
            </c:ext>
          </c:extLst>
        </c:ser>
        <c:dLbls>
          <c:showLegendKey val="0"/>
          <c:showVal val="0"/>
          <c:showCatName val="0"/>
          <c:showSerName val="0"/>
          <c:showPercent val="0"/>
          <c:showBubbleSize val="0"/>
        </c:dLbls>
        <c:marker val="1"/>
        <c:smooth val="0"/>
        <c:axId val="448494984"/>
        <c:axId val="448495376"/>
      </c:lineChart>
      <c:catAx>
        <c:axId val="448494984"/>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5376"/>
        <c:crosses val="autoZero"/>
        <c:auto val="1"/>
        <c:lblAlgn val="ctr"/>
        <c:lblOffset val="100"/>
        <c:noMultiLvlLbl val="0"/>
      </c:catAx>
      <c:valAx>
        <c:axId val="448495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984"/>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a:t>
            </a:r>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1"/>
          <c:tx>
            <c:v>Scale</c:v>
          </c:tx>
          <c:spPr>
            <a:effectLst/>
            <a:scene3d>
              <a:camera prst="orthographicFront"/>
              <a:lightRig rig="threePt" dir="t">
                <a:rot lat="0" lon="0" rev="0"/>
              </a:lightRig>
            </a:scene3d>
            <a:sp3d prstMaterial="metal"/>
          </c:spPr>
          <c:dPt>
            <c:idx val="1"/>
            <c:bubble3D val="0"/>
            <c:extLst>
              <c:ext xmlns:c16="http://schemas.microsoft.com/office/drawing/2014/chart" uri="{C3380CC4-5D6E-409C-BE32-E72D297353CC}">
                <c16:uniqueId val="{00000000-13D9-41A1-9584-22B01B816EE9}"/>
              </c:ext>
            </c:extLst>
          </c:dPt>
          <c:dPt>
            <c:idx val="2"/>
            <c:bubble3D val="0"/>
            <c:extLst>
              <c:ext xmlns:c16="http://schemas.microsoft.com/office/drawing/2014/chart" uri="{C3380CC4-5D6E-409C-BE32-E72D297353CC}">
                <c16:uniqueId val="{00000001-13D9-41A1-9584-22B01B816EE9}"/>
              </c:ext>
            </c:extLst>
          </c:dPt>
          <c:dPt>
            <c:idx val="3"/>
            <c:bubble3D val="0"/>
            <c:spPr>
              <a:noFill/>
              <a:ln>
                <a:noFill/>
              </a:ln>
              <a:effectLst/>
              <a:scene3d>
                <a:camera prst="orthographicFront"/>
                <a:lightRig rig="threePt" dir="t">
                  <a:rot lat="0" lon="0" rev="0"/>
                </a:lightRig>
              </a:scene3d>
              <a:sp3d prstMaterial="metal"/>
            </c:spPr>
            <c:extLst>
              <c:ext xmlns:c16="http://schemas.microsoft.com/office/drawing/2014/chart" uri="{C3380CC4-5D6E-409C-BE32-E72D297353CC}">
                <c16:uniqueId val="{00000003-13D9-41A1-9584-22B01B816EE9}"/>
              </c:ext>
            </c:extLst>
          </c:dPt>
          <c:dPt>
            <c:idx val="4"/>
            <c:bubble3D val="0"/>
            <c:extLst>
              <c:ext xmlns:c16="http://schemas.microsoft.com/office/drawing/2014/chart" uri="{C3380CC4-5D6E-409C-BE32-E72D297353CC}">
                <c16:uniqueId val="{00000004-13D9-41A1-9584-22B01B816EE9}"/>
              </c:ext>
            </c:extLst>
          </c:dPt>
          <c:val>
            <c:numRef>
              <c:f>data.chart!$C$5:$F$5</c:f>
              <c:numCache>
                <c:formatCode>General</c:formatCode>
                <c:ptCount val="4"/>
                <c:pt idx="0">
                  <c:v>0</c:v>
                </c:pt>
                <c:pt idx="1">
                  <c:v>80.000000000000497</c:v>
                </c:pt>
                <c:pt idx="2">
                  <c:v>19.999999999999503</c:v>
                </c:pt>
                <c:pt idx="3">
                  <c:v>100</c:v>
                </c:pt>
              </c:numCache>
            </c:numRef>
          </c:val>
          <c:extLst>
            <c:ext xmlns:c16="http://schemas.microsoft.com/office/drawing/2014/chart" uri="{C3380CC4-5D6E-409C-BE32-E72D297353CC}">
              <c16:uniqueId val="{00000005-13D9-41A1-9584-22B01B816EE9}"/>
            </c:ext>
          </c:extLst>
        </c:ser>
        <c:dLbls>
          <c:showLegendKey val="0"/>
          <c:showVal val="0"/>
          <c:showCatName val="0"/>
          <c:showSerName val="0"/>
          <c:showPercent val="0"/>
          <c:showBubbleSize val="0"/>
          <c:showLeaderLines val="1"/>
        </c:dLbls>
        <c:firstSliceAng val="270"/>
        <c:holeSize val="75"/>
      </c:doughnutChart>
      <c:pieChart>
        <c:varyColors val="1"/>
        <c:ser>
          <c:idx val="1"/>
          <c:order val="0"/>
          <c:tx>
            <c:v>Pointer</c:v>
          </c:tx>
          <c:dPt>
            <c:idx val="0"/>
            <c:bubble3D val="0"/>
            <c:spPr>
              <a:noFill/>
            </c:spPr>
            <c:extLst>
              <c:ext xmlns:c16="http://schemas.microsoft.com/office/drawing/2014/chart" uri="{C3380CC4-5D6E-409C-BE32-E72D297353CC}">
                <c16:uniqueId val="{00000007-13D9-41A1-9584-22B01B816EE9}"/>
              </c:ext>
            </c:extLst>
          </c:dPt>
          <c:dPt>
            <c:idx val="1"/>
            <c:bubble3D val="0"/>
            <c:spPr>
              <a:solidFill>
                <a:schemeClr val="tx1"/>
              </a:solidFill>
            </c:spPr>
            <c:extLst>
              <c:ext xmlns:c16="http://schemas.microsoft.com/office/drawing/2014/chart" uri="{C3380CC4-5D6E-409C-BE32-E72D297353CC}">
                <c16:uniqueId val="{00000009-13D9-41A1-9584-22B01B816EE9}"/>
              </c:ext>
            </c:extLst>
          </c:dPt>
          <c:dPt>
            <c:idx val="2"/>
            <c:bubble3D val="0"/>
            <c:spPr>
              <a:noFill/>
            </c:spPr>
            <c:extLst>
              <c:ext xmlns:c16="http://schemas.microsoft.com/office/drawing/2014/chart" uri="{C3380CC4-5D6E-409C-BE32-E72D297353CC}">
                <c16:uniqueId val="{0000000B-13D9-41A1-9584-22B01B816EE9}"/>
              </c:ext>
            </c:extLst>
          </c:dPt>
          <c:dPt>
            <c:idx val="3"/>
            <c:bubble3D val="0"/>
            <c:spPr>
              <a:noFill/>
            </c:spPr>
            <c:extLst>
              <c:ext xmlns:c16="http://schemas.microsoft.com/office/drawing/2014/chart" uri="{C3380CC4-5D6E-409C-BE32-E72D297353CC}">
                <c16:uniqueId val="{0000000D-13D9-41A1-9584-22B01B816EE9}"/>
              </c:ext>
            </c:extLst>
          </c:dPt>
          <c:val>
            <c:numRef>
              <c:f>data.chart!$G$5:$J$5</c:f>
              <c:numCache>
                <c:formatCode>General</c:formatCode>
                <c:ptCount val="4"/>
                <c:pt idx="0">
                  <c:v>88.92866640790993</c:v>
                </c:pt>
                <c:pt idx="1">
                  <c:v>1.2</c:v>
                </c:pt>
                <c:pt idx="2">
                  <c:v>109.87133359209007</c:v>
                </c:pt>
                <c:pt idx="3" formatCode="0%">
                  <c:v>0</c:v>
                </c:pt>
              </c:numCache>
            </c:numRef>
          </c:val>
          <c:extLst>
            <c:ext xmlns:c16="http://schemas.microsoft.com/office/drawing/2014/chart" uri="{C3380CC4-5D6E-409C-BE32-E72D297353CC}">
              <c16:uniqueId val="{0000000E-13D9-41A1-9584-22B01B816E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1.3_3_2.xlsm]pt.lvl3_generic_8!pt.lvl3_generic_8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2885701325421952E-2"/>
          <c:y val="0.17350723081054126"/>
          <c:w val="0.93595404622657019"/>
          <c:h val="0.71611108980014582"/>
        </c:manualLayout>
      </c:layout>
      <c:barChart>
        <c:barDir val="col"/>
        <c:grouping val="clustered"/>
        <c:varyColors val="0"/>
        <c:ser>
          <c:idx val="0"/>
          <c:order val="0"/>
          <c:tx>
            <c:strRef>
              <c:f>pt.lvl3_generic_8!$D$7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8D67-48F2-9A4A-91E560A324D3}"/>
              </c:ext>
            </c:extLst>
          </c:dPt>
          <c:dPt>
            <c:idx val="1"/>
            <c:invertIfNegative val="0"/>
            <c:bubble3D val="0"/>
            <c:spPr>
              <a:solidFill>
                <a:srgbClr val="9CC746"/>
              </a:solidFill>
              <a:ln>
                <a:noFill/>
              </a:ln>
              <a:effectLst/>
            </c:spPr>
            <c:extLst>
              <c:ext xmlns:c16="http://schemas.microsoft.com/office/drawing/2014/chart" uri="{C3380CC4-5D6E-409C-BE32-E72D297353CC}">
                <c16:uniqueId val="{00000001-8D67-48F2-9A4A-91E560A324D3}"/>
              </c:ext>
            </c:extLst>
          </c:dPt>
          <c:dPt>
            <c:idx val="2"/>
            <c:invertIfNegative val="0"/>
            <c:bubble3D val="0"/>
            <c:spPr>
              <a:solidFill>
                <a:srgbClr val="9CC746"/>
              </a:solidFill>
              <a:ln>
                <a:noFill/>
              </a:ln>
              <a:effectLst/>
            </c:spPr>
            <c:extLst>
              <c:ext xmlns:c16="http://schemas.microsoft.com/office/drawing/2014/chart" uri="{C3380CC4-5D6E-409C-BE32-E72D297353CC}">
                <c16:uniqueId val="{00000002-8D67-48F2-9A4A-91E560A324D3}"/>
              </c:ext>
            </c:extLst>
          </c:dPt>
          <c:dPt>
            <c:idx val="3"/>
            <c:invertIfNegative val="0"/>
            <c:bubble3D val="0"/>
            <c:spPr>
              <a:solidFill>
                <a:srgbClr val="9CC746"/>
              </a:solidFill>
              <a:ln>
                <a:noFill/>
              </a:ln>
              <a:effectLst/>
            </c:spPr>
            <c:extLst>
              <c:ext xmlns:c16="http://schemas.microsoft.com/office/drawing/2014/chart" uri="{C3380CC4-5D6E-409C-BE32-E72D297353CC}">
                <c16:uniqueId val="{00000003-8D67-48F2-9A4A-91E560A324D3}"/>
              </c:ext>
            </c:extLst>
          </c:dPt>
          <c:dPt>
            <c:idx val="4"/>
            <c:invertIfNegative val="0"/>
            <c:bubble3D val="0"/>
            <c:spPr>
              <a:solidFill>
                <a:srgbClr val="9CC746"/>
              </a:solidFill>
              <a:ln>
                <a:noFill/>
              </a:ln>
              <a:effectLst/>
            </c:spPr>
            <c:extLst>
              <c:ext xmlns:c16="http://schemas.microsoft.com/office/drawing/2014/chart" uri="{C3380CC4-5D6E-409C-BE32-E72D297353CC}">
                <c16:uniqueId val="{00000004-8D67-48F2-9A4A-91E560A324D3}"/>
              </c:ext>
            </c:extLst>
          </c:dPt>
          <c:dPt>
            <c:idx val="5"/>
            <c:invertIfNegative val="0"/>
            <c:bubble3D val="0"/>
            <c:spPr>
              <a:solidFill>
                <a:srgbClr val="9CC746"/>
              </a:solidFill>
              <a:ln>
                <a:noFill/>
              </a:ln>
              <a:effectLst/>
            </c:spPr>
            <c:extLst>
              <c:ext xmlns:c16="http://schemas.microsoft.com/office/drawing/2014/chart" uri="{C3380CC4-5D6E-409C-BE32-E72D297353CC}">
                <c16:uniqueId val="{00000005-8D67-48F2-9A4A-91E560A324D3}"/>
              </c:ext>
            </c:extLst>
          </c:dPt>
          <c:dPt>
            <c:idx val="6"/>
            <c:invertIfNegative val="0"/>
            <c:bubble3D val="0"/>
            <c:spPr>
              <a:solidFill>
                <a:srgbClr val="9CC746"/>
              </a:solidFill>
              <a:ln>
                <a:noFill/>
              </a:ln>
              <a:effectLst/>
            </c:spPr>
            <c:extLst>
              <c:ext xmlns:c16="http://schemas.microsoft.com/office/drawing/2014/chart" uri="{C3380CC4-5D6E-409C-BE32-E72D297353CC}">
                <c16:uniqueId val="{00000006-8D67-48F2-9A4A-91E560A324D3}"/>
              </c:ext>
            </c:extLst>
          </c:dPt>
          <c:dPt>
            <c:idx val="7"/>
            <c:invertIfNegative val="0"/>
            <c:bubble3D val="0"/>
            <c:spPr>
              <a:solidFill>
                <a:srgbClr val="9CC746"/>
              </a:solidFill>
              <a:ln>
                <a:noFill/>
              </a:ln>
              <a:effectLst/>
            </c:spPr>
            <c:extLst>
              <c:ext xmlns:c16="http://schemas.microsoft.com/office/drawing/2014/chart" uri="{C3380CC4-5D6E-409C-BE32-E72D297353CC}">
                <c16:uniqueId val="{00000007-8D67-48F2-9A4A-91E560A324D3}"/>
              </c:ext>
            </c:extLst>
          </c:dPt>
          <c:dPt>
            <c:idx val="8"/>
            <c:invertIfNegative val="0"/>
            <c:bubble3D val="0"/>
            <c:spPr>
              <a:solidFill>
                <a:srgbClr val="9B2D2A"/>
              </a:solidFill>
              <a:ln>
                <a:noFill/>
              </a:ln>
              <a:effectLst/>
            </c:spPr>
            <c:extLst>
              <c:ext xmlns:c16="http://schemas.microsoft.com/office/drawing/2014/chart" uri="{C3380CC4-5D6E-409C-BE32-E72D297353CC}">
                <c16:uniqueId val="{00000008-8D67-48F2-9A4A-91E560A324D3}"/>
              </c:ext>
            </c:extLst>
          </c:dPt>
          <c:dPt>
            <c:idx val="9"/>
            <c:invertIfNegative val="0"/>
            <c:bubble3D val="0"/>
            <c:spPr>
              <a:solidFill>
                <a:srgbClr val="9B2D2A"/>
              </a:solidFill>
              <a:ln>
                <a:noFill/>
              </a:ln>
              <a:effectLst/>
            </c:spPr>
            <c:extLst>
              <c:ext xmlns:c16="http://schemas.microsoft.com/office/drawing/2014/chart" uri="{C3380CC4-5D6E-409C-BE32-E72D297353CC}">
                <c16:uniqueId val="{00000009-8D67-48F2-9A4A-91E560A324D3}"/>
              </c:ext>
            </c:extLst>
          </c:dPt>
          <c:dPt>
            <c:idx val="10"/>
            <c:invertIfNegative val="0"/>
            <c:bubble3D val="0"/>
            <c:spPr>
              <a:solidFill>
                <a:srgbClr val="9B2D2A"/>
              </a:solidFill>
              <a:ln>
                <a:noFill/>
              </a:ln>
              <a:effectLst/>
            </c:spPr>
            <c:extLst>
              <c:ext xmlns:c16="http://schemas.microsoft.com/office/drawing/2014/chart" uri="{C3380CC4-5D6E-409C-BE32-E72D297353CC}">
                <c16:uniqueId val="{0000000A-8D67-48F2-9A4A-91E560A324D3}"/>
              </c:ext>
            </c:extLst>
          </c:dPt>
          <c:dPt>
            <c:idx val="11"/>
            <c:invertIfNegative val="0"/>
            <c:bubble3D val="0"/>
            <c:spPr>
              <a:solidFill>
                <a:srgbClr val="9B2D2A"/>
              </a:solidFill>
              <a:ln>
                <a:noFill/>
              </a:ln>
              <a:effectLst/>
            </c:spPr>
            <c:extLst>
              <c:ext xmlns:c16="http://schemas.microsoft.com/office/drawing/2014/chart" uri="{C3380CC4-5D6E-409C-BE32-E72D297353CC}">
                <c16:uniqueId val="{0000000B-8D67-48F2-9A4A-91E560A324D3}"/>
              </c:ext>
            </c:extLst>
          </c:dPt>
          <c:dPt>
            <c:idx val="12"/>
            <c:invertIfNegative val="0"/>
            <c:bubble3D val="0"/>
            <c:spPr>
              <a:solidFill>
                <a:srgbClr val="9CC746"/>
              </a:solidFill>
              <a:ln>
                <a:noFill/>
              </a:ln>
              <a:effectLst/>
            </c:spPr>
            <c:extLst>
              <c:ext xmlns:c16="http://schemas.microsoft.com/office/drawing/2014/chart" uri="{C3380CC4-5D6E-409C-BE32-E72D297353CC}">
                <c16:uniqueId val="{0000000C-8D67-48F2-9A4A-91E560A324D3}"/>
              </c:ext>
            </c:extLst>
          </c:dPt>
          <c:dPt>
            <c:idx val="13"/>
            <c:invertIfNegative val="0"/>
            <c:bubble3D val="0"/>
            <c:spPr>
              <a:solidFill>
                <a:srgbClr val="9CC746"/>
              </a:solidFill>
              <a:ln>
                <a:noFill/>
              </a:ln>
              <a:effectLst/>
            </c:spPr>
            <c:extLst>
              <c:ext xmlns:c16="http://schemas.microsoft.com/office/drawing/2014/chart" uri="{C3380CC4-5D6E-409C-BE32-E72D297353CC}">
                <c16:uniqueId val="{0000000D-8D67-48F2-9A4A-91E560A324D3}"/>
              </c:ext>
            </c:extLst>
          </c:dPt>
          <c:dPt>
            <c:idx val="14"/>
            <c:invertIfNegative val="0"/>
            <c:bubble3D val="0"/>
            <c:spPr>
              <a:solidFill>
                <a:srgbClr val="9B2D2A"/>
              </a:solidFill>
              <a:ln>
                <a:noFill/>
              </a:ln>
              <a:effectLst/>
            </c:spPr>
            <c:extLst>
              <c:ext xmlns:c16="http://schemas.microsoft.com/office/drawing/2014/chart" uri="{C3380CC4-5D6E-409C-BE32-E72D297353CC}">
                <c16:uniqueId val="{0000000E-8D67-48F2-9A4A-91E560A324D3}"/>
              </c:ext>
            </c:extLst>
          </c:dPt>
          <c:dPt>
            <c:idx val="15"/>
            <c:invertIfNegative val="0"/>
            <c:bubble3D val="0"/>
            <c:spPr>
              <a:solidFill>
                <a:srgbClr val="9B2D2A"/>
              </a:solidFill>
              <a:ln>
                <a:noFill/>
              </a:ln>
              <a:effectLst/>
            </c:spPr>
            <c:extLst>
              <c:ext xmlns:c16="http://schemas.microsoft.com/office/drawing/2014/chart" uri="{C3380CC4-5D6E-409C-BE32-E72D297353CC}">
                <c16:uniqueId val="{0000000F-8D67-48F2-9A4A-91E560A324D3}"/>
              </c:ext>
            </c:extLst>
          </c:dPt>
          <c:dPt>
            <c:idx val="16"/>
            <c:invertIfNegative val="0"/>
            <c:bubble3D val="0"/>
            <c:spPr>
              <a:solidFill>
                <a:srgbClr val="9CC746"/>
              </a:solidFill>
              <a:ln>
                <a:noFill/>
              </a:ln>
              <a:effectLst/>
            </c:spPr>
            <c:extLst>
              <c:ext xmlns:c16="http://schemas.microsoft.com/office/drawing/2014/chart" uri="{C3380CC4-5D6E-409C-BE32-E72D297353CC}">
                <c16:uniqueId val="{00000010-8D67-48F2-9A4A-91E560A324D3}"/>
              </c:ext>
            </c:extLst>
          </c:dPt>
          <c:dPt>
            <c:idx val="17"/>
            <c:invertIfNegative val="0"/>
            <c:bubble3D val="0"/>
            <c:spPr>
              <a:solidFill>
                <a:srgbClr val="9CC746"/>
              </a:solidFill>
              <a:ln>
                <a:noFill/>
              </a:ln>
              <a:effectLst/>
            </c:spPr>
            <c:extLst>
              <c:ext xmlns:c16="http://schemas.microsoft.com/office/drawing/2014/chart" uri="{C3380CC4-5D6E-409C-BE32-E72D297353CC}">
                <c16:uniqueId val="{00000011-8D67-48F2-9A4A-91E560A324D3}"/>
              </c:ext>
            </c:extLst>
          </c:dPt>
          <c:dPt>
            <c:idx val="18"/>
            <c:invertIfNegative val="0"/>
            <c:bubble3D val="0"/>
            <c:spPr>
              <a:solidFill>
                <a:srgbClr val="9CC746"/>
              </a:solidFill>
              <a:ln>
                <a:noFill/>
              </a:ln>
              <a:effectLst/>
            </c:spPr>
            <c:extLst>
              <c:ext xmlns:c16="http://schemas.microsoft.com/office/drawing/2014/chart" uri="{C3380CC4-5D6E-409C-BE32-E72D297353CC}">
                <c16:uniqueId val="{00000012-8D67-48F2-9A4A-91E560A324D3}"/>
              </c:ext>
            </c:extLst>
          </c:dPt>
          <c:dPt>
            <c:idx val="19"/>
            <c:invertIfNegative val="0"/>
            <c:bubble3D val="0"/>
            <c:spPr>
              <a:solidFill>
                <a:srgbClr val="9CC746"/>
              </a:solidFill>
              <a:ln>
                <a:noFill/>
              </a:ln>
              <a:effectLst/>
            </c:spPr>
            <c:extLst>
              <c:ext xmlns:c16="http://schemas.microsoft.com/office/drawing/2014/chart" uri="{C3380CC4-5D6E-409C-BE32-E72D297353CC}">
                <c16:uniqueId val="{00000013-8D67-48F2-9A4A-91E560A324D3}"/>
              </c:ext>
            </c:extLst>
          </c:dPt>
          <c:dPt>
            <c:idx val="20"/>
            <c:invertIfNegative val="0"/>
            <c:bubble3D val="0"/>
            <c:spPr>
              <a:solidFill>
                <a:srgbClr val="9CC746"/>
              </a:solidFill>
              <a:ln>
                <a:noFill/>
              </a:ln>
              <a:effectLst/>
            </c:spPr>
            <c:extLst>
              <c:ext xmlns:c16="http://schemas.microsoft.com/office/drawing/2014/chart" uri="{C3380CC4-5D6E-409C-BE32-E72D297353CC}">
                <c16:uniqueId val="{00000014-8D67-48F2-9A4A-91E560A324D3}"/>
              </c:ext>
            </c:extLst>
          </c:dPt>
          <c:dPt>
            <c:idx val="21"/>
            <c:invertIfNegative val="0"/>
            <c:bubble3D val="0"/>
            <c:spPr>
              <a:solidFill>
                <a:srgbClr val="9CC746"/>
              </a:solidFill>
              <a:ln>
                <a:noFill/>
              </a:ln>
              <a:effectLst/>
            </c:spPr>
            <c:extLst>
              <c:ext xmlns:c16="http://schemas.microsoft.com/office/drawing/2014/chart" uri="{C3380CC4-5D6E-409C-BE32-E72D297353CC}">
                <c16:uniqueId val="{00000015-8D67-48F2-9A4A-91E560A324D3}"/>
              </c:ext>
            </c:extLst>
          </c:dPt>
          <c:dPt>
            <c:idx val="22"/>
            <c:invertIfNegative val="0"/>
            <c:bubble3D val="0"/>
            <c:spPr>
              <a:solidFill>
                <a:srgbClr val="9B2D2A"/>
              </a:solidFill>
              <a:ln>
                <a:noFill/>
              </a:ln>
              <a:effectLst/>
            </c:spPr>
            <c:extLst>
              <c:ext xmlns:c16="http://schemas.microsoft.com/office/drawing/2014/chart" uri="{C3380CC4-5D6E-409C-BE32-E72D297353CC}">
                <c16:uniqueId val="{00000044-A5F1-43AC-89B2-EEFA58F3DC38}"/>
              </c:ext>
            </c:extLst>
          </c:dPt>
          <c:dPt>
            <c:idx val="23"/>
            <c:invertIfNegative val="0"/>
            <c:bubble3D val="0"/>
            <c:spPr>
              <a:solidFill>
                <a:srgbClr val="9B2D2A"/>
              </a:solidFill>
              <a:ln>
                <a:noFill/>
              </a:ln>
              <a:effectLst/>
            </c:spPr>
            <c:extLst>
              <c:ext xmlns:c16="http://schemas.microsoft.com/office/drawing/2014/chart" uri="{C3380CC4-5D6E-409C-BE32-E72D297353CC}">
                <c16:uniqueId val="{00000045-A5F1-43AC-89B2-EEFA58F3DC38}"/>
              </c:ext>
            </c:extLst>
          </c:dPt>
          <c:dPt>
            <c:idx val="24"/>
            <c:invertIfNegative val="0"/>
            <c:bubble3D val="0"/>
            <c:spPr>
              <a:solidFill>
                <a:srgbClr val="9CC746"/>
              </a:solidFill>
              <a:ln>
                <a:noFill/>
              </a:ln>
              <a:effectLst/>
            </c:spPr>
            <c:extLst>
              <c:ext xmlns:c16="http://schemas.microsoft.com/office/drawing/2014/chart" uri="{C3380CC4-5D6E-409C-BE32-E72D297353CC}">
                <c16:uniqueId val="{00000046-A5F1-43AC-89B2-EEFA58F3DC38}"/>
              </c:ext>
            </c:extLst>
          </c:dPt>
          <c:dPt>
            <c:idx val="25"/>
            <c:invertIfNegative val="0"/>
            <c:bubble3D val="0"/>
            <c:spPr>
              <a:solidFill>
                <a:srgbClr val="9CC746"/>
              </a:solidFill>
              <a:ln>
                <a:noFill/>
              </a:ln>
              <a:effectLst/>
            </c:spPr>
            <c:extLst>
              <c:ext xmlns:c16="http://schemas.microsoft.com/office/drawing/2014/chart" uri="{C3380CC4-5D6E-409C-BE32-E72D297353CC}">
                <c16:uniqueId val="{00000047-A5F1-43AC-89B2-EEFA58F3DC38}"/>
              </c:ext>
            </c:extLst>
          </c:dPt>
          <c:dPt>
            <c:idx val="26"/>
            <c:invertIfNegative val="0"/>
            <c:bubble3D val="0"/>
            <c:spPr>
              <a:solidFill>
                <a:srgbClr val="9CC746"/>
              </a:solidFill>
              <a:ln>
                <a:noFill/>
              </a:ln>
              <a:effectLst/>
            </c:spPr>
            <c:extLst>
              <c:ext xmlns:c16="http://schemas.microsoft.com/office/drawing/2014/chart" uri="{C3380CC4-5D6E-409C-BE32-E72D297353CC}">
                <c16:uniqueId val="{00000048-A5F1-43AC-89B2-EEFA58F3DC38}"/>
              </c:ext>
            </c:extLst>
          </c:dPt>
          <c:dPt>
            <c:idx val="27"/>
            <c:invertIfNegative val="0"/>
            <c:bubble3D val="0"/>
            <c:spPr>
              <a:solidFill>
                <a:srgbClr val="9CC746"/>
              </a:solidFill>
              <a:ln>
                <a:noFill/>
              </a:ln>
              <a:effectLst/>
            </c:spPr>
            <c:extLst>
              <c:ext xmlns:c16="http://schemas.microsoft.com/office/drawing/2014/chart" uri="{C3380CC4-5D6E-409C-BE32-E72D297353CC}">
                <c16:uniqueId val="{00000049-A5F1-43AC-89B2-EEFA58F3DC38}"/>
              </c:ext>
            </c:extLst>
          </c:dPt>
          <c:dPt>
            <c:idx val="28"/>
            <c:invertIfNegative val="0"/>
            <c:bubble3D val="0"/>
            <c:spPr>
              <a:solidFill>
                <a:srgbClr val="9CC746"/>
              </a:solidFill>
              <a:ln>
                <a:noFill/>
              </a:ln>
              <a:effectLst/>
            </c:spPr>
            <c:extLst>
              <c:ext xmlns:c16="http://schemas.microsoft.com/office/drawing/2014/chart" uri="{C3380CC4-5D6E-409C-BE32-E72D297353CC}">
                <c16:uniqueId val="{0000004A-A5F1-43AC-89B2-EEFA58F3DC38}"/>
              </c:ext>
            </c:extLst>
          </c:dPt>
          <c:dPt>
            <c:idx val="29"/>
            <c:invertIfNegative val="0"/>
            <c:bubble3D val="0"/>
            <c:spPr>
              <a:solidFill>
                <a:srgbClr val="9B2D2A"/>
              </a:solidFill>
              <a:ln>
                <a:noFill/>
              </a:ln>
              <a:effectLst/>
            </c:spPr>
            <c:extLst>
              <c:ext xmlns:c16="http://schemas.microsoft.com/office/drawing/2014/chart" uri="{C3380CC4-5D6E-409C-BE32-E72D297353CC}">
                <c16:uniqueId val="{0000004B-A5F1-43AC-89B2-EEFA58F3DC38}"/>
              </c:ext>
            </c:extLst>
          </c:dPt>
          <c:dPt>
            <c:idx val="30"/>
            <c:invertIfNegative val="0"/>
            <c:bubble3D val="0"/>
            <c:spPr>
              <a:solidFill>
                <a:srgbClr val="9CC746"/>
              </a:solidFill>
              <a:ln>
                <a:noFill/>
              </a:ln>
              <a:effectLst/>
            </c:spPr>
            <c:extLst>
              <c:ext xmlns:c16="http://schemas.microsoft.com/office/drawing/2014/chart" uri="{C3380CC4-5D6E-409C-BE32-E72D297353CC}">
                <c16:uniqueId val="{0000004C-A5F1-43AC-89B2-EEFA58F3DC38}"/>
              </c:ext>
            </c:extLst>
          </c:dPt>
          <c:dPt>
            <c:idx val="31"/>
            <c:invertIfNegative val="0"/>
            <c:bubble3D val="0"/>
            <c:spPr>
              <a:solidFill>
                <a:srgbClr val="9CC746"/>
              </a:solidFill>
              <a:ln>
                <a:noFill/>
              </a:ln>
              <a:effectLst/>
            </c:spPr>
            <c:extLst>
              <c:ext xmlns:c16="http://schemas.microsoft.com/office/drawing/2014/chart" uri="{C3380CC4-5D6E-409C-BE32-E72D297353CC}">
                <c16:uniqueId val="{0000004D-A5F1-43AC-89B2-EEFA58F3DC38}"/>
              </c:ext>
            </c:extLst>
          </c:dPt>
          <c:dPt>
            <c:idx val="32"/>
            <c:invertIfNegative val="0"/>
            <c:bubble3D val="0"/>
            <c:spPr>
              <a:solidFill>
                <a:srgbClr val="9CC746"/>
              </a:solidFill>
              <a:ln>
                <a:noFill/>
              </a:ln>
              <a:effectLst/>
            </c:spPr>
            <c:extLst>
              <c:ext xmlns:c16="http://schemas.microsoft.com/office/drawing/2014/chart" uri="{C3380CC4-5D6E-409C-BE32-E72D297353CC}">
                <c16:uniqueId val="{0000004E-A5F1-43AC-89B2-EEFA58F3DC38}"/>
              </c:ext>
            </c:extLst>
          </c:dPt>
          <c:dPt>
            <c:idx val="33"/>
            <c:invertIfNegative val="0"/>
            <c:bubble3D val="0"/>
            <c:spPr>
              <a:solidFill>
                <a:srgbClr val="9B2D2A"/>
              </a:solidFill>
              <a:ln>
                <a:noFill/>
              </a:ln>
              <a:effectLst/>
            </c:spPr>
            <c:extLst>
              <c:ext xmlns:c16="http://schemas.microsoft.com/office/drawing/2014/chart" uri="{C3380CC4-5D6E-409C-BE32-E72D297353CC}">
                <c16:uniqueId val="{0000004F-A5F1-43AC-89B2-EEFA58F3DC38}"/>
              </c:ext>
            </c:extLst>
          </c:dPt>
          <c:dPt>
            <c:idx val="34"/>
            <c:invertIfNegative val="0"/>
            <c:bubble3D val="0"/>
            <c:spPr>
              <a:solidFill>
                <a:srgbClr val="9CC746"/>
              </a:solidFill>
              <a:ln>
                <a:noFill/>
              </a:ln>
              <a:effectLst/>
            </c:spPr>
            <c:extLst>
              <c:ext xmlns:c16="http://schemas.microsoft.com/office/drawing/2014/chart" uri="{C3380CC4-5D6E-409C-BE32-E72D297353CC}">
                <c16:uniqueId val="{00000050-A5F1-43AC-89B2-EEFA58F3DC38}"/>
              </c:ext>
            </c:extLst>
          </c:dPt>
          <c:dPt>
            <c:idx val="35"/>
            <c:invertIfNegative val="0"/>
            <c:bubble3D val="0"/>
            <c:spPr>
              <a:solidFill>
                <a:srgbClr val="9CC746"/>
              </a:solidFill>
              <a:ln>
                <a:noFill/>
              </a:ln>
              <a:effectLst/>
            </c:spPr>
            <c:extLst>
              <c:ext xmlns:c16="http://schemas.microsoft.com/office/drawing/2014/chart" uri="{C3380CC4-5D6E-409C-BE32-E72D297353CC}">
                <c16:uniqueId val="{00000051-A5F1-43AC-89B2-EEFA58F3DC38}"/>
              </c:ext>
            </c:extLst>
          </c:dPt>
          <c:dPt>
            <c:idx val="36"/>
            <c:invertIfNegative val="0"/>
            <c:bubble3D val="0"/>
            <c:spPr>
              <a:solidFill>
                <a:srgbClr val="9B2D2A"/>
              </a:solidFill>
              <a:ln>
                <a:noFill/>
              </a:ln>
              <a:effectLst/>
            </c:spPr>
            <c:extLst>
              <c:ext xmlns:c16="http://schemas.microsoft.com/office/drawing/2014/chart" uri="{C3380CC4-5D6E-409C-BE32-E72D297353CC}">
                <c16:uniqueId val="{00000052-A5F1-43AC-89B2-EEFA58F3DC38}"/>
              </c:ext>
            </c:extLst>
          </c:dPt>
          <c:dPt>
            <c:idx val="37"/>
            <c:invertIfNegative val="0"/>
            <c:bubble3D val="0"/>
            <c:spPr>
              <a:solidFill>
                <a:srgbClr val="9B2D2A"/>
              </a:solidFill>
              <a:ln>
                <a:noFill/>
              </a:ln>
              <a:effectLst/>
            </c:spPr>
            <c:extLst>
              <c:ext xmlns:c16="http://schemas.microsoft.com/office/drawing/2014/chart" uri="{C3380CC4-5D6E-409C-BE32-E72D297353CC}">
                <c16:uniqueId val="{00000053-A5F1-43AC-89B2-EEFA58F3DC38}"/>
              </c:ext>
            </c:extLst>
          </c:dPt>
          <c:dPt>
            <c:idx val="38"/>
            <c:invertIfNegative val="0"/>
            <c:bubble3D val="0"/>
            <c:spPr>
              <a:solidFill>
                <a:srgbClr val="9B2D2A"/>
              </a:solidFill>
              <a:ln>
                <a:noFill/>
              </a:ln>
              <a:effectLst/>
            </c:spPr>
            <c:extLst>
              <c:ext xmlns:c16="http://schemas.microsoft.com/office/drawing/2014/chart" uri="{C3380CC4-5D6E-409C-BE32-E72D297353CC}">
                <c16:uniqueId val="{00000054-A5F1-43AC-89B2-EEFA58F3DC38}"/>
              </c:ext>
            </c:extLst>
          </c:dPt>
          <c:dPt>
            <c:idx val="39"/>
            <c:invertIfNegative val="0"/>
            <c:bubble3D val="0"/>
            <c:spPr>
              <a:solidFill>
                <a:srgbClr val="9B2D2A"/>
              </a:solidFill>
              <a:ln>
                <a:noFill/>
              </a:ln>
              <a:effectLst/>
            </c:spPr>
            <c:extLst>
              <c:ext xmlns:c16="http://schemas.microsoft.com/office/drawing/2014/chart" uri="{C3380CC4-5D6E-409C-BE32-E72D297353CC}">
                <c16:uniqueId val="{00000055-A5F1-43AC-89B2-EEFA58F3DC38}"/>
              </c:ext>
            </c:extLst>
          </c:dPt>
          <c:dPt>
            <c:idx val="40"/>
            <c:invertIfNegative val="0"/>
            <c:bubble3D val="0"/>
            <c:spPr>
              <a:solidFill>
                <a:srgbClr val="9CC746"/>
              </a:solidFill>
              <a:ln>
                <a:noFill/>
              </a:ln>
              <a:effectLst/>
            </c:spPr>
            <c:extLst>
              <c:ext xmlns:c16="http://schemas.microsoft.com/office/drawing/2014/chart" uri="{C3380CC4-5D6E-409C-BE32-E72D297353CC}">
                <c16:uniqueId val="{00000056-A5F1-43AC-89B2-EEFA58F3DC38}"/>
              </c:ext>
            </c:extLst>
          </c:dPt>
          <c:dPt>
            <c:idx val="41"/>
            <c:invertIfNegative val="0"/>
            <c:bubble3D val="0"/>
            <c:spPr>
              <a:solidFill>
                <a:srgbClr val="9CC746"/>
              </a:solidFill>
              <a:ln>
                <a:noFill/>
              </a:ln>
              <a:effectLst/>
            </c:spPr>
            <c:extLst>
              <c:ext xmlns:c16="http://schemas.microsoft.com/office/drawing/2014/chart" uri="{C3380CC4-5D6E-409C-BE32-E72D297353CC}">
                <c16:uniqueId val="{00000057-A5F1-43AC-89B2-EEFA58F3DC38}"/>
              </c:ext>
            </c:extLst>
          </c:dPt>
          <c:dPt>
            <c:idx val="42"/>
            <c:invertIfNegative val="0"/>
            <c:bubble3D val="0"/>
            <c:spPr>
              <a:solidFill>
                <a:srgbClr val="9CC746"/>
              </a:solidFill>
              <a:ln>
                <a:noFill/>
              </a:ln>
              <a:effectLst/>
            </c:spPr>
            <c:extLst>
              <c:ext xmlns:c16="http://schemas.microsoft.com/office/drawing/2014/chart" uri="{C3380CC4-5D6E-409C-BE32-E72D297353CC}">
                <c16:uniqueId val="{00000058-A5F1-43AC-89B2-EEFA58F3DC38}"/>
              </c:ext>
            </c:extLst>
          </c:dPt>
          <c:dPt>
            <c:idx val="43"/>
            <c:invertIfNegative val="0"/>
            <c:bubble3D val="0"/>
            <c:spPr>
              <a:solidFill>
                <a:srgbClr val="9CC746"/>
              </a:solidFill>
              <a:ln>
                <a:noFill/>
              </a:ln>
              <a:effectLst/>
            </c:spPr>
            <c:extLst>
              <c:ext xmlns:c16="http://schemas.microsoft.com/office/drawing/2014/chart" uri="{C3380CC4-5D6E-409C-BE32-E72D297353CC}">
                <c16:uniqueId val="{00000059-A5F1-43AC-89B2-EEFA58F3DC38}"/>
              </c:ext>
            </c:extLst>
          </c:dPt>
          <c:dPt>
            <c:idx val="44"/>
            <c:invertIfNegative val="0"/>
            <c:bubble3D val="0"/>
            <c:spPr>
              <a:solidFill>
                <a:srgbClr val="9CC746"/>
              </a:solidFill>
              <a:ln>
                <a:noFill/>
              </a:ln>
              <a:effectLst/>
            </c:spPr>
            <c:extLst>
              <c:ext xmlns:c16="http://schemas.microsoft.com/office/drawing/2014/chart" uri="{C3380CC4-5D6E-409C-BE32-E72D297353CC}">
                <c16:uniqueId val="{0000005A-A5F1-43AC-89B2-EEFA58F3DC38}"/>
              </c:ext>
            </c:extLst>
          </c:dPt>
          <c:dPt>
            <c:idx val="45"/>
            <c:invertIfNegative val="0"/>
            <c:bubble3D val="0"/>
            <c:spPr>
              <a:solidFill>
                <a:srgbClr val="9CC746"/>
              </a:solidFill>
              <a:ln>
                <a:noFill/>
              </a:ln>
              <a:effectLst/>
            </c:spPr>
            <c:extLst>
              <c:ext xmlns:c16="http://schemas.microsoft.com/office/drawing/2014/chart" uri="{C3380CC4-5D6E-409C-BE32-E72D297353CC}">
                <c16:uniqueId val="{0000005B-A5F1-43AC-89B2-EEFA58F3DC38}"/>
              </c:ext>
            </c:extLst>
          </c:dPt>
          <c:dPt>
            <c:idx val="46"/>
            <c:invertIfNegative val="0"/>
            <c:bubble3D val="0"/>
            <c:spPr>
              <a:solidFill>
                <a:srgbClr val="9CC746"/>
              </a:solidFill>
              <a:ln>
                <a:noFill/>
              </a:ln>
              <a:effectLst/>
            </c:spPr>
            <c:extLst>
              <c:ext xmlns:c16="http://schemas.microsoft.com/office/drawing/2014/chart" uri="{C3380CC4-5D6E-409C-BE32-E72D297353CC}">
                <c16:uniqueId val="{0000005C-868F-4F5B-A2E4-8BBDA690A7DE}"/>
              </c:ext>
            </c:extLst>
          </c:dPt>
          <c:dPt>
            <c:idx val="47"/>
            <c:invertIfNegative val="0"/>
            <c:bubble3D val="0"/>
            <c:spPr>
              <a:solidFill>
                <a:srgbClr val="9B2D2A"/>
              </a:solidFill>
              <a:ln>
                <a:noFill/>
              </a:ln>
              <a:effectLst/>
            </c:spPr>
            <c:extLst>
              <c:ext xmlns:c16="http://schemas.microsoft.com/office/drawing/2014/chart" uri="{C3380CC4-5D6E-409C-BE32-E72D297353CC}">
                <c16:uniqueId val="{0000005D-868F-4F5B-A2E4-8BBDA690A7DE}"/>
              </c:ext>
            </c:extLst>
          </c:dPt>
          <c:dPt>
            <c:idx val="48"/>
            <c:invertIfNegative val="0"/>
            <c:bubble3D val="0"/>
            <c:spPr>
              <a:solidFill>
                <a:srgbClr val="9CC746"/>
              </a:solidFill>
              <a:ln>
                <a:noFill/>
              </a:ln>
              <a:effectLst/>
            </c:spPr>
            <c:extLst>
              <c:ext xmlns:c16="http://schemas.microsoft.com/office/drawing/2014/chart" uri="{C3380CC4-5D6E-409C-BE32-E72D297353CC}">
                <c16:uniqueId val="{0000005E-868F-4F5B-A2E4-8BBDA690A7DE}"/>
              </c:ext>
            </c:extLst>
          </c:dPt>
          <c:dPt>
            <c:idx val="49"/>
            <c:invertIfNegative val="0"/>
            <c:bubble3D val="0"/>
            <c:extLst>
              <c:ext xmlns:c16="http://schemas.microsoft.com/office/drawing/2014/chart" uri="{C3380CC4-5D6E-409C-BE32-E72D297353CC}">
                <c16:uniqueId val="{0000005F-868F-4F5B-A2E4-8BBDA690A7DE}"/>
              </c:ext>
            </c:extLst>
          </c:dPt>
          <c:dPt>
            <c:idx val="50"/>
            <c:invertIfNegative val="0"/>
            <c:bubble3D val="0"/>
            <c:extLst>
              <c:ext xmlns:c16="http://schemas.microsoft.com/office/drawing/2014/chart" uri="{C3380CC4-5D6E-409C-BE32-E72D297353CC}">
                <c16:uniqueId val="{00000060-868F-4F5B-A2E4-8BBDA690A7DE}"/>
              </c:ext>
            </c:extLst>
          </c:dPt>
          <c:dPt>
            <c:idx val="51"/>
            <c:invertIfNegative val="0"/>
            <c:bubble3D val="0"/>
            <c:extLst>
              <c:ext xmlns:c16="http://schemas.microsoft.com/office/drawing/2014/chart" uri="{C3380CC4-5D6E-409C-BE32-E72D297353CC}">
                <c16:uniqueId val="{00000061-868F-4F5B-A2E4-8BBDA690A7DE}"/>
              </c:ext>
            </c:extLst>
          </c:dPt>
          <c:dPt>
            <c:idx val="52"/>
            <c:invertIfNegative val="0"/>
            <c:bubble3D val="0"/>
            <c:extLst>
              <c:ext xmlns:c16="http://schemas.microsoft.com/office/drawing/2014/chart" uri="{C3380CC4-5D6E-409C-BE32-E72D297353CC}">
                <c16:uniqueId val="{00000062-868F-4F5B-A2E4-8BBDA690A7DE}"/>
              </c:ext>
            </c:extLst>
          </c:dPt>
          <c:dPt>
            <c:idx val="53"/>
            <c:invertIfNegative val="0"/>
            <c:bubble3D val="0"/>
            <c:extLst>
              <c:ext xmlns:c16="http://schemas.microsoft.com/office/drawing/2014/chart" uri="{C3380CC4-5D6E-409C-BE32-E72D297353CC}">
                <c16:uniqueId val="{00000063-868F-4F5B-A2E4-8BBDA690A7DE}"/>
              </c:ext>
            </c:extLst>
          </c:dPt>
          <c:dPt>
            <c:idx val="54"/>
            <c:invertIfNegative val="0"/>
            <c:bubble3D val="0"/>
            <c:extLst>
              <c:ext xmlns:c16="http://schemas.microsoft.com/office/drawing/2014/chart" uri="{C3380CC4-5D6E-409C-BE32-E72D297353CC}">
                <c16:uniqueId val="{00000064-868F-4F5B-A2E4-8BBDA690A7DE}"/>
              </c:ext>
            </c:extLst>
          </c:dPt>
          <c:dPt>
            <c:idx val="55"/>
            <c:invertIfNegative val="0"/>
            <c:bubble3D val="0"/>
            <c:extLst>
              <c:ext xmlns:c16="http://schemas.microsoft.com/office/drawing/2014/chart" uri="{C3380CC4-5D6E-409C-BE32-E72D297353CC}">
                <c16:uniqueId val="{00000065-868F-4F5B-A2E4-8BBDA690A7DE}"/>
              </c:ext>
            </c:extLst>
          </c:dPt>
          <c:dPt>
            <c:idx val="56"/>
            <c:invertIfNegative val="0"/>
            <c:bubble3D val="0"/>
            <c:extLst>
              <c:ext xmlns:c16="http://schemas.microsoft.com/office/drawing/2014/chart" uri="{C3380CC4-5D6E-409C-BE32-E72D297353CC}">
                <c16:uniqueId val="{00000066-868F-4F5B-A2E4-8BBDA690A7DE}"/>
              </c:ext>
            </c:extLst>
          </c:dPt>
          <c:dPt>
            <c:idx val="57"/>
            <c:invertIfNegative val="0"/>
            <c:bubble3D val="0"/>
            <c:extLst>
              <c:ext xmlns:c16="http://schemas.microsoft.com/office/drawing/2014/chart" uri="{C3380CC4-5D6E-409C-BE32-E72D297353CC}">
                <c16:uniqueId val="{00000067-868F-4F5B-A2E4-8BBDA690A7DE}"/>
              </c:ext>
            </c:extLst>
          </c:dPt>
          <c:dPt>
            <c:idx val="58"/>
            <c:invertIfNegative val="0"/>
            <c:bubble3D val="0"/>
            <c:extLst>
              <c:ext xmlns:c16="http://schemas.microsoft.com/office/drawing/2014/chart" uri="{C3380CC4-5D6E-409C-BE32-E72D297353CC}">
                <c16:uniqueId val="{00000068-868F-4F5B-A2E4-8BBDA690A7DE}"/>
              </c:ext>
            </c:extLst>
          </c:dPt>
          <c:dPt>
            <c:idx val="59"/>
            <c:invertIfNegative val="0"/>
            <c:bubble3D val="0"/>
            <c:extLst>
              <c:ext xmlns:c16="http://schemas.microsoft.com/office/drawing/2014/chart" uri="{C3380CC4-5D6E-409C-BE32-E72D297353CC}">
                <c16:uniqueId val="{00000069-868F-4F5B-A2E4-8BBDA690A7DE}"/>
              </c:ext>
            </c:extLst>
          </c:dPt>
          <c:dPt>
            <c:idx val="60"/>
            <c:invertIfNegative val="0"/>
            <c:bubble3D val="0"/>
            <c:extLst>
              <c:ext xmlns:c16="http://schemas.microsoft.com/office/drawing/2014/chart" uri="{C3380CC4-5D6E-409C-BE32-E72D297353CC}">
                <c16:uniqueId val="{0000006A-868F-4F5B-A2E4-8BBDA690A7DE}"/>
              </c:ext>
            </c:extLst>
          </c:dPt>
          <c:dPt>
            <c:idx val="61"/>
            <c:invertIfNegative val="0"/>
            <c:bubble3D val="0"/>
            <c:extLst>
              <c:ext xmlns:c16="http://schemas.microsoft.com/office/drawing/2014/chart" uri="{C3380CC4-5D6E-409C-BE32-E72D297353CC}">
                <c16:uniqueId val="{0000006B-868F-4F5B-A2E4-8BBDA690A7DE}"/>
              </c:ext>
            </c:extLst>
          </c:dPt>
          <c:dPt>
            <c:idx val="62"/>
            <c:invertIfNegative val="0"/>
            <c:bubble3D val="0"/>
            <c:extLst>
              <c:ext xmlns:c16="http://schemas.microsoft.com/office/drawing/2014/chart" uri="{C3380CC4-5D6E-409C-BE32-E72D297353CC}">
                <c16:uniqueId val="{0000006C-868F-4F5B-A2E4-8BBDA690A7DE}"/>
              </c:ext>
            </c:extLst>
          </c:dPt>
          <c:dPt>
            <c:idx val="63"/>
            <c:invertIfNegative val="0"/>
            <c:bubble3D val="0"/>
            <c:extLst>
              <c:ext xmlns:c16="http://schemas.microsoft.com/office/drawing/2014/chart" uri="{C3380CC4-5D6E-409C-BE32-E72D297353CC}">
                <c16:uniqueId val="{0000006D-868F-4F5B-A2E4-8BBDA690A7DE}"/>
              </c:ext>
            </c:extLst>
          </c:dPt>
          <c:dPt>
            <c:idx val="64"/>
            <c:invertIfNegative val="0"/>
            <c:bubble3D val="0"/>
            <c:extLst>
              <c:ext xmlns:c16="http://schemas.microsoft.com/office/drawing/2014/chart" uri="{C3380CC4-5D6E-409C-BE32-E72D297353CC}">
                <c16:uniqueId val="{0000006E-868F-4F5B-A2E4-8BBDA690A7DE}"/>
              </c:ext>
            </c:extLst>
          </c:dPt>
          <c:dPt>
            <c:idx val="65"/>
            <c:invertIfNegative val="0"/>
            <c:bubble3D val="0"/>
            <c:extLst>
              <c:ext xmlns:c16="http://schemas.microsoft.com/office/drawing/2014/chart" uri="{C3380CC4-5D6E-409C-BE32-E72D297353CC}">
                <c16:uniqueId val="{0000006F-868F-4F5B-A2E4-8BBDA690A7DE}"/>
              </c:ext>
            </c:extLst>
          </c:dPt>
          <c:dPt>
            <c:idx val="66"/>
            <c:invertIfNegative val="0"/>
            <c:bubble3D val="0"/>
            <c:extLst>
              <c:ext xmlns:c16="http://schemas.microsoft.com/office/drawing/2014/chart" uri="{C3380CC4-5D6E-409C-BE32-E72D297353CC}">
                <c16:uniqueId val="{00000070-868F-4F5B-A2E4-8BBDA690A7DE}"/>
              </c:ext>
            </c:extLst>
          </c:dPt>
          <c:dPt>
            <c:idx val="67"/>
            <c:invertIfNegative val="0"/>
            <c:bubble3D val="0"/>
            <c:extLst>
              <c:ext xmlns:c16="http://schemas.microsoft.com/office/drawing/2014/chart" uri="{C3380CC4-5D6E-409C-BE32-E72D297353CC}">
                <c16:uniqueId val="{00000071-868F-4F5B-A2E4-8BBDA690A7DE}"/>
              </c:ext>
            </c:extLst>
          </c:dPt>
          <c:dPt>
            <c:idx val="68"/>
            <c:invertIfNegative val="0"/>
            <c:bubble3D val="0"/>
            <c:extLst>
              <c:ext xmlns:c16="http://schemas.microsoft.com/office/drawing/2014/chart" uri="{C3380CC4-5D6E-409C-BE32-E72D297353CC}">
                <c16:uniqueId val="{00000072-868F-4F5B-A2E4-8BBDA690A7DE}"/>
              </c:ext>
            </c:extLst>
          </c:dPt>
          <c:dPt>
            <c:idx val="69"/>
            <c:invertIfNegative val="0"/>
            <c:bubble3D val="0"/>
            <c:extLst>
              <c:ext xmlns:c16="http://schemas.microsoft.com/office/drawing/2014/chart" uri="{C3380CC4-5D6E-409C-BE32-E72D297353CC}">
                <c16:uniqueId val="{00000073-868F-4F5B-A2E4-8BBDA690A7DE}"/>
              </c:ext>
            </c:extLst>
          </c:dPt>
          <c:dPt>
            <c:idx val="70"/>
            <c:invertIfNegative val="0"/>
            <c:bubble3D val="0"/>
            <c:extLst>
              <c:ext xmlns:c16="http://schemas.microsoft.com/office/drawing/2014/chart" uri="{C3380CC4-5D6E-409C-BE32-E72D297353CC}">
                <c16:uniqueId val="{00000074-868F-4F5B-A2E4-8BBDA690A7DE}"/>
              </c:ext>
            </c:extLst>
          </c:dPt>
          <c:dPt>
            <c:idx val="71"/>
            <c:invertIfNegative val="0"/>
            <c:bubble3D val="0"/>
            <c:extLst>
              <c:ext xmlns:c16="http://schemas.microsoft.com/office/drawing/2014/chart" uri="{C3380CC4-5D6E-409C-BE32-E72D297353CC}">
                <c16:uniqueId val="{00000075-868F-4F5B-A2E4-8BBDA690A7DE}"/>
              </c:ext>
            </c:extLst>
          </c:dPt>
          <c:dPt>
            <c:idx val="72"/>
            <c:invertIfNegative val="0"/>
            <c:bubble3D val="0"/>
            <c:extLst>
              <c:ext xmlns:c16="http://schemas.microsoft.com/office/drawing/2014/chart" uri="{C3380CC4-5D6E-409C-BE32-E72D297353CC}">
                <c16:uniqueId val="{00000076-868F-4F5B-A2E4-8BBDA690A7DE}"/>
              </c:ext>
            </c:extLst>
          </c:dPt>
          <c:dPt>
            <c:idx val="73"/>
            <c:invertIfNegative val="0"/>
            <c:bubble3D val="0"/>
            <c:extLst>
              <c:ext xmlns:c16="http://schemas.microsoft.com/office/drawing/2014/chart" uri="{C3380CC4-5D6E-409C-BE32-E72D297353CC}">
                <c16:uniqueId val="{00000077-868F-4F5B-A2E4-8BBDA690A7DE}"/>
              </c:ext>
            </c:extLst>
          </c:dPt>
          <c:dPt>
            <c:idx val="74"/>
            <c:invertIfNegative val="0"/>
            <c:bubble3D val="0"/>
            <c:extLst>
              <c:ext xmlns:c16="http://schemas.microsoft.com/office/drawing/2014/chart" uri="{C3380CC4-5D6E-409C-BE32-E72D297353CC}">
                <c16:uniqueId val="{00000078-868F-4F5B-A2E4-8BBDA690A7DE}"/>
              </c:ext>
            </c:extLst>
          </c:dPt>
          <c:dPt>
            <c:idx val="75"/>
            <c:invertIfNegative val="0"/>
            <c:bubble3D val="0"/>
            <c:extLst>
              <c:ext xmlns:c16="http://schemas.microsoft.com/office/drawing/2014/chart" uri="{C3380CC4-5D6E-409C-BE32-E72D297353CC}">
                <c16:uniqueId val="{00000079-868F-4F5B-A2E4-8BBDA690A7DE}"/>
              </c:ext>
            </c:extLst>
          </c:dPt>
          <c:dPt>
            <c:idx val="76"/>
            <c:invertIfNegative val="0"/>
            <c:bubble3D val="0"/>
            <c:extLst>
              <c:ext xmlns:c16="http://schemas.microsoft.com/office/drawing/2014/chart" uri="{C3380CC4-5D6E-409C-BE32-E72D297353CC}">
                <c16:uniqueId val="{0000007A-868F-4F5B-A2E4-8BBDA690A7DE}"/>
              </c:ext>
            </c:extLst>
          </c:dPt>
          <c:dPt>
            <c:idx val="77"/>
            <c:invertIfNegative val="0"/>
            <c:bubble3D val="0"/>
            <c:extLst>
              <c:ext xmlns:c16="http://schemas.microsoft.com/office/drawing/2014/chart" uri="{C3380CC4-5D6E-409C-BE32-E72D297353CC}">
                <c16:uniqueId val="{0000007B-868F-4F5B-A2E4-8BBDA690A7DE}"/>
              </c:ext>
            </c:extLst>
          </c:dPt>
          <c:dPt>
            <c:idx val="78"/>
            <c:invertIfNegative val="0"/>
            <c:bubble3D val="0"/>
            <c:extLst>
              <c:ext xmlns:c16="http://schemas.microsoft.com/office/drawing/2014/chart" uri="{C3380CC4-5D6E-409C-BE32-E72D297353CC}">
                <c16:uniqueId val="{0000007C-868F-4F5B-A2E4-8BBDA690A7DE}"/>
              </c:ext>
            </c:extLst>
          </c:dPt>
          <c:dPt>
            <c:idx val="79"/>
            <c:invertIfNegative val="0"/>
            <c:bubble3D val="0"/>
            <c:extLst>
              <c:ext xmlns:c16="http://schemas.microsoft.com/office/drawing/2014/chart" uri="{C3380CC4-5D6E-409C-BE32-E72D297353CC}">
                <c16:uniqueId val="{0000013C-A298-4638-A25D-1066BEAFD6D7}"/>
              </c:ext>
            </c:extLst>
          </c:dPt>
          <c:dPt>
            <c:idx val="80"/>
            <c:invertIfNegative val="0"/>
            <c:bubble3D val="0"/>
            <c:extLst>
              <c:ext xmlns:c16="http://schemas.microsoft.com/office/drawing/2014/chart" uri="{C3380CC4-5D6E-409C-BE32-E72D297353CC}">
                <c16:uniqueId val="{0000013D-A298-4638-A25D-1066BEAFD6D7}"/>
              </c:ext>
            </c:extLst>
          </c:dPt>
          <c:dPt>
            <c:idx val="81"/>
            <c:invertIfNegative val="0"/>
            <c:bubble3D val="0"/>
            <c:extLst>
              <c:ext xmlns:c16="http://schemas.microsoft.com/office/drawing/2014/chart" uri="{C3380CC4-5D6E-409C-BE32-E72D297353CC}">
                <c16:uniqueId val="{0000013E-A298-4638-A25D-1066BEAFD6D7}"/>
              </c:ext>
            </c:extLst>
          </c:dPt>
          <c:dPt>
            <c:idx val="82"/>
            <c:invertIfNegative val="0"/>
            <c:bubble3D val="0"/>
            <c:extLst>
              <c:ext xmlns:c16="http://schemas.microsoft.com/office/drawing/2014/chart" uri="{C3380CC4-5D6E-409C-BE32-E72D297353CC}">
                <c16:uniqueId val="{0000013F-A298-4638-A25D-1066BEAFD6D7}"/>
              </c:ext>
            </c:extLst>
          </c:dPt>
          <c:dPt>
            <c:idx val="83"/>
            <c:invertIfNegative val="0"/>
            <c:bubble3D val="0"/>
            <c:extLst>
              <c:ext xmlns:c16="http://schemas.microsoft.com/office/drawing/2014/chart" uri="{C3380CC4-5D6E-409C-BE32-E72D297353CC}">
                <c16:uniqueId val="{00000140-A298-4638-A25D-1066BEAFD6D7}"/>
              </c:ext>
            </c:extLst>
          </c:dPt>
          <c:dPt>
            <c:idx val="84"/>
            <c:invertIfNegative val="0"/>
            <c:bubble3D val="0"/>
            <c:extLst>
              <c:ext xmlns:c16="http://schemas.microsoft.com/office/drawing/2014/chart" uri="{C3380CC4-5D6E-409C-BE32-E72D297353CC}">
                <c16:uniqueId val="{00000141-A298-4638-A25D-1066BEAFD6D7}"/>
              </c:ext>
            </c:extLst>
          </c:dPt>
          <c:dPt>
            <c:idx val="85"/>
            <c:invertIfNegative val="0"/>
            <c:bubble3D val="0"/>
            <c:extLst>
              <c:ext xmlns:c16="http://schemas.microsoft.com/office/drawing/2014/chart" uri="{C3380CC4-5D6E-409C-BE32-E72D297353CC}">
                <c16:uniqueId val="{00000142-A298-4638-A25D-1066BEAFD6D7}"/>
              </c:ext>
            </c:extLst>
          </c:dPt>
          <c:dPt>
            <c:idx val="86"/>
            <c:invertIfNegative val="0"/>
            <c:bubble3D val="0"/>
            <c:extLst>
              <c:ext xmlns:c16="http://schemas.microsoft.com/office/drawing/2014/chart" uri="{C3380CC4-5D6E-409C-BE32-E72D297353CC}">
                <c16:uniqueId val="{00000143-A298-4638-A25D-1066BEAFD6D7}"/>
              </c:ext>
            </c:extLst>
          </c:dPt>
          <c:dPt>
            <c:idx val="87"/>
            <c:invertIfNegative val="0"/>
            <c:bubble3D val="0"/>
            <c:extLst>
              <c:ext xmlns:c16="http://schemas.microsoft.com/office/drawing/2014/chart" uri="{C3380CC4-5D6E-409C-BE32-E72D297353CC}">
                <c16:uniqueId val="{00000144-A298-4638-A25D-1066BEAFD6D7}"/>
              </c:ext>
            </c:extLst>
          </c:dPt>
          <c:dPt>
            <c:idx val="88"/>
            <c:invertIfNegative val="0"/>
            <c:bubble3D val="0"/>
            <c:extLst>
              <c:ext xmlns:c16="http://schemas.microsoft.com/office/drawing/2014/chart" uri="{C3380CC4-5D6E-409C-BE32-E72D297353CC}">
                <c16:uniqueId val="{00000145-A298-4638-A25D-1066BEAFD6D7}"/>
              </c:ext>
            </c:extLst>
          </c:dPt>
          <c:dPt>
            <c:idx val="89"/>
            <c:invertIfNegative val="0"/>
            <c:bubble3D val="0"/>
            <c:extLst>
              <c:ext xmlns:c16="http://schemas.microsoft.com/office/drawing/2014/chart" uri="{C3380CC4-5D6E-409C-BE32-E72D297353CC}">
                <c16:uniqueId val="{00000146-A298-4638-A25D-1066BEAFD6D7}"/>
              </c:ext>
            </c:extLst>
          </c:dPt>
          <c:dPt>
            <c:idx val="90"/>
            <c:invertIfNegative val="0"/>
            <c:bubble3D val="0"/>
            <c:extLst>
              <c:ext xmlns:c16="http://schemas.microsoft.com/office/drawing/2014/chart" uri="{C3380CC4-5D6E-409C-BE32-E72D297353CC}">
                <c16:uniqueId val="{00000147-A298-4638-A25D-1066BEAFD6D7}"/>
              </c:ext>
            </c:extLst>
          </c:dPt>
          <c:dPt>
            <c:idx val="91"/>
            <c:invertIfNegative val="0"/>
            <c:bubble3D val="0"/>
            <c:extLst>
              <c:ext xmlns:c16="http://schemas.microsoft.com/office/drawing/2014/chart" uri="{C3380CC4-5D6E-409C-BE32-E72D297353CC}">
                <c16:uniqueId val="{00000148-A298-4638-A25D-1066BEAFD6D7}"/>
              </c:ext>
            </c:extLst>
          </c:dPt>
          <c:dPt>
            <c:idx val="92"/>
            <c:invertIfNegative val="0"/>
            <c:bubble3D val="0"/>
            <c:extLst>
              <c:ext xmlns:c16="http://schemas.microsoft.com/office/drawing/2014/chart" uri="{C3380CC4-5D6E-409C-BE32-E72D297353CC}">
                <c16:uniqueId val="{00000149-A298-4638-A25D-1066BEAFD6D7}"/>
              </c:ext>
            </c:extLst>
          </c:dPt>
          <c:dPt>
            <c:idx val="93"/>
            <c:invertIfNegative val="0"/>
            <c:bubble3D val="0"/>
            <c:extLst>
              <c:ext xmlns:c16="http://schemas.microsoft.com/office/drawing/2014/chart" uri="{C3380CC4-5D6E-409C-BE32-E72D297353CC}">
                <c16:uniqueId val="{0000014A-A298-4638-A25D-1066BEAFD6D7}"/>
              </c:ext>
            </c:extLst>
          </c:dPt>
          <c:dPt>
            <c:idx val="94"/>
            <c:invertIfNegative val="0"/>
            <c:bubble3D val="0"/>
            <c:extLst>
              <c:ext xmlns:c16="http://schemas.microsoft.com/office/drawing/2014/chart" uri="{C3380CC4-5D6E-409C-BE32-E72D297353CC}">
                <c16:uniqueId val="{0000014B-A298-4638-A25D-1066BEAFD6D7}"/>
              </c:ext>
            </c:extLst>
          </c:dPt>
          <c:dPt>
            <c:idx val="95"/>
            <c:invertIfNegative val="0"/>
            <c:bubble3D val="0"/>
            <c:extLst>
              <c:ext xmlns:c16="http://schemas.microsoft.com/office/drawing/2014/chart" uri="{C3380CC4-5D6E-409C-BE32-E72D297353CC}">
                <c16:uniqueId val="{0000014C-A298-4638-A25D-1066BEAFD6D7}"/>
              </c:ext>
            </c:extLst>
          </c:dPt>
          <c:dPt>
            <c:idx val="96"/>
            <c:invertIfNegative val="0"/>
            <c:bubble3D val="0"/>
            <c:extLst>
              <c:ext xmlns:c16="http://schemas.microsoft.com/office/drawing/2014/chart" uri="{C3380CC4-5D6E-409C-BE32-E72D297353CC}">
                <c16:uniqueId val="{0000014D-A298-4638-A25D-1066BEAFD6D7}"/>
              </c:ext>
            </c:extLst>
          </c:dPt>
          <c:dPt>
            <c:idx val="97"/>
            <c:invertIfNegative val="0"/>
            <c:bubble3D val="0"/>
            <c:extLst>
              <c:ext xmlns:c16="http://schemas.microsoft.com/office/drawing/2014/chart" uri="{C3380CC4-5D6E-409C-BE32-E72D297353CC}">
                <c16:uniqueId val="{0000014E-A298-4638-A25D-1066BEAFD6D7}"/>
              </c:ext>
            </c:extLst>
          </c:dPt>
          <c:dPt>
            <c:idx val="98"/>
            <c:invertIfNegative val="0"/>
            <c:bubble3D val="0"/>
            <c:extLst>
              <c:ext xmlns:c16="http://schemas.microsoft.com/office/drawing/2014/chart" uri="{C3380CC4-5D6E-409C-BE32-E72D297353CC}">
                <c16:uniqueId val="{0000014F-A298-4638-A25D-1066BEAFD6D7}"/>
              </c:ext>
            </c:extLst>
          </c:dPt>
          <c:dPt>
            <c:idx val="99"/>
            <c:invertIfNegative val="0"/>
            <c:bubble3D val="0"/>
            <c:extLst>
              <c:ext xmlns:c16="http://schemas.microsoft.com/office/drawing/2014/chart" uri="{C3380CC4-5D6E-409C-BE32-E72D297353CC}">
                <c16:uniqueId val="{00000150-A298-4638-A25D-1066BEAFD6D7}"/>
              </c:ext>
            </c:extLst>
          </c:dPt>
          <c:dPt>
            <c:idx val="100"/>
            <c:invertIfNegative val="0"/>
            <c:bubble3D val="0"/>
            <c:extLst>
              <c:ext xmlns:c16="http://schemas.microsoft.com/office/drawing/2014/chart" uri="{C3380CC4-5D6E-409C-BE32-E72D297353CC}">
                <c16:uniqueId val="{00000151-A298-4638-A25D-1066BEAFD6D7}"/>
              </c:ext>
            </c:extLst>
          </c:dPt>
          <c:dPt>
            <c:idx val="101"/>
            <c:invertIfNegative val="0"/>
            <c:bubble3D val="0"/>
            <c:extLst>
              <c:ext xmlns:c16="http://schemas.microsoft.com/office/drawing/2014/chart" uri="{C3380CC4-5D6E-409C-BE32-E72D297353CC}">
                <c16:uniqueId val="{00000152-A298-4638-A25D-1066BEAFD6D7}"/>
              </c:ext>
            </c:extLst>
          </c:dPt>
          <c:dPt>
            <c:idx val="102"/>
            <c:invertIfNegative val="0"/>
            <c:bubble3D val="0"/>
            <c:extLst>
              <c:ext xmlns:c16="http://schemas.microsoft.com/office/drawing/2014/chart" uri="{C3380CC4-5D6E-409C-BE32-E72D297353CC}">
                <c16:uniqueId val="{00000153-A298-4638-A25D-1066BEAFD6D7}"/>
              </c:ext>
            </c:extLst>
          </c:dPt>
          <c:dPt>
            <c:idx val="103"/>
            <c:invertIfNegative val="0"/>
            <c:bubble3D val="0"/>
            <c:extLst>
              <c:ext xmlns:c16="http://schemas.microsoft.com/office/drawing/2014/chart" uri="{C3380CC4-5D6E-409C-BE32-E72D297353CC}">
                <c16:uniqueId val="{00000154-A298-4638-A25D-1066BEAFD6D7}"/>
              </c:ext>
            </c:extLst>
          </c:dPt>
          <c:dPt>
            <c:idx val="104"/>
            <c:invertIfNegative val="0"/>
            <c:bubble3D val="0"/>
            <c:extLst>
              <c:ext xmlns:c16="http://schemas.microsoft.com/office/drawing/2014/chart" uri="{C3380CC4-5D6E-409C-BE32-E72D297353CC}">
                <c16:uniqueId val="{00000155-A298-4638-A25D-1066BEAFD6D7}"/>
              </c:ext>
            </c:extLst>
          </c:dPt>
          <c:dPt>
            <c:idx val="105"/>
            <c:invertIfNegative val="0"/>
            <c:bubble3D val="0"/>
            <c:extLst>
              <c:ext xmlns:c16="http://schemas.microsoft.com/office/drawing/2014/chart" uri="{C3380CC4-5D6E-409C-BE32-E72D297353CC}">
                <c16:uniqueId val="{00000156-A298-4638-A25D-1066BEAFD6D7}"/>
              </c:ext>
            </c:extLst>
          </c:dPt>
          <c:dPt>
            <c:idx val="106"/>
            <c:invertIfNegative val="0"/>
            <c:bubble3D val="0"/>
            <c:extLst>
              <c:ext xmlns:c16="http://schemas.microsoft.com/office/drawing/2014/chart" uri="{C3380CC4-5D6E-409C-BE32-E72D297353CC}">
                <c16:uniqueId val="{000000D5-BCC8-4B5F-81D8-28B4333A7B3D}"/>
              </c:ext>
            </c:extLst>
          </c:dPt>
          <c:dPt>
            <c:idx val="107"/>
            <c:invertIfNegative val="0"/>
            <c:bubble3D val="0"/>
            <c:extLst>
              <c:ext xmlns:c16="http://schemas.microsoft.com/office/drawing/2014/chart" uri="{C3380CC4-5D6E-409C-BE32-E72D297353CC}">
                <c16:uniqueId val="{000000D7-BCC8-4B5F-81D8-28B4333A7B3D}"/>
              </c:ext>
            </c:extLst>
          </c:dPt>
          <c:dPt>
            <c:idx val="108"/>
            <c:invertIfNegative val="0"/>
            <c:bubble3D val="0"/>
            <c:extLst>
              <c:ext xmlns:c16="http://schemas.microsoft.com/office/drawing/2014/chart" uri="{C3380CC4-5D6E-409C-BE32-E72D297353CC}">
                <c16:uniqueId val="{000001B0-BCC8-4B5F-81D8-28B4333A7B3D}"/>
              </c:ext>
            </c:extLst>
          </c:dPt>
          <c:dPt>
            <c:idx val="109"/>
            <c:invertIfNegative val="0"/>
            <c:bubble3D val="0"/>
            <c:extLst>
              <c:ext xmlns:c16="http://schemas.microsoft.com/office/drawing/2014/chart" uri="{C3380CC4-5D6E-409C-BE32-E72D297353CC}">
                <c16:uniqueId val="{000001B1-BCC8-4B5F-81D8-28B4333A7B3D}"/>
              </c:ext>
            </c:extLst>
          </c:dPt>
          <c:dPt>
            <c:idx val="110"/>
            <c:invertIfNegative val="0"/>
            <c:bubble3D val="0"/>
            <c:extLst>
              <c:ext xmlns:c16="http://schemas.microsoft.com/office/drawing/2014/chart" uri="{C3380CC4-5D6E-409C-BE32-E72D297353CC}">
                <c16:uniqueId val="{000001B2-BCC8-4B5F-81D8-28B4333A7B3D}"/>
              </c:ext>
            </c:extLst>
          </c:dPt>
          <c:dPt>
            <c:idx val="111"/>
            <c:invertIfNegative val="0"/>
            <c:bubble3D val="0"/>
            <c:extLst>
              <c:ext xmlns:c16="http://schemas.microsoft.com/office/drawing/2014/chart" uri="{C3380CC4-5D6E-409C-BE32-E72D297353CC}">
                <c16:uniqueId val="{000001B3-BCC8-4B5F-81D8-28B4333A7B3D}"/>
              </c:ext>
            </c:extLst>
          </c:dPt>
          <c:dPt>
            <c:idx val="112"/>
            <c:invertIfNegative val="0"/>
            <c:bubble3D val="0"/>
            <c:extLst>
              <c:ext xmlns:c16="http://schemas.microsoft.com/office/drawing/2014/chart" uri="{C3380CC4-5D6E-409C-BE32-E72D297353CC}">
                <c16:uniqueId val="{000001B4-BCC8-4B5F-81D8-28B4333A7B3D}"/>
              </c:ext>
            </c:extLst>
          </c:dPt>
          <c:dPt>
            <c:idx val="113"/>
            <c:invertIfNegative val="0"/>
            <c:bubble3D val="0"/>
            <c:extLst>
              <c:ext xmlns:c16="http://schemas.microsoft.com/office/drawing/2014/chart" uri="{C3380CC4-5D6E-409C-BE32-E72D297353CC}">
                <c16:uniqueId val="{000001B5-BCC8-4B5F-81D8-28B4333A7B3D}"/>
              </c:ext>
            </c:extLst>
          </c:dPt>
          <c:dPt>
            <c:idx val="114"/>
            <c:invertIfNegative val="0"/>
            <c:bubble3D val="0"/>
            <c:extLst>
              <c:ext xmlns:c16="http://schemas.microsoft.com/office/drawing/2014/chart" uri="{C3380CC4-5D6E-409C-BE32-E72D297353CC}">
                <c16:uniqueId val="{000001B6-BCC8-4B5F-81D8-28B4333A7B3D}"/>
              </c:ext>
            </c:extLst>
          </c:dPt>
          <c:dPt>
            <c:idx val="115"/>
            <c:invertIfNegative val="0"/>
            <c:bubble3D val="0"/>
            <c:extLst>
              <c:ext xmlns:c16="http://schemas.microsoft.com/office/drawing/2014/chart" uri="{C3380CC4-5D6E-409C-BE32-E72D297353CC}">
                <c16:uniqueId val="{000001B7-BCC8-4B5F-81D8-28B4333A7B3D}"/>
              </c:ext>
            </c:extLst>
          </c:dPt>
          <c:dPt>
            <c:idx val="116"/>
            <c:invertIfNegative val="0"/>
            <c:bubble3D val="0"/>
            <c:extLst>
              <c:ext xmlns:c16="http://schemas.microsoft.com/office/drawing/2014/chart" uri="{C3380CC4-5D6E-409C-BE32-E72D297353CC}">
                <c16:uniqueId val="{000001B8-BCC8-4B5F-81D8-28B4333A7B3D}"/>
              </c:ext>
            </c:extLst>
          </c:dPt>
          <c:dPt>
            <c:idx val="117"/>
            <c:invertIfNegative val="0"/>
            <c:bubble3D val="0"/>
            <c:extLst>
              <c:ext xmlns:c16="http://schemas.microsoft.com/office/drawing/2014/chart" uri="{C3380CC4-5D6E-409C-BE32-E72D297353CC}">
                <c16:uniqueId val="{000001B9-BCC8-4B5F-81D8-28B4333A7B3D}"/>
              </c:ext>
            </c:extLst>
          </c:dPt>
          <c:dPt>
            <c:idx val="118"/>
            <c:invertIfNegative val="0"/>
            <c:bubble3D val="0"/>
            <c:extLst>
              <c:ext xmlns:c16="http://schemas.microsoft.com/office/drawing/2014/chart" uri="{C3380CC4-5D6E-409C-BE32-E72D297353CC}">
                <c16:uniqueId val="{000001BA-BCC8-4B5F-81D8-28B4333A7B3D}"/>
              </c:ext>
            </c:extLst>
          </c:dPt>
          <c:dPt>
            <c:idx val="119"/>
            <c:invertIfNegative val="0"/>
            <c:bubble3D val="0"/>
            <c:extLst>
              <c:ext xmlns:c16="http://schemas.microsoft.com/office/drawing/2014/chart" uri="{C3380CC4-5D6E-409C-BE32-E72D297353CC}">
                <c16:uniqueId val="{000001BB-BCC8-4B5F-81D8-28B4333A7B3D}"/>
              </c:ext>
            </c:extLst>
          </c:dPt>
          <c:dPt>
            <c:idx val="120"/>
            <c:invertIfNegative val="0"/>
            <c:bubble3D val="0"/>
            <c:extLst>
              <c:ext xmlns:c16="http://schemas.microsoft.com/office/drawing/2014/chart" uri="{C3380CC4-5D6E-409C-BE32-E72D297353CC}">
                <c16:uniqueId val="{000001BC-BCC8-4B5F-81D8-28B4333A7B3D}"/>
              </c:ext>
            </c:extLst>
          </c:dPt>
          <c:dPt>
            <c:idx val="121"/>
            <c:invertIfNegative val="0"/>
            <c:bubble3D val="0"/>
            <c:extLst>
              <c:ext xmlns:c16="http://schemas.microsoft.com/office/drawing/2014/chart" uri="{C3380CC4-5D6E-409C-BE32-E72D297353CC}">
                <c16:uniqueId val="{000001BD-BCC8-4B5F-81D8-28B4333A7B3D}"/>
              </c:ext>
            </c:extLst>
          </c:dPt>
          <c:dPt>
            <c:idx val="122"/>
            <c:invertIfNegative val="0"/>
            <c:bubble3D val="0"/>
            <c:extLst>
              <c:ext xmlns:c16="http://schemas.microsoft.com/office/drawing/2014/chart" uri="{C3380CC4-5D6E-409C-BE32-E72D297353CC}">
                <c16:uniqueId val="{000000F5-ECEE-402E-A864-E5ECE5D899F6}"/>
              </c:ext>
            </c:extLst>
          </c:dPt>
          <c:dPt>
            <c:idx val="123"/>
            <c:invertIfNegative val="0"/>
            <c:bubble3D val="0"/>
            <c:extLst>
              <c:ext xmlns:c16="http://schemas.microsoft.com/office/drawing/2014/chart" uri="{C3380CC4-5D6E-409C-BE32-E72D297353CC}">
                <c16:uniqueId val="{000000F7-ECEE-402E-A864-E5ECE5D899F6}"/>
              </c:ext>
            </c:extLst>
          </c:dPt>
          <c:dPt>
            <c:idx val="124"/>
            <c:invertIfNegative val="0"/>
            <c:bubble3D val="0"/>
            <c:extLst>
              <c:ext xmlns:c16="http://schemas.microsoft.com/office/drawing/2014/chart" uri="{C3380CC4-5D6E-409C-BE32-E72D297353CC}">
                <c16:uniqueId val="{000000F9-ECEE-402E-A864-E5ECE5D899F6}"/>
              </c:ext>
            </c:extLst>
          </c:dPt>
          <c:dPt>
            <c:idx val="125"/>
            <c:invertIfNegative val="0"/>
            <c:bubble3D val="0"/>
            <c:extLst>
              <c:ext xmlns:c16="http://schemas.microsoft.com/office/drawing/2014/chart" uri="{C3380CC4-5D6E-409C-BE32-E72D297353CC}">
                <c16:uniqueId val="{000000FB-ECEE-402E-A864-E5ECE5D899F6}"/>
              </c:ext>
            </c:extLst>
          </c:dPt>
          <c:dPt>
            <c:idx val="126"/>
            <c:invertIfNegative val="0"/>
            <c:bubble3D val="0"/>
            <c:extLst>
              <c:ext xmlns:c16="http://schemas.microsoft.com/office/drawing/2014/chart" uri="{C3380CC4-5D6E-409C-BE32-E72D297353CC}">
                <c16:uniqueId val="{000000FD-ECEE-402E-A864-E5ECE5D899F6}"/>
              </c:ext>
            </c:extLst>
          </c:dPt>
          <c:dPt>
            <c:idx val="127"/>
            <c:invertIfNegative val="0"/>
            <c:bubble3D val="0"/>
            <c:extLst>
              <c:ext xmlns:c16="http://schemas.microsoft.com/office/drawing/2014/chart" uri="{C3380CC4-5D6E-409C-BE32-E72D297353CC}">
                <c16:uniqueId val="{000000FF-ECEE-402E-A864-E5ECE5D899F6}"/>
              </c:ext>
            </c:extLst>
          </c:dPt>
          <c:dPt>
            <c:idx val="128"/>
            <c:invertIfNegative val="0"/>
            <c:bubble3D val="0"/>
            <c:extLst>
              <c:ext xmlns:c16="http://schemas.microsoft.com/office/drawing/2014/chart" uri="{C3380CC4-5D6E-409C-BE32-E72D297353CC}">
                <c16:uniqueId val="{000001CC-BCC8-4B5F-81D8-28B4333A7B3D}"/>
              </c:ext>
            </c:extLst>
          </c:dPt>
          <c:dPt>
            <c:idx val="129"/>
            <c:invertIfNegative val="0"/>
            <c:bubble3D val="0"/>
            <c:extLst>
              <c:ext xmlns:c16="http://schemas.microsoft.com/office/drawing/2014/chart" uri="{C3380CC4-5D6E-409C-BE32-E72D297353CC}">
                <c16:uniqueId val="{000001CD-BCC8-4B5F-81D8-28B4333A7B3D}"/>
              </c:ext>
            </c:extLst>
          </c:dPt>
          <c:dPt>
            <c:idx val="130"/>
            <c:invertIfNegative val="0"/>
            <c:bubble3D val="0"/>
            <c:extLst>
              <c:ext xmlns:c16="http://schemas.microsoft.com/office/drawing/2014/chart" uri="{C3380CC4-5D6E-409C-BE32-E72D297353CC}">
                <c16:uniqueId val="{00000208-6038-47C5-805E-A0E0ABC0F2D1}"/>
              </c:ext>
            </c:extLst>
          </c:dPt>
          <c:dPt>
            <c:idx val="131"/>
            <c:invertIfNegative val="0"/>
            <c:bubble3D val="0"/>
            <c:extLst>
              <c:ext xmlns:c16="http://schemas.microsoft.com/office/drawing/2014/chart" uri="{C3380CC4-5D6E-409C-BE32-E72D297353CC}">
                <c16:uniqueId val="{00000209-6038-47C5-805E-A0E0ABC0F2D1}"/>
              </c:ext>
            </c:extLst>
          </c:dPt>
          <c:dPt>
            <c:idx val="132"/>
            <c:invertIfNegative val="0"/>
            <c:bubble3D val="0"/>
            <c:extLst>
              <c:ext xmlns:c16="http://schemas.microsoft.com/office/drawing/2014/chart" uri="{C3380CC4-5D6E-409C-BE32-E72D297353CC}">
                <c16:uniqueId val="{0000020A-6038-47C5-805E-A0E0ABC0F2D1}"/>
              </c:ext>
            </c:extLst>
          </c:dPt>
          <c:dPt>
            <c:idx val="133"/>
            <c:invertIfNegative val="0"/>
            <c:bubble3D val="0"/>
            <c:extLst>
              <c:ext xmlns:c16="http://schemas.microsoft.com/office/drawing/2014/chart" uri="{C3380CC4-5D6E-409C-BE32-E72D297353CC}">
                <c16:uniqueId val="{0000020B-6038-47C5-805E-A0E0ABC0F2D1}"/>
              </c:ext>
            </c:extLst>
          </c:dPt>
          <c:dPt>
            <c:idx val="134"/>
            <c:invertIfNegative val="0"/>
            <c:bubble3D val="0"/>
            <c:extLst>
              <c:ext xmlns:c16="http://schemas.microsoft.com/office/drawing/2014/chart" uri="{C3380CC4-5D6E-409C-BE32-E72D297353CC}">
                <c16:uniqueId val="{00000218-5F52-4616-AA21-F2879BE43867}"/>
              </c:ext>
            </c:extLst>
          </c:dPt>
          <c:dPt>
            <c:idx val="135"/>
            <c:invertIfNegative val="0"/>
            <c:bubble3D val="0"/>
            <c:extLst>
              <c:ext xmlns:c16="http://schemas.microsoft.com/office/drawing/2014/chart" uri="{C3380CC4-5D6E-409C-BE32-E72D297353CC}">
                <c16:uniqueId val="{00000219-5F52-4616-AA21-F2879BE43867}"/>
              </c:ext>
            </c:extLst>
          </c:dPt>
          <c:dPt>
            <c:idx val="136"/>
            <c:invertIfNegative val="0"/>
            <c:bubble3D val="0"/>
            <c:extLst>
              <c:ext xmlns:c16="http://schemas.microsoft.com/office/drawing/2014/chart" uri="{C3380CC4-5D6E-409C-BE32-E72D297353CC}">
                <c16:uniqueId val="{00000220-8F4F-4FB4-B6F2-5CFF659AB2EC}"/>
              </c:ext>
            </c:extLst>
          </c:dPt>
          <c:dPt>
            <c:idx val="137"/>
            <c:invertIfNegative val="0"/>
            <c:bubble3D val="0"/>
            <c:extLst>
              <c:ext xmlns:c16="http://schemas.microsoft.com/office/drawing/2014/chart" uri="{C3380CC4-5D6E-409C-BE32-E72D297353CC}">
                <c16:uniqueId val="{00000221-8F4F-4FB4-B6F2-5CFF659AB2EC}"/>
              </c:ext>
            </c:extLst>
          </c:dPt>
          <c:dPt>
            <c:idx val="138"/>
            <c:invertIfNegative val="0"/>
            <c:bubble3D val="0"/>
            <c:extLst>
              <c:ext xmlns:c16="http://schemas.microsoft.com/office/drawing/2014/chart" uri="{C3380CC4-5D6E-409C-BE32-E72D297353CC}">
                <c16:uniqueId val="{00000228-6872-472D-9A84-FEF7CBB6FA24}"/>
              </c:ext>
            </c:extLst>
          </c:dPt>
          <c:dPt>
            <c:idx val="139"/>
            <c:invertIfNegative val="0"/>
            <c:bubble3D val="0"/>
            <c:extLst>
              <c:ext xmlns:c16="http://schemas.microsoft.com/office/drawing/2014/chart" uri="{C3380CC4-5D6E-409C-BE32-E72D297353CC}">
                <c16:uniqueId val="{00000229-6872-472D-9A84-FEF7CBB6FA24}"/>
              </c:ext>
            </c:extLst>
          </c:dPt>
          <c:dPt>
            <c:idx val="140"/>
            <c:invertIfNegative val="0"/>
            <c:bubble3D val="0"/>
            <c:extLst>
              <c:ext xmlns:c16="http://schemas.microsoft.com/office/drawing/2014/chart" uri="{C3380CC4-5D6E-409C-BE32-E72D297353CC}">
                <c16:uniqueId val="{0000022A-6872-472D-9A84-FEF7CBB6FA24}"/>
              </c:ext>
            </c:extLst>
          </c:dPt>
          <c:dPt>
            <c:idx val="141"/>
            <c:invertIfNegative val="0"/>
            <c:bubble3D val="0"/>
            <c:extLst>
              <c:ext xmlns:c16="http://schemas.microsoft.com/office/drawing/2014/chart" uri="{C3380CC4-5D6E-409C-BE32-E72D297353CC}">
                <c16:uniqueId val="{0000022B-6872-472D-9A84-FEF7CBB6FA24}"/>
              </c:ext>
            </c:extLst>
          </c:dPt>
          <c:dPt>
            <c:idx val="142"/>
            <c:invertIfNegative val="0"/>
            <c:bubble3D val="0"/>
            <c:extLst>
              <c:ext xmlns:c16="http://schemas.microsoft.com/office/drawing/2014/chart" uri="{C3380CC4-5D6E-409C-BE32-E72D297353CC}">
                <c16:uniqueId val="{0000022C-6872-472D-9A84-FEF7CBB6FA24}"/>
              </c:ext>
            </c:extLst>
          </c:dPt>
          <c:dPt>
            <c:idx val="143"/>
            <c:invertIfNegative val="0"/>
            <c:bubble3D val="0"/>
            <c:extLst>
              <c:ext xmlns:c16="http://schemas.microsoft.com/office/drawing/2014/chart" uri="{C3380CC4-5D6E-409C-BE32-E72D297353CC}">
                <c16:uniqueId val="{0000022D-6872-472D-9A84-FEF7CBB6FA24}"/>
              </c:ext>
            </c:extLst>
          </c:dPt>
          <c:dPt>
            <c:idx val="144"/>
            <c:invertIfNegative val="0"/>
            <c:bubble3D val="0"/>
            <c:extLst>
              <c:ext xmlns:c16="http://schemas.microsoft.com/office/drawing/2014/chart" uri="{C3380CC4-5D6E-409C-BE32-E72D297353CC}">
                <c16:uniqueId val="{0000022E-6872-472D-9A84-FEF7CBB6FA24}"/>
              </c:ext>
            </c:extLst>
          </c:dPt>
          <c:dPt>
            <c:idx val="145"/>
            <c:invertIfNegative val="0"/>
            <c:bubble3D val="0"/>
            <c:extLst>
              <c:ext xmlns:c16="http://schemas.microsoft.com/office/drawing/2014/chart" uri="{C3380CC4-5D6E-409C-BE32-E72D297353CC}">
                <c16:uniqueId val="{0000022F-6872-472D-9A84-FEF7CBB6FA24}"/>
              </c:ext>
            </c:extLst>
          </c:dPt>
          <c:dPt>
            <c:idx val="146"/>
            <c:invertIfNegative val="0"/>
            <c:bubble3D val="0"/>
            <c:extLst>
              <c:ext xmlns:c16="http://schemas.microsoft.com/office/drawing/2014/chart" uri="{C3380CC4-5D6E-409C-BE32-E72D297353CC}">
                <c16:uniqueId val="{00000230-6872-472D-9A84-FEF7CBB6FA24}"/>
              </c:ext>
            </c:extLst>
          </c:dPt>
          <c:dPt>
            <c:idx val="147"/>
            <c:invertIfNegative val="0"/>
            <c:bubble3D val="0"/>
            <c:extLst>
              <c:ext xmlns:c16="http://schemas.microsoft.com/office/drawing/2014/chart" uri="{C3380CC4-5D6E-409C-BE32-E72D297353CC}">
                <c16:uniqueId val="{00000231-6872-472D-9A84-FEF7CBB6FA24}"/>
              </c:ext>
            </c:extLst>
          </c:dPt>
          <c:dPt>
            <c:idx val="148"/>
            <c:invertIfNegative val="0"/>
            <c:bubble3D val="0"/>
            <c:extLst>
              <c:ext xmlns:c16="http://schemas.microsoft.com/office/drawing/2014/chart" uri="{C3380CC4-5D6E-409C-BE32-E72D297353CC}">
                <c16:uniqueId val="{00000232-6872-472D-9A84-FEF7CBB6FA24}"/>
              </c:ext>
            </c:extLst>
          </c:dPt>
          <c:dPt>
            <c:idx val="149"/>
            <c:invertIfNegative val="0"/>
            <c:bubble3D val="0"/>
            <c:extLst>
              <c:ext xmlns:c16="http://schemas.microsoft.com/office/drawing/2014/chart" uri="{C3380CC4-5D6E-409C-BE32-E72D297353CC}">
                <c16:uniqueId val="{00000233-6872-472D-9A84-FEF7CBB6FA24}"/>
              </c:ext>
            </c:extLst>
          </c:dPt>
          <c:dPt>
            <c:idx val="150"/>
            <c:invertIfNegative val="0"/>
            <c:bubble3D val="0"/>
            <c:extLst>
              <c:ext xmlns:c16="http://schemas.microsoft.com/office/drawing/2014/chart" uri="{C3380CC4-5D6E-409C-BE32-E72D297353CC}">
                <c16:uniqueId val="{00000234-6872-472D-9A84-FEF7CBB6FA24}"/>
              </c:ext>
            </c:extLst>
          </c:dPt>
          <c:dPt>
            <c:idx val="151"/>
            <c:invertIfNegative val="0"/>
            <c:bubble3D val="0"/>
            <c:extLst>
              <c:ext xmlns:c16="http://schemas.microsoft.com/office/drawing/2014/chart" uri="{C3380CC4-5D6E-409C-BE32-E72D297353CC}">
                <c16:uniqueId val="{00000235-6872-472D-9A84-FEF7CBB6FA24}"/>
              </c:ext>
            </c:extLst>
          </c:dPt>
          <c:dPt>
            <c:idx val="152"/>
            <c:invertIfNegative val="0"/>
            <c:bubble3D val="0"/>
            <c:extLst>
              <c:ext xmlns:c16="http://schemas.microsoft.com/office/drawing/2014/chart" uri="{C3380CC4-5D6E-409C-BE32-E72D297353CC}">
                <c16:uniqueId val="{00000236-6872-472D-9A84-FEF7CBB6FA24}"/>
              </c:ext>
            </c:extLst>
          </c:dPt>
          <c:dPt>
            <c:idx val="153"/>
            <c:invertIfNegative val="0"/>
            <c:bubble3D val="0"/>
            <c:extLst>
              <c:ext xmlns:c16="http://schemas.microsoft.com/office/drawing/2014/chart" uri="{C3380CC4-5D6E-409C-BE32-E72D297353CC}">
                <c16:uniqueId val="{00000237-6872-472D-9A84-FEF7CBB6FA24}"/>
              </c:ext>
            </c:extLst>
          </c:dPt>
          <c:dPt>
            <c:idx val="154"/>
            <c:invertIfNegative val="0"/>
            <c:bubble3D val="0"/>
            <c:extLst>
              <c:ext xmlns:c16="http://schemas.microsoft.com/office/drawing/2014/chart" uri="{C3380CC4-5D6E-409C-BE32-E72D297353CC}">
                <c16:uniqueId val="{00000238-6872-472D-9A84-FEF7CBB6FA24}"/>
              </c:ext>
            </c:extLst>
          </c:dPt>
          <c:dPt>
            <c:idx val="155"/>
            <c:invertIfNegative val="0"/>
            <c:bubble3D val="0"/>
            <c:extLst>
              <c:ext xmlns:c16="http://schemas.microsoft.com/office/drawing/2014/chart" uri="{C3380CC4-5D6E-409C-BE32-E72D297353CC}">
                <c16:uniqueId val="{00000239-6872-472D-9A84-FEF7CBB6FA24}"/>
              </c:ext>
            </c:extLst>
          </c:dPt>
          <c:dPt>
            <c:idx val="156"/>
            <c:invertIfNegative val="0"/>
            <c:bubble3D val="0"/>
            <c:extLst>
              <c:ext xmlns:c16="http://schemas.microsoft.com/office/drawing/2014/chart" uri="{C3380CC4-5D6E-409C-BE32-E72D297353CC}">
                <c16:uniqueId val="{0000023A-6872-472D-9A84-FEF7CBB6FA24}"/>
              </c:ext>
            </c:extLst>
          </c:dPt>
          <c:dPt>
            <c:idx val="157"/>
            <c:invertIfNegative val="0"/>
            <c:bubble3D val="0"/>
            <c:extLst>
              <c:ext xmlns:c16="http://schemas.microsoft.com/office/drawing/2014/chart" uri="{C3380CC4-5D6E-409C-BE32-E72D297353CC}">
                <c16:uniqueId val="{0000023B-6872-472D-9A84-FEF7CBB6FA24}"/>
              </c:ext>
            </c:extLst>
          </c:dPt>
          <c:dPt>
            <c:idx val="158"/>
            <c:invertIfNegative val="0"/>
            <c:bubble3D val="0"/>
            <c:extLst>
              <c:ext xmlns:c16="http://schemas.microsoft.com/office/drawing/2014/chart" uri="{C3380CC4-5D6E-409C-BE32-E72D297353CC}">
                <c16:uniqueId val="{0000023C-6872-472D-9A84-FEF7CBB6FA24}"/>
              </c:ext>
            </c:extLst>
          </c:dPt>
          <c:dPt>
            <c:idx val="159"/>
            <c:invertIfNegative val="0"/>
            <c:bubble3D val="0"/>
            <c:extLst>
              <c:ext xmlns:c16="http://schemas.microsoft.com/office/drawing/2014/chart" uri="{C3380CC4-5D6E-409C-BE32-E72D297353CC}">
                <c16:uniqueId val="{0000023D-6872-472D-9A84-FEF7CBB6FA24}"/>
              </c:ext>
            </c:extLst>
          </c:dPt>
          <c:dPt>
            <c:idx val="160"/>
            <c:invertIfNegative val="0"/>
            <c:bubble3D val="0"/>
            <c:extLst>
              <c:ext xmlns:c16="http://schemas.microsoft.com/office/drawing/2014/chart" uri="{C3380CC4-5D6E-409C-BE32-E72D297353CC}">
                <c16:uniqueId val="{0000023E-6872-472D-9A84-FEF7CBB6FA24}"/>
              </c:ext>
            </c:extLst>
          </c:dPt>
          <c:dPt>
            <c:idx val="161"/>
            <c:invertIfNegative val="0"/>
            <c:bubble3D val="0"/>
            <c:extLst>
              <c:ext xmlns:c16="http://schemas.microsoft.com/office/drawing/2014/chart" uri="{C3380CC4-5D6E-409C-BE32-E72D297353CC}">
                <c16:uniqueId val="{0000023F-6872-472D-9A84-FEF7CBB6FA24}"/>
              </c:ext>
            </c:extLst>
          </c:dPt>
          <c:dPt>
            <c:idx val="162"/>
            <c:invertIfNegative val="0"/>
            <c:bubble3D val="0"/>
            <c:extLst>
              <c:ext xmlns:c16="http://schemas.microsoft.com/office/drawing/2014/chart" uri="{C3380CC4-5D6E-409C-BE32-E72D297353CC}">
                <c16:uniqueId val="{00000240-6872-472D-9A84-FEF7CBB6FA24}"/>
              </c:ext>
            </c:extLst>
          </c:dPt>
          <c:dPt>
            <c:idx val="163"/>
            <c:invertIfNegative val="0"/>
            <c:bubble3D val="0"/>
            <c:extLst>
              <c:ext xmlns:c16="http://schemas.microsoft.com/office/drawing/2014/chart" uri="{C3380CC4-5D6E-409C-BE32-E72D297353CC}">
                <c16:uniqueId val="{00000241-6872-472D-9A84-FEF7CBB6FA24}"/>
              </c:ext>
            </c:extLst>
          </c:dPt>
          <c:dPt>
            <c:idx val="164"/>
            <c:invertIfNegative val="0"/>
            <c:bubble3D val="0"/>
            <c:extLst>
              <c:ext xmlns:c16="http://schemas.microsoft.com/office/drawing/2014/chart" uri="{C3380CC4-5D6E-409C-BE32-E72D297353CC}">
                <c16:uniqueId val="{00000242-6872-472D-9A84-FEF7CBB6FA24}"/>
              </c:ext>
            </c:extLst>
          </c:dPt>
          <c:dPt>
            <c:idx val="165"/>
            <c:invertIfNegative val="0"/>
            <c:bubble3D val="0"/>
            <c:extLst>
              <c:ext xmlns:c16="http://schemas.microsoft.com/office/drawing/2014/chart" uri="{C3380CC4-5D6E-409C-BE32-E72D297353CC}">
                <c16:uniqueId val="{00000243-6872-472D-9A84-FEF7CBB6FA24}"/>
              </c:ext>
            </c:extLst>
          </c:dPt>
          <c:dPt>
            <c:idx val="166"/>
            <c:invertIfNegative val="0"/>
            <c:bubble3D val="0"/>
            <c:extLst>
              <c:ext xmlns:c16="http://schemas.microsoft.com/office/drawing/2014/chart" uri="{C3380CC4-5D6E-409C-BE32-E72D297353CC}">
                <c16:uniqueId val="{00000244-6872-472D-9A84-FEF7CBB6FA24}"/>
              </c:ext>
            </c:extLst>
          </c:dPt>
          <c:dPt>
            <c:idx val="167"/>
            <c:invertIfNegative val="0"/>
            <c:bubble3D val="0"/>
            <c:extLst>
              <c:ext xmlns:c16="http://schemas.microsoft.com/office/drawing/2014/chart" uri="{C3380CC4-5D6E-409C-BE32-E72D297353CC}">
                <c16:uniqueId val="{00000245-6872-472D-9A84-FEF7CBB6FA24}"/>
              </c:ext>
            </c:extLst>
          </c:dPt>
          <c:dPt>
            <c:idx val="168"/>
            <c:invertIfNegative val="0"/>
            <c:bubble3D val="0"/>
            <c:extLst>
              <c:ext xmlns:c16="http://schemas.microsoft.com/office/drawing/2014/chart" uri="{C3380CC4-5D6E-409C-BE32-E72D297353CC}">
                <c16:uniqueId val="{00000246-6872-472D-9A84-FEF7CBB6FA24}"/>
              </c:ext>
            </c:extLst>
          </c:dPt>
          <c:dPt>
            <c:idx val="169"/>
            <c:invertIfNegative val="0"/>
            <c:bubble3D val="0"/>
            <c:extLst>
              <c:ext xmlns:c16="http://schemas.microsoft.com/office/drawing/2014/chart" uri="{C3380CC4-5D6E-409C-BE32-E72D297353CC}">
                <c16:uniqueId val="{00000247-6872-472D-9A84-FEF7CBB6FA24}"/>
              </c:ext>
            </c:extLst>
          </c:dPt>
          <c:dPt>
            <c:idx val="170"/>
            <c:invertIfNegative val="0"/>
            <c:bubble3D val="0"/>
            <c:extLst>
              <c:ext xmlns:c16="http://schemas.microsoft.com/office/drawing/2014/chart" uri="{C3380CC4-5D6E-409C-BE32-E72D297353CC}">
                <c16:uniqueId val="{00000248-6872-472D-9A84-FEF7CBB6FA24}"/>
              </c:ext>
            </c:extLst>
          </c:dPt>
          <c:dPt>
            <c:idx val="171"/>
            <c:invertIfNegative val="0"/>
            <c:bubble3D val="0"/>
            <c:extLst>
              <c:ext xmlns:c16="http://schemas.microsoft.com/office/drawing/2014/chart" uri="{C3380CC4-5D6E-409C-BE32-E72D297353CC}">
                <c16:uniqueId val="{00000249-6872-472D-9A84-FEF7CBB6FA24}"/>
              </c:ext>
            </c:extLst>
          </c:dPt>
          <c:dPt>
            <c:idx val="172"/>
            <c:invertIfNegative val="0"/>
            <c:bubble3D val="0"/>
            <c:extLst>
              <c:ext xmlns:c16="http://schemas.microsoft.com/office/drawing/2014/chart" uri="{C3380CC4-5D6E-409C-BE32-E72D297353CC}">
                <c16:uniqueId val="{0000024A-6872-472D-9A84-FEF7CBB6FA24}"/>
              </c:ext>
            </c:extLst>
          </c:dPt>
          <c:dPt>
            <c:idx val="173"/>
            <c:invertIfNegative val="0"/>
            <c:bubble3D val="0"/>
            <c:extLst>
              <c:ext xmlns:c16="http://schemas.microsoft.com/office/drawing/2014/chart" uri="{C3380CC4-5D6E-409C-BE32-E72D297353CC}">
                <c16:uniqueId val="{0000024B-6872-472D-9A84-FEF7CBB6FA24}"/>
              </c:ext>
            </c:extLst>
          </c:dPt>
          <c:dPt>
            <c:idx val="174"/>
            <c:invertIfNegative val="0"/>
            <c:bubble3D val="0"/>
            <c:extLst>
              <c:ext xmlns:c16="http://schemas.microsoft.com/office/drawing/2014/chart" uri="{C3380CC4-5D6E-409C-BE32-E72D297353CC}">
                <c16:uniqueId val="{0000024C-6872-472D-9A84-FEF7CBB6FA24}"/>
              </c:ext>
            </c:extLst>
          </c:dPt>
          <c:dPt>
            <c:idx val="175"/>
            <c:invertIfNegative val="0"/>
            <c:bubble3D val="0"/>
            <c:extLst>
              <c:ext xmlns:c16="http://schemas.microsoft.com/office/drawing/2014/chart" uri="{C3380CC4-5D6E-409C-BE32-E72D297353CC}">
                <c16:uniqueId val="{0000024D-6872-472D-9A84-FEF7CBB6FA24}"/>
              </c:ext>
            </c:extLst>
          </c:dPt>
          <c:dPt>
            <c:idx val="176"/>
            <c:invertIfNegative val="0"/>
            <c:bubble3D val="0"/>
            <c:extLst>
              <c:ext xmlns:c16="http://schemas.microsoft.com/office/drawing/2014/chart" uri="{C3380CC4-5D6E-409C-BE32-E72D297353CC}">
                <c16:uniqueId val="{0000024E-6872-472D-9A84-FEF7CBB6FA24}"/>
              </c:ext>
            </c:extLst>
          </c:dPt>
          <c:dPt>
            <c:idx val="177"/>
            <c:invertIfNegative val="0"/>
            <c:bubble3D val="0"/>
            <c:extLst>
              <c:ext xmlns:c16="http://schemas.microsoft.com/office/drawing/2014/chart" uri="{C3380CC4-5D6E-409C-BE32-E72D297353CC}">
                <c16:uniqueId val="{0000024F-6872-472D-9A84-FEF7CBB6FA24}"/>
              </c:ext>
            </c:extLst>
          </c:dPt>
          <c:dPt>
            <c:idx val="178"/>
            <c:invertIfNegative val="0"/>
            <c:bubble3D val="0"/>
            <c:extLst>
              <c:ext xmlns:c16="http://schemas.microsoft.com/office/drawing/2014/chart" uri="{C3380CC4-5D6E-409C-BE32-E72D297353CC}">
                <c16:uniqueId val="{00000250-6872-472D-9A84-FEF7CBB6FA24}"/>
              </c:ext>
            </c:extLst>
          </c:dPt>
          <c:dPt>
            <c:idx val="179"/>
            <c:invertIfNegative val="0"/>
            <c:bubble3D val="0"/>
            <c:extLst>
              <c:ext xmlns:c16="http://schemas.microsoft.com/office/drawing/2014/chart" uri="{C3380CC4-5D6E-409C-BE32-E72D297353CC}">
                <c16:uniqueId val="{00000251-6872-472D-9A84-FEF7CBB6FA24}"/>
              </c:ext>
            </c:extLst>
          </c:dPt>
          <c:dPt>
            <c:idx val="180"/>
            <c:invertIfNegative val="0"/>
            <c:bubble3D val="0"/>
            <c:extLst>
              <c:ext xmlns:c16="http://schemas.microsoft.com/office/drawing/2014/chart" uri="{C3380CC4-5D6E-409C-BE32-E72D297353CC}">
                <c16:uniqueId val="{00000252-6872-472D-9A84-FEF7CBB6FA24}"/>
              </c:ext>
            </c:extLst>
          </c:dPt>
          <c:dPt>
            <c:idx val="181"/>
            <c:invertIfNegative val="0"/>
            <c:bubble3D val="0"/>
            <c:extLst>
              <c:ext xmlns:c16="http://schemas.microsoft.com/office/drawing/2014/chart" uri="{C3380CC4-5D6E-409C-BE32-E72D297353CC}">
                <c16:uniqueId val="{00000253-6872-472D-9A84-FEF7CBB6FA24}"/>
              </c:ext>
            </c:extLst>
          </c:dPt>
          <c:dPt>
            <c:idx val="182"/>
            <c:invertIfNegative val="0"/>
            <c:bubble3D val="0"/>
            <c:extLst>
              <c:ext xmlns:c16="http://schemas.microsoft.com/office/drawing/2014/chart" uri="{C3380CC4-5D6E-409C-BE32-E72D297353CC}">
                <c16:uniqueId val="{00000254-6872-472D-9A84-FEF7CBB6FA24}"/>
              </c:ext>
            </c:extLst>
          </c:dPt>
          <c:dPt>
            <c:idx val="183"/>
            <c:invertIfNegative val="0"/>
            <c:bubble3D val="0"/>
            <c:extLst>
              <c:ext xmlns:c16="http://schemas.microsoft.com/office/drawing/2014/chart" uri="{C3380CC4-5D6E-409C-BE32-E72D297353CC}">
                <c16:uniqueId val="{00000255-6872-472D-9A84-FEF7CBB6FA24}"/>
              </c:ext>
            </c:extLst>
          </c:dPt>
          <c:dPt>
            <c:idx val="184"/>
            <c:invertIfNegative val="0"/>
            <c:bubble3D val="0"/>
            <c:extLst>
              <c:ext xmlns:c16="http://schemas.microsoft.com/office/drawing/2014/chart" uri="{C3380CC4-5D6E-409C-BE32-E72D297353CC}">
                <c16:uniqueId val="{00000256-6872-472D-9A84-FEF7CBB6FA24}"/>
              </c:ext>
            </c:extLst>
          </c:dPt>
          <c:dPt>
            <c:idx val="185"/>
            <c:invertIfNegative val="0"/>
            <c:bubble3D val="0"/>
            <c:extLst>
              <c:ext xmlns:c16="http://schemas.microsoft.com/office/drawing/2014/chart" uri="{C3380CC4-5D6E-409C-BE32-E72D297353CC}">
                <c16:uniqueId val="{00000257-6872-472D-9A84-FEF7CBB6FA24}"/>
              </c:ext>
            </c:extLst>
          </c:dPt>
          <c:dPt>
            <c:idx val="186"/>
            <c:invertIfNegative val="0"/>
            <c:bubble3D val="0"/>
            <c:extLst>
              <c:ext xmlns:c16="http://schemas.microsoft.com/office/drawing/2014/chart" uri="{C3380CC4-5D6E-409C-BE32-E72D297353CC}">
                <c16:uniqueId val="{00000258-6872-472D-9A84-FEF7CBB6FA24}"/>
              </c:ext>
            </c:extLst>
          </c:dPt>
          <c:dPt>
            <c:idx val="187"/>
            <c:invertIfNegative val="0"/>
            <c:bubble3D val="0"/>
            <c:extLst>
              <c:ext xmlns:c16="http://schemas.microsoft.com/office/drawing/2014/chart" uri="{C3380CC4-5D6E-409C-BE32-E72D297353CC}">
                <c16:uniqueId val="{00000259-6872-472D-9A84-FEF7CBB6FA24}"/>
              </c:ext>
            </c:extLst>
          </c:dPt>
          <c:dPt>
            <c:idx val="188"/>
            <c:invertIfNegative val="0"/>
            <c:bubble3D val="0"/>
            <c:extLst>
              <c:ext xmlns:c16="http://schemas.microsoft.com/office/drawing/2014/chart" uri="{C3380CC4-5D6E-409C-BE32-E72D297353CC}">
                <c16:uniqueId val="{0000025A-6872-472D-9A84-FEF7CBB6FA24}"/>
              </c:ext>
            </c:extLst>
          </c:dPt>
          <c:dPt>
            <c:idx val="189"/>
            <c:invertIfNegative val="0"/>
            <c:bubble3D val="0"/>
            <c:extLst>
              <c:ext xmlns:c16="http://schemas.microsoft.com/office/drawing/2014/chart" uri="{C3380CC4-5D6E-409C-BE32-E72D297353CC}">
                <c16:uniqueId val="{0000025B-6872-472D-9A84-FEF7CBB6FA24}"/>
              </c:ext>
            </c:extLst>
          </c:dPt>
          <c:dPt>
            <c:idx val="190"/>
            <c:invertIfNegative val="0"/>
            <c:bubble3D val="0"/>
            <c:extLst>
              <c:ext xmlns:c16="http://schemas.microsoft.com/office/drawing/2014/chart" uri="{C3380CC4-5D6E-409C-BE32-E72D297353CC}">
                <c16:uniqueId val="{0000025C-6872-472D-9A84-FEF7CBB6FA24}"/>
              </c:ext>
            </c:extLst>
          </c:dPt>
          <c:dPt>
            <c:idx val="191"/>
            <c:invertIfNegative val="0"/>
            <c:bubble3D val="0"/>
            <c:extLst>
              <c:ext xmlns:c16="http://schemas.microsoft.com/office/drawing/2014/chart" uri="{C3380CC4-5D6E-409C-BE32-E72D297353CC}">
                <c16:uniqueId val="{0000025D-6872-472D-9A84-FEF7CBB6FA24}"/>
              </c:ext>
            </c:extLst>
          </c:dPt>
          <c:dPt>
            <c:idx val="192"/>
            <c:invertIfNegative val="0"/>
            <c:bubble3D val="0"/>
            <c:extLst>
              <c:ext xmlns:c16="http://schemas.microsoft.com/office/drawing/2014/chart" uri="{C3380CC4-5D6E-409C-BE32-E72D297353CC}">
                <c16:uniqueId val="{0000025E-6872-472D-9A84-FEF7CBB6FA24}"/>
              </c:ext>
            </c:extLst>
          </c:dPt>
          <c:dPt>
            <c:idx val="193"/>
            <c:invertIfNegative val="0"/>
            <c:bubble3D val="0"/>
            <c:extLst>
              <c:ext xmlns:c16="http://schemas.microsoft.com/office/drawing/2014/chart" uri="{C3380CC4-5D6E-409C-BE32-E72D297353CC}">
                <c16:uniqueId val="{0000025F-6872-472D-9A84-FEF7CBB6FA24}"/>
              </c:ext>
            </c:extLst>
          </c:dPt>
          <c:dPt>
            <c:idx val="194"/>
            <c:invertIfNegative val="0"/>
            <c:bubble3D val="0"/>
            <c:extLst>
              <c:ext xmlns:c16="http://schemas.microsoft.com/office/drawing/2014/chart" uri="{C3380CC4-5D6E-409C-BE32-E72D297353CC}">
                <c16:uniqueId val="{00000260-6872-472D-9A84-FEF7CBB6FA24}"/>
              </c:ext>
            </c:extLst>
          </c:dPt>
          <c:dPt>
            <c:idx val="195"/>
            <c:invertIfNegative val="0"/>
            <c:bubble3D val="0"/>
            <c:extLst>
              <c:ext xmlns:c16="http://schemas.microsoft.com/office/drawing/2014/chart" uri="{C3380CC4-5D6E-409C-BE32-E72D297353CC}">
                <c16:uniqueId val="{00000261-6872-472D-9A84-FEF7CBB6FA24}"/>
              </c:ext>
            </c:extLst>
          </c:dPt>
          <c:dPt>
            <c:idx val="196"/>
            <c:invertIfNegative val="0"/>
            <c:bubble3D val="0"/>
            <c:extLst>
              <c:ext xmlns:c16="http://schemas.microsoft.com/office/drawing/2014/chart" uri="{C3380CC4-5D6E-409C-BE32-E72D297353CC}">
                <c16:uniqueId val="{00000262-6872-472D-9A84-FEF7CBB6FA24}"/>
              </c:ext>
            </c:extLst>
          </c:dPt>
          <c:dPt>
            <c:idx val="197"/>
            <c:invertIfNegative val="0"/>
            <c:bubble3D val="0"/>
            <c:extLst>
              <c:ext xmlns:c16="http://schemas.microsoft.com/office/drawing/2014/chart" uri="{C3380CC4-5D6E-409C-BE32-E72D297353CC}">
                <c16:uniqueId val="{00000263-6872-472D-9A84-FEF7CBB6FA24}"/>
              </c:ext>
            </c:extLst>
          </c:dPt>
          <c:dPt>
            <c:idx val="198"/>
            <c:invertIfNegative val="0"/>
            <c:bubble3D val="0"/>
            <c:extLst>
              <c:ext xmlns:c16="http://schemas.microsoft.com/office/drawing/2014/chart" uri="{C3380CC4-5D6E-409C-BE32-E72D297353CC}">
                <c16:uniqueId val="{00000264-6872-472D-9A84-FEF7CBB6FA24}"/>
              </c:ext>
            </c:extLst>
          </c:dPt>
          <c:dPt>
            <c:idx val="199"/>
            <c:invertIfNegative val="0"/>
            <c:bubble3D val="0"/>
            <c:extLst>
              <c:ext xmlns:c16="http://schemas.microsoft.com/office/drawing/2014/chart" uri="{C3380CC4-5D6E-409C-BE32-E72D297353CC}">
                <c16:uniqueId val="{00000265-6872-472D-9A84-FEF7CBB6FA24}"/>
              </c:ext>
            </c:extLst>
          </c:dPt>
          <c:dPt>
            <c:idx val="200"/>
            <c:invertIfNegative val="0"/>
            <c:bubble3D val="0"/>
            <c:extLst>
              <c:ext xmlns:c16="http://schemas.microsoft.com/office/drawing/2014/chart" uri="{C3380CC4-5D6E-409C-BE32-E72D297353CC}">
                <c16:uniqueId val="{00000266-6872-472D-9A84-FEF7CBB6FA24}"/>
              </c:ext>
            </c:extLst>
          </c:dPt>
          <c:dPt>
            <c:idx val="201"/>
            <c:invertIfNegative val="0"/>
            <c:bubble3D val="0"/>
            <c:extLst>
              <c:ext xmlns:c16="http://schemas.microsoft.com/office/drawing/2014/chart" uri="{C3380CC4-5D6E-409C-BE32-E72D297353CC}">
                <c16:uniqueId val="{00000267-6872-472D-9A84-FEF7CBB6FA24}"/>
              </c:ext>
            </c:extLst>
          </c:dPt>
          <c:dPt>
            <c:idx val="202"/>
            <c:invertIfNegative val="0"/>
            <c:bubble3D val="0"/>
            <c:extLst>
              <c:ext xmlns:c16="http://schemas.microsoft.com/office/drawing/2014/chart" uri="{C3380CC4-5D6E-409C-BE32-E72D297353CC}">
                <c16:uniqueId val="{00000268-6872-472D-9A84-FEF7CBB6FA24}"/>
              </c:ext>
            </c:extLst>
          </c:dPt>
          <c:dPt>
            <c:idx val="203"/>
            <c:invertIfNegative val="0"/>
            <c:bubble3D val="0"/>
            <c:extLst>
              <c:ext xmlns:c16="http://schemas.microsoft.com/office/drawing/2014/chart" uri="{C3380CC4-5D6E-409C-BE32-E72D297353CC}">
                <c16:uniqueId val="{00000269-6872-472D-9A84-FEF7CBB6FA24}"/>
              </c:ext>
            </c:extLst>
          </c:dPt>
          <c:dPt>
            <c:idx val="204"/>
            <c:invertIfNegative val="0"/>
            <c:bubble3D val="0"/>
            <c:extLst>
              <c:ext xmlns:c16="http://schemas.microsoft.com/office/drawing/2014/chart" uri="{C3380CC4-5D6E-409C-BE32-E72D297353CC}">
                <c16:uniqueId val="{0000026A-6872-472D-9A84-FEF7CBB6FA24}"/>
              </c:ext>
            </c:extLst>
          </c:dPt>
          <c:dPt>
            <c:idx val="205"/>
            <c:invertIfNegative val="0"/>
            <c:bubble3D val="0"/>
            <c:extLst>
              <c:ext xmlns:c16="http://schemas.microsoft.com/office/drawing/2014/chart" uri="{C3380CC4-5D6E-409C-BE32-E72D297353CC}">
                <c16:uniqueId val="{0000026B-6872-472D-9A84-FEF7CBB6FA24}"/>
              </c:ext>
            </c:extLst>
          </c:dPt>
          <c:dPt>
            <c:idx val="206"/>
            <c:invertIfNegative val="0"/>
            <c:bubble3D val="0"/>
            <c:extLst>
              <c:ext xmlns:c16="http://schemas.microsoft.com/office/drawing/2014/chart" uri="{C3380CC4-5D6E-409C-BE32-E72D297353CC}">
                <c16:uniqueId val="{0000026C-6872-472D-9A84-FEF7CBB6FA24}"/>
              </c:ext>
            </c:extLst>
          </c:dPt>
          <c:dPt>
            <c:idx val="207"/>
            <c:invertIfNegative val="0"/>
            <c:bubble3D val="0"/>
            <c:extLst>
              <c:ext xmlns:c16="http://schemas.microsoft.com/office/drawing/2014/chart" uri="{C3380CC4-5D6E-409C-BE32-E72D297353CC}">
                <c16:uniqueId val="{0000026D-6872-472D-9A84-FEF7CBB6FA24}"/>
              </c:ext>
            </c:extLst>
          </c:dPt>
          <c:dPt>
            <c:idx val="208"/>
            <c:invertIfNegative val="0"/>
            <c:bubble3D val="0"/>
            <c:extLst>
              <c:ext xmlns:c16="http://schemas.microsoft.com/office/drawing/2014/chart" uri="{C3380CC4-5D6E-409C-BE32-E72D297353CC}">
                <c16:uniqueId val="{0000026E-6872-472D-9A84-FEF7CBB6FA24}"/>
              </c:ext>
            </c:extLst>
          </c:dPt>
          <c:dPt>
            <c:idx val="209"/>
            <c:invertIfNegative val="0"/>
            <c:bubble3D val="0"/>
            <c:extLst>
              <c:ext xmlns:c16="http://schemas.microsoft.com/office/drawing/2014/chart" uri="{C3380CC4-5D6E-409C-BE32-E72D297353CC}">
                <c16:uniqueId val="{0000026F-6872-472D-9A84-FEF7CBB6FA24}"/>
              </c:ext>
            </c:extLst>
          </c:dPt>
          <c:dPt>
            <c:idx val="210"/>
            <c:invertIfNegative val="0"/>
            <c:bubble3D val="0"/>
            <c:extLst>
              <c:ext xmlns:c16="http://schemas.microsoft.com/office/drawing/2014/chart" uri="{C3380CC4-5D6E-409C-BE32-E72D297353CC}">
                <c16:uniqueId val="{00000270-6872-472D-9A84-FEF7CBB6FA24}"/>
              </c:ext>
            </c:extLst>
          </c:dPt>
          <c:dPt>
            <c:idx val="211"/>
            <c:invertIfNegative val="0"/>
            <c:bubble3D val="0"/>
            <c:extLst>
              <c:ext xmlns:c16="http://schemas.microsoft.com/office/drawing/2014/chart" uri="{C3380CC4-5D6E-409C-BE32-E72D297353CC}">
                <c16:uniqueId val="{00000271-6872-472D-9A84-FEF7CBB6FA24}"/>
              </c:ext>
            </c:extLst>
          </c:dPt>
          <c:dPt>
            <c:idx val="212"/>
            <c:invertIfNegative val="0"/>
            <c:bubble3D val="0"/>
            <c:extLst>
              <c:ext xmlns:c16="http://schemas.microsoft.com/office/drawing/2014/chart" uri="{C3380CC4-5D6E-409C-BE32-E72D297353CC}">
                <c16:uniqueId val="{00000272-6872-472D-9A84-FEF7CBB6FA24}"/>
              </c:ext>
            </c:extLst>
          </c:dPt>
          <c:dPt>
            <c:idx val="213"/>
            <c:invertIfNegative val="0"/>
            <c:bubble3D val="0"/>
            <c:extLst>
              <c:ext xmlns:c16="http://schemas.microsoft.com/office/drawing/2014/chart" uri="{C3380CC4-5D6E-409C-BE32-E72D297353CC}">
                <c16:uniqueId val="{00000273-6872-472D-9A84-FEF7CBB6FA24}"/>
              </c:ext>
            </c:extLst>
          </c:dPt>
          <c:dPt>
            <c:idx val="214"/>
            <c:invertIfNegative val="0"/>
            <c:bubble3D val="0"/>
            <c:extLst>
              <c:ext xmlns:c16="http://schemas.microsoft.com/office/drawing/2014/chart" uri="{C3380CC4-5D6E-409C-BE32-E72D297353CC}">
                <c16:uniqueId val="{00000274-6872-472D-9A84-FEF7CBB6FA24}"/>
              </c:ext>
            </c:extLst>
          </c:dPt>
          <c:dPt>
            <c:idx val="215"/>
            <c:invertIfNegative val="0"/>
            <c:bubble3D val="0"/>
            <c:extLst>
              <c:ext xmlns:c16="http://schemas.microsoft.com/office/drawing/2014/chart" uri="{C3380CC4-5D6E-409C-BE32-E72D297353CC}">
                <c16:uniqueId val="{00000275-6872-472D-9A84-FEF7CBB6FA24}"/>
              </c:ext>
            </c:extLst>
          </c:dPt>
          <c:dPt>
            <c:idx val="216"/>
            <c:invertIfNegative val="0"/>
            <c:bubble3D val="0"/>
            <c:extLst>
              <c:ext xmlns:c16="http://schemas.microsoft.com/office/drawing/2014/chart" uri="{C3380CC4-5D6E-409C-BE32-E72D297353CC}">
                <c16:uniqueId val="{00000276-6872-472D-9A84-FEF7CBB6FA24}"/>
              </c:ext>
            </c:extLst>
          </c:dPt>
          <c:dPt>
            <c:idx val="217"/>
            <c:invertIfNegative val="0"/>
            <c:bubble3D val="0"/>
            <c:extLst>
              <c:ext xmlns:c16="http://schemas.microsoft.com/office/drawing/2014/chart" uri="{C3380CC4-5D6E-409C-BE32-E72D297353CC}">
                <c16:uniqueId val="{00000277-6872-472D-9A84-FEF7CBB6FA24}"/>
              </c:ext>
            </c:extLst>
          </c:dPt>
          <c:dPt>
            <c:idx val="218"/>
            <c:invertIfNegative val="0"/>
            <c:bubble3D val="0"/>
            <c:extLst>
              <c:ext xmlns:c16="http://schemas.microsoft.com/office/drawing/2014/chart" uri="{C3380CC4-5D6E-409C-BE32-E72D297353CC}">
                <c16:uniqueId val="{00000278-6872-472D-9A84-FEF7CBB6FA24}"/>
              </c:ext>
            </c:extLst>
          </c:dPt>
          <c:dPt>
            <c:idx val="219"/>
            <c:invertIfNegative val="0"/>
            <c:bubble3D val="0"/>
            <c:extLst>
              <c:ext xmlns:c16="http://schemas.microsoft.com/office/drawing/2014/chart" uri="{C3380CC4-5D6E-409C-BE32-E72D297353CC}">
                <c16:uniqueId val="{00000279-6872-472D-9A84-FEF7CBB6FA24}"/>
              </c:ext>
            </c:extLst>
          </c:dPt>
          <c:dPt>
            <c:idx val="220"/>
            <c:invertIfNegative val="0"/>
            <c:bubble3D val="0"/>
            <c:extLst>
              <c:ext xmlns:c16="http://schemas.microsoft.com/office/drawing/2014/chart" uri="{C3380CC4-5D6E-409C-BE32-E72D297353CC}">
                <c16:uniqueId val="{0000027A-6872-472D-9A84-FEF7CBB6FA24}"/>
              </c:ext>
            </c:extLst>
          </c:dPt>
          <c:dPt>
            <c:idx val="221"/>
            <c:invertIfNegative val="0"/>
            <c:bubble3D val="0"/>
            <c:extLst>
              <c:ext xmlns:c16="http://schemas.microsoft.com/office/drawing/2014/chart" uri="{C3380CC4-5D6E-409C-BE32-E72D297353CC}">
                <c16:uniqueId val="{0000027B-6872-472D-9A84-FEF7CBB6FA24}"/>
              </c:ext>
            </c:extLst>
          </c:dPt>
          <c:dPt>
            <c:idx val="222"/>
            <c:invertIfNegative val="0"/>
            <c:bubble3D val="0"/>
            <c:extLst>
              <c:ext xmlns:c16="http://schemas.microsoft.com/office/drawing/2014/chart" uri="{C3380CC4-5D6E-409C-BE32-E72D297353CC}">
                <c16:uniqueId val="{0000027C-6872-472D-9A84-FEF7CBB6FA24}"/>
              </c:ext>
            </c:extLst>
          </c:dPt>
          <c:dPt>
            <c:idx val="223"/>
            <c:invertIfNegative val="0"/>
            <c:bubble3D val="0"/>
            <c:extLst>
              <c:ext xmlns:c16="http://schemas.microsoft.com/office/drawing/2014/chart" uri="{C3380CC4-5D6E-409C-BE32-E72D297353CC}">
                <c16:uniqueId val="{0000027D-6872-472D-9A84-FEF7CBB6FA24}"/>
              </c:ext>
            </c:extLst>
          </c:dPt>
          <c:dPt>
            <c:idx val="224"/>
            <c:invertIfNegative val="0"/>
            <c:bubble3D val="0"/>
            <c:extLst>
              <c:ext xmlns:c16="http://schemas.microsoft.com/office/drawing/2014/chart" uri="{C3380CC4-5D6E-409C-BE32-E72D297353CC}">
                <c16:uniqueId val="{0000027E-6872-472D-9A84-FEF7CBB6FA24}"/>
              </c:ext>
            </c:extLst>
          </c:dPt>
          <c:dPt>
            <c:idx val="225"/>
            <c:invertIfNegative val="0"/>
            <c:bubble3D val="0"/>
            <c:extLst>
              <c:ext xmlns:c16="http://schemas.microsoft.com/office/drawing/2014/chart" uri="{C3380CC4-5D6E-409C-BE32-E72D297353CC}">
                <c16:uniqueId val="{0000027F-6872-472D-9A84-FEF7CBB6FA24}"/>
              </c:ext>
            </c:extLst>
          </c:dPt>
          <c:dPt>
            <c:idx val="226"/>
            <c:invertIfNegative val="0"/>
            <c:bubble3D val="0"/>
            <c:extLst>
              <c:ext xmlns:c16="http://schemas.microsoft.com/office/drawing/2014/chart" uri="{C3380CC4-5D6E-409C-BE32-E72D297353CC}">
                <c16:uniqueId val="{00000280-6872-472D-9A84-FEF7CBB6FA24}"/>
              </c:ext>
            </c:extLst>
          </c:dPt>
          <c:dPt>
            <c:idx val="227"/>
            <c:invertIfNegative val="0"/>
            <c:bubble3D val="0"/>
            <c:extLst>
              <c:ext xmlns:c16="http://schemas.microsoft.com/office/drawing/2014/chart" uri="{C3380CC4-5D6E-409C-BE32-E72D297353CC}">
                <c16:uniqueId val="{00000281-6872-472D-9A84-FEF7CBB6FA24}"/>
              </c:ext>
            </c:extLst>
          </c:dPt>
          <c:dPt>
            <c:idx val="228"/>
            <c:invertIfNegative val="0"/>
            <c:bubble3D val="0"/>
            <c:extLst>
              <c:ext xmlns:c16="http://schemas.microsoft.com/office/drawing/2014/chart" uri="{C3380CC4-5D6E-409C-BE32-E72D297353CC}">
                <c16:uniqueId val="{00000282-6872-472D-9A84-FEF7CBB6FA24}"/>
              </c:ext>
            </c:extLst>
          </c:dPt>
          <c:dPt>
            <c:idx val="229"/>
            <c:invertIfNegative val="0"/>
            <c:bubble3D val="0"/>
            <c:extLst>
              <c:ext xmlns:c16="http://schemas.microsoft.com/office/drawing/2014/chart" uri="{C3380CC4-5D6E-409C-BE32-E72D297353CC}">
                <c16:uniqueId val="{00000283-6872-472D-9A84-FEF7CBB6FA24}"/>
              </c:ext>
            </c:extLst>
          </c:dPt>
          <c:dPt>
            <c:idx val="230"/>
            <c:invertIfNegative val="0"/>
            <c:bubble3D val="0"/>
            <c:extLst>
              <c:ext xmlns:c16="http://schemas.microsoft.com/office/drawing/2014/chart" uri="{C3380CC4-5D6E-409C-BE32-E72D297353CC}">
                <c16:uniqueId val="{00000284-6872-472D-9A84-FEF7CBB6FA24}"/>
              </c:ext>
            </c:extLst>
          </c:dPt>
          <c:dPt>
            <c:idx val="231"/>
            <c:invertIfNegative val="0"/>
            <c:bubble3D val="0"/>
            <c:extLst>
              <c:ext xmlns:c16="http://schemas.microsoft.com/office/drawing/2014/chart" uri="{C3380CC4-5D6E-409C-BE32-E72D297353CC}">
                <c16:uniqueId val="{00000285-6872-472D-9A84-FEF7CBB6FA24}"/>
              </c:ext>
            </c:extLst>
          </c:dPt>
          <c:dPt>
            <c:idx val="232"/>
            <c:invertIfNegative val="0"/>
            <c:bubble3D val="0"/>
            <c:extLst>
              <c:ext xmlns:c16="http://schemas.microsoft.com/office/drawing/2014/chart" uri="{C3380CC4-5D6E-409C-BE32-E72D297353CC}">
                <c16:uniqueId val="{00000286-6872-472D-9A84-FEF7CBB6FA24}"/>
              </c:ext>
            </c:extLst>
          </c:dPt>
          <c:dPt>
            <c:idx val="233"/>
            <c:invertIfNegative val="0"/>
            <c:bubble3D val="0"/>
            <c:extLst>
              <c:ext xmlns:c16="http://schemas.microsoft.com/office/drawing/2014/chart" uri="{C3380CC4-5D6E-409C-BE32-E72D297353CC}">
                <c16:uniqueId val="{00000287-6872-472D-9A84-FEF7CBB6FA24}"/>
              </c:ext>
            </c:extLst>
          </c:dPt>
          <c:dPt>
            <c:idx val="234"/>
            <c:invertIfNegative val="0"/>
            <c:bubble3D val="0"/>
            <c:extLst>
              <c:ext xmlns:c16="http://schemas.microsoft.com/office/drawing/2014/chart" uri="{C3380CC4-5D6E-409C-BE32-E72D297353CC}">
                <c16:uniqueId val="{00000288-6872-472D-9A84-FEF7CBB6FA24}"/>
              </c:ext>
            </c:extLst>
          </c:dPt>
          <c:dPt>
            <c:idx val="235"/>
            <c:invertIfNegative val="0"/>
            <c:bubble3D val="0"/>
            <c:extLst>
              <c:ext xmlns:c16="http://schemas.microsoft.com/office/drawing/2014/chart" uri="{C3380CC4-5D6E-409C-BE32-E72D297353CC}">
                <c16:uniqueId val="{00000289-6872-472D-9A84-FEF7CBB6FA24}"/>
              </c:ext>
            </c:extLst>
          </c:dPt>
          <c:dPt>
            <c:idx val="236"/>
            <c:invertIfNegative val="0"/>
            <c:bubble3D val="0"/>
            <c:extLst>
              <c:ext xmlns:c16="http://schemas.microsoft.com/office/drawing/2014/chart" uri="{C3380CC4-5D6E-409C-BE32-E72D297353CC}">
                <c16:uniqueId val="{0000028A-6872-472D-9A84-FEF7CBB6FA24}"/>
              </c:ext>
            </c:extLst>
          </c:dPt>
          <c:dPt>
            <c:idx val="237"/>
            <c:invertIfNegative val="0"/>
            <c:bubble3D val="0"/>
            <c:extLst>
              <c:ext xmlns:c16="http://schemas.microsoft.com/office/drawing/2014/chart" uri="{C3380CC4-5D6E-409C-BE32-E72D297353CC}">
                <c16:uniqueId val="{0000028B-6872-472D-9A84-FEF7CBB6FA24}"/>
              </c:ext>
            </c:extLst>
          </c:dPt>
          <c:dPt>
            <c:idx val="238"/>
            <c:invertIfNegative val="0"/>
            <c:bubble3D val="0"/>
            <c:extLst>
              <c:ext xmlns:c16="http://schemas.microsoft.com/office/drawing/2014/chart" uri="{C3380CC4-5D6E-409C-BE32-E72D297353CC}">
                <c16:uniqueId val="{0000028C-6872-472D-9A84-FEF7CBB6FA24}"/>
              </c:ext>
            </c:extLst>
          </c:dPt>
          <c:dPt>
            <c:idx val="239"/>
            <c:invertIfNegative val="0"/>
            <c:bubble3D val="0"/>
            <c:extLst>
              <c:ext xmlns:c16="http://schemas.microsoft.com/office/drawing/2014/chart" uri="{C3380CC4-5D6E-409C-BE32-E72D297353CC}">
                <c16:uniqueId val="{0000028D-6872-472D-9A84-FEF7CBB6FA24}"/>
              </c:ext>
            </c:extLst>
          </c:dPt>
          <c:dPt>
            <c:idx val="240"/>
            <c:invertIfNegative val="0"/>
            <c:bubble3D val="0"/>
            <c:extLst>
              <c:ext xmlns:c16="http://schemas.microsoft.com/office/drawing/2014/chart" uri="{C3380CC4-5D6E-409C-BE32-E72D297353CC}">
                <c16:uniqueId val="{0000028E-6872-472D-9A84-FEF7CBB6FA24}"/>
              </c:ext>
            </c:extLst>
          </c:dPt>
          <c:dPt>
            <c:idx val="241"/>
            <c:invertIfNegative val="0"/>
            <c:bubble3D val="0"/>
            <c:extLst>
              <c:ext xmlns:c16="http://schemas.microsoft.com/office/drawing/2014/chart" uri="{C3380CC4-5D6E-409C-BE32-E72D297353CC}">
                <c16:uniqueId val="{0000028F-6872-472D-9A84-FEF7CBB6FA24}"/>
              </c:ext>
            </c:extLst>
          </c:dPt>
          <c:dPt>
            <c:idx val="242"/>
            <c:invertIfNegative val="0"/>
            <c:bubble3D val="0"/>
            <c:extLst>
              <c:ext xmlns:c16="http://schemas.microsoft.com/office/drawing/2014/chart" uri="{C3380CC4-5D6E-409C-BE32-E72D297353CC}">
                <c16:uniqueId val="{00000290-6872-472D-9A84-FEF7CBB6FA24}"/>
              </c:ext>
            </c:extLst>
          </c:dPt>
          <c:dPt>
            <c:idx val="243"/>
            <c:invertIfNegative val="0"/>
            <c:bubble3D val="0"/>
            <c:extLst>
              <c:ext xmlns:c16="http://schemas.microsoft.com/office/drawing/2014/chart" uri="{C3380CC4-5D6E-409C-BE32-E72D297353CC}">
                <c16:uniqueId val="{00000291-6872-472D-9A84-FEF7CBB6FA24}"/>
              </c:ext>
            </c:extLst>
          </c:dPt>
          <c:dPt>
            <c:idx val="244"/>
            <c:invertIfNegative val="0"/>
            <c:bubble3D val="0"/>
            <c:extLst>
              <c:ext xmlns:c16="http://schemas.microsoft.com/office/drawing/2014/chart" uri="{C3380CC4-5D6E-409C-BE32-E72D297353CC}">
                <c16:uniqueId val="{00000292-6872-472D-9A84-FEF7CBB6FA24}"/>
              </c:ext>
            </c:extLst>
          </c:dPt>
          <c:dPt>
            <c:idx val="245"/>
            <c:invertIfNegative val="0"/>
            <c:bubble3D val="0"/>
            <c:extLst>
              <c:ext xmlns:c16="http://schemas.microsoft.com/office/drawing/2014/chart" uri="{C3380CC4-5D6E-409C-BE32-E72D297353CC}">
                <c16:uniqueId val="{00000293-6872-472D-9A84-FEF7CBB6FA24}"/>
              </c:ext>
            </c:extLst>
          </c:dPt>
          <c:dPt>
            <c:idx val="246"/>
            <c:invertIfNegative val="0"/>
            <c:bubble3D val="0"/>
            <c:extLst>
              <c:ext xmlns:c16="http://schemas.microsoft.com/office/drawing/2014/chart" uri="{C3380CC4-5D6E-409C-BE32-E72D297353CC}">
                <c16:uniqueId val="{00000294-6872-472D-9A84-FEF7CBB6FA24}"/>
              </c:ext>
            </c:extLst>
          </c:dPt>
          <c:dPt>
            <c:idx val="247"/>
            <c:invertIfNegative val="0"/>
            <c:bubble3D val="0"/>
            <c:extLst>
              <c:ext xmlns:c16="http://schemas.microsoft.com/office/drawing/2014/chart" uri="{C3380CC4-5D6E-409C-BE32-E72D297353CC}">
                <c16:uniqueId val="{00000295-6872-472D-9A84-FEF7CBB6FA24}"/>
              </c:ext>
            </c:extLst>
          </c:dPt>
          <c:dPt>
            <c:idx val="248"/>
            <c:invertIfNegative val="0"/>
            <c:bubble3D val="0"/>
            <c:extLst>
              <c:ext xmlns:c16="http://schemas.microsoft.com/office/drawing/2014/chart" uri="{C3380CC4-5D6E-409C-BE32-E72D297353CC}">
                <c16:uniqueId val="{00000296-6872-472D-9A84-FEF7CBB6FA24}"/>
              </c:ext>
            </c:extLst>
          </c:dPt>
          <c:dPt>
            <c:idx val="249"/>
            <c:invertIfNegative val="0"/>
            <c:bubble3D val="0"/>
            <c:extLst>
              <c:ext xmlns:c16="http://schemas.microsoft.com/office/drawing/2014/chart" uri="{C3380CC4-5D6E-409C-BE32-E72D297353CC}">
                <c16:uniqueId val="{00000297-6872-472D-9A84-FEF7CBB6FA24}"/>
              </c:ext>
            </c:extLst>
          </c:dPt>
          <c:dPt>
            <c:idx val="250"/>
            <c:invertIfNegative val="0"/>
            <c:bubble3D val="0"/>
            <c:extLst>
              <c:ext xmlns:c16="http://schemas.microsoft.com/office/drawing/2014/chart" uri="{C3380CC4-5D6E-409C-BE32-E72D297353CC}">
                <c16:uniqueId val="{00000298-6872-472D-9A84-FEF7CBB6FA24}"/>
              </c:ext>
            </c:extLst>
          </c:dPt>
          <c:dPt>
            <c:idx val="251"/>
            <c:invertIfNegative val="0"/>
            <c:bubble3D val="0"/>
            <c:extLst>
              <c:ext xmlns:c16="http://schemas.microsoft.com/office/drawing/2014/chart" uri="{C3380CC4-5D6E-409C-BE32-E72D297353CC}">
                <c16:uniqueId val="{00000299-6872-472D-9A84-FEF7CBB6FA24}"/>
              </c:ext>
            </c:extLst>
          </c:dPt>
          <c:dPt>
            <c:idx val="252"/>
            <c:invertIfNegative val="0"/>
            <c:bubble3D val="0"/>
            <c:extLst>
              <c:ext xmlns:c16="http://schemas.microsoft.com/office/drawing/2014/chart" uri="{C3380CC4-5D6E-409C-BE32-E72D297353CC}">
                <c16:uniqueId val="{0000029A-6872-472D-9A84-FEF7CBB6FA24}"/>
              </c:ext>
            </c:extLst>
          </c:dPt>
          <c:dPt>
            <c:idx val="253"/>
            <c:invertIfNegative val="0"/>
            <c:bubble3D val="0"/>
            <c:extLst>
              <c:ext xmlns:c16="http://schemas.microsoft.com/office/drawing/2014/chart" uri="{C3380CC4-5D6E-409C-BE32-E72D297353CC}">
                <c16:uniqueId val="{0000029B-6872-472D-9A84-FEF7CBB6FA24}"/>
              </c:ext>
            </c:extLst>
          </c:dPt>
          <c:dPt>
            <c:idx val="254"/>
            <c:invertIfNegative val="0"/>
            <c:bubble3D val="0"/>
            <c:extLst>
              <c:ext xmlns:c16="http://schemas.microsoft.com/office/drawing/2014/chart" uri="{C3380CC4-5D6E-409C-BE32-E72D297353CC}">
                <c16:uniqueId val="{0000029C-6872-472D-9A84-FEF7CBB6FA24}"/>
              </c:ext>
            </c:extLst>
          </c:dPt>
          <c:dPt>
            <c:idx val="255"/>
            <c:invertIfNegative val="0"/>
            <c:bubble3D val="0"/>
            <c:extLst>
              <c:ext xmlns:c16="http://schemas.microsoft.com/office/drawing/2014/chart" uri="{C3380CC4-5D6E-409C-BE32-E72D297353CC}">
                <c16:uniqueId val="{0000029D-6872-472D-9A84-FEF7CBB6FA24}"/>
              </c:ext>
            </c:extLst>
          </c:dPt>
          <c:dPt>
            <c:idx val="256"/>
            <c:invertIfNegative val="0"/>
            <c:bubble3D val="0"/>
            <c:extLst>
              <c:ext xmlns:c16="http://schemas.microsoft.com/office/drawing/2014/chart" uri="{C3380CC4-5D6E-409C-BE32-E72D297353CC}">
                <c16:uniqueId val="{0000029E-6872-472D-9A84-FEF7CBB6FA24}"/>
              </c:ext>
            </c:extLst>
          </c:dPt>
          <c:dPt>
            <c:idx val="257"/>
            <c:invertIfNegative val="0"/>
            <c:bubble3D val="0"/>
            <c:extLst>
              <c:ext xmlns:c16="http://schemas.microsoft.com/office/drawing/2014/chart" uri="{C3380CC4-5D6E-409C-BE32-E72D297353CC}">
                <c16:uniqueId val="{0000029F-6872-472D-9A84-FEF7CBB6FA24}"/>
              </c:ext>
            </c:extLst>
          </c:dPt>
          <c:dPt>
            <c:idx val="258"/>
            <c:invertIfNegative val="0"/>
            <c:bubble3D val="0"/>
            <c:extLst>
              <c:ext xmlns:c16="http://schemas.microsoft.com/office/drawing/2014/chart" uri="{C3380CC4-5D6E-409C-BE32-E72D297353CC}">
                <c16:uniqueId val="{000002A0-6872-472D-9A84-FEF7CBB6FA24}"/>
              </c:ext>
            </c:extLst>
          </c:dPt>
          <c:dPt>
            <c:idx val="259"/>
            <c:invertIfNegative val="0"/>
            <c:bubble3D val="0"/>
            <c:extLst>
              <c:ext xmlns:c16="http://schemas.microsoft.com/office/drawing/2014/chart" uri="{C3380CC4-5D6E-409C-BE32-E72D297353CC}">
                <c16:uniqueId val="{000002A1-6872-472D-9A84-FEF7CBB6FA24}"/>
              </c:ext>
            </c:extLst>
          </c:dPt>
          <c:dPt>
            <c:idx val="260"/>
            <c:invertIfNegative val="0"/>
            <c:bubble3D val="0"/>
            <c:extLst>
              <c:ext xmlns:c16="http://schemas.microsoft.com/office/drawing/2014/chart" uri="{C3380CC4-5D6E-409C-BE32-E72D297353CC}">
                <c16:uniqueId val="{000002A2-6872-472D-9A84-FEF7CBB6FA24}"/>
              </c:ext>
            </c:extLst>
          </c:dPt>
          <c:dPt>
            <c:idx val="261"/>
            <c:invertIfNegative val="0"/>
            <c:bubble3D val="0"/>
            <c:extLst>
              <c:ext xmlns:c16="http://schemas.microsoft.com/office/drawing/2014/chart" uri="{C3380CC4-5D6E-409C-BE32-E72D297353CC}">
                <c16:uniqueId val="{000002A3-6872-472D-9A84-FEF7CBB6FA24}"/>
              </c:ext>
            </c:extLst>
          </c:dPt>
          <c:dPt>
            <c:idx val="262"/>
            <c:invertIfNegative val="0"/>
            <c:bubble3D val="0"/>
            <c:extLst>
              <c:ext xmlns:c16="http://schemas.microsoft.com/office/drawing/2014/chart" uri="{C3380CC4-5D6E-409C-BE32-E72D297353CC}">
                <c16:uniqueId val="{000002A4-6872-472D-9A84-FEF7CBB6FA24}"/>
              </c:ext>
            </c:extLst>
          </c:dPt>
          <c:dPt>
            <c:idx val="263"/>
            <c:invertIfNegative val="0"/>
            <c:bubble3D val="0"/>
            <c:extLst>
              <c:ext xmlns:c16="http://schemas.microsoft.com/office/drawing/2014/chart" uri="{C3380CC4-5D6E-409C-BE32-E72D297353CC}">
                <c16:uniqueId val="{000002A5-6872-472D-9A84-FEF7CBB6FA24}"/>
              </c:ext>
            </c:extLst>
          </c:dPt>
          <c:dPt>
            <c:idx val="264"/>
            <c:invertIfNegative val="0"/>
            <c:bubble3D val="0"/>
            <c:extLst>
              <c:ext xmlns:c16="http://schemas.microsoft.com/office/drawing/2014/chart" uri="{C3380CC4-5D6E-409C-BE32-E72D297353CC}">
                <c16:uniqueId val="{000002A6-6872-472D-9A84-FEF7CBB6FA24}"/>
              </c:ext>
            </c:extLst>
          </c:dPt>
          <c:dPt>
            <c:idx val="265"/>
            <c:invertIfNegative val="0"/>
            <c:bubble3D val="0"/>
            <c:extLst>
              <c:ext xmlns:c16="http://schemas.microsoft.com/office/drawing/2014/chart" uri="{C3380CC4-5D6E-409C-BE32-E72D297353CC}">
                <c16:uniqueId val="{000002A7-6872-472D-9A84-FEF7CBB6FA24}"/>
              </c:ext>
            </c:extLst>
          </c:dPt>
          <c:dPt>
            <c:idx val="266"/>
            <c:invertIfNegative val="0"/>
            <c:bubble3D val="0"/>
            <c:extLst>
              <c:ext xmlns:c16="http://schemas.microsoft.com/office/drawing/2014/chart" uri="{C3380CC4-5D6E-409C-BE32-E72D297353CC}">
                <c16:uniqueId val="{000002A8-6872-472D-9A84-FEF7CBB6FA24}"/>
              </c:ext>
            </c:extLst>
          </c:dPt>
          <c:dPt>
            <c:idx val="267"/>
            <c:invertIfNegative val="0"/>
            <c:bubble3D val="0"/>
            <c:extLst>
              <c:ext xmlns:c16="http://schemas.microsoft.com/office/drawing/2014/chart" uri="{C3380CC4-5D6E-409C-BE32-E72D297353CC}">
                <c16:uniqueId val="{000002A9-6872-472D-9A84-FEF7CBB6FA24}"/>
              </c:ext>
            </c:extLst>
          </c:dPt>
          <c:dPt>
            <c:idx val="268"/>
            <c:invertIfNegative val="0"/>
            <c:bubble3D val="0"/>
            <c:extLst>
              <c:ext xmlns:c16="http://schemas.microsoft.com/office/drawing/2014/chart" uri="{C3380CC4-5D6E-409C-BE32-E72D297353CC}">
                <c16:uniqueId val="{000002AA-6872-472D-9A84-FEF7CBB6FA24}"/>
              </c:ext>
            </c:extLst>
          </c:dPt>
          <c:dPt>
            <c:idx val="269"/>
            <c:invertIfNegative val="0"/>
            <c:bubble3D val="0"/>
            <c:extLst>
              <c:ext xmlns:c16="http://schemas.microsoft.com/office/drawing/2014/chart" uri="{C3380CC4-5D6E-409C-BE32-E72D297353CC}">
                <c16:uniqueId val="{000002AB-6872-472D-9A84-FEF7CBB6FA24}"/>
              </c:ext>
            </c:extLst>
          </c:dPt>
          <c:dPt>
            <c:idx val="270"/>
            <c:invertIfNegative val="0"/>
            <c:bubble3D val="0"/>
            <c:extLst>
              <c:ext xmlns:c16="http://schemas.microsoft.com/office/drawing/2014/chart" uri="{C3380CC4-5D6E-409C-BE32-E72D297353CC}">
                <c16:uniqueId val="{000002AC-6872-472D-9A84-FEF7CBB6FA24}"/>
              </c:ext>
            </c:extLst>
          </c:dPt>
          <c:dPt>
            <c:idx val="271"/>
            <c:invertIfNegative val="0"/>
            <c:bubble3D val="0"/>
            <c:extLst>
              <c:ext xmlns:c16="http://schemas.microsoft.com/office/drawing/2014/chart" uri="{C3380CC4-5D6E-409C-BE32-E72D297353CC}">
                <c16:uniqueId val="{000002AD-6872-472D-9A84-FEF7CBB6FA24}"/>
              </c:ext>
            </c:extLst>
          </c:dPt>
          <c:dPt>
            <c:idx val="272"/>
            <c:invertIfNegative val="0"/>
            <c:bubble3D val="0"/>
            <c:extLst>
              <c:ext xmlns:c16="http://schemas.microsoft.com/office/drawing/2014/chart" uri="{C3380CC4-5D6E-409C-BE32-E72D297353CC}">
                <c16:uniqueId val="{000002AE-6872-472D-9A84-FEF7CBB6FA24}"/>
              </c:ext>
            </c:extLst>
          </c:dPt>
          <c:dPt>
            <c:idx val="273"/>
            <c:invertIfNegative val="0"/>
            <c:bubble3D val="0"/>
            <c:extLst>
              <c:ext xmlns:c16="http://schemas.microsoft.com/office/drawing/2014/chart" uri="{C3380CC4-5D6E-409C-BE32-E72D297353CC}">
                <c16:uniqueId val="{000002AF-6872-472D-9A84-FEF7CBB6FA24}"/>
              </c:ext>
            </c:extLst>
          </c:dPt>
          <c:dPt>
            <c:idx val="274"/>
            <c:invertIfNegative val="0"/>
            <c:bubble3D val="0"/>
            <c:extLst>
              <c:ext xmlns:c16="http://schemas.microsoft.com/office/drawing/2014/chart" uri="{C3380CC4-5D6E-409C-BE32-E72D297353CC}">
                <c16:uniqueId val="{000002B0-6872-472D-9A84-FEF7CBB6FA24}"/>
              </c:ext>
            </c:extLst>
          </c:dPt>
          <c:dPt>
            <c:idx val="275"/>
            <c:invertIfNegative val="0"/>
            <c:bubble3D val="0"/>
            <c:extLst>
              <c:ext xmlns:c16="http://schemas.microsoft.com/office/drawing/2014/chart" uri="{C3380CC4-5D6E-409C-BE32-E72D297353CC}">
                <c16:uniqueId val="{000002B1-6872-472D-9A84-FEF7CBB6FA24}"/>
              </c:ext>
            </c:extLst>
          </c:dPt>
          <c:dPt>
            <c:idx val="276"/>
            <c:invertIfNegative val="0"/>
            <c:bubble3D val="0"/>
            <c:extLst>
              <c:ext xmlns:c16="http://schemas.microsoft.com/office/drawing/2014/chart" uri="{C3380CC4-5D6E-409C-BE32-E72D297353CC}">
                <c16:uniqueId val="{000002B2-6872-472D-9A84-FEF7CBB6FA24}"/>
              </c:ext>
            </c:extLst>
          </c:dPt>
          <c:dPt>
            <c:idx val="277"/>
            <c:invertIfNegative val="0"/>
            <c:bubble3D val="0"/>
            <c:extLst>
              <c:ext xmlns:c16="http://schemas.microsoft.com/office/drawing/2014/chart" uri="{C3380CC4-5D6E-409C-BE32-E72D297353CC}">
                <c16:uniqueId val="{000002B3-6872-472D-9A84-FEF7CBB6FA24}"/>
              </c:ext>
            </c:extLst>
          </c:dPt>
          <c:dPt>
            <c:idx val="278"/>
            <c:invertIfNegative val="0"/>
            <c:bubble3D val="0"/>
            <c:extLst>
              <c:ext xmlns:c16="http://schemas.microsoft.com/office/drawing/2014/chart" uri="{C3380CC4-5D6E-409C-BE32-E72D297353CC}">
                <c16:uniqueId val="{000002B4-6872-472D-9A84-FEF7CBB6FA24}"/>
              </c:ext>
            </c:extLst>
          </c:dPt>
          <c:dPt>
            <c:idx val="279"/>
            <c:invertIfNegative val="0"/>
            <c:bubble3D val="0"/>
            <c:extLst>
              <c:ext xmlns:c16="http://schemas.microsoft.com/office/drawing/2014/chart" uri="{C3380CC4-5D6E-409C-BE32-E72D297353CC}">
                <c16:uniqueId val="{000002B5-6872-472D-9A84-FEF7CBB6FA24}"/>
              </c:ext>
            </c:extLst>
          </c:dPt>
          <c:dPt>
            <c:idx val="280"/>
            <c:invertIfNegative val="0"/>
            <c:bubble3D val="0"/>
            <c:extLst>
              <c:ext xmlns:c16="http://schemas.microsoft.com/office/drawing/2014/chart" uri="{C3380CC4-5D6E-409C-BE32-E72D297353CC}">
                <c16:uniqueId val="{000002B6-6872-472D-9A84-FEF7CBB6FA24}"/>
              </c:ext>
            </c:extLst>
          </c:dPt>
          <c:dPt>
            <c:idx val="281"/>
            <c:invertIfNegative val="0"/>
            <c:bubble3D val="0"/>
            <c:extLst>
              <c:ext xmlns:c16="http://schemas.microsoft.com/office/drawing/2014/chart" uri="{C3380CC4-5D6E-409C-BE32-E72D297353CC}">
                <c16:uniqueId val="{000002B7-6872-472D-9A84-FEF7CBB6FA24}"/>
              </c:ext>
            </c:extLst>
          </c:dPt>
          <c:dPt>
            <c:idx val="282"/>
            <c:invertIfNegative val="0"/>
            <c:bubble3D val="0"/>
            <c:extLst>
              <c:ext xmlns:c16="http://schemas.microsoft.com/office/drawing/2014/chart" uri="{C3380CC4-5D6E-409C-BE32-E72D297353CC}">
                <c16:uniqueId val="{000002B8-6872-472D-9A84-FEF7CBB6FA24}"/>
              </c:ext>
            </c:extLst>
          </c:dPt>
          <c:dPt>
            <c:idx val="283"/>
            <c:invertIfNegative val="0"/>
            <c:bubble3D val="0"/>
            <c:extLst>
              <c:ext xmlns:c16="http://schemas.microsoft.com/office/drawing/2014/chart" uri="{C3380CC4-5D6E-409C-BE32-E72D297353CC}">
                <c16:uniqueId val="{000002B9-6872-472D-9A84-FEF7CBB6FA24}"/>
              </c:ext>
            </c:extLst>
          </c:dPt>
          <c:dPt>
            <c:idx val="284"/>
            <c:invertIfNegative val="0"/>
            <c:bubble3D val="0"/>
            <c:extLst>
              <c:ext xmlns:c16="http://schemas.microsoft.com/office/drawing/2014/chart" uri="{C3380CC4-5D6E-409C-BE32-E72D297353CC}">
                <c16:uniqueId val="{000002BA-6872-472D-9A84-FEF7CBB6FA24}"/>
              </c:ext>
            </c:extLst>
          </c:dPt>
          <c:dPt>
            <c:idx val="285"/>
            <c:invertIfNegative val="0"/>
            <c:bubble3D val="0"/>
            <c:extLst>
              <c:ext xmlns:c16="http://schemas.microsoft.com/office/drawing/2014/chart" uri="{C3380CC4-5D6E-409C-BE32-E72D297353CC}">
                <c16:uniqueId val="{000002BB-6872-472D-9A84-FEF7CBB6FA24}"/>
              </c:ext>
            </c:extLst>
          </c:dPt>
          <c:dPt>
            <c:idx val="286"/>
            <c:invertIfNegative val="0"/>
            <c:bubble3D val="0"/>
            <c:extLst>
              <c:ext xmlns:c16="http://schemas.microsoft.com/office/drawing/2014/chart" uri="{C3380CC4-5D6E-409C-BE32-E72D297353CC}">
                <c16:uniqueId val="{000002BC-6872-472D-9A84-FEF7CBB6FA24}"/>
              </c:ext>
            </c:extLst>
          </c:dPt>
          <c:dPt>
            <c:idx val="287"/>
            <c:invertIfNegative val="0"/>
            <c:bubble3D val="0"/>
            <c:extLst>
              <c:ext xmlns:c16="http://schemas.microsoft.com/office/drawing/2014/chart" uri="{C3380CC4-5D6E-409C-BE32-E72D297353CC}">
                <c16:uniqueId val="{000002BD-6872-472D-9A84-FEF7CBB6FA24}"/>
              </c:ext>
            </c:extLst>
          </c:dPt>
          <c:dPt>
            <c:idx val="288"/>
            <c:invertIfNegative val="0"/>
            <c:bubble3D val="0"/>
            <c:extLst>
              <c:ext xmlns:c16="http://schemas.microsoft.com/office/drawing/2014/chart" uri="{C3380CC4-5D6E-409C-BE32-E72D297353CC}">
                <c16:uniqueId val="{000002BE-6872-472D-9A84-FEF7CBB6FA24}"/>
              </c:ext>
            </c:extLst>
          </c:dPt>
          <c:dPt>
            <c:idx val="289"/>
            <c:invertIfNegative val="0"/>
            <c:bubble3D val="0"/>
            <c:extLst>
              <c:ext xmlns:c16="http://schemas.microsoft.com/office/drawing/2014/chart" uri="{C3380CC4-5D6E-409C-BE32-E72D297353CC}">
                <c16:uniqueId val="{000002BF-6872-472D-9A84-FEF7CBB6FA24}"/>
              </c:ext>
            </c:extLst>
          </c:dPt>
          <c:dPt>
            <c:idx val="290"/>
            <c:invertIfNegative val="0"/>
            <c:bubble3D val="0"/>
            <c:extLst>
              <c:ext xmlns:c16="http://schemas.microsoft.com/office/drawing/2014/chart" uri="{C3380CC4-5D6E-409C-BE32-E72D297353CC}">
                <c16:uniqueId val="{000002C0-6872-472D-9A84-FEF7CBB6FA24}"/>
              </c:ext>
            </c:extLst>
          </c:dPt>
          <c:dPt>
            <c:idx val="291"/>
            <c:invertIfNegative val="0"/>
            <c:bubble3D val="0"/>
            <c:extLst>
              <c:ext xmlns:c16="http://schemas.microsoft.com/office/drawing/2014/chart" uri="{C3380CC4-5D6E-409C-BE32-E72D297353CC}">
                <c16:uniqueId val="{000002C1-6872-472D-9A84-FEF7CBB6FA24}"/>
              </c:ext>
            </c:extLst>
          </c:dPt>
          <c:dPt>
            <c:idx val="292"/>
            <c:invertIfNegative val="0"/>
            <c:bubble3D val="0"/>
            <c:extLst>
              <c:ext xmlns:c16="http://schemas.microsoft.com/office/drawing/2014/chart" uri="{C3380CC4-5D6E-409C-BE32-E72D297353CC}">
                <c16:uniqueId val="{000002C2-6872-472D-9A84-FEF7CBB6FA24}"/>
              </c:ext>
            </c:extLst>
          </c:dPt>
          <c:dPt>
            <c:idx val="293"/>
            <c:invertIfNegative val="0"/>
            <c:bubble3D val="0"/>
            <c:extLst>
              <c:ext xmlns:c16="http://schemas.microsoft.com/office/drawing/2014/chart" uri="{C3380CC4-5D6E-409C-BE32-E72D297353CC}">
                <c16:uniqueId val="{000002C3-6872-472D-9A84-FEF7CBB6FA24}"/>
              </c:ext>
            </c:extLst>
          </c:dPt>
          <c:dPt>
            <c:idx val="294"/>
            <c:invertIfNegative val="0"/>
            <c:bubble3D val="0"/>
            <c:extLst>
              <c:ext xmlns:c16="http://schemas.microsoft.com/office/drawing/2014/chart" uri="{C3380CC4-5D6E-409C-BE32-E72D297353CC}">
                <c16:uniqueId val="{000002C4-6872-472D-9A84-FEF7CBB6FA24}"/>
              </c:ext>
            </c:extLst>
          </c:dPt>
          <c:dPt>
            <c:idx val="295"/>
            <c:invertIfNegative val="0"/>
            <c:bubble3D val="0"/>
            <c:extLst>
              <c:ext xmlns:c16="http://schemas.microsoft.com/office/drawing/2014/chart" uri="{C3380CC4-5D6E-409C-BE32-E72D297353CC}">
                <c16:uniqueId val="{000002C5-6872-472D-9A84-FEF7CBB6FA24}"/>
              </c:ext>
            </c:extLst>
          </c:dPt>
          <c:dPt>
            <c:idx val="296"/>
            <c:invertIfNegative val="0"/>
            <c:bubble3D val="0"/>
            <c:extLst>
              <c:ext xmlns:c16="http://schemas.microsoft.com/office/drawing/2014/chart" uri="{C3380CC4-5D6E-409C-BE32-E72D297353CC}">
                <c16:uniqueId val="{000002C6-6872-472D-9A84-FEF7CBB6FA24}"/>
              </c:ext>
            </c:extLst>
          </c:dPt>
          <c:dPt>
            <c:idx val="297"/>
            <c:invertIfNegative val="0"/>
            <c:bubble3D val="0"/>
            <c:extLst>
              <c:ext xmlns:c16="http://schemas.microsoft.com/office/drawing/2014/chart" uri="{C3380CC4-5D6E-409C-BE32-E72D297353CC}">
                <c16:uniqueId val="{000002C7-6872-472D-9A84-FEF7CBB6FA24}"/>
              </c:ext>
            </c:extLst>
          </c:dPt>
          <c:dPt>
            <c:idx val="298"/>
            <c:invertIfNegative val="0"/>
            <c:bubble3D val="0"/>
            <c:extLst>
              <c:ext xmlns:c16="http://schemas.microsoft.com/office/drawing/2014/chart" uri="{C3380CC4-5D6E-409C-BE32-E72D297353CC}">
                <c16:uniqueId val="{000002C8-6872-472D-9A84-FEF7CBB6FA24}"/>
              </c:ext>
            </c:extLst>
          </c:dPt>
          <c:dPt>
            <c:idx val="299"/>
            <c:invertIfNegative val="0"/>
            <c:bubble3D val="0"/>
            <c:extLst>
              <c:ext xmlns:c16="http://schemas.microsoft.com/office/drawing/2014/chart" uri="{C3380CC4-5D6E-409C-BE32-E72D297353CC}">
                <c16:uniqueId val="{000002C9-6872-472D-9A84-FEF7CBB6FA24}"/>
              </c:ext>
            </c:extLst>
          </c:dPt>
          <c:dPt>
            <c:idx val="300"/>
            <c:invertIfNegative val="0"/>
            <c:bubble3D val="0"/>
            <c:extLst>
              <c:ext xmlns:c16="http://schemas.microsoft.com/office/drawing/2014/chart" uri="{C3380CC4-5D6E-409C-BE32-E72D297353CC}">
                <c16:uniqueId val="{000002CA-6872-472D-9A84-FEF7CBB6FA24}"/>
              </c:ext>
            </c:extLst>
          </c:dPt>
          <c:dPt>
            <c:idx val="301"/>
            <c:invertIfNegative val="0"/>
            <c:bubble3D val="0"/>
            <c:extLst>
              <c:ext xmlns:c16="http://schemas.microsoft.com/office/drawing/2014/chart" uri="{C3380CC4-5D6E-409C-BE32-E72D297353CC}">
                <c16:uniqueId val="{000002CB-6872-472D-9A84-FEF7CBB6FA24}"/>
              </c:ext>
            </c:extLst>
          </c:dPt>
          <c:dPt>
            <c:idx val="302"/>
            <c:invertIfNegative val="0"/>
            <c:bubble3D val="0"/>
            <c:extLst>
              <c:ext xmlns:c16="http://schemas.microsoft.com/office/drawing/2014/chart" uri="{C3380CC4-5D6E-409C-BE32-E72D297353CC}">
                <c16:uniqueId val="{000002CC-6872-472D-9A84-FEF7CBB6FA24}"/>
              </c:ext>
            </c:extLst>
          </c:dPt>
          <c:dPt>
            <c:idx val="303"/>
            <c:invertIfNegative val="0"/>
            <c:bubble3D val="0"/>
            <c:extLst>
              <c:ext xmlns:c16="http://schemas.microsoft.com/office/drawing/2014/chart" uri="{C3380CC4-5D6E-409C-BE32-E72D297353CC}">
                <c16:uniqueId val="{000002CD-6872-472D-9A84-FEF7CBB6FA24}"/>
              </c:ext>
            </c:extLst>
          </c:dPt>
          <c:dPt>
            <c:idx val="304"/>
            <c:invertIfNegative val="0"/>
            <c:bubble3D val="0"/>
            <c:extLst>
              <c:ext xmlns:c16="http://schemas.microsoft.com/office/drawing/2014/chart" uri="{C3380CC4-5D6E-409C-BE32-E72D297353CC}">
                <c16:uniqueId val="{000002CE-6872-472D-9A84-FEF7CBB6FA24}"/>
              </c:ext>
            </c:extLst>
          </c:dPt>
          <c:dPt>
            <c:idx val="305"/>
            <c:invertIfNegative val="0"/>
            <c:bubble3D val="0"/>
            <c:extLst>
              <c:ext xmlns:c16="http://schemas.microsoft.com/office/drawing/2014/chart" uri="{C3380CC4-5D6E-409C-BE32-E72D297353CC}">
                <c16:uniqueId val="{000002CF-6872-472D-9A84-FEF7CBB6FA24}"/>
              </c:ext>
            </c:extLst>
          </c:dPt>
          <c:dPt>
            <c:idx val="306"/>
            <c:invertIfNegative val="0"/>
            <c:bubble3D val="0"/>
            <c:extLst>
              <c:ext xmlns:c16="http://schemas.microsoft.com/office/drawing/2014/chart" uri="{C3380CC4-5D6E-409C-BE32-E72D297353CC}">
                <c16:uniqueId val="{000002D0-6872-472D-9A84-FEF7CBB6FA24}"/>
              </c:ext>
            </c:extLst>
          </c:dPt>
          <c:dPt>
            <c:idx val="307"/>
            <c:invertIfNegative val="0"/>
            <c:bubble3D val="0"/>
            <c:extLst>
              <c:ext xmlns:c16="http://schemas.microsoft.com/office/drawing/2014/chart" uri="{C3380CC4-5D6E-409C-BE32-E72D297353CC}">
                <c16:uniqueId val="{000002D1-6872-472D-9A84-FEF7CBB6FA24}"/>
              </c:ext>
            </c:extLst>
          </c:dPt>
          <c:dPt>
            <c:idx val="308"/>
            <c:invertIfNegative val="0"/>
            <c:bubble3D val="0"/>
            <c:extLst>
              <c:ext xmlns:c16="http://schemas.microsoft.com/office/drawing/2014/chart" uri="{C3380CC4-5D6E-409C-BE32-E72D297353CC}">
                <c16:uniqueId val="{000002D2-6872-472D-9A84-FEF7CBB6FA24}"/>
              </c:ext>
            </c:extLst>
          </c:dPt>
          <c:dPt>
            <c:idx val="309"/>
            <c:invertIfNegative val="0"/>
            <c:bubble3D val="0"/>
            <c:extLst>
              <c:ext xmlns:c16="http://schemas.microsoft.com/office/drawing/2014/chart" uri="{C3380CC4-5D6E-409C-BE32-E72D297353CC}">
                <c16:uniqueId val="{000002D3-6872-472D-9A84-FEF7CBB6FA24}"/>
              </c:ext>
            </c:extLst>
          </c:dPt>
          <c:dPt>
            <c:idx val="310"/>
            <c:invertIfNegative val="0"/>
            <c:bubble3D val="0"/>
            <c:extLst>
              <c:ext xmlns:c16="http://schemas.microsoft.com/office/drawing/2014/chart" uri="{C3380CC4-5D6E-409C-BE32-E72D297353CC}">
                <c16:uniqueId val="{000002D4-6872-472D-9A84-FEF7CBB6FA24}"/>
              </c:ext>
            </c:extLst>
          </c:dPt>
          <c:dPt>
            <c:idx val="311"/>
            <c:invertIfNegative val="0"/>
            <c:bubble3D val="0"/>
            <c:extLst>
              <c:ext xmlns:c16="http://schemas.microsoft.com/office/drawing/2014/chart" uri="{C3380CC4-5D6E-409C-BE32-E72D297353CC}">
                <c16:uniqueId val="{000002D5-6872-472D-9A84-FEF7CBB6FA24}"/>
              </c:ext>
            </c:extLst>
          </c:dPt>
          <c:dPt>
            <c:idx val="312"/>
            <c:invertIfNegative val="0"/>
            <c:bubble3D val="0"/>
            <c:extLst>
              <c:ext xmlns:c16="http://schemas.microsoft.com/office/drawing/2014/chart" uri="{C3380CC4-5D6E-409C-BE32-E72D297353CC}">
                <c16:uniqueId val="{000002D6-6872-472D-9A84-FEF7CBB6FA24}"/>
              </c:ext>
            </c:extLst>
          </c:dPt>
          <c:dPt>
            <c:idx val="313"/>
            <c:invertIfNegative val="0"/>
            <c:bubble3D val="0"/>
            <c:extLst>
              <c:ext xmlns:c16="http://schemas.microsoft.com/office/drawing/2014/chart" uri="{C3380CC4-5D6E-409C-BE32-E72D297353CC}">
                <c16:uniqueId val="{000002D7-6872-472D-9A84-FEF7CBB6FA24}"/>
              </c:ext>
            </c:extLst>
          </c:dPt>
          <c:dPt>
            <c:idx val="314"/>
            <c:invertIfNegative val="0"/>
            <c:bubble3D val="0"/>
            <c:extLst>
              <c:ext xmlns:c16="http://schemas.microsoft.com/office/drawing/2014/chart" uri="{C3380CC4-5D6E-409C-BE32-E72D297353CC}">
                <c16:uniqueId val="{000002D8-6872-472D-9A84-FEF7CBB6FA24}"/>
              </c:ext>
            </c:extLst>
          </c:dPt>
          <c:dPt>
            <c:idx val="315"/>
            <c:invertIfNegative val="0"/>
            <c:bubble3D val="0"/>
            <c:extLst>
              <c:ext xmlns:c16="http://schemas.microsoft.com/office/drawing/2014/chart" uri="{C3380CC4-5D6E-409C-BE32-E72D297353CC}">
                <c16:uniqueId val="{000002D9-6872-472D-9A84-FEF7CBB6FA24}"/>
              </c:ext>
            </c:extLst>
          </c:dPt>
          <c:dPt>
            <c:idx val="316"/>
            <c:invertIfNegative val="0"/>
            <c:bubble3D val="0"/>
            <c:extLst>
              <c:ext xmlns:c16="http://schemas.microsoft.com/office/drawing/2014/chart" uri="{C3380CC4-5D6E-409C-BE32-E72D297353CC}">
                <c16:uniqueId val="{000002DA-6872-472D-9A84-FEF7CBB6FA24}"/>
              </c:ext>
            </c:extLst>
          </c:dPt>
          <c:dPt>
            <c:idx val="317"/>
            <c:invertIfNegative val="0"/>
            <c:bubble3D val="0"/>
            <c:extLst>
              <c:ext xmlns:c16="http://schemas.microsoft.com/office/drawing/2014/chart" uri="{C3380CC4-5D6E-409C-BE32-E72D297353CC}">
                <c16:uniqueId val="{000002DB-6872-472D-9A84-FEF7CBB6FA24}"/>
              </c:ext>
            </c:extLst>
          </c:dPt>
          <c:dPt>
            <c:idx val="318"/>
            <c:invertIfNegative val="0"/>
            <c:bubble3D val="0"/>
            <c:extLst>
              <c:ext xmlns:c16="http://schemas.microsoft.com/office/drawing/2014/chart" uri="{C3380CC4-5D6E-409C-BE32-E72D297353CC}">
                <c16:uniqueId val="{000002DC-6872-472D-9A84-FEF7CBB6FA24}"/>
              </c:ext>
            </c:extLst>
          </c:dPt>
          <c:dPt>
            <c:idx val="319"/>
            <c:invertIfNegative val="0"/>
            <c:bubble3D val="0"/>
            <c:extLst>
              <c:ext xmlns:c16="http://schemas.microsoft.com/office/drawing/2014/chart" uri="{C3380CC4-5D6E-409C-BE32-E72D297353CC}">
                <c16:uniqueId val="{000002DD-6872-472D-9A84-FEF7CBB6FA24}"/>
              </c:ext>
            </c:extLst>
          </c:dPt>
          <c:dPt>
            <c:idx val="320"/>
            <c:invertIfNegative val="0"/>
            <c:bubble3D val="0"/>
            <c:extLst>
              <c:ext xmlns:c16="http://schemas.microsoft.com/office/drawing/2014/chart" uri="{C3380CC4-5D6E-409C-BE32-E72D297353CC}">
                <c16:uniqueId val="{000002DE-6872-472D-9A84-FEF7CBB6FA24}"/>
              </c:ext>
            </c:extLst>
          </c:dPt>
          <c:dPt>
            <c:idx val="321"/>
            <c:invertIfNegative val="0"/>
            <c:bubble3D val="0"/>
            <c:extLst>
              <c:ext xmlns:c16="http://schemas.microsoft.com/office/drawing/2014/chart" uri="{C3380CC4-5D6E-409C-BE32-E72D297353CC}">
                <c16:uniqueId val="{000002DF-6872-472D-9A84-FEF7CBB6FA24}"/>
              </c:ext>
            </c:extLst>
          </c:dPt>
          <c:dPt>
            <c:idx val="322"/>
            <c:invertIfNegative val="0"/>
            <c:bubble3D val="0"/>
            <c:extLst>
              <c:ext xmlns:c16="http://schemas.microsoft.com/office/drawing/2014/chart" uri="{C3380CC4-5D6E-409C-BE32-E72D297353CC}">
                <c16:uniqueId val="{000002E0-6872-472D-9A84-FEF7CBB6FA24}"/>
              </c:ext>
            </c:extLst>
          </c:dPt>
          <c:dPt>
            <c:idx val="323"/>
            <c:invertIfNegative val="0"/>
            <c:bubble3D val="0"/>
            <c:extLst>
              <c:ext xmlns:c16="http://schemas.microsoft.com/office/drawing/2014/chart" uri="{C3380CC4-5D6E-409C-BE32-E72D297353CC}">
                <c16:uniqueId val="{000002E1-6872-472D-9A84-FEF7CBB6FA24}"/>
              </c:ext>
            </c:extLst>
          </c:dPt>
          <c:dPt>
            <c:idx val="324"/>
            <c:invertIfNegative val="0"/>
            <c:bubble3D val="0"/>
            <c:extLst>
              <c:ext xmlns:c16="http://schemas.microsoft.com/office/drawing/2014/chart" uri="{C3380CC4-5D6E-409C-BE32-E72D297353CC}">
                <c16:uniqueId val="{000002E2-6872-472D-9A84-FEF7CBB6FA24}"/>
              </c:ext>
            </c:extLst>
          </c:dPt>
          <c:dPt>
            <c:idx val="325"/>
            <c:invertIfNegative val="0"/>
            <c:bubble3D val="0"/>
            <c:extLst>
              <c:ext xmlns:c16="http://schemas.microsoft.com/office/drawing/2014/chart" uri="{C3380CC4-5D6E-409C-BE32-E72D297353CC}">
                <c16:uniqueId val="{000002E3-6872-472D-9A84-FEF7CBB6FA24}"/>
              </c:ext>
            </c:extLst>
          </c:dPt>
          <c:dPt>
            <c:idx val="326"/>
            <c:invertIfNegative val="0"/>
            <c:bubble3D val="0"/>
            <c:extLst>
              <c:ext xmlns:c16="http://schemas.microsoft.com/office/drawing/2014/chart" uri="{C3380CC4-5D6E-409C-BE32-E72D297353CC}">
                <c16:uniqueId val="{000002E4-6872-472D-9A84-FEF7CBB6FA24}"/>
              </c:ext>
            </c:extLst>
          </c:dPt>
          <c:dPt>
            <c:idx val="327"/>
            <c:invertIfNegative val="0"/>
            <c:bubble3D val="0"/>
            <c:extLst>
              <c:ext xmlns:c16="http://schemas.microsoft.com/office/drawing/2014/chart" uri="{C3380CC4-5D6E-409C-BE32-E72D297353CC}">
                <c16:uniqueId val="{000002E5-6872-472D-9A84-FEF7CBB6FA24}"/>
              </c:ext>
            </c:extLst>
          </c:dPt>
          <c:dPt>
            <c:idx val="328"/>
            <c:invertIfNegative val="0"/>
            <c:bubble3D val="0"/>
            <c:extLst>
              <c:ext xmlns:c16="http://schemas.microsoft.com/office/drawing/2014/chart" uri="{C3380CC4-5D6E-409C-BE32-E72D297353CC}">
                <c16:uniqueId val="{000002E6-6872-472D-9A84-FEF7CBB6FA24}"/>
              </c:ext>
            </c:extLst>
          </c:dPt>
          <c:dPt>
            <c:idx val="329"/>
            <c:invertIfNegative val="0"/>
            <c:bubble3D val="0"/>
            <c:extLst>
              <c:ext xmlns:c16="http://schemas.microsoft.com/office/drawing/2014/chart" uri="{C3380CC4-5D6E-409C-BE32-E72D297353CC}">
                <c16:uniqueId val="{000002E7-6872-472D-9A84-FEF7CBB6FA24}"/>
              </c:ext>
            </c:extLst>
          </c:dPt>
          <c:dPt>
            <c:idx val="330"/>
            <c:invertIfNegative val="0"/>
            <c:bubble3D val="0"/>
            <c:extLst>
              <c:ext xmlns:c16="http://schemas.microsoft.com/office/drawing/2014/chart" uri="{C3380CC4-5D6E-409C-BE32-E72D297353CC}">
                <c16:uniqueId val="{000002E8-6872-472D-9A84-FEF7CBB6FA24}"/>
              </c:ext>
            </c:extLst>
          </c:dPt>
          <c:dPt>
            <c:idx val="331"/>
            <c:invertIfNegative val="0"/>
            <c:bubble3D val="0"/>
            <c:extLst>
              <c:ext xmlns:c16="http://schemas.microsoft.com/office/drawing/2014/chart" uri="{C3380CC4-5D6E-409C-BE32-E72D297353CC}">
                <c16:uniqueId val="{000002E9-6872-472D-9A84-FEF7CBB6FA24}"/>
              </c:ext>
            </c:extLst>
          </c:dPt>
          <c:dPt>
            <c:idx val="332"/>
            <c:invertIfNegative val="0"/>
            <c:bubble3D val="0"/>
            <c:extLst>
              <c:ext xmlns:c16="http://schemas.microsoft.com/office/drawing/2014/chart" uri="{C3380CC4-5D6E-409C-BE32-E72D297353CC}">
                <c16:uniqueId val="{000002EA-6872-472D-9A84-FEF7CBB6FA24}"/>
              </c:ext>
            </c:extLst>
          </c:dPt>
          <c:dPt>
            <c:idx val="333"/>
            <c:invertIfNegative val="0"/>
            <c:bubble3D val="0"/>
            <c:extLst>
              <c:ext xmlns:c16="http://schemas.microsoft.com/office/drawing/2014/chart" uri="{C3380CC4-5D6E-409C-BE32-E72D297353CC}">
                <c16:uniqueId val="{000002EB-6872-472D-9A84-FEF7CBB6FA24}"/>
              </c:ext>
            </c:extLst>
          </c:dPt>
          <c:dPt>
            <c:idx val="334"/>
            <c:invertIfNegative val="0"/>
            <c:bubble3D val="0"/>
            <c:extLst>
              <c:ext xmlns:c16="http://schemas.microsoft.com/office/drawing/2014/chart" uri="{C3380CC4-5D6E-409C-BE32-E72D297353CC}">
                <c16:uniqueId val="{000002EC-6872-472D-9A84-FEF7CBB6FA24}"/>
              </c:ext>
            </c:extLst>
          </c:dPt>
          <c:dPt>
            <c:idx val="335"/>
            <c:invertIfNegative val="0"/>
            <c:bubble3D val="0"/>
            <c:extLst>
              <c:ext xmlns:c16="http://schemas.microsoft.com/office/drawing/2014/chart" uri="{C3380CC4-5D6E-409C-BE32-E72D297353CC}">
                <c16:uniqueId val="{000002ED-6872-472D-9A84-FEF7CBB6FA24}"/>
              </c:ext>
            </c:extLst>
          </c:dPt>
          <c:dPt>
            <c:idx val="336"/>
            <c:invertIfNegative val="0"/>
            <c:bubble3D val="0"/>
            <c:extLst>
              <c:ext xmlns:c16="http://schemas.microsoft.com/office/drawing/2014/chart" uri="{C3380CC4-5D6E-409C-BE32-E72D297353CC}">
                <c16:uniqueId val="{000002EE-6872-472D-9A84-FEF7CBB6FA24}"/>
              </c:ext>
            </c:extLst>
          </c:dPt>
          <c:dPt>
            <c:idx val="337"/>
            <c:invertIfNegative val="0"/>
            <c:bubble3D val="0"/>
            <c:extLst>
              <c:ext xmlns:c16="http://schemas.microsoft.com/office/drawing/2014/chart" uri="{C3380CC4-5D6E-409C-BE32-E72D297353CC}">
                <c16:uniqueId val="{000002EF-6872-472D-9A84-FEF7CBB6FA24}"/>
              </c:ext>
            </c:extLst>
          </c:dPt>
          <c:dPt>
            <c:idx val="338"/>
            <c:invertIfNegative val="0"/>
            <c:bubble3D val="0"/>
            <c:extLst>
              <c:ext xmlns:c16="http://schemas.microsoft.com/office/drawing/2014/chart" uri="{C3380CC4-5D6E-409C-BE32-E72D297353CC}">
                <c16:uniqueId val="{000002F0-6872-472D-9A84-FEF7CBB6FA24}"/>
              </c:ext>
            </c:extLst>
          </c:dPt>
          <c:dPt>
            <c:idx val="339"/>
            <c:invertIfNegative val="0"/>
            <c:bubble3D val="0"/>
            <c:extLst>
              <c:ext xmlns:c16="http://schemas.microsoft.com/office/drawing/2014/chart" uri="{C3380CC4-5D6E-409C-BE32-E72D297353CC}">
                <c16:uniqueId val="{000002F1-6872-472D-9A84-FEF7CBB6FA24}"/>
              </c:ext>
            </c:extLst>
          </c:dPt>
          <c:dPt>
            <c:idx val="340"/>
            <c:invertIfNegative val="0"/>
            <c:bubble3D val="0"/>
            <c:extLst>
              <c:ext xmlns:c16="http://schemas.microsoft.com/office/drawing/2014/chart" uri="{C3380CC4-5D6E-409C-BE32-E72D297353CC}">
                <c16:uniqueId val="{000002F2-6872-472D-9A84-FEF7CBB6FA24}"/>
              </c:ext>
            </c:extLst>
          </c:dPt>
          <c:dPt>
            <c:idx val="341"/>
            <c:invertIfNegative val="0"/>
            <c:bubble3D val="0"/>
            <c:extLst>
              <c:ext xmlns:c16="http://schemas.microsoft.com/office/drawing/2014/chart" uri="{C3380CC4-5D6E-409C-BE32-E72D297353CC}">
                <c16:uniqueId val="{000002F3-6872-472D-9A84-FEF7CBB6FA24}"/>
              </c:ext>
            </c:extLst>
          </c:dPt>
          <c:dPt>
            <c:idx val="342"/>
            <c:invertIfNegative val="0"/>
            <c:bubble3D val="0"/>
            <c:extLst>
              <c:ext xmlns:c16="http://schemas.microsoft.com/office/drawing/2014/chart" uri="{C3380CC4-5D6E-409C-BE32-E72D297353CC}">
                <c16:uniqueId val="{000002F4-6872-472D-9A84-FEF7CBB6FA24}"/>
              </c:ext>
            </c:extLst>
          </c:dPt>
          <c:dPt>
            <c:idx val="343"/>
            <c:invertIfNegative val="0"/>
            <c:bubble3D val="0"/>
            <c:extLst>
              <c:ext xmlns:c16="http://schemas.microsoft.com/office/drawing/2014/chart" uri="{C3380CC4-5D6E-409C-BE32-E72D297353CC}">
                <c16:uniqueId val="{000002F5-6872-472D-9A84-FEF7CBB6FA24}"/>
              </c:ext>
            </c:extLst>
          </c:dPt>
          <c:dPt>
            <c:idx val="344"/>
            <c:invertIfNegative val="0"/>
            <c:bubble3D val="0"/>
            <c:extLst>
              <c:ext xmlns:c16="http://schemas.microsoft.com/office/drawing/2014/chart" uri="{C3380CC4-5D6E-409C-BE32-E72D297353CC}">
                <c16:uniqueId val="{000002F6-6872-472D-9A84-FEF7CBB6FA24}"/>
              </c:ext>
            </c:extLst>
          </c:dPt>
          <c:dPt>
            <c:idx val="345"/>
            <c:invertIfNegative val="0"/>
            <c:bubble3D val="0"/>
            <c:extLst>
              <c:ext xmlns:c16="http://schemas.microsoft.com/office/drawing/2014/chart" uri="{C3380CC4-5D6E-409C-BE32-E72D297353CC}">
                <c16:uniqueId val="{000002F7-6872-472D-9A84-FEF7CBB6FA24}"/>
              </c:ext>
            </c:extLst>
          </c:dPt>
          <c:dPt>
            <c:idx val="346"/>
            <c:invertIfNegative val="0"/>
            <c:bubble3D val="0"/>
            <c:extLst>
              <c:ext xmlns:c16="http://schemas.microsoft.com/office/drawing/2014/chart" uri="{C3380CC4-5D6E-409C-BE32-E72D297353CC}">
                <c16:uniqueId val="{000002F8-6872-472D-9A84-FEF7CBB6FA24}"/>
              </c:ext>
            </c:extLst>
          </c:dPt>
          <c:dPt>
            <c:idx val="347"/>
            <c:invertIfNegative val="0"/>
            <c:bubble3D val="0"/>
            <c:extLst>
              <c:ext xmlns:c16="http://schemas.microsoft.com/office/drawing/2014/chart" uri="{C3380CC4-5D6E-409C-BE32-E72D297353CC}">
                <c16:uniqueId val="{000002F9-6872-472D-9A84-FEF7CBB6FA24}"/>
              </c:ext>
            </c:extLst>
          </c:dPt>
          <c:dPt>
            <c:idx val="348"/>
            <c:invertIfNegative val="0"/>
            <c:bubble3D val="0"/>
            <c:extLst>
              <c:ext xmlns:c16="http://schemas.microsoft.com/office/drawing/2014/chart" uri="{C3380CC4-5D6E-409C-BE32-E72D297353CC}">
                <c16:uniqueId val="{000002FA-6872-472D-9A84-FEF7CBB6FA24}"/>
              </c:ext>
            </c:extLst>
          </c:dPt>
          <c:dPt>
            <c:idx val="349"/>
            <c:invertIfNegative val="0"/>
            <c:bubble3D val="0"/>
            <c:extLst>
              <c:ext xmlns:c16="http://schemas.microsoft.com/office/drawing/2014/chart" uri="{C3380CC4-5D6E-409C-BE32-E72D297353CC}">
                <c16:uniqueId val="{000002FB-6872-472D-9A84-FEF7CBB6FA24}"/>
              </c:ext>
            </c:extLst>
          </c:dPt>
          <c:dPt>
            <c:idx val="350"/>
            <c:invertIfNegative val="0"/>
            <c:bubble3D val="0"/>
            <c:extLst>
              <c:ext xmlns:c16="http://schemas.microsoft.com/office/drawing/2014/chart" uri="{C3380CC4-5D6E-409C-BE32-E72D297353CC}">
                <c16:uniqueId val="{000002FC-6872-472D-9A84-FEF7CBB6FA24}"/>
              </c:ext>
            </c:extLst>
          </c:dPt>
          <c:dPt>
            <c:idx val="351"/>
            <c:invertIfNegative val="0"/>
            <c:bubble3D val="0"/>
            <c:extLst>
              <c:ext xmlns:c16="http://schemas.microsoft.com/office/drawing/2014/chart" uri="{C3380CC4-5D6E-409C-BE32-E72D297353CC}">
                <c16:uniqueId val="{000002FD-6872-472D-9A84-FEF7CBB6FA24}"/>
              </c:ext>
            </c:extLst>
          </c:dPt>
          <c:dPt>
            <c:idx val="352"/>
            <c:invertIfNegative val="0"/>
            <c:bubble3D val="0"/>
            <c:extLst>
              <c:ext xmlns:c16="http://schemas.microsoft.com/office/drawing/2014/chart" uri="{C3380CC4-5D6E-409C-BE32-E72D297353CC}">
                <c16:uniqueId val="{000002FE-6872-472D-9A84-FEF7CBB6FA24}"/>
              </c:ext>
            </c:extLst>
          </c:dPt>
          <c:dPt>
            <c:idx val="353"/>
            <c:invertIfNegative val="0"/>
            <c:bubble3D val="0"/>
            <c:extLst>
              <c:ext xmlns:c16="http://schemas.microsoft.com/office/drawing/2014/chart" uri="{C3380CC4-5D6E-409C-BE32-E72D297353CC}">
                <c16:uniqueId val="{000002FF-6872-472D-9A84-FEF7CBB6FA24}"/>
              </c:ext>
            </c:extLst>
          </c:dPt>
          <c:dPt>
            <c:idx val="354"/>
            <c:invertIfNegative val="0"/>
            <c:bubble3D val="0"/>
            <c:extLst>
              <c:ext xmlns:c16="http://schemas.microsoft.com/office/drawing/2014/chart" uri="{C3380CC4-5D6E-409C-BE32-E72D297353CC}">
                <c16:uniqueId val="{00000300-6872-472D-9A84-FEF7CBB6FA24}"/>
              </c:ext>
            </c:extLst>
          </c:dPt>
          <c:dPt>
            <c:idx val="355"/>
            <c:invertIfNegative val="0"/>
            <c:bubble3D val="0"/>
            <c:extLst>
              <c:ext xmlns:c16="http://schemas.microsoft.com/office/drawing/2014/chart" uri="{C3380CC4-5D6E-409C-BE32-E72D297353CC}">
                <c16:uniqueId val="{00000301-6872-472D-9A84-FEF7CBB6FA24}"/>
              </c:ext>
            </c:extLst>
          </c:dPt>
          <c:dPt>
            <c:idx val="356"/>
            <c:invertIfNegative val="0"/>
            <c:bubble3D val="0"/>
            <c:extLst>
              <c:ext xmlns:c16="http://schemas.microsoft.com/office/drawing/2014/chart" uri="{C3380CC4-5D6E-409C-BE32-E72D297353CC}">
                <c16:uniqueId val="{00000302-6872-472D-9A84-FEF7CBB6FA24}"/>
              </c:ext>
            </c:extLst>
          </c:dPt>
          <c:dPt>
            <c:idx val="357"/>
            <c:invertIfNegative val="0"/>
            <c:bubble3D val="0"/>
            <c:extLst>
              <c:ext xmlns:c16="http://schemas.microsoft.com/office/drawing/2014/chart" uri="{C3380CC4-5D6E-409C-BE32-E72D297353CC}">
                <c16:uniqueId val="{00000303-6872-472D-9A84-FEF7CBB6FA24}"/>
              </c:ext>
            </c:extLst>
          </c:dPt>
          <c:dPt>
            <c:idx val="358"/>
            <c:invertIfNegative val="0"/>
            <c:bubble3D val="0"/>
            <c:extLst>
              <c:ext xmlns:c16="http://schemas.microsoft.com/office/drawing/2014/chart" uri="{C3380CC4-5D6E-409C-BE32-E72D297353CC}">
                <c16:uniqueId val="{00000304-6872-472D-9A84-FEF7CBB6FA24}"/>
              </c:ext>
            </c:extLst>
          </c:dPt>
          <c:dPt>
            <c:idx val="359"/>
            <c:invertIfNegative val="0"/>
            <c:bubble3D val="0"/>
            <c:extLst>
              <c:ext xmlns:c16="http://schemas.microsoft.com/office/drawing/2014/chart" uri="{C3380CC4-5D6E-409C-BE32-E72D297353CC}">
                <c16:uniqueId val="{00000305-6872-472D-9A84-FEF7CBB6FA24}"/>
              </c:ext>
            </c:extLst>
          </c:dPt>
          <c:dPt>
            <c:idx val="360"/>
            <c:invertIfNegative val="0"/>
            <c:bubble3D val="0"/>
            <c:extLst>
              <c:ext xmlns:c16="http://schemas.microsoft.com/office/drawing/2014/chart" uri="{C3380CC4-5D6E-409C-BE32-E72D297353CC}">
                <c16:uniqueId val="{00000306-6872-472D-9A84-FEF7CBB6FA24}"/>
              </c:ext>
            </c:extLst>
          </c:dPt>
          <c:dPt>
            <c:idx val="361"/>
            <c:invertIfNegative val="0"/>
            <c:bubble3D val="0"/>
            <c:extLst>
              <c:ext xmlns:c16="http://schemas.microsoft.com/office/drawing/2014/chart" uri="{C3380CC4-5D6E-409C-BE32-E72D297353CC}">
                <c16:uniqueId val="{00000307-6872-472D-9A84-FEF7CBB6FA24}"/>
              </c:ext>
            </c:extLst>
          </c:dPt>
          <c:dPt>
            <c:idx val="362"/>
            <c:invertIfNegative val="0"/>
            <c:bubble3D val="0"/>
            <c:extLst>
              <c:ext xmlns:c16="http://schemas.microsoft.com/office/drawing/2014/chart" uri="{C3380CC4-5D6E-409C-BE32-E72D297353CC}">
                <c16:uniqueId val="{00000308-6872-472D-9A84-FEF7CBB6FA24}"/>
              </c:ext>
            </c:extLst>
          </c:dPt>
          <c:dPt>
            <c:idx val="363"/>
            <c:invertIfNegative val="0"/>
            <c:bubble3D val="0"/>
            <c:extLst>
              <c:ext xmlns:c16="http://schemas.microsoft.com/office/drawing/2014/chart" uri="{C3380CC4-5D6E-409C-BE32-E72D297353CC}">
                <c16:uniqueId val="{00000309-6872-472D-9A84-FEF7CBB6FA24}"/>
              </c:ext>
            </c:extLst>
          </c:dPt>
          <c:dPt>
            <c:idx val="364"/>
            <c:invertIfNegative val="0"/>
            <c:bubble3D val="0"/>
            <c:extLst>
              <c:ext xmlns:c16="http://schemas.microsoft.com/office/drawing/2014/chart" uri="{C3380CC4-5D6E-409C-BE32-E72D297353CC}">
                <c16:uniqueId val="{0000030A-6872-472D-9A84-FEF7CBB6FA24}"/>
              </c:ext>
            </c:extLst>
          </c:dPt>
          <c:dPt>
            <c:idx val="365"/>
            <c:invertIfNegative val="0"/>
            <c:bubble3D val="0"/>
            <c:extLst>
              <c:ext xmlns:c16="http://schemas.microsoft.com/office/drawing/2014/chart" uri="{C3380CC4-5D6E-409C-BE32-E72D297353CC}">
                <c16:uniqueId val="{0000030B-6872-472D-9A84-FEF7CBB6FA24}"/>
              </c:ext>
            </c:extLst>
          </c:dPt>
          <c:dPt>
            <c:idx val="366"/>
            <c:invertIfNegative val="0"/>
            <c:bubble3D val="0"/>
            <c:extLst>
              <c:ext xmlns:c16="http://schemas.microsoft.com/office/drawing/2014/chart" uri="{C3380CC4-5D6E-409C-BE32-E72D297353CC}">
                <c16:uniqueId val="{0000030C-6872-472D-9A84-FEF7CBB6FA24}"/>
              </c:ext>
            </c:extLst>
          </c:dPt>
          <c:dPt>
            <c:idx val="367"/>
            <c:invertIfNegative val="0"/>
            <c:bubble3D val="0"/>
            <c:extLst>
              <c:ext xmlns:c16="http://schemas.microsoft.com/office/drawing/2014/chart" uri="{C3380CC4-5D6E-409C-BE32-E72D297353CC}">
                <c16:uniqueId val="{0000030D-6872-472D-9A84-FEF7CBB6FA24}"/>
              </c:ext>
            </c:extLst>
          </c:dPt>
          <c:dPt>
            <c:idx val="368"/>
            <c:invertIfNegative val="0"/>
            <c:bubble3D val="0"/>
            <c:extLst>
              <c:ext xmlns:c16="http://schemas.microsoft.com/office/drawing/2014/chart" uri="{C3380CC4-5D6E-409C-BE32-E72D297353CC}">
                <c16:uniqueId val="{0000030E-6872-472D-9A84-FEF7CBB6FA24}"/>
              </c:ext>
            </c:extLst>
          </c:dPt>
          <c:dPt>
            <c:idx val="369"/>
            <c:invertIfNegative val="0"/>
            <c:bubble3D val="0"/>
            <c:extLst>
              <c:ext xmlns:c16="http://schemas.microsoft.com/office/drawing/2014/chart" uri="{C3380CC4-5D6E-409C-BE32-E72D297353CC}">
                <c16:uniqueId val="{0000030F-6872-472D-9A84-FEF7CBB6FA24}"/>
              </c:ext>
            </c:extLst>
          </c:dPt>
          <c:dPt>
            <c:idx val="370"/>
            <c:invertIfNegative val="0"/>
            <c:bubble3D val="0"/>
            <c:extLst>
              <c:ext xmlns:c16="http://schemas.microsoft.com/office/drawing/2014/chart" uri="{C3380CC4-5D6E-409C-BE32-E72D297353CC}">
                <c16:uniqueId val="{00000310-6872-472D-9A84-FEF7CBB6FA24}"/>
              </c:ext>
            </c:extLst>
          </c:dPt>
          <c:dPt>
            <c:idx val="371"/>
            <c:invertIfNegative val="0"/>
            <c:bubble3D val="0"/>
            <c:extLst>
              <c:ext xmlns:c16="http://schemas.microsoft.com/office/drawing/2014/chart" uri="{C3380CC4-5D6E-409C-BE32-E72D297353CC}">
                <c16:uniqueId val="{00000311-6872-472D-9A84-FEF7CBB6FA24}"/>
              </c:ext>
            </c:extLst>
          </c:dPt>
          <c:dPt>
            <c:idx val="372"/>
            <c:invertIfNegative val="0"/>
            <c:bubble3D val="0"/>
            <c:extLst>
              <c:ext xmlns:c16="http://schemas.microsoft.com/office/drawing/2014/chart" uri="{C3380CC4-5D6E-409C-BE32-E72D297353CC}">
                <c16:uniqueId val="{00000312-6872-472D-9A84-FEF7CBB6FA24}"/>
              </c:ext>
            </c:extLst>
          </c:dPt>
          <c:dPt>
            <c:idx val="373"/>
            <c:invertIfNegative val="0"/>
            <c:bubble3D val="0"/>
            <c:extLst>
              <c:ext xmlns:c16="http://schemas.microsoft.com/office/drawing/2014/chart" uri="{C3380CC4-5D6E-409C-BE32-E72D297353CC}">
                <c16:uniqueId val="{00000313-6872-472D-9A84-FEF7CBB6FA24}"/>
              </c:ext>
            </c:extLst>
          </c:dPt>
          <c:dPt>
            <c:idx val="374"/>
            <c:invertIfNegative val="0"/>
            <c:bubble3D val="0"/>
            <c:extLst>
              <c:ext xmlns:c16="http://schemas.microsoft.com/office/drawing/2014/chart" uri="{C3380CC4-5D6E-409C-BE32-E72D297353CC}">
                <c16:uniqueId val="{00000314-6872-472D-9A84-FEF7CBB6FA24}"/>
              </c:ext>
            </c:extLst>
          </c:dPt>
          <c:dPt>
            <c:idx val="375"/>
            <c:invertIfNegative val="0"/>
            <c:bubble3D val="0"/>
            <c:extLst>
              <c:ext xmlns:c16="http://schemas.microsoft.com/office/drawing/2014/chart" uri="{C3380CC4-5D6E-409C-BE32-E72D297353CC}">
                <c16:uniqueId val="{00000315-6872-472D-9A84-FEF7CBB6FA24}"/>
              </c:ext>
            </c:extLst>
          </c:dPt>
          <c:dPt>
            <c:idx val="376"/>
            <c:invertIfNegative val="0"/>
            <c:bubble3D val="0"/>
            <c:extLst>
              <c:ext xmlns:c16="http://schemas.microsoft.com/office/drawing/2014/chart" uri="{C3380CC4-5D6E-409C-BE32-E72D297353CC}">
                <c16:uniqueId val="{00000316-6872-472D-9A84-FEF7CBB6FA24}"/>
              </c:ext>
            </c:extLst>
          </c:dPt>
          <c:dPt>
            <c:idx val="377"/>
            <c:invertIfNegative val="0"/>
            <c:bubble3D val="0"/>
            <c:extLst>
              <c:ext xmlns:c16="http://schemas.microsoft.com/office/drawing/2014/chart" uri="{C3380CC4-5D6E-409C-BE32-E72D297353CC}">
                <c16:uniqueId val="{00000317-6872-472D-9A84-FEF7CBB6FA24}"/>
              </c:ext>
            </c:extLst>
          </c:dPt>
          <c:dPt>
            <c:idx val="378"/>
            <c:invertIfNegative val="0"/>
            <c:bubble3D val="0"/>
            <c:extLst>
              <c:ext xmlns:c16="http://schemas.microsoft.com/office/drawing/2014/chart" uri="{C3380CC4-5D6E-409C-BE32-E72D297353CC}">
                <c16:uniqueId val="{00000318-6872-472D-9A84-FEF7CBB6FA24}"/>
              </c:ext>
            </c:extLst>
          </c:dPt>
          <c:dPt>
            <c:idx val="379"/>
            <c:invertIfNegative val="0"/>
            <c:bubble3D val="0"/>
            <c:extLst>
              <c:ext xmlns:c16="http://schemas.microsoft.com/office/drawing/2014/chart" uri="{C3380CC4-5D6E-409C-BE32-E72D297353CC}">
                <c16:uniqueId val="{00000319-6872-472D-9A84-FEF7CBB6FA24}"/>
              </c:ext>
            </c:extLst>
          </c:dPt>
          <c:dPt>
            <c:idx val="380"/>
            <c:invertIfNegative val="0"/>
            <c:bubble3D val="0"/>
            <c:extLst>
              <c:ext xmlns:c16="http://schemas.microsoft.com/office/drawing/2014/chart" uri="{C3380CC4-5D6E-409C-BE32-E72D297353CC}">
                <c16:uniqueId val="{0000031A-6872-472D-9A84-FEF7CBB6FA24}"/>
              </c:ext>
            </c:extLst>
          </c:dPt>
          <c:dPt>
            <c:idx val="381"/>
            <c:invertIfNegative val="0"/>
            <c:bubble3D val="0"/>
            <c:extLst>
              <c:ext xmlns:c16="http://schemas.microsoft.com/office/drawing/2014/chart" uri="{C3380CC4-5D6E-409C-BE32-E72D297353CC}">
                <c16:uniqueId val="{0000031B-6872-472D-9A84-FEF7CBB6FA24}"/>
              </c:ext>
            </c:extLst>
          </c:dPt>
          <c:dPt>
            <c:idx val="382"/>
            <c:invertIfNegative val="0"/>
            <c:bubble3D val="0"/>
            <c:extLst>
              <c:ext xmlns:c16="http://schemas.microsoft.com/office/drawing/2014/chart" uri="{C3380CC4-5D6E-409C-BE32-E72D297353CC}">
                <c16:uniqueId val="{0000031C-6872-472D-9A84-FEF7CBB6FA24}"/>
              </c:ext>
            </c:extLst>
          </c:dPt>
          <c:dPt>
            <c:idx val="383"/>
            <c:invertIfNegative val="0"/>
            <c:bubble3D val="0"/>
            <c:extLst>
              <c:ext xmlns:c16="http://schemas.microsoft.com/office/drawing/2014/chart" uri="{C3380CC4-5D6E-409C-BE32-E72D297353CC}">
                <c16:uniqueId val="{0000031D-6872-472D-9A84-FEF7CBB6FA24}"/>
              </c:ext>
            </c:extLst>
          </c:dPt>
          <c:dPt>
            <c:idx val="384"/>
            <c:invertIfNegative val="0"/>
            <c:bubble3D val="0"/>
            <c:extLst>
              <c:ext xmlns:c16="http://schemas.microsoft.com/office/drawing/2014/chart" uri="{C3380CC4-5D6E-409C-BE32-E72D297353CC}">
                <c16:uniqueId val="{0000031E-6872-472D-9A84-FEF7CBB6FA24}"/>
              </c:ext>
            </c:extLst>
          </c:dPt>
          <c:dPt>
            <c:idx val="385"/>
            <c:invertIfNegative val="0"/>
            <c:bubble3D val="0"/>
            <c:extLst>
              <c:ext xmlns:c16="http://schemas.microsoft.com/office/drawing/2014/chart" uri="{C3380CC4-5D6E-409C-BE32-E72D297353CC}">
                <c16:uniqueId val="{0000031F-6872-472D-9A84-FEF7CBB6FA24}"/>
              </c:ext>
            </c:extLst>
          </c:dPt>
          <c:dPt>
            <c:idx val="386"/>
            <c:invertIfNegative val="0"/>
            <c:bubble3D val="0"/>
            <c:extLst>
              <c:ext xmlns:c16="http://schemas.microsoft.com/office/drawing/2014/chart" uri="{C3380CC4-5D6E-409C-BE32-E72D297353CC}">
                <c16:uniqueId val="{00000320-6872-472D-9A84-FEF7CBB6FA24}"/>
              </c:ext>
            </c:extLst>
          </c:dPt>
          <c:dPt>
            <c:idx val="387"/>
            <c:invertIfNegative val="0"/>
            <c:bubble3D val="0"/>
            <c:extLst>
              <c:ext xmlns:c16="http://schemas.microsoft.com/office/drawing/2014/chart" uri="{C3380CC4-5D6E-409C-BE32-E72D297353CC}">
                <c16:uniqueId val="{00000321-6872-472D-9A84-FEF7CBB6FA24}"/>
              </c:ext>
            </c:extLst>
          </c:dPt>
          <c:cat>
            <c:multiLvlStrRef>
              <c:f>pt.lvl3_generic_8!$B$8:$C$57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pt.lvl3_generic_8!$D$8:$D$57</c:f>
              <c:numCache>
                <c:formatCode>General</c:formatCode>
                <c:ptCount val="4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0.92879146503962406</c:v>
                </c:pt>
              </c:numCache>
            </c:numRef>
          </c:val>
          <c:extLst>
            <c:ext xmlns:c16="http://schemas.microsoft.com/office/drawing/2014/chart" uri="{C3380CC4-5D6E-409C-BE32-E72D297353CC}">
              <c16:uniqueId val="{00000052-8C86-48AA-B9EB-31B11C9BA865}"/>
            </c:ext>
          </c:extLst>
        </c:ser>
        <c:dLbls>
          <c:showLegendKey val="0"/>
          <c:showVal val="0"/>
          <c:showCatName val="0"/>
          <c:showSerName val="0"/>
          <c:showPercent val="0"/>
          <c:showBubbleSize val="0"/>
        </c:dLbls>
        <c:gapWidth val="200"/>
        <c:overlap val="-27"/>
        <c:axId val="449379976"/>
        <c:axId val="449380368"/>
      </c:barChart>
      <c:lineChart>
        <c:grouping val="standard"/>
        <c:varyColors val="0"/>
        <c:ser>
          <c:idx val="1"/>
          <c:order val="1"/>
          <c:tx>
            <c:strRef>
              <c:f>pt.lvl3_generic_8!$E$7</c:f>
              <c:strCache>
                <c:ptCount val="1"/>
                <c:pt idx="0">
                  <c:v>Average of Cíl %</c:v>
                </c:pt>
              </c:strCache>
            </c:strRef>
          </c:tx>
          <c:spPr>
            <a:ln w="28575" cap="rnd">
              <a:solidFill>
                <a:srgbClr val="000000"/>
              </a:solidFill>
              <a:round/>
            </a:ln>
            <a:effectLst/>
          </c:spPr>
          <c:marker>
            <c:symbol val="none"/>
          </c:marker>
          <c:cat>
            <c:multiLvlStrRef>
              <c:f>pt.lvl3_generic_8!$B$8:$C$57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pt.lvl3_generic_8!$E$8:$E$57</c:f>
              <c:numCache>
                <c:formatCode>General</c:formatCode>
                <c:ptCount val="4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0.79999999999999993</c:v>
                </c:pt>
              </c:numCache>
            </c:numRef>
          </c:val>
          <c:smooth val="0"/>
          <c:extLst>
            <c:ext xmlns:c16="http://schemas.microsoft.com/office/drawing/2014/chart" uri="{C3380CC4-5D6E-409C-BE32-E72D297353CC}">
              <c16:uniqueId val="{00000053-8C86-48AA-B9EB-31B11C9BA865}"/>
            </c:ext>
          </c:extLst>
        </c:ser>
        <c:ser>
          <c:idx val="2"/>
          <c:order val="2"/>
          <c:tx>
            <c:strRef>
              <c:f>pt.lvl3_generic_8!$F$7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8D67-48F2-9A4A-91E560A324D3}"/>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8D67-48F2-9A4A-91E560A324D3}"/>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8D67-48F2-9A4A-91E560A324D3}"/>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8D67-48F2-9A4A-91E560A324D3}"/>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8D67-48F2-9A4A-91E560A324D3}"/>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8D67-48F2-9A4A-91E560A324D3}"/>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8D67-48F2-9A4A-91E560A324D3}"/>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8D67-48F2-9A4A-91E560A324D3}"/>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8D67-48F2-9A4A-91E560A324D3}"/>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8D67-48F2-9A4A-91E560A324D3}"/>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8D67-48F2-9A4A-91E560A324D3}"/>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8D67-48F2-9A4A-91E560A324D3}"/>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8D67-48F2-9A4A-91E560A324D3}"/>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8D67-48F2-9A4A-91E560A324D3}"/>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8D67-48F2-9A4A-91E560A324D3}"/>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8D67-48F2-9A4A-91E560A324D3}"/>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8D67-48F2-9A4A-91E560A324D3}"/>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8D67-48F2-9A4A-91E560A324D3}"/>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8D67-48F2-9A4A-91E560A324D3}"/>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8D67-48F2-9A4A-91E560A324D3}"/>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8D67-48F2-9A4A-91E560A324D3}"/>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8D67-48F2-9A4A-91E560A324D3}"/>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CE6-4AE2-8F88-B166D356CFB0}"/>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CE6-4AE2-8F88-B166D356CFB0}"/>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CE6-4AE2-8F88-B166D356CFB0}"/>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CE6-4AE2-8F88-B166D356CFB0}"/>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CE6-4AE2-8F88-B166D356CFB0}"/>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CE6-4AE2-8F88-B166D356CFB0}"/>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CE6-4AE2-8F88-B166D356CFB0}"/>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CE6-4AE2-8F88-B166D356CFB0}"/>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CE6-4AE2-8F88-B166D356CFB0}"/>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CE6-4AE2-8F88-B166D356CFB0}"/>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CE6-4AE2-8F88-B166D356CFB0}"/>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CE6-4AE2-8F88-B166D356CFB0}"/>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A5F1-43AC-89B2-EEFA58F3DC38}"/>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A5F1-43AC-89B2-EEFA58F3DC38}"/>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A5F1-43AC-89B2-EEFA58F3DC38}"/>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A5F1-43AC-89B2-EEFA58F3DC38}"/>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A5F1-43AC-89B2-EEFA58F3DC38}"/>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A5F1-43AC-89B2-EEFA58F3DC38}"/>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A5F1-43AC-89B2-EEFA58F3DC38}"/>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A5F1-43AC-89B2-EEFA58F3DC38}"/>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A5F1-43AC-89B2-EEFA58F3DC38}"/>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A5F1-43AC-89B2-EEFA58F3DC38}"/>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A5F1-43AC-89B2-EEFA58F3DC38}"/>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A5F1-43AC-89B2-EEFA58F3DC38}"/>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68F-4F5B-A2E4-8BBDA690A7D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68F-4F5B-A2E4-8BBDA690A7D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68F-4F5B-A2E4-8BBDA690A7DE}"/>
              </c:ext>
            </c:extLst>
          </c:dPt>
          <c:dPt>
            <c:idx val="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8-868F-4F5B-A2E4-8BBDA690A7DE}"/>
              </c:ext>
            </c:extLst>
          </c:dPt>
          <c:dPt>
            <c:idx val="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9-868F-4F5B-A2E4-8BBDA690A7DE}"/>
              </c:ext>
            </c:extLst>
          </c:dPt>
          <c:dPt>
            <c:idx val="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A-868F-4F5B-A2E4-8BBDA690A7DE}"/>
              </c:ext>
            </c:extLst>
          </c:dPt>
          <c:dPt>
            <c:idx val="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B-868F-4F5B-A2E4-8BBDA690A7DE}"/>
              </c:ext>
            </c:extLst>
          </c:dPt>
          <c:dPt>
            <c:idx val="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868F-4F5B-A2E4-8BBDA690A7DE}"/>
              </c:ext>
            </c:extLst>
          </c:dPt>
          <c:dPt>
            <c:idx val="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868F-4F5B-A2E4-8BBDA690A7DE}"/>
              </c:ext>
            </c:extLst>
          </c:dPt>
          <c:dPt>
            <c:idx val="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868F-4F5B-A2E4-8BBDA690A7DE}"/>
              </c:ext>
            </c:extLst>
          </c:dPt>
          <c:dPt>
            <c:idx val="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868F-4F5B-A2E4-8BBDA690A7DE}"/>
              </c:ext>
            </c:extLst>
          </c:dPt>
          <c:dPt>
            <c:idx val="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868F-4F5B-A2E4-8BBDA690A7DE}"/>
              </c:ext>
            </c:extLst>
          </c:dPt>
          <c:dPt>
            <c:idx val="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868F-4F5B-A2E4-8BBDA690A7DE}"/>
              </c:ext>
            </c:extLst>
          </c:dPt>
          <c:dPt>
            <c:idx val="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868F-4F5B-A2E4-8BBDA690A7DE}"/>
              </c:ext>
            </c:extLst>
          </c:dPt>
          <c:dPt>
            <c:idx val="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868F-4F5B-A2E4-8BBDA690A7DE}"/>
              </c:ext>
            </c:extLst>
          </c:dPt>
          <c:dPt>
            <c:idx val="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868F-4F5B-A2E4-8BBDA690A7DE}"/>
              </c:ext>
            </c:extLst>
          </c:dPt>
          <c:dPt>
            <c:idx val="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6-868F-4F5B-A2E4-8BBDA690A7DE}"/>
              </c:ext>
            </c:extLst>
          </c:dPt>
          <c:dPt>
            <c:idx val="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7-868F-4F5B-A2E4-8BBDA690A7DE}"/>
              </c:ext>
            </c:extLst>
          </c:dPt>
          <c:dPt>
            <c:idx val="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8-868F-4F5B-A2E4-8BBDA690A7DE}"/>
              </c:ext>
            </c:extLst>
          </c:dPt>
          <c:dPt>
            <c:idx val="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9-868F-4F5B-A2E4-8BBDA690A7DE}"/>
              </c:ext>
            </c:extLst>
          </c:dPt>
          <c:dPt>
            <c:idx val="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A-868F-4F5B-A2E4-8BBDA690A7DE}"/>
              </c:ext>
            </c:extLst>
          </c:dPt>
          <c:dPt>
            <c:idx val="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B-868F-4F5B-A2E4-8BBDA690A7DE}"/>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C-868F-4F5B-A2E4-8BBDA690A7DE}"/>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D-868F-4F5B-A2E4-8BBDA690A7DE}"/>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E-868F-4F5B-A2E4-8BBDA690A7DE}"/>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F-868F-4F5B-A2E4-8BBDA690A7DE}"/>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0-868F-4F5B-A2E4-8BBDA690A7DE}"/>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1-868F-4F5B-A2E4-8BBDA690A7DE}"/>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868F-4F5B-A2E4-8BBDA690A7DE}"/>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868F-4F5B-A2E4-8BBDA690A7DE}"/>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868F-4F5B-A2E4-8BBDA690A7DE}"/>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C-868F-4F5B-A2E4-8BBDA690A7DE}"/>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D-868F-4F5B-A2E4-8BBDA690A7DE}"/>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A298-4638-A25D-1066BEAFD6D7}"/>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A298-4638-A25D-1066BEAFD6D7}"/>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A298-4638-A25D-1066BEAFD6D7}"/>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A298-4638-A25D-1066BEAFD6D7}"/>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A298-4638-A25D-1066BEAFD6D7}"/>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A298-4638-A25D-1066BEAFD6D7}"/>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A298-4638-A25D-1066BEAFD6D7}"/>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A298-4638-A25D-1066BEAFD6D7}"/>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A298-4638-A25D-1066BEAFD6D7}"/>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A298-4638-A25D-1066BEAFD6D7}"/>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A298-4638-A25D-1066BEAFD6D7}"/>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A298-4638-A25D-1066BEAFD6D7}"/>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A298-4638-A25D-1066BEAFD6D7}"/>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A298-4638-A25D-1066BEAFD6D7}"/>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A298-4638-A25D-1066BEAFD6D7}"/>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A298-4638-A25D-1066BEAFD6D7}"/>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A298-4638-A25D-1066BEAFD6D7}"/>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A298-4638-A25D-1066BEAFD6D7}"/>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A298-4638-A25D-1066BEAFD6D7}"/>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A298-4638-A25D-1066BEAFD6D7}"/>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A298-4638-A25D-1066BEAFD6D7}"/>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A298-4638-A25D-1066BEAFD6D7}"/>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A298-4638-A25D-1066BEAFD6D7}"/>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E-A298-4638-A25D-1066BEAFD6D7}"/>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A298-4638-A25D-1066BEAFD6D7}"/>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0-A298-4638-A25D-1066BEAFD6D7}"/>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1-A298-4638-A25D-1066BEAFD6D7}"/>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D-BCC8-4B5F-81D8-28B4333A7B3D}"/>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F-BCC8-4B5F-81D8-28B4333A7B3D}"/>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BCC8-4B5F-81D8-28B4333A7B3D}"/>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BCC8-4B5F-81D8-28B4333A7B3D}"/>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BCC8-4B5F-81D8-28B4333A7B3D}"/>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BCC8-4B5F-81D8-28B4333A7B3D}"/>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BCC8-4B5F-81D8-28B4333A7B3D}"/>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BCC8-4B5F-81D8-28B4333A7B3D}"/>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BCC8-4B5F-81D8-28B4333A7B3D}"/>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BCC8-4B5F-81D8-28B4333A7B3D}"/>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BCC8-4B5F-81D8-28B4333A7B3D}"/>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BCC8-4B5F-81D8-28B4333A7B3D}"/>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8-BCC8-4B5F-81D8-28B4333A7B3D}"/>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9-BCC8-4B5F-81D8-28B4333A7B3D}"/>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BCC8-4B5F-81D8-28B4333A7B3D}"/>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BCC8-4B5F-81D8-28B4333A7B3D}"/>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ECEE-402E-A864-E5ECE5D899F6}"/>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ECEE-402E-A864-E5ECE5D899F6}"/>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ECEE-402E-A864-E5ECE5D899F6}"/>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ECEE-402E-A864-E5ECE5D899F6}"/>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1-ECEE-402E-A864-E5ECE5D899F6}"/>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3-ECEE-402E-A864-E5ECE5D899F6}"/>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E-BCC8-4B5F-81D8-28B4333A7B3D}"/>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BCC8-4B5F-81D8-28B4333A7B3D}"/>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C-6038-47C5-805E-A0E0ABC0F2D1}"/>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6038-47C5-805E-A0E0ABC0F2D1}"/>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E-6038-47C5-805E-A0E0ABC0F2D1}"/>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F-6038-47C5-805E-A0E0ABC0F2D1}"/>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A-5F52-4616-AA21-F2879BE43867}"/>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B-5F52-4616-AA21-F2879BE43867}"/>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2-8F4F-4FB4-B6F2-5CFF659AB2EC}"/>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3-8F4F-4FB4-B6F2-5CFF659AB2EC}"/>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6872-472D-9A84-FEF7CBB6FA24}"/>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6872-472D-9A84-FEF7CBB6FA24}"/>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6872-472D-9A84-FEF7CBB6FA24}"/>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6872-472D-9A84-FEF7CBB6FA24}"/>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6872-472D-9A84-FEF7CBB6FA24}"/>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6872-472D-9A84-FEF7CBB6FA24}"/>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6872-472D-9A84-FEF7CBB6FA24}"/>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6872-472D-9A84-FEF7CBB6FA24}"/>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6872-472D-9A84-FEF7CBB6FA24}"/>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6872-472D-9A84-FEF7CBB6FA24}"/>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6872-472D-9A84-FEF7CBB6FA24}"/>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6872-472D-9A84-FEF7CBB6FA24}"/>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6872-472D-9A84-FEF7CBB6FA24}"/>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6872-472D-9A84-FEF7CBB6FA24}"/>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6872-472D-9A84-FEF7CBB6FA24}"/>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6872-472D-9A84-FEF7CBB6FA24}"/>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6872-472D-9A84-FEF7CBB6FA24}"/>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6872-472D-9A84-FEF7CBB6FA24}"/>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6872-472D-9A84-FEF7CBB6FA24}"/>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6872-472D-9A84-FEF7CBB6FA24}"/>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6872-472D-9A84-FEF7CBB6FA24}"/>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6872-472D-9A84-FEF7CBB6FA24}"/>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6872-472D-9A84-FEF7CBB6FA24}"/>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6872-472D-9A84-FEF7CBB6FA24}"/>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6872-472D-9A84-FEF7CBB6FA24}"/>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6872-472D-9A84-FEF7CBB6FA24}"/>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6872-472D-9A84-FEF7CBB6FA24}"/>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6872-472D-9A84-FEF7CBB6FA24}"/>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6872-472D-9A84-FEF7CBB6FA24}"/>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6872-472D-9A84-FEF7CBB6FA24}"/>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6872-472D-9A84-FEF7CBB6FA24}"/>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6872-472D-9A84-FEF7CBB6FA24}"/>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6872-472D-9A84-FEF7CBB6FA24}"/>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6872-472D-9A84-FEF7CBB6FA24}"/>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6872-472D-9A84-FEF7CBB6FA24}"/>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6872-472D-9A84-FEF7CBB6FA24}"/>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6872-472D-9A84-FEF7CBB6FA24}"/>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6872-472D-9A84-FEF7CBB6FA24}"/>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6872-472D-9A84-FEF7CBB6FA24}"/>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6872-472D-9A84-FEF7CBB6FA24}"/>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6872-472D-9A84-FEF7CBB6FA24}"/>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6872-472D-9A84-FEF7CBB6FA24}"/>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6872-472D-9A84-FEF7CBB6FA24}"/>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6872-472D-9A84-FEF7CBB6FA24}"/>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6872-472D-9A84-FEF7CBB6FA24}"/>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6872-472D-9A84-FEF7CBB6FA24}"/>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6872-472D-9A84-FEF7CBB6FA24}"/>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6872-472D-9A84-FEF7CBB6FA24}"/>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6872-472D-9A84-FEF7CBB6FA24}"/>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6872-472D-9A84-FEF7CBB6FA24}"/>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6872-472D-9A84-FEF7CBB6FA24}"/>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6872-472D-9A84-FEF7CBB6FA24}"/>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6872-472D-9A84-FEF7CBB6FA24}"/>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6872-472D-9A84-FEF7CBB6FA24}"/>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6872-472D-9A84-FEF7CBB6FA24}"/>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6872-472D-9A84-FEF7CBB6FA24}"/>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6872-472D-9A84-FEF7CBB6FA24}"/>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6872-472D-9A84-FEF7CBB6FA24}"/>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6872-472D-9A84-FEF7CBB6FA24}"/>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6872-472D-9A84-FEF7CBB6FA24}"/>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6872-472D-9A84-FEF7CBB6FA24}"/>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6872-472D-9A84-FEF7CBB6FA24}"/>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6872-472D-9A84-FEF7CBB6FA24}"/>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6872-472D-9A84-FEF7CBB6FA24}"/>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6872-472D-9A84-FEF7CBB6FA24}"/>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6872-472D-9A84-FEF7CBB6FA24}"/>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6872-472D-9A84-FEF7CBB6FA24}"/>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6872-472D-9A84-FEF7CBB6FA24}"/>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6872-472D-9A84-FEF7CBB6FA24}"/>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6872-472D-9A84-FEF7CBB6FA24}"/>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6872-472D-9A84-FEF7CBB6FA24}"/>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6872-472D-9A84-FEF7CBB6FA24}"/>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6872-472D-9A84-FEF7CBB6FA24}"/>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6872-472D-9A84-FEF7CBB6FA24}"/>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6872-472D-9A84-FEF7CBB6FA24}"/>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6872-472D-9A84-FEF7CBB6FA24}"/>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6872-472D-9A84-FEF7CBB6FA24}"/>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6872-472D-9A84-FEF7CBB6FA24}"/>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6872-472D-9A84-FEF7CBB6FA24}"/>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6872-472D-9A84-FEF7CBB6FA24}"/>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6872-472D-9A84-FEF7CBB6FA24}"/>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6872-472D-9A84-FEF7CBB6FA24}"/>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6872-472D-9A84-FEF7CBB6FA24}"/>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6872-472D-9A84-FEF7CBB6FA24}"/>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6872-472D-9A84-FEF7CBB6FA24}"/>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6872-472D-9A84-FEF7CBB6FA24}"/>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6872-472D-9A84-FEF7CBB6FA24}"/>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6872-472D-9A84-FEF7CBB6FA24}"/>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6872-472D-9A84-FEF7CBB6FA24}"/>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6872-472D-9A84-FEF7CBB6FA24}"/>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6872-472D-9A84-FEF7CBB6FA24}"/>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6872-472D-9A84-FEF7CBB6FA24}"/>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6872-472D-9A84-FEF7CBB6FA24}"/>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6872-472D-9A84-FEF7CBB6FA24}"/>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6872-472D-9A84-FEF7CBB6FA24}"/>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6872-472D-9A84-FEF7CBB6FA24}"/>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6872-472D-9A84-FEF7CBB6FA24}"/>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6872-472D-9A84-FEF7CBB6FA24}"/>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6872-472D-9A84-FEF7CBB6FA24}"/>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6872-472D-9A84-FEF7CBB6FA24}"/>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6872-472D-9A84-FEF7CBB6FA24}"/>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6872-472D-9A84-FEF7CBB6FA24}"/>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6872-472D-9A84-FEF7CBB6FA24}"/>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6872-472D-9A84-FEF7CBB6FA24}"/>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6872-472D-9A84-FEF7CBB6FA24}"/>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6872-472D-9A84-FEF7CBB6FA24}"/>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6872-472D-9A84-FEF7CBB6FA24}"/>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6872-472D-9A84-FEF7CBB6FA24}"/>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6872-472D-9A84-FEF7CBB6FA24}"/>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6872-472D-9A84-FEF7CBB6FA24}"/>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6872-472D-9A84-FEF7CBB6FA24}"/>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6872-472D-9A84-FEF7CBB6FA24}"/>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6872-472D-9A84-FEF7CBB6FA24}"/>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6872-472D-9A84-FEF7CBB6FA24}"/>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6872-472D-9A84-FEF7CBB6FA24}"/>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6872-472D-9A84-FEF7CBB6FA24}"/>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6872-472D-9A84-FEF7CBB6FA24}"/>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6872-472D-9A84-FEF7CBB6FA24}"/>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6872-472D-9A84-FEF7CBB6FA24}"/>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6872-472D-9A84-FEF7CBB6FA24}"/>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6872-472D-9A84-FEF7CBB6FA24}"/>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6872-472D-9A84-FEF7CBB6FA24}"/>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6872-472D-9A84-FEF7CBB6FA24}"/>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6872-472D-9A84-FEF7CBB6FA24}"/>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6872-472D-9A84-FEF7CBB6FA24}"/>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6872-472D-9A84-FEF7CBB6FA24}"/>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6872-472D-9A84-FEF7CBB6FA24}"/>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6872-472D-9A84-FEF7CBB6FA24}"/>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6872-472D-9A84-FEF7CBB6FA24}"/>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6872-472D-9A84-FEF7CBB6FA24}"/>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6872-472D-9A84-FEF7CBB6FA24}"/>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6872-472D-9A84-FEF7CBB6FA24}"/>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6872-472D-9A84-FEF7CBB6FA24}"/>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6872-472D-9A84-FEF7CBB6FA24}"/>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6872-472D-9A84-FEF7CBB6FA24}"/>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6872-472D-9A84-FEF7CBB6FA24}"/>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6872-472D-9A84-FEF7CBB6FA24}"/>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6872-472D-9A84-FEF7CBB6FA24}"/>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6872-472D-9A84-FEF7CBB6FA24}"/>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6872-472D-9A84-FEF7CBB6FA24}"/>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6872-472D-9A84-FEF7CBB6FA24}"/>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6872-472D-9A84-FEF7CBB6FA24}"/>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6872-472D-9A84-FEF7CBB6FA24}"/>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6872-472D-9A84-FEF7CBB6FA24}"/>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6872-472D-9A84-FEF7CBB6FA24}"/>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6872-472D-9A84-FEF7CBB6FA24}"/>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6872-472D-9A84-FEF7CBB6FA24}"/>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6872-472D-9A84-FEF7CBB6FA24}"/>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6872-472D-9A84-FEF7CBB6FA24}"/>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6872-472D-9A84-FEF7CBB6FA24}"/>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6872-472D-9A84-FEF7CBB6FA24}"/>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6872-472D-9A84-FEF7CBB6FA24}"/>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6872-472D-9A84-FEF7CBB6FA24}"/>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6872-472D-9A84-FEF7CBB6FA24}"/>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6872-472D-9A84-FEF7CBB6FA24}"/>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6872-472D-9A84-FEF7CBB6FA24}"/>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6872-472D-9A84-FEF7CBB6FA24}"/>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6872-472D-9A84-FEF7CBB6FA24}"/>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6872-472D-9A84-FEF7CBB6FA24}"/>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6872-472D-9A84-FEF7CBB6FA24}"/>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6872-472D-9A84-FEF7CBB6FA24}"/>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6872-472D-9A84-FEF7CBB6FA24}"/>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6872-472D-9A84-FEF7CBB6FA24}"/>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6872-472D-9A84-FEF7CBB6FA24}"/>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6872-472D-9A84-FEF7CBB6FA24}"/>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6872-472D-9A84-FEF7CBB6FA24}"/>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6872-472D-9A84-FEF7CBB6FA24}"/>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6872-472D-9A84-FEF7CBB6FA24}"/>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6872-472D-9A84-FEF7CBB6FA24}"/>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6872-472D-9A84-FEF7CBB6FA24}"/>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6872-472D-9A84-FEF7CBB6FA24}"/>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6872-472D-9A84-FEF7CBB6FA24}"/>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6872-472D-9A84-FEF7CBB6FA24}"/>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6872-472D-9A84-FEF7CBB6FA24}"/>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6872-472D-9A84-FEF7CBB6FA24}"/>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6872-472D-9A84-FEF7CBB6FA24}"/>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6872-472D-9A84-FEF7CBB6FA24}"/>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6872-472D-9A84-FEF7CBB6FA24}"/>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6872-472D-9A84-FEF7CBB6FA24}"/>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6872-472D-9A84-FEF7CBB6FA24}"/>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6872-472D-9A84-FEF7CBB6FA24}"/>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6872-472D-9A84-FEF7CBB6FA24}"/>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6872-472D-9A84-FEF7CBB6FA24}"/>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6872-472D-9A84-FEF7CBB6FA24}"/>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6872-472D-9A84-FEF7CBB6FA24}"/>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6872-472D-9A84-FEF7CBB6FA24}"/>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6872-472D-9A84-FEF7CBB6FA24}"/>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6872-472D-9A84-FEF7CBB6FA24}"/>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6872-472D-9A84-FEF7CBB6FA24}"/>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6872-472D-9A84-FEF7CBB6FA24}"/>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6872-472D-9A84-FEF7CBB6FA24}"/>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6872-472D-9A84-FEF7CBB6FA24}"/>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6872-472D-9A84-FEF7CBB6FA24}"/>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6872-472D-9A84-FEF7CBB6FA24}"/>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6872-472D-9A84-FEF7CBB6FA24}"/>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6872-472D-9A84-FEF7CBB6FA24}"/>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6872-472D-9A84-FEF7CBB6FA24}"/>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6872-472D-9A84-FEF7CBB6FA24}"/>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6872-472D-9A84-FEF7CBB6FA24}"/>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6872-472D-9A84-FEF7CBB6FA24}"/>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6872-472D-9A84-FEF7CBB6FA24}"/>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6872-472D-9A84-FEF7CBB6FA24}"/>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6872-472D-9A84-FEF7CBB6FA24}"/>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6872-472D-9A84-FEF7CBB6FA24}"/>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6872-472D-9A84-FEF7CBB6FA24}"/>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6872-472D-9A84-FEF7CBB6FA24}"/>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6872-472D-9A84-FEF7CBB6FA24}"/>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6872-472D-9A84-FEF7CBB6FA24}"/>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6872-472D-9A84-FEF7CBB6FA24}"/>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6872-472D-9A84-FEF7CBB6FA24}"/>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6872-472D-9A84-FEF7CBB6FA24}"/>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6872-472D-9A84-FEF7CBB6FA24}"/>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6872-472D-9A84-FEF7CBB6FA24}"/>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6872-472D-9A84-FEF7CBB6FA24}"/>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6872-472D-9A84-FEF7CBB6FA24}"/>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6872-472D-9A84-FEF7CBB6FA24}"/>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6872-472D-9A84-FEF7CBB6FA24}"/>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6872-472D-9A84-FEF7CBB6FA24}"/>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6872-472D-9A84-FEF7CBB6FA24}"/>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6872-472D-9A84-FEF7CBB6FA24}"/>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6872-472D-9A84-FEF7CBB6FA24}"/>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6872-472D-9A84-FEF7CBB6FA24}"/>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6872-472D-9A84-FEF7CBB6FA24}"/>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6872-472D-9A84-FEF7CBB6FA24}"/>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6872-472D-9A84-FEF7CBB6FA24}"/>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6872-472D-9A84-FEF7CBB6FA24}"/>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6872-472D-9A84-FEF7CBB6FA24}"/>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6872-472D-9A84-FEF7CBB6FA24}"/>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6872-472D-9A84-FEF7CBB6FA24}"/>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6872-472D-9A84-FEF7CBB6FA24}"/>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6872-472D-9A84-FEF7CBB6FA24}"/>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6872-472D-9A84-FEF7CBB6FA24}"/>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6872-472D-9A84-FEF7CBB6FA24}"/>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6872-472D-9A84-FEF7CBB6FA24}"/>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6872-472D-9A84-FEF7CBB6FA24}"/>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6872-472D-9A84-FEF7CBB6FA24}"/>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6872-472D-9A84-FEF7CBB6FA24}"/>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6872-472D-9A84-FEF7CBB6FA24}"/>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6872-472D-9A84-FEF7CBB6FA24}"/>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6872-472D-9A84-FEF7CBB6FA24}"/>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6872-472D-9A84-FEF7CBB6FA24}"/>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6872-472D-9A84-FEF7CBB6FA24}"/>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6872-472D-9A84-FEF7CBB6FA24}"/>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6872-472D-9A84-FEF7CBB6FA24}"/>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6872-472D-9A84-FEF7CBB6FA24}"/>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6872-472D-9A84-FEF7CBB6FA24}"/>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8-6872-472D-9A84-FEF7CBB6FA24}"/>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6872-472D-9A84-FEF7CBB6FA24}"/>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A-6872-472D-9A84-FEF7CBB6FA24}"/>
              </c:ext>
            </c:extLst>
          </c:dPt>
          <c:dPt>
            <c:idx val="3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B-6872-472D-9A84-FEF7CBB6FA24}"/>
              </c:ext>
            </c:extLst>
          </c:dPt>
          <c:cat>
            <c:multiLvlStrRef>
              <c:f>pt.lvl3_generic_8!$B$8:$C$57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pt.lvl3_generic_8!$F$8:$F$57</c:f>
              <c:numCache>
                <c:formatCode>General</c:formatCode>
                <c:ptCount val="4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54-8C86-48AA-B9EB-31B11C9BA865}"/>
            </c:ext>
          </c:extLst>
        </c:ser>
        <c:dLbls>
          <c:showLegendKey val="0"/>
          <c:showVal val="0"/>
          <c:showCatName val="0"/>
          <c:showSerName val="0"/>
          <c:showPercent val="0"/>
          <c:showBubbleSize val="0"/>
        </c:dLbls>
        <c:marker val="1"/>
        <c:smooth val="0"/>
        <c:axId val="449379976"/>
        <c:axId val="449380368"/>
      </c:lineChart>
      <c:catAx>
        <c:axId val="449379976"/>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368"/>
        <c:crosses val="autoZero"/>
        <c:auto val="1"/>
        <c:lblAlgn val="ctr"/>
        <c:lblOffset val="100"/>
        <c:noMultiLvlLbl val="0"/>
      </c:catAx>
      <c:valAx>
        <c:axId val="4493803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7997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1.3_3_2.xlsm]pt.lvl3_generic_9!pt.lvl3_generic_9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s>
    <c:plotArea>
      <c:layout>
        <c:manualLayout>
          <c:layoutTarget val="inner"/>
          <c:xMode val="edge"/>
          <c:yMode val="edge"/>
          <c:x val="4.2885701325421952E-2"/>
          <c:y val="0.23364609306072345"/>
          <c:w val="0.93595404622657019"/>
          <c:h val="0.65765084966818832"/>
        </c:manualLayout>
      </c:layout>
      <c:barChart>
        <c:barDir val="col"/>
        <c:grouping val="clustered"/>
        <c:varyColors val="0"/>
        <c:ser>
          <c:idx val="0"/>
          <c:order val="0"/>
          <c:tx>
            <c:strRef>
              <c:f>pt.lvl3_generic_9!$D$7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14F-46AF-9675-99E88732CF6E}"/>
              </c:ext>
            </c:extLst>
          </c:dPt>
          <c:dPt>
            <c:idx val="1"/>
            <c:invertIfNegative val="0"/>
            <c:bubble3D val="0"/>
            <c:spPr>
              <a:solidFill>
                <a:srgbClr val="9CC746"/>
              </a:solidFill>
              <a:ln>
                <a:noFill/>
              </a:ln>
              <a:effectLst/>
            </c:spPr>
            <c:extLst>
              <c:ext xmlns:c16="http://schemas.microsoft.com/office/drawing/2014/chart" uri="{C3380CC4-5D6E-409C-BE32-E72D297353CC}">
                <c16:uniqueId val="{00000001-C14F-46AF-9675-99E88732CF6E}"/>
              </c:ext>
            </c:extLst>
          </c:dPt>
          <c:dPt>
            <c:idx val="2"/>
            <c:invertIfNegative val="0"/>
            <c:bubble3D val="0"/>
            <c:spPr>
              <a:solidFill>
                <a:srgbClr val="9CC746"/>
              </a:solidFill>
              <a:ln>
                <a:noFill/>
              </a:ln>
              <a:effectLst/>
            </c:spPr>
            <c:extLst>
              <c:ext xmlns:c16="http://schemas.microsoft.com/office/drawing/2014/chart" uri="{C3380CC4-5D6E-409C-BE32-E72D297353CC}">
                <c16:uniqueId val="{00000002-C14F-46AF-9675-99E88732CF6E}"/>
              </c:ext>
            </c:extLst>
          </c:dPt>
          <c:dPt>
            <c:idx val="3"/>
            <c:invertIfNegative val="0"/>
            <c:bubble3D val="0"/>
            <c:spPr>
              <a:solidFill>
                <a:srgbClr val="9CC746"/>
              </a:solidFill>
              <a:ln>
                <a:noFill/>
              </a:ln>
              <a:effectLst/>
            </c:spPr>
            <c:extLst>
              <c:ext xmlns:c16="http://schemas.microsoft.com/office/drawing/2014/chart" uri="{C3380CC4-5D6E-409C-BE32-E72D297353CC}">
                <c16:uniqueId val="{00000003-C14F-46AF-9675-99E88732CF6E}"/>
              </c:ext>
            </c:extLst>
          </c:dPt>
          <c:dPt>
            <c:idx val="4"/>
            <c:invertIfNegative val="0"/>
            <c:bubble3D val="0"/>
            <c:spPr>
              <a:solidFill>
                <a:srgbClr val="9CC746"/>
              </a:solidFill>
              <a:ln>
                <a:noFill/>
              </a:ln>
              <a:effectLst/>
            </c:spPr>
            <c:extLst>
              <c:ext xmlns:c16="http://schemas.microsoft.com/office/drawing/2014/chart" uri="{C3380CC4-5D6E-409C-BE32-E72D297353CC}">
                <c16:uniqueId val="{00000004-C14F-46AF-9675-99E88732CF6E}"/>
              </c:ext>
            </c:extLst>
          </c:dPt>
          <c:dPt>
            <c:idx val="5"/>
            <c:invertIfNegative val="0"/>
            <c:bubble3D val="0"/>
            <c:spPr>
              <a:solidFill>
                <a:srgbClr val="9CC746"/>
              </a:solidFill>
              <a:ln>
                <a:noFill/>
              </a:ln>
              <a:effectLst/>
            </c:spPr>
            <c:extLst>
              <c:ext xmlns:c16="http://schemas.microsoft.com/office/drawing/2014/chart" uri="{C3380CC4-5D6E-409C-BE32-E72D297353CC}">
                <c16:uniqueId val="{00000005-C14F-46AF-9675-99E88732CF6E}"/>
              </c:ext>
            </c:extLst>
          </c:dPt>
          <c:dPt>
            <c:idx val="6"/>
            <c:invertIfNegative val="0"/>
            <c:bubble3D val="0"/>
            <c:spPr>
              <a:solidFill>
                <a:srgbClr val="9CC746"/>
              </a:solidFill>
              <a:ln>
                <a:noFill/>
              </a:ln>
              <a:effectLst/>
            </c:spPr>
            <c:extLst>
              <c:ext xmlns:c16="http://schemas.microsoft.com/office/drawing/2014/chart" uri="{C3380CC4-5D6E-409C-BE32-E72D297353CC}">
                <c16:uniqueId val="{00000006-C14F-46AF-9675-99E88732CF6E}"/>
              </c:ext>
            </c:extLst>
          </c:dPt>
          <c:dPt>
            <c:idx val="7"/>
            <c:invertIfNegative val="0"/>
            <c:bubble3D val="0"/>
            <c:spPr>
              <a:solidFill>
                <a:srgbClr val="9CC746"/>
              </a:solidFill>
              <a:ln>
                <a:noFill/>
              </a:ln>
              <a:effectLst/>
            </c:spPr>
            <c:extLst>
              <c:ext xmlns:c16="http://schemas.microsoft.com/office/drawing/2014/chart" uri="{C3380CC4-5D6E-409C-BE32-E72D297353CC}">
                <c16:uniqueId val="{00000007-C14F-46AF-9675-99E88732CF6E}"/>
              </c:ext>
            </c:extLst>
          </c:dPt>
          <c:dPt>
            <c:idx val="8"/>
            <c:invertIfNegative val="0"/>
            <c:bubble3D val="0"/>
            <c:spPr>
              <a:solidFill>
                <a:srgbClr val="9B2D2A"/>
              </a:solidFill>
              <a:ln>
                <a:noFill/>
              </a:ln>
              <a:effectLst/>
            </c:spPr>
            <c:extLst>
              <c:ext xmlns:c16="http://schemas.microsoft.com/office/drawing/2014/chart" uri="{C3380CC4-5D6E-409C-BE32-E72D297353CC}">
                <c16:uniqueId val="{00000008-C14F-46AF-9675-99E88732CF6E}"/>
              </c:ext>
            </c:extLst>
          </c:dPt>
          <c:dPt>
            <c:idx val="9"/>
            <c:invertIfNegative val="0"/>
            <c:bubble3D val="0"/>
            <c:spPr>
              <a:solidFill>
                <a:srgbClr val="9B2D2A"/>
              </a:solidFill>
              <a:ln>
                <a:noFill/>
              </a:ln>
              <a:effectLst/>
            </c:spPr>
            <c:extLst>
              <c:ext xmlns:c16="http://schemas.microsoft.com/office/drawing/2014/chart" uri="{C3380CC4-5D6E-409C-BE32-E72D297353CC}">
                <c16:uniqueId val="{00000009-C14F-46AF-9675-99E88732CF6E}"/>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14F-46AF-9675-99E88732CF6E}"/>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14F-46AF-9675-99E88732CF6E}"/>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14F-46AF-9675-99E88732CF6E}"/>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14F-46AF-9675-99E88732CF6E}"/>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14F-46AF-9675-99E88732CF6E}"/>
              </c:ext>
            </c:extLst>
          </c:dPt>
          <c:dPt>
            <c:idx val="15"/>
            <c:invertIfNegative val="0"/>
            <c:bubble3D val="0"/>
            <c:spPr>
              <a:solidFill>
                <a:srgbClr val="9B2D2A"/>
              </a:solidFill>
              <a:ln>
                <a:noFill/>
              </a:ln>
              <a:effectLst/>
            </c:spPr>
            <c:extLst>
              <c:ext xmlns:c16="http://schemas.microsoft.com/office/drawing/2014/chart" uri="{C3380CC4-5D6E-409C-BE32-E72D297353CC}">
                <c16:uniqueId val="{0000000F-C14F-46AF-9675-99E88732CF6E}"/>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14F-46AF-9675-99E88732CF6E}"/>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14F-46AF-9675-99E88732CF6E}"/>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14F-46AF-9675-99E88732CF6E}"/>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14F-46AF-9675-99E88732CF6E}"/>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14F-46AF-9675-99E88732CF6E}"/>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14F-46AF-9675-99E88732CF6E}"/>
              </c:ext>
            </c:extLst>
          </c:dPt>
          <c:dPt>
            <c:idx val="22"/>
            <c:invertIfNegative val="0"/>
            <c:bubble3D val="0"/>
            <c:spPr>
              <a:solidFill>
                <a:srgbClr val="9B2D2A"/>
              </a:solidFill>
              <a:ln>
                <a:noFill/>
              </a:ln>
              <a:effectLst/>
            </c:spPr>
            <c:extLst>
              <c:ext xmlns:c16="http://schemas.microsoft.com/office/drawing/2014/chart" uri="{C3380CC4-5D6E-409C-BE32-E72D297353CC}">
                <c16:uniqueId val="{00000044-5DA1-44B5-8F6C-975238A25A23}"/>
              </c:ext>
            </c:extLst>
          </c:dPt>
          <c:dPt>
            <c:idx val="23"/>
            <c:invertIfNegative val="0"/>
            <c:bubble3D val="0"/>
            <c:spPr>
              <a:solidFill>
                <a:srgbClr val="9B2D2A"/>
              </a:solidFill>
              <a:ln>
                <a:noFill/>
              </a:ln>
              <a:effectLst/>
            </c:spPr>
            <c:extLst>
              <c:ext xmlns:c16="http://schemas.microsoft.com/office/drawing/2014/chart" uri="{C3380CC4-5D6E-409C-BE32-E72D297353CC}">
                <c16:uniqueId val="{00000045-5DA1-44B5-8F6C-975238A25A23}"/>
              </c:ext>
            </c:extLst>
          </c:dPt>
          <c:dPt>
            <c:idx val="24"/>
            <c:invertIfNegative val="0"/>
            <c:bubble3D val="0"/>
            <c:spPr>
              <a:solidFill>
                <a:srgbClr val="9CC746"/>
              </a:solidFill>
              <a:ln>
                <a:noFill/>
              </a:ln>
              <a:effectLst/>
            </c:spPr>
            <c:extLst>
              <c:ext xmlns:c16="http://schemas.microsoft.com/office/drawing/2014/chart" uri="{C3380CC4-5D6E-409C-BE32-E72D297353CC}">
                <c16:uniqueId val="{00000046-5DA1-44B5-8F6C-975238A25A23}"/>
              </c:ext>
            </c:extLst>
          </c:dPt>
          <c:dPt>
            <c:idx val="25"/>
            <c:invertIfNegative val="0"/>
            <c:bubble3D val="0"/>
            <c:spPr>
              <a:solidFill>
                <a:srgbClr val="9CC746"/>
              </a:solidFill>
              <a:ln>
                <a:noFill/>
              </a:ln>
              <a:effectLst/>
            </c:spPr>
            <c:extLst>
              <c:ext xmlns:c16="http://schemas.microsoft.com/office/drawing/2014/chart" uri="{C3380CC4-5D6E-409C-BE32-E72D297353CC}">
                <c16:uniqueId val="{00000047-5DA1-44B5-8F6C-975238A25A23}"/>
              </c:ext>
            </c:extLst>
          </c:dPt>
          <c:dPt>
            <c:idx val="26"/>
            <c:invertIfNegative val="0"/>
            <c:bubble3D val="0"/>
            <c:spPr>
              <a:solidFill>
                <a:srgbClr val="9CC746"/>
              </a:solidFill>
              <a:ln>
                <a:noFill/>
              </a:ln>
              <a:effectLst/>
            </c:spPr>
            <c:extLst>
              <c:ext xmlns:c16="http://schemas.microsoft.com/office/drawing/2014/chart" uri="{C3380CC4-5D6E-409C-BE32-E72D297353CC}">
                <c16:uniqueId val="{00000048-5DA1-44B5-8F6C-975238A25A23}"/>
              </c:ext>
            </c:extLst>
          </c:dPt>
          <c:dPt>
            <c:idx val="27"/>
            <c:invertIfNegative val="0"/>
            <c:bubble3D val="0"/>
            <c:spPr>
              <a:solidFill>
                <a:srgbClr val="9CC746"/>
              </a:solidFill>
              <a:ln>
                <a:noFill/>
              </a:ln>
              <a:effectLst/>
            </c:spPr>
            <c:extLst>
              <c:ext xmlns:c16="http://schemas.microsoft.com/office/drawing/2014/chart" uri="{C3380CC4-5D6E-409C-BE32-E72D297353CC}">
                <c16:uniqueId val="{00000049-5DA1-44B5-8F6C-975238A25A23}"/>
              </c:ext>
            </c:extLst>
          </c:dPt>
          <c:dPt>
            <c:idx val="28"/>
            <c:invertIfNegative val="0"/>
            <c:bubble3D val="0"/>
            <c:spPr>
              <a:solidFill>
                <a:srgbClr val="9CC746"/>
              </a:solidFill>
              <a:ln>
                <a:noFill/>
              </a:ln>
              <a:effectLst/>
            </c:spPr>
            <c:extLst>
              <c:ext xmlns:c16="http://schemas.microsoft.com/office/drawing/2014/chart" uri="{C3380CC4-5D6E-409C-BE32-E72D297353CC}">
                <c16:uniqueId val="{0000004A-5DA1-44B5-8F6C-975238A25A23}"/>
              </c:ext>
            </c:extLst>
          </c:dPt>
          <c:dPt>
            <c:idx val="29"/>
            <c:invertIfNegative val="0"/>
            <c:bubble3D val="0"/>
            <c:spPr>
              <a:solidFill>
                <a:srgbClr val="9B2D2A"/>
              </a:solidFill>
              <a:ln>
                <a:noFill/>
              </a:ln>
              <a:effectLst/>
            </c:spPr>
            <c:extLst>
              <c:ext xmlns:c16="http://schemas.microsoft.com/office/drawing/2014/chart" uri="{C3380CC4-5D6E-409C-BE32-E72D297353CC}">
                <c16:uniqueId val="{0000004B-5DA1-44B5-8F6C-975238A25A23}"/>
              </c:ext>
            </c:extLst>
          </c:dPt>
          <c:dPt>
            <c:idx val="30"/>
            <c:invertIfNegative val="0"/>
            <c:bubble3D val="0"/>
            <c:spPr>
              <a:solidFill>
                <a:srgbClr val="9CC746"/>
              </a:solidFill>
              <a:ln>
                <a:noFill/>
              </a:ln>
              <a:effectLst/>
            </c:spPr>
            <c:extLst>
              <c:ext xmlns:c16="http://schemas.microsoft.com/office/drawing/2014/chart" uri="{C3380CC4-5D6E-409C-BE32-E72D297353CC}">
                <c16:uniqueId val="{0000004C-5DA1-44B5-8F6C-975238A25A23}"/>
              </c:ext>
            </c:extLst>
          </c:dPt>
          <c:dPt>
            <c:idx val="31"/>
            <c:invertIfNegative val="0"/>
            <c:bubble3D val="0"/>
            <c:spPr>
              <a:solidFill>
                <a:srgbClr val="9CC746"/>
              </a:solidFill>
              <a:ln>
                <a:noFill/>
              </a:ln>
              <a:effectLst/>
            </c:spPr>
            <c:extLst>
              <c:ext xmlns:c16="http://schemas.microsoft.com/office/drawing/2014/chart" uri="{C3380CC4-5D6E-409C-BE32-E72D297353CC}">
                <c16:uniqueId val="{0000004D-5DA1-44B5-8F6C-975238A25A23}"/>
              </c:ext>
            </c:extLst>
          </c:dPt>
          <c:dPt>
            <c:idx val="32"/>
            <c:invertIfNegative val="0"/>
            <c:bubble3D val="0"/>
            <c:spPr>
              <a:solidFill>
                <a:srgbClr val="9CC746"/>
              </a:solidFill>
              <a:ln>
                <a:noFill/>
              </a:ln>
              <a:effectLst/>
            </c:spPr>
            <c:extLst>
              <c:ext xmlns:c16="http://schemas.microsoft.com/office/drawing/2014/chart" uri="{C3380CC4-5D6E-409C-BE32-E72D297353CC}">
                <c16:uniqueId val="{0000004E-5DA1-44B5-8F6C-975238A25A23}"/>
              </c:ext>
            </c:extLst>
          </c:dPt>
          <c:dPt>
            <c:idx val="33"/>
            <c:invertIfNegative val="0"/>
            <c:bubble3D val="0"/>
            <c:spPr>
              <a:solidFill>
                <a:srgbClr val="9B2D2A"/>
              </a:solidFill>
              <a:ln>
                <a:noFill/>
              </a:ln>
              <a:effectLst/>
            </c:spPr>
            <c:extLst>
              <c:ext xmlns:c16="http://schemas.microsoft.com/office/drawing/2014/chart" uri="{C3380CC4-5D6E-409C-BE32-E72D297353CC}">
                <c16:uniqueId val="{0000004F-5DA1-44B5-8F6C-975238A25A23}"/>
              </c:ext>
            </c:extLst>
          </c:dPt>
          <c:dPt>
            <c:idx val="34"/>
            <c:invertIfNegative val="0"/>
            <c:bubble3D val="0"/>
            <c:spPr>
              <a:solidFill>
                <a:srgbClr val="9CC746"/>
              </a:solidFill>
              <a:ln>
                <a:noFill/>
              </a:ln>
              <a:effectLst/>
            </c:spPr>
            <c:extLst>
              <c:ext xmlns:c16="http://schemas.microsoft.com/office/drawing/2014/chart" uri="{C3380CC4-5D6E-409C-BE32-E72D297353CC}">
                <c16:uniqueId val="{00000050-5DA1-44B5-8F6C-975238A25A23}"/>
              </c:ext>
            </c:extLst>
          </c:dPt>
          <c:dPt>
            <c:idx val="35"/>
            <c:invertIfNegative val="0"/>
            <c:bubble3D val="0"/>
            <c:spPr>
              <a:solidFill>
                <a:srgbClr val="9CC746"/>
              </a:solidFill>
              <a:ln>
                <a:noFill/>
              </a:ln>
              <a:effectLst/>
            </c:spPr>
            <c:extLst>
              <c:ext xmlns:c16="http://schemas.microsoft.com/office/drawing/2014/chart" uri="{C3380CC4-5D6E-409C-BE32-E72D297353CC}">
                <c16:uniqueId val="{00000051-5DA1-44B5-8F6C-975238A25A23}"/>
              </c:ext>
            </c:extLst>
          </c:dPt>
          <c:dPt>
            <c:idx val="36"/>
            <c:invertIfNegative val="0"/>
            <c:bubble3D val="0"/>
            <c:spPr>
              <a:solidFill>
                <a:srgbClr val="9B2D2A"/>
              </a:solidFill>
              <a:ln>
                <a:noFill/>
              </a:ln>
              <a:effectLst/>
            </c:spPr>
            <c:extLst>
              <c:ext xmlns:c16="http://schemas.microsoft.com/office/drawing/2014/chart" uri="{C3380CC4-5D6E-409C-BE32-E72D297353CC}">
                <c16:uniqueId val="{00000052-5DA1-44B5-8F6C-975238A25A23}"/>
              </c:ext>
            </c:extLst>
          </c:dPt>
          <c:dPt>
            <c:idx val="37"/>
            <c:invertIfNegative val="0"/>
            <c:bubble3D val="0"/>
            <c:spPr>
              <a:solidFill>
                <a:srgbClr val="9B2D2A"/>
              </a:solidFill>
              <a:ln>
                <a:noFill/>
              </a:ln>
              <a:effectLst/>
            </c:spPr>
            <c:extLst>
              <c:ext xmlns:c16="http://schemas.microsoft.com/office/drawing/2014/chart" uri="{C3380CC4-5D6E-409C-BE32-E72D297353CC}">
                <c16:uniqueId val="{00000053-5DA1-44B5-8F6C-975238A25A23}"/>
              </c:ext>
            </c:extLst>
          </c:dPt>
          <c:dPt>
            <c:idx val="38"/>
            <c:invertIfNegative val="0"/>
            <c:bubble3D val="0"/>
            <c:spPr>
              <a:solidFill>
                <a:srgbClr val="9B2D2A"/>
              </a:solidFill>
              <a:ln>
                <a:noFill/>
              </a:ln>
              <a:effectLst/>
            </c:spPr>
            <c:extLst>
              <c:ext xmlns:c16="http://schemas.microsoft.com/office/drawing/2014/chart" uri="{C3380CC4-5D6E-409C-BE32-E72D297353CC}">
                <c16:uniqueId val="{00000054-5DA1-44B5-8F6C-975238A25A23}"/>
              </c:ext>
            </c:extLst>
          </c:dPt>
          <c:dPt>
            <c:idx val="39"/>
            <c:invertIfNegative val="0"/>
            <c:bubble3D val="0"/>
            <c:spPr>
              <a:solidFill>
                <a:srgbClr val="9B2D2A"/>
              </a:solidFill>
              <a:ln>
                <a:noFill/>
              </a:ln>
              <a:effectLst/>
            </c:spPr>
            <c:extLst>
              <c:ext xmlns:c16="http://schemas.microsoft.com/office/drawing/2014/chart" uri="{C3380CC4-5D6E-409C-BE32-E72D297353CC}">
                <c16:uniqueId val="{00000055-5DA1-44B5-8F6C-975238A25A23}"/>
              </c:ext>
            </c:extLst>
          </c:dPt>
          <c:dPt>
            <c:idx val="40"/>
            <c:invertIfNegative val="0"/>
            <c:bubble3D val="0"/>
            <c:spPr>
              <a:solidFill>
                <a:srgbClr val="9CC746"/>
              </a:solidFill>
              <a:ln>
                <a:noFill/>
              </a:ln>
              <a:effectLst/>
            </c:spPr>
            <c:extLst>
              <c:ext xmlns:c16="http://schemas.microsoft.com/office/drawing/2014/chart" uri="{C3380CC4-5D6E-409C-BE32-E72D297353CC}">
                <c16:uniqueId val="{00000056-5DA1-44B5-8F6C-975238A25A23}"/>
              </c:ext>
            </c:extLst>
          </c:dPt>
          <c:dPt>
            <c:idx val="41"/>
            <c:invertIfNegative val="0"/>
            <c:bubble3D val="0"/>
            <c:spPr>
              <a:solidFill>
                <a:srgbClr val="9CC746"/>
              </a:solidFill>
              <a:ln>
                <a:noFill/>
              </a:ln>
              <a:effectLst/>
            </c:spPr>
            <c:extLst>
              <c:ext xmlns:c16="http://schemas.microsoft.com/office/drawing/2014/chart" uri="{C3380CC4-5D6E-409C-BE32-E72D297353CC}">
                <c16:uniqueId val="{00000057-5DA1-44B5-8F6C-975238A25A23}"/>
              </c:ext>
            </c:extLst>
          </c:dPt>
          <c:dPt>
            <c:idx val="42"/>
            <c:invertIfNegative val="0"/>
            <c:bubble3D val="0"/>
            <c:spPr>
              <a:solidFill>
                <a:srgbClr val="9CC746"/>
              </a:solidFill>
              <a:ln>
                <a:noFill/>
              </a:ln>
              <a:effectLst/>
            </c:spPr>
            <c:extLst>
              <c:ext xmlns:c16="http://schemas.microsoft.com/office/drawing/2014/chart" uri="{C3380CC4-5D6E-409C-BE32-E72D297353CC}">
                <c16:uniqueId val="{00000058-5DA1-44B5-8F6C-975238A25A23}"/>
              </c:ext>
            </c:extLst>
          </c:dPt>
          <c:dPt>
            <c:idx val="43"/>
            <c:invertIfNegative val="0"/>
            <c:bubble3D val="0"/>
            <c:spPr>
              <a:solidFill>
                <a:srgbClr val="9CC746"/>
              </a:solidFill>
              <a:ln>
                <a:noFill/>
              </a:ln>
              <a:effectLst/>
            </c:spPr>
            <c:extLst>
              <c:ext xmlns:c16="http://schemas.microsoft.com/office/drawing/2014/chart" uri="{C3380CC4-5D6E-409C-BE32-E72D297353CC}">
                <c16:uniqueId val="{00000059-5DA1-44B5-8F6C-975238A25A23}"/>
              </c:ext>
            </c:extLst>
          </c:dPt>
          <c:dPt>
            <c:idx val="44"/>
            <c:invertIfNegative val="0"/>
            <c:bubble3D val="0"/>
            <c:spPr>
              <a:solidFill>
                <a:srgbClr val="9CC746"/>
              </a:solidFill>
              <a:ln>
                <a:noFill/>
              </a:ln>
              <a:effectLst/>
            </c:spPr>
            <c:extLst>
              <c:ext xmlns:c16="http://schemas.microsoft.com/office/drawing/2014/chart" uri="{C3380CC4-5D6E-409C-BE32-E72D297353CC}">
                <c16:uniqueId val="{0000005A-5DA1-44B5-8F6C-975238A25A23}"/>
              </c:ext>
            </c:extLst>
          </c:dPt>
          <c:dPt>
            <c:idx val="45"/>
            <c:invertIfNegative val="0"/>
            <c:bubble3D val="0"/>
            <c:spPr>
              <a:solidFill>
                <a:srgbClr val="9CC746"/>
              </a:solidFill>
              <a:ln>
                <a:noFill/>
              </a:ln>
              <a:effectLst/>
            </c:spPr>
            <c:extLst>
              <c:ext xmlns:c16="http://schemas.microsoft.com/office/drawing/2014/chart" uri="{C3380CC4-5D6E-409C-BE32-E72D297353CC}">
                <c16:uniqueId val="{0000005B-5DA1-44B5-8F6C-975238A25A23}"/>
              </c:ext>
            </c:extLst>
          </c:dPt>
          <c:dPt>
            <c:idx val="46"/>
            <c:invertIfNegative val="0"/>
            <c:bubble3D val="0"/>
            <c:spPr>
              <a:solidFill>
                <a:srgbClr val="9CC746"/>
              </a:solidFill>
              <a:ln>
                <a:noFill/>
              </a:ln>
              <a:effectLst/>
            </c:spPr>
            <c:extLst>
              <c:ext xmlns:c16="http://schemas.microsoft.com/office/drawing/2014/chart" uri="{C3380CC4-5D6E-409C-BE32-E72D297353CC}">
                <c16:uniqueId val="{0000005C-7E28-4C7A-B09E-74921A0FA3C0}"/>
              </c:ext>
            </c:extLst>
          </c:dPt>
          <c:dPt>
            <c:idx val="47"/>
            <c:invertIfNegative val="0"/>
            <c:bubble3D val="0"/>
            <c:spPr>
              <a:solidFill>
                <a:srgbClr val="9B2D2A"/>
              </a:solidFill>
              <a:ln>
                <a:noFill/>
              </a:ln>
              <a:effectLst/>
            </c:spPr>
            <c:extLst>
              <c:ext xmlns:c16="http://schemas.microsoft.com/office/drawing/2014/chart" uri="{C3380CC4-5D6E-409C-BE32-E72D297353CC}">
                <c16:uniqueId val="{0000005D-7E28-4C7A-B09E-74921A0FA3C0}"/>
              </c:ext>
            </c:extLst>
          </c:dPt>
          <c:dPt>
            <c:idx val="48"/>
            <c:invertIfNegative val="0"/>
            <c:bubble3D val="0"/>
            <c:spPr>
              <a:solidFill>
                <a:srgbClr val="9CC746"/>
              </a:solidFill>
              <a:ln>
                <a:noFill/>
              </a:ln>
              <a:effectLst/>
            </c:spPr>
            <c:extLst>
              <c:ext xmlns:c16="http://schemas.microsoft.com/office/drawing/2014/chart" uri="{C3380CC4-5D6E-409C-BE32-E72D297353CC}">
                <c16:uniqueId val="{0000005E-7E28-4C7A-B09E-74921A0FA3C0}"/>
              </c:ext>
            </c:extLst>
          </c:dPt>
          <c:dPt>
            <c:idx val="49"/>
            <c:invertIfNegative val="0"/>
            <c:bubble3D val="0"/>
            <c:extLst>
              <c:ext xmlns:c16="http://schemas.microsoft.com/office/drawing/2014/chart" uri="{C3380CC4-5D6E-409C-BE32-E72D297353CC}">
                <c16:uniqueId val="{0000005F-7E28-4C7A-B09E-74921A0FA3C0}"/>
              </c:ext>
            </c:extLst>
          </c:dPt>
          <c:dPt>
            <c:idx val="50"/>
            <c:invertIfNegative val="0"/>
            <c:bubble3D val="0"/>
            <c:extLst>
              <c:ext xmlns:c16="http://schemas.microsoft.com/office/drawing/2014/chart" uri="{C3380CC4-5D6E-409C-BE32-E72D297353CC}">
                <c16:uniqueId val="{00000060-7E28-4C7A-B09E-74921A0FA3C0}"/>
              </c:ext>
            </c:extLst>
          </c:dPt>
          <c:dPt>
            <c:idx val="51"/>
            <c:invertIfNegative val="0"/>
            <c:bubble3D val="0"/>
            <c:extLst>
              <c:ext xmlns:c16="http://schemas.microsoft.com/office/drawing/2014/chart" uri="{C3380CC4-5D6E-409C-BE32-E72D297353CC}">
                <c16:uniqueId val="{00000061-7E28-4C7A-B09E-74921A0FA3C0}"/>
              </c:ext>
            </c:extLst>
          </c:dPt>
          <c:dPt>
            <c:idx val="52"/>
            <c:invertIfNegative val="0"/>
            <c:bubble3D val="0"/>
            <c:extLst>
              <c:ext xmlns:c16="http://schemas.microsoft.com/office/drawing/2014/chart" uri="{C3380CC4-5D6E-409C-BE32-E72D297353CC}">
                <c16:uniqueId val="{00000062-7E28-4C7A-B09E-74921A0FA3C0}"/>
              </c:ext>
            </c:extLst>
          </c:dPt>
          <c:dPt>
            <c:idx val="53"/>
            <c:invertIfNegative val="0"/>
            <c:bubble3D val="0"/>
            <c:extLst>
              <c:ext xmlns:c16="http://schemas.microsoft.com/office/drawing/2014/chart" uri="{C3380CC4-5D6E-409C-BE32-E72D297353CC}">
                <c16:uniqueId val="{00000063-7E28-4C7A-B09E-74921A0FA3C0}"/>
              </c:ext>
            </c:extLst>
          </c:dPt>
          <c:dPt>
            <c:idx val="54"/>
            <c:invertIfNegative val="0"/>
            <c:bubble3D val="0"/>
            <c:extLst>
              <c:ext xmlns:c16="http://schemas.microsoft.com/office/drawing/2014/chart" uri="{C3380CC4-5D6E-409C-BE32-E72D297353CC}">
                <c16:uniqueId val="{00000064-7E28-4C7A-B09E-74921A0FA3C0}"/>
              </c:ext>
            </c:extLst>
          </c:dPt>
          <c:dPt>
            <c:idx val="55"/>
            <c:invertIfNegative val="0"/>
            <c:bubble3D val="0"/>
            <c:extLst>
              <c:ext xmlns:c16="http://schemas.microsoft.com/office/drawing/2014/chart" uri="{C3380CC4-5D6E-409C-BE32-E72D297353CC}">
                <c16:uniqueId val="{00000065-7E28-4C7A-B09E-74921A0FA3C0}"/>
              </c:ext>
            </c:extLst>
          </c:dPt>
          <c:dPt>
            <c:idx val="56"/>
            <c:invertIfNegative val="0"/>
            <c:bubble3D val="0"/>
            <c:extLst>
              <c:ext xmlns:c16="http://schemas.microsoft.com/office/drawing/2014/chart" uri="{C3380CC4-5D6E-409C-BE32-E72D297353CC}">
                <c16:uniqueId val="{00000066-7E28-4C7A-B09E-74921A0FA3C0}"/>
              </c:ext>
            </c:extLst>
          </c:dPt>
          <c:dPt>
            <c:idx val="57"/>
            <c:invertIfNegative val="0"/>
            <c:bubble3D val="0"/>
            <c:extLst>
              <c:ext xmlns:c16="http://schemas.microsoft.com/office/drawing/2014/chart" uri="{C3380CC4-5D6E-409C-BE32-E72D297353CC}">
                <c16:uniqueId val="{00000067-7E28-4C7A-B09E-74921A0FA3C0}"/>
              </c:ext>
            </c:extLst>
          </c:dPt>
          <c:dPt>
            <c:idx val="58"/>
            <c:invertIfNegative val="0"/>
            <c:bubble3D val="0"/>
            <c:extLst>
              <c:ext xmlns:c16="http://schemas.microsoft.com/office/drawing/2014/chart" uri="{C3380CC4-5D6E-409C-BE32-E72D297353CC}">
                <c16:uniqueId val="{00000068-7E28-4C7A-B09E-74921A0FA3C0}"/>
              </c:ext>
            </c:extLst>
          </c:dPt>
          <c:dPt>
            <c:idx val="59"/>
            <c:invertIfNegative val="0"/>
            <c:bubble3D val="0"/>
            <c:extLst>
              <c:ext xmlns:c16="http://schemas.microsoft.com/office/drawing/2014/chart" uri="{C3380CC4-5D6E-409C-BE32-E72D297353CC}">
                <c16:uniqueId val="{00000069-7E28-4C7A-B09E-74921A0FA3C0}"/>
              </c:ext>
            </c:extLst>
          </c:dPt>
          <c:dPt>
            <c:idx val="60"/>
            <c:invertIfNegative val="0"/>
            <c:bubble3D val="0"/>
            <c:extLst>
              <c:ext xmlns:c16="http://schemas.microsoft.com/office/drawing/2014/chart" uri="{C3380CC4-5D6E-409C-BE32-E72D297353CC}">
                <c16:uniqueId val="{0000006A-7E28-4C7A-B09E-74921A0FA3C0}"/>
              </c:ext>
            </c:extLst>
          </c:dPt>
          <c:dPt>
            <c:idx val="61"/>
            <c:invertIfNegative val="0"/>
            <c:bubble3D val="0"/>
            <c:extLst>
              <c:ext xmlns:c16="http://schemas.microsoft.com/office/drawing/2014/chart" uri="{C3380CC4-5D6E-409C-BE32-E72D297353CC}">
                <c16:uniqueId val="{0000006B-7E28-4C7A-B09E-74921A0FA3C0}"/>
              </c:ext>
            </c:extLst>
          </c:dPt>
          <c:dPt>
            <c:idx val="62"/>
            <c:invertIfNegative val="0"/>
            <c:bubble3D val="0"/>
            <c:extLst>
              <c:ext xmlns:c16="http://schemas.microsoft.com/office/drawing/2014/chart" uri="{C3380CC4-5D6E-409C-BE32-E72D297353CC}">
                <c16:uniqueId val="{0000006C-7E28-4C7A-B09E-74921A0FA3C0}"/>
              </c:ext>
            </c:extLst>
          </c:dPt>
          <c:dPt>
            <c:idx val="63"/>
            <c:invertIfNegative val="0"/>
            <c:bubble3D val="0"/>
            <c:extLst>
              <c:ext xmlns:c16="http://schemas.microsoft.com/office/drawing/2014/chart" uri="{C3380CC4-5D6E-409C-BE32-E72D297353CC}">
                <c16:uniqueId val="{0000006D-7E28-4C7A-B09E-74921A0FA3C0}"/>
              </c:ext>
            </c:extLst>
          </c:dPt>
          <c:dPt>
            <c:idx val="64"/>
            <c:invertIfNegative val="0"/>
            <c:bubble3D val="0"/>
            <c:extLst>
              <c:ext xmlns:c16="http://schemas.microsoft.com/office/drawing/2014/chart" uri="{C3380CC4-5D6E-409C-BE32-E72D297353CC}">
                <c16:uniqueId val="{0000006E-7E28-4C7A-B09E-74921A0FA3C0}"/>
              </c:ext>
            </c:extLst>
          </c:dPt>
          <c:dPt>
            <c:idx val="65"/>
            <c:invertIfNegative val="0"/>
            <c:bubble3D val="0"/>
            <c:extLst>
              <c:ext xmlns:c16="http://schemas.microsoft.com/office/drawing/2014/chart" uri="{C3380CC4-5D6E-409C-BE32-E72D297353CC}">
                <c16:uniqueId val="{0000006F-7E28-4C7A-B09E-74921A0FA3C0}"/>
              </c:ext>
            </c:extLst>
          </c:dPt>
          <c:dPt>
            <c:idx val="66"/>
            <c:invertIfNegative val="0"/>
            <c:bubble3D val="0"/>
            <c:extLst>
              <c:ext xmlns:c16="http://schemas.microsoft.com/office/drawing/2014/chart" uri="{C3380CC4-5D6E-409C-BE32-E72D297353CC}">
                <c16:uniqueId val="{00000070-7E28-4C7A-B09E-74921A0FA3C0}"/>
              </c:ext>
            </c:extLst>
          </c:dPt>
          <c:dPt>
            <c:idx val="67"/>
            <c:invertIfNegative val="0"/>
            <c:bubble3D val="0"/>
            <c:extLst>
              <c:ext xmlns:c16="http://schemas.microsoft.com/office/drawing/2014/chart" uri="{C3380CC4-5D6E-409C-BE32-E72D297353CC}">
                <c16:uniqueId val="{00000071-7E28-4C7A-B09E-74921A0FA3C0}"/>
              </c:ext>
            </c:extLst>
          </c:dPt>
          <c:dPt>
            <c:idx val="68"/>
            <c:invertIfNegative val="0"/>
            <c:bubble3D val="0"/>
            <c:extLst>
              <c:ext xmlns:c16="http://schemas.microsoft.com/office/drawing/2014/chart" uri="{C3380CC4-5D6E-409C-BE32-E72D297353CC}">
                <c16:uniqueId val="{00000072-7E28-4C7A-B09E-74921A0FA3C0}"/>
              </c:ext>
            </c:extLst>
          </c:dPt>
          <c:dPt>
            <c:idx val="69"/>
            <c:invertIfNegative val="0"/>
            <c:bubble3D val="0"/>
            <c:extLst>
              <c:ext xmlns:c16="http://schemas.microsoft.com/office/drawing/2014/chart" uri="{C3380CC4-5D6E-409C-BE32-E72D297353CC}">
                <c16:uniqueId val="{00000073-7E28-4C7A-B09E-74921A0FA3C0}"/>
              </c:ext>
            </c:extLst>
          </c:dPt>
          <c:dPt>
            <c:idx val="70"/>
            <c:invertIfNegative val="0"/>
            <c:bubble3D val="0"/>
            <c:extLst>
              <c:ext xmlns:c16="http://schemas.microsoft.com/office/drawing/2014/chart" uri="{C3380CC4-5D6E-409C-BE32-E72D297353CC}">
                <c16:uniqueId val="{00000074-7E28-4C7A-B09E-74921A0FA3C0}"/>
              </c:ext>
            </c:extLst>
          </c:dPt>
          <c:dPt>
            <c:idx val="71"/>
            <c:invertIfNegative val="0"/>
            <c:bubble3D val="0"/>
            <c:extLst>
              <c:ext xmlns:c16="http://schemas.microsoft.com/office/drawing/2014/chart" uri="{C3380CC4-5D6E-409C-BE32-E72D297353CC}">
                <c16:uniqueId val="{00000075-7E28-4C7A-B09E-74921A0FA3C0}"/>
              </c:ext>
            </c:extLst>
          </c:dPt>
          <c:dPt>
            <c:idx val="72"/>
            <c:invertIfNegative val="0"/>
            <c:bubble3D val="0"/>
            <c:extLst>
              <c:ext xmlns:c16="http://schemas.microsoft.com/office/drawing/2014/chart" uri="{C3380CC4-5D6E-409C-BE32-E72D297353CC}">
                <c16:uniqueId val="{00000076-7E28-4C7A-B09E-74921A0FA3C0}"/>
              </c:ext>
            </c:extLst>
          </c:dPt>
          <c:dPt>
            <c:idx val="73"/>
            <c:invertIfNegative val="0"/>
            <c:bubble3D val="0"/>
            <c:extLst>
              <c:ext xmlns:c16="http://schemas.microsoft.com/office/drawing/2014/chart" uri="{C3380CC4-5D6E-409C-BE32-E72D297353CC}">
                <c16:uniqueId val="{00000077-7E28-4C7A-B09E-74921A0FA3C0}"/>
              </c:ext>
            </c:extLst>
          </c:dPt>
          <c:dPt>
            <c:idx val="74"/>
            <c:invertIfNegative val="0"/>
            <c:bubble3D val="0"/>
            <c:extLst>
              <c:ext xmlns:c16="http://schemas.microsoft.com/office/drawing/2014/chart" uri="{C3380CC4-5D6E-409C-BE32-E72D297353CC}">
                <c16:uniqueId val="{00000078-7E28-4C7A-B09E-74921A0FA3C0}"/>
              </c:ext>
            </c:extLst>
          </c:dPt>
          <c:dPt>
            <c:idx val="75"/>
            <c:invertIfNegative val="0"/>
            <c:bubble3D val="0"/>
            <c:extLst>
              <c:ext xmlns:c16="http://schemas.microsoft.com/office/drawing/2014/chart" uri="{C3380CC4-5D6E-409C-BE32-E72D297353CC}">
                <c16:uniqueId val="{00000079-7E28-4C7A-B09E-74921A0FA3C0}"/>
              </c:ext>
            </c:extLst>
          </c:dPt>
          <c:dPt>
            <c:idx val="76"/>
            <c:invertIfNegative val="0"/>
            <c:bubble3D val="0"/>
            <c:extLst>
              <c:ext xmlns:c16="http://schemas.microsoft.com/office/drawing/2014/chart" uri="{C3380CC4-5D6E-409C-BE32-E72D297353CC}">
                <c16:uniqueId val="{0000007A-7E28-4C7A-B09E-74921A0FA3C0}"/>
              </c:ext>
            </c:extLst>
          </c:dPt>
          <c:dPt>
            <c:idx val="77"/>
            <c:invertIfNegative val="0"/>
            <c:bubble3D val="0"/>
            <c:extLst>
              <c:ext xmlns:c16="http://schemas.microsoft.com/office/drawing/2014/chart" uri="{C3380CC4-5D6E-409C-BE32-E72D297353CC}">
                <c16:uniqueId val="{0000007B-7E28-4C7A-B09E-74921A0FA3C0}"/>
              </c:ext>
            </c:extLst>
          </c:dPt>
          <c:dPt>
            <c:idx val="78"/>
            <c:invertIfNegative val="0"/>
            <c:bubble3D val="0"/>
            <c:extLst>
              <c:ext xmlns:c16="http://schemas.microsoft.com/office/drawing/2014/chart" uri="{C3380CC4-5D6E-409C-BE32-E72D297353CC}">
                <c16:uniqueId val="{0000007C-7E28-4C7A-B09E-74921A0FA3C0}"/>
              </c:ext>
            </c:extLst>
          </c:dPt>
          <c:dPt>
            <c:idx val="79"/>
            <c:invertIfNegative val="0"/>
            <c:bubble3D val="0"/>
            <c:extLst>
              <c:ext xmlns:c16="http://schemas.microsoft.com/office/drawing/2014/chart" uri="{C3380CC4-5D6E-409C-BE32-E72D297353CC}">
                <c16:uniqueId val="{0000013C-ADFF-4F35-A4C0-2453E5B57754}"/>
              </c:ext>
            </c:extLst>
          </c:dPt>
          <c:dPt>
            <c:idx val="80"/>
            <c:invertIfNegative val="0"/>
            <c:bubble3D val="0"/>
            <c:extLst>
              <c:ext xmlns:c16="http://schemas.microsoft.com/office/drawing/2014/chart" uri="{C3380CC4-5D6E-409C-BE32-E72D297353CC}">
                <c16:uniqueId val="{0000013D-ADFF-4F35-A4C0-2453E5B57754}"/>
              </c:ext>
            </c:extLst>
          </c:dPt>
          <c:dPt>
            <c:idx val="81"/>
            <c:invertIfNegative val="0"/>
            <c:bubble3D val="0"/>
            <c:extLst>
              <c:ext xmlns:c16="http://schemas.microsoft.com/office/drawing/2014/chart" uri="{C3380CC4-5D6E-409C-BE32-E72D297353CC}">
                <c16:uniqueId val="{0000013E-ADFF-4F35-A4C0-2453E5B57754}"/>
              </c:ext>
            </c:extLst>
          </c:dPt>
          <c:dPt>
            <c:idx val="82"/>
            <c:invertIfNegative val="0"/>
            <c:bubble3D val="0"/>
            <c:extLst>
              <c:ext xmlns:c16="http://schemas.microsoft.com/office/drawing/2014/chart" uri="{C3380CC4-5D6E-409C-BE32-E72D297353CC}">
                <c16:uniqueId val="{0000013F-ADFF-4F35-A4C0-2453E5B57754}"/>
              </c:ext>
            </c:extLst>
          </c:dPt>
          <c:dPt>
            <c:idx val="83"/>
            <c:invertIfNegative val="0"/>
            <c:bubble3D val="0"/>
            <c:extLst>
              <c:ext xmlns:c16="http://schemas.microsoft.com/office/drawing/2014/chart" uri="{C3380CC4-5D6E-409C-BE32-E72D297353CC}">
                <c16:uniqueId val="{00000140-ADFF-4F35-A4C0-2453E5B57754}"/>
              </c:ext>
            </c:extLst>
          </c:dPt>
          <c:dPt>
            <c:idx val="84"/>
            <c:invertIfNegative val="0"/>
            <c:bubble3D val="0"/>
            <c:extLst>
              <c:ext xmlns:c16="http://schemas.microsoft.com/office/drawing/2014/chart" uri="{C3380CC4-5D6E-409C-BE32-E72D297353CC}">
                <c16:uniqueId val="{00000141-ADFF-4F35-A4C0-2453E5B57754}"/>
              </c:ext>
            </c:extLst>
          </c:dPt>
          <c:dPt>
            <c:idx val="85"/>
            <c:invertIfNegative val="0"/>
            <c:bubble3D val="0"/>
            <c:extLst>
              <c:ext xmlns:c16="http://schemas.microsoft.com/office/drawing/2014/chart" uri="{C3380CC4-5D6E-409C-BE32-E72D297353CC}">
                <c16:uniqueId val="{00000142-ADFF-4F35-A4C0-2453E5B57754}"/>
              </c:ext>
            </c:extLst>
          </c:dPt>
          <c:dPt>
            <c:idx val="86"/>
            <c:invertIfNegative val="0"/>
            <c:bubble3D val="0"/>
            <c:extLst>
              <c:ext xmlns:c16="http://schemas.microsoft.com/office/drawing/2014/chart" uri="{C3380CC4-5D6E-409C-BE32-E72D297353CC}">
                <c16:uniqueId val="{00000143-ADFF-4F35-A4C0-2453E5B57754}"/>
              </c:ext>
            </c:extLst>
          </c:dPt>
          <c:dPt>
            <c:idx val="87"/>
            <c:invertIfNegative val="0"/>
            <c:bubble3D val="0"/>
            <c:extLst>
              <c:ext xmlns:c16="http://schemas.microsoft.com/office/drawing/2014/chart" uri="{C3380CC4-5D6E-409C-BE32-E72D297353CC}">
                <c16:uniqueId val="{00000144-ADFF-4F35-A4C0-2453E5B57754}"/>
              </c:ext>
            </c:extLst>
          </c:dPt>
          <c:dPt>
            <c:idx val="88"/>
            <c:invertIfNegative val="0"/>
            <c:bubble3D val="0"/>
            <c:extLst>
              <c:ext xmlns:c16="http://schemas.microsoft.com/office/drawing/2014/chart" uri="{C3380CC4-5D6E-409C-BE32-E72D297353CC}">
                <c16:uniqueId val="{00000145-ADFF-4F35-A4C0-2453E5B57754}"/>
              </c:ext>
            </c:extLst>
          </c:dPt>
          <c:dPt>
            <c:idx val="89"/>
            <c:invertIfNegative val="0"/>
            <c:bubble3D val="0"/>
            <c:extLst>
              <c:ext xmlns:c16="http://schemas.microsoft.com/office/drawing/2014/chart" uri="{C3380CC4-5D6E-409C-BE32-E72D297353CC}">
                <c16:uniqueId val="{00000146-ADFF-4F35-A4C0-2453E5B57754}"/>
              </c:ext>
            </c:extLst>
          </c:dPt>
          <c:dPt>
            <c:idx val="90"/>
            <c:invertIfNegative val="0"/>
            <c:bubble3D val="0"/>
            <c:extLst>
              <c:ext xmlns:c16="http://schemas.microsoft.com/office/drawing/2014/chart" uri="{C3380CC4-5D6E-409C-BE32-E72D297353CC}">
                <c16:uniqueId val="{00000147-ADFF-4F35-A4C0-2453E5B57754}"/>
              </c:ext>
            </c:extLst>
          </c:dPt>
          <c:dPt>
            <c:idx val="91"/>
            <c:invertIfNegative val="0"/>
            <c:bubble3D val="0"/>
            <c:extLst>
              <c:ext xmlns:c16="http://schemas.microsoft.com/office/drawing/2014/chart" uri="{C3380CC4-5D6E-409C-BE32-E72D297353CC}">
                <c16:uniqueId val="{00000148-ADFF-4F35-A4C0-2453E5B57754}"/>
              </c:ext>
            </c:extLst>
          </c:dPt>
          <c:dPt>
            <c:idx val="92"/>
            <c:invertIfNegative val="0"/>
            <c:bubble3D val="0"/>
            <c:extLst>
              <c:ext xmlns:c16="http://schemas.microsoft.com/office/drawing/2014/chart" uri="{C3380CC4-5D6E-409C-BE32-E72D297353CC}">
                <c16:uniqueId val="{00000149-ADFF-4F35-A4C0-2453E5B57754}"/>
              </c:ext>
            </c:extLst>
          </c:dPt>
          <c:dPt>
            <c:idx val="93"/>
            <c:invertIfNegative val="0"/>
            <c:bubble3D val="0"/>
            <c:extLst>
              <c:ext xmlns:c16="http://schemas.microsoft.com/office/drawing/2014/chart" uri="{C3380CC4-5D6E-409C-BE32-E72D297353CC}">
                <c16:uniqueId val="{0000014A-ADFF-4F35-A4C0-2453E5B57754}"/>
              </c:ext>
            </c:extLst>
          </c:dPt>
          <c:dPt>
            <c:idx val="94"/>
            <c:invertIfNegative val="0"/>
            <c:bubble3D val="0"/>
            <c:extLst>
              <c:ext xmlns:c16="http://schemas.microsoft.com/office/drawing/2014/chart" uri="{C3380CC4-5D6E-409C-BE32-E72D297353CC}">
                <c16:uniqueId val="{0000014B-ADFF-4F35-A4C0-2453E5B57754}"/>
              </c:ext>
            </c:extLst>
          </c:dPt>
          <c:dPt>
            <c:idx val="95"/>
            <c:invertIfNegative val="0"/>
            <c:bubble3D val="0"/>
            <c:extLst>
              <c:ext xmlns:c16="http://schemas.microsoft.com/office/drawing/2014/chart" uri="{C3380CC4-5D6E-409C-BE32-E72D297353CC}">
                <c16:uniqueId val="{0000014C-ADFF-4F35-A4C0-2453E5B57754}"/>
              </c:ext>
            </c:extLst>
          </c:dPt>
          <c:dPt>
            <c:idx val="96"/>
            <c:invertIfNegative val="0"/>
            <c:bubble3D val="0"/>
            <c:extLst>
              <c:ext xmlns:c16="http://schemas.microsoft.com/office/drawing/2014/chart" uri="{C3380CC4-5D6E-409C-BE32-E72D297353CC}">
                <c16:uniqueId val="{0000014D-ADFF-4F35-A4C0-2453E5B57754}"/>
              </c:ext>
            </c:extLst>
          </c:dPt>
          <c:dPt>
            <c:idx val="97"/>
            <c:invertIfNegative val="0"/>
            <c:bubble3D val="0"/>
            <c:extLst>
              <c:ext xmlns:c16="http://schemas.microsoft.com/office/drawing/2014/chart" uri="{C3380CC4-5D6E-409C-BE32-E72D297353CC}">
                <c16:uniqueId val="{0000014E-ADFF-4F35-A4C0-2453E5B57754}"/>
              </c:ext>
            </c:extLst>
          </c:dPt>
          <c:dPt>
            <c:idx val="98"/>
            <c:invertIfNegative val="0"/>
            <c:bubble3D val="0"/>
            <c:extLst>
              <c:ext xmlns:c16="http://schemas.microsoft.com/office/drawing/2014/chart" uri="{C3380CC4-5D6E-409C-BE32-E72D297353CC}">
                <c16:uniqueId val="{0000014F-ADFF-4F35-A4C0-2453E5B57754}"/>
              </c:ext>
            </c:extLst>
          </c:dPt>
          <c:dPt>
            <c:idx val="99"/>
            <c:invertIfNegative val="0"/>
            <c:bubble3D val="0"/>
            <c:extLst>
              <c:ext xmlns:c16="http://schemas.microsoft.com/office/drawing/2014/chart" uri="{C3380CC4-5D6E-409C-BE32-E72D297353CC}">
                <c16:uniqueId val="{00000150-ADFF-4F35-A4C0-2453E5B57754}"/>
              </c:ext>
            </c:extLst>
          </c:dPt>
          <c:dPt>
            <c:idx val="100"/>
            <c:invertIfNegative val="0"/>
            <c:bubble3D val="0"/>
            <c:extLst>
              <c:ext xmlns:c16="http://schemas.microsoft.com/office/drawing/2014/chart" uri="{C3380CC4-5D6E-409C-BE32-E72D297353CC}">
                <c16:uniqueId val="{00000151-ADFF-4F35-A4C0-2453E5B57754}"/>
              </c:ext>
            </c:extLst>
          </c:dPt>
          <c:dPt>
            <c:idx val="101"/>
            <c:invertIfNegative val="0"/>
            <c:bubble3D val="0"/>
            <c:extLst>
              <c:ext xmlns:c16="http://schemas.microsoft.com/office/drawing/2014/chart" uri="{C3380CC4-5D6E-409C-BE32-E72D297353CC}">
                <c16:uniqueId val="{00000152-ADFF-4F35-A4C0-2453E5B57754}"/>
              </c:ext>
            </c:extLst>
          </c:dPt>
          <c:dPt>
            <c:idx val="102"/>
            <c:invertIfNegative val="0"/>
            <c:bubble3D val="0"/>
            <c:extLst>
              <c:ext xmlns:c16="http://schemas.microsoft.com/office/drawing/2014/chart" uri="{C3380CC4-5D6E-409C-BE32-E72D297353CC}">
                <c16:uniqueId val="{00000153-ADFF-4F35-A4C0-2453E5B57754}"/>
              </c:ext>
            </c:extLst>
          </c:dPt>
          <c:dPt>
            <c:idx val="103"/>
            <c:invertIfNegative val="0"/>
            <c:bubble3D val="0"/>
            <c:extLst>
              <c:ext xmlns:c16="http://schemas.microsoft.com/office/drawing/2014/chart" uri="{C3380CC4-5D6E-409C-BE32-E72D297353CC}">
                <c16:uniqueId val="{00000154-ADFF-4F35-A4C0-2453E5B57754}"/>
              </c:ext>
            </c:extLst>
          </c:dPt>
          <c:dPt>
            <c:idx val="104"/>
            <c:invertIfNegative val="0"/>
            <c:bubble3D val="0"/>
            <c:extLst>
              <c:ext xmlns:c16="http://schemas.microsoft.com/office/drawing/2014/chart" uri="{C3380CC4-5D6E-409C-BE32-E72D297353CC}">
                <c16:uniqueId val="{00000155-ADFF-4F35-A4C0-2453E5B57754}"/>
              </c:ext>
            </c:extLst>
          </c:dPt>
          <c:dPt>
            <c:idx val="105"/>
            <c:invertIfNegative val="0"/>
            <c:bubble3D val="0"/>
            <c:extLst>
              <c:ext xmlns:c16="http://schemas.microsoft.com/office/drawing/2014/chart" uri="{C3380CC4-5D6E-409C-BE32-E72D297353CC}">
                <c16:uniqueId val="{00000156-ADFF-4F35-A4C0-2453E5B57754}"/>
              </c:ext>
            </c:extLst>
          </c:dPt>
          <c:dPt>
            <c:idx val="106"/>
            <c:invertIfNegative val="0"/>
            <c:bubble3D val="0"/>
            <c:extLst>
              <c:ext xmlns:c16="http://schemas.microsoft.com/office/drawing/2014/chart" uri="{C3380CC4-5D6E-409C-BE32-E72D297353CC}">
                <c16:uniqueId val="{000000D5-9804-4DD8-9694-568AA3BDB7BE}"/>
              </c:ext>
            </c:extLst>
          </c:dPt>
          <c:dPt>
            <c:idx val="107"/>
            <c:invertIfNegative val="0"/>
            <c:bubble3D val="0"/>
            <c:extLst>
              <c:ext xmlns:c16="http://schemas.microsoft.com/office/drawing/2014/chart" uri="{C3380CC4-5D6E-409C-BE32-E72D297353CC}">
                <c16:uniqueId val="{000000D7-9804-4DD8-9694-568AA3BDB7BE}"/>
              </c:ext>
            </c:extLst>
          </c:dPt>
          <c:dPt>
            <c:idx val="108"/>
            <c:invertIfNegative val="0"/>
            <c:bubble3D val="0"/>
            <c:extLst>
              <c:ext xmlns:c16="http://schemas.microsoft.com/office/drawing/2014/chart" uri="{C3380CC4-5D6E-409C-BE32-E72D297353CC}">
                <c16:uniqueId val="{000001B0-9804-4DD8-9694-568AA3BDB7BE}"/>
              </c:ext>
            </c:extLst>
          </c:dPt>
          <c:dPt>
            <c:idx val="109"/>
            <c:invertIfNegative val="0"/>
            <c:bubble3D val="0"/>
            <c:extLst>
              <c:ext xmlns:c16="http://schemas.microsoft.com/office/drawing/2014/chart" uri="{C3380CC4-5D6E-409C-BE32-E72D297353CC}">
                <c16:uniqueId val="{000001B1-9804-4DD8-9694-568AA3BDB7BE}"/>
              </c:ext>
            </c:extLst>
          </c:dPt>
          <c:dPt>
            <c:idx val="110"/>
            <c:invertIfNegative val="0"/>
            <c:bubble3D val="0"/>
            <c:extLst>
              <c:ext xmlns:c16="http://schemas.microsoft.com/office/drawing/2014/chart" uri="{C3380CC4-5D6E-409C-BE32-E72D297353CC}">
                <c16:uniqueId val="{000001B2-9804-4DD8-9694-568AA3BDB7BE}"/>
              </c:ext>
            </c:extLst>
          </c:dPt>
          <c:dPt>
            <c:idx val="111"/>
            <c:invertIfNegative val="0"/>
            <c:bubble3D val="0"/>
            <c:extLst>
              <c:ext xmlns:c16="http://schemas.microsoft.com/office/drawing/2014/chart" uri="{C3380CC4-5D6E-409C-BE32-E72D297353CC}">
                <c16:uniqueId val="{000001B3-9804-4DD8-9694-568AA3BDB7BE}"/>
              </c:ext>
            </c:extLst>
          </c:dPt>
          <c:dPt>
            <c:idx val="112"/>
            <c:invertIfNegative val="0"/>
            <c:bubble3D val="0"/>
            <c:extLst>
              <c:ext xmlns:c16="http://schemas.microsoft.com/office/drawing/2014/chart" uri="{C3380CC4-5D6E-409C-BE32-E72D297353CC}">
                <c16:uniqueId val="{000001B4-9804-4DD8-9694-568AA3BDB7BE}"/>
              </c:ext>
            </c:extLst>
          </c:dPt>
          <c:dPt>
            <c:idx val="113"/>
            <c:invertIfNegative val="0"/>
            <c:bubble3D val="0"/>
            <c:extLst>
              <c:ext xmlns:c16="http://schemas.microsoft.com/office/drawing/2014/chart" uri="{C3380CC4-5D6E-409C-BE32-E72D297353CC}">
                <c16:uniqueId val="{000001B5-9804-4DD8-9694-568AA3BDB7BE}"/>
              </c:ext>
            </c:extLst>
          </c:dPt>
          <c:dPt>
            <c:idx val="114"/>
            <c:invertIfNegative val="0"/>
            <c:bubble3D val="0"/>
            <c:extLst>
              <c:ext xmlns:c16="http://schemas.microsoft.com/office/drawing/2014/chart" uri="{C3380CC4-5D6E-409C-BE32-E72D297353CC}">
                <c16:uniqueId val="{000001B6-9804-4DD8-9694-568AA3BDB7BE}"/>
              </c:ext>
            </c:extLst>
          </c:dPt>
          <c:dPt>
            <c:idx val="115"/>
            <c:invertIfNegative val="0"/>
            <c:bubble3D val="0"/>
            <c:extLst>
              <c:ext xmlns:c16="http://schemas.microsoft.com/office/drawing/2014/chart" uri="{C3380CC4-5D6E-409C-BE32-E72D297353CC}">
                <c16:uniqueId val="{000001B7-9804-4DD8-9694-568AA3BDB7BE}"/>
              </c:ext>
            </c:extLst>
          </c:dPt>
          <c:dPt>
            <c:idx val="116"/>
            <c:invertIfNegative val="0"/>
            <c:bubble3D val="0"/>
            <c:extLst>
              <c:ext xmlns:c16="http://schemas.microsoft.com/office/drawing/2014/chart" uri="{C3380CC4-5D6E-409C-BE32-E72D297353CC}">
                <c16:uniqueId val="{000001B8-9804-4DD8-9694-568AA3BDB7BE}"/>
              </c:ext>
            </c:extLst>
          </c:dPt>
          <c:dPt>
            <c:idx val="117"/>
            <c:invertIfNegative val="0"/>
            <c:bubble3D val="0"/>
            <c:extLst>
              <c:ext xmlns:c16="http://schemas.microsoft.com/office/drawing/2014/chart" uri="{C3380CC4-5D6E-409C-BE32-E72D297353CC}">
                <c16:uniqueId val="{000001B9-9804-4DD8-9694-568AA3BDB7BE}"/>
              </c:ext>
            </c:extLst>
          </c:dPt>
          <c:dPt>
            <c:idx val="118"/>
            <c:invertIfNegative val="0"/>
            <c:bubble3D val="0"/>
            <c:extLst>
              <c:ext xmlns:c16="http://schemas.microsoft.com/office/drawing/2014/chart" uri="{C3380CC4-5D6E-409C-BE32-E72D297353CC}">
                <c16:uniqueId val="{000001BA-9804-4DD8-9694-568AA3BDB7BE}"/>
              </c:ext>
            </c:extLst>
          </c:dPt>
          <c:dPt>
            <c:idx val="119"/>
            <c:invertIfNegative val="0"/>
            <c:bubble3D val="0"/>
            <c:extLst>
              <c:ext xmlns:c16="http://schemas.microsoft.com/office/drawing/2014/chart" uri="{C3380CC4-5D6E-409C-BE32-E72D297353CC}">
                <c16:uniqueId val="{000001BB-9804-4DD8-9694-568AA3BDB7BE}"/>
              </c:ext>
            </c:extLst>
          </c:dPt>
          <c:dPt>
            <c:idx val="120"/>
            <c:invertIfNegative val="0"/>
            <c:bubble3D val="0"/>
            <c:extLst>
              <c:ext xmlns:c16="http://schemas.microsoft.com/office/drawing/2014/chart" uri="{C3380CC4-5D6E-409C-BE32-E72D297353CC}">
                <c16:uniqueId val="{000001BC-9804-4DD8-9694-568AA3BDB7BE}"/>
              </c:ext>
            </c:extLst>
          </c:dPt>
          <c:dPt>
            <c:idx val="121"/>
            <c:invertIfNegative val="0"/>
            <c:bubble3D val="0"/>
            <c:extLst>
              <c:ext xmlns:c16="http://schemas.microsoft.com/office/drawing/2014/chart" uri="{C3380CC4-5D6E-409C-BE32-E72D297353CC}">
                <c16:uniqueId val="{000001BD-9804-4DD8-9694-568AA3BDB7BE}"/>
              </c:ext>
            </c:extLst>
          </c:dPt>
          <c:dPt>
            <c:idx val="122"/>
            <c:invertIfNegative val="0"/>
            <c:bubble3D val="0"/>
            <c:extLst>
              <c:ext xmlns:c16="http://schemas.microsoft.com/office/drawing/2014/chart" uri="{C3380CC4-5D6E-409C-BE32-E72D297353CC}">
                <c16:uniqueId val="{000000F5-059F-4BE3-88E0-18DC76385D0D}"/>
              </c:ext>
            </c:extLst>
          </c:dPt>
          <c:dPt>
            <c:idx val="123"/>
            <c:invertIfNegative val="0"/>
            <c:bubble3D val="0"/>
            <c:extLst>
              <c:ext xmlns:c16="http://schemas.microsoft.com/office/drawing/2014/chart" uri="{C3380CC4-5D6E-409C-BE32-E72D297353CC}">
                <c16:uniqueId val="{000000F7-059F-4BE3-88E0-18DC76385D0D}"/>
              </c:ext>
            </c:extLst>
          </c:dPt>
          <c:dPt>
            <c:idx val="124"/>
            <c:invertIfNegative val="0"/>
            <c:bubble3D val="0"/>
            <c:extLst>
              <c:ext xmlns:c16="http://schemas.microsoft.com/office/drawing/2014/chart" uri="{C3380CC4-5D6E-409C-BE32-E72D297353CC}">
                <c16:uniqueId val="{000000F9-059F-4BE3-88E0-18DC76385D0D}"/>
              </c:ext>
            </c:extLst>
          </c:dPt>
          <c:dPt>
            <c:idx val="125"/>
            <c:invertIfNegative val="0"/>
            <c:bubble3D val="0"/>
            <c:extLst>
              <c:ext xmlns:c16="http://schemas.microsoft.com/office/drawing/2014/chart" uri="{C3380CC4-5D6E-409C-BE32-E72D297353CC}">
                <c16:uniqueId val="{000000FB-059F-4BE3-88E0-18DC76385D0D}"/>
              </c:ext>
            </c:extLst>
          </c:dPt>
          <c:dPt>
            <c:idx val="126"/>
            <c:invertIfNegative val="0"/>
            <c:bubble3D val="0"/>
            <c:extLst>
              <c:ext xmlns:c16="http://schemas.microsoft.com/office/drawing/2014/chart" uri="{C3380CC4-5D6E-409C-BE32-E72D297353CC}">
                <c16:uniqueId val="{000000FD-059F-4BE3-88E0-18DC76385D0D}"/>
              </c:ext>
            </c:extLst>
          </c:dPt>
          <c:dPt>
            <c:idx val="127"/>
            <c:invertIfNegative val="0"/>
            <c:bubble3D val="0"/>
            <c:extLst>
              <c:ext xmlns:c16="http://schemas.microsoft.com/office/drawing/2014/chart" uri="{C3380CC4-5D6E-409C-BE32-E72D297353CC}">
                <c16:uniqueId val="{000000FF-059F-4BE3-88E0-18DC76385D0D}"/>
              </c:ext>
            </c:extLst>
          </c:dPt>
          <c:dPt>
            <c:idx val="128"/>
            <c:invertIfNegative val="0"/>
            <c:bubble3D val="0"/>
            <c:extLst>
              <c:ext xmlns:c16="http://schemas.microsoft.com/office/drawing/2014/chart" uri="{C3380CC4-5D6E-409C-BE32-E72D297353CC}">
                <c16:uniqueId val="{000001CC-9804-4DD8-9694-568AA3BDB7BE}"/>
              </c:ext>
            </c:extLst>
          </c:dPt>
          <c:dPt>
            <c:idx val="129"/>
            <c:invertIfNegative val="0"/>
            <c:bubble3D val="0"/>
            <c:extLst>
              <c:ext xmlns:c16="http://schemas.microsoft.com/office/drawing/2014/chart" uri="{C3380CC4-5D6E-409C-BE32-E72D297353CC}">
                <c16:uniqueId val="{000001CD-9804-4DD8-9694-568AA3BDB7BE}"/>
              </c:ext>
            </c:extLst>
          </c:dPt>
          <c:dPt>
            <c:idx val="130"/>
            <c:invertIfNegative val="0"/>
            <c:bubble3D val="0"/>
            <c:extLst>
              <c:ext xmlns:c16="http://schemas.microsoft.com/office/drawing/2014/chart" uri="{C3380CC4-5D6E-409C-BE32-E72D297353CC}">
                <c16:uniqueId val="{00000208-45A8-4A3E-BAB4-1739250877BD}"/>
              </c:ext>
            </c:extLst>
          </c:dPt>
          <c:dPt>
            <c:idx val="131"/>
            <c:invertIfNegative val="0"/>
            <c:bubble3D val="0"/>
            <c:extLst>
              <c:ext xmlns:c16="http://schemas.microsoft.com/office/drawing/2014/chart" uri="{C3380CC4-5D6E-409C-BE32-E72D297353CC}">
                <c16:uniqueId val="{00000209-45A8-4A3E-BAB4-1739250877BD}"/>
              </c:ext>
            </c:extLst>
          </c:dPt>
          <c:dPt>
            <c:idx val="132"/>
            <c:invertIfNegative val="0"/>
            <c:bubble3D val="0"/>
            <c:extLst>
              <c:ext xmlns:c16="http://schemas.microsoft.com/office/drawing/2014/chart" uri="{C3380CC4-5D6E-409C-BE32-E72D297353CC}">
                <c16:uniqueId val="{0000020A-45A8-4A3E-BAB4-1739250877BD}"/>
              </c:ext>
            </c:extLst>
          </c:dPt>
          <c:dPt>
            <c:idx val="133"/>
            <c:invertIfNegative val="0"/>
            <c:bubble3D val="0"/>
            <c:extLst>
              <c:ext xmlns:c16="http://schemas.microsoft.com/office/drawing/2014/chart" uri="{C3380CC4-5D6E-409C-BE32-E72D297353CC}">
                <c16:uniqueId val="{0000020B-45A8-4A3E-BAB4-1739250877BD}"/>
              </c:ext>
            </c:extLst>
          </c:dPt>
          <c:dPt>
            <c:idx val="134"/>
            <c:invertIfNegative val="0"/>
            <c:bubble3D val="0"/>
            <c:extLst>
              <c:ext xmlns:c16="http://schemas.microsoft.com/office/drawing/2014/chart" uri="{C3380CC4-5D6E-409C-BE32-E72D297353CC}">
                <c16:uniqueId val="{00000218-431D-487A-8E3D-A3FDF8517418}"/>
              </c:ext>
            </c:extLst>
          </c:dPt>
          <c:dPt>
            <c:idx val="135"/>
            <c:invertIfNegative val="0"/>
            <c:bubble3D val="0"/>
            <c:extLst>
              <c:ext xmlns:c16="http://schemas.microsoft.com/office/drawing/2014/chart" uri="{C3380CC4-5D6E-409C-BE32-E72D297353CC}">
                <c16:uniqueId val="{00000219-431D-487A-8E3D-A3FDF8517418}"/>
              </c:ext>
            </c:extLst>
          </c:dPt>
          <c:dPt>
            <c:idx val="136"/>
            <c:invertIfNegative val="0"/>
            <c:bubble3D val="0"/>
            <c:extLst>
              <c:ext xmlns:c16="http://schemas.microsoft.com/office/drawing/2014/chart" uri="{C3380CC4-5D6E-409C-BE32-E72D297353CC}">
                <c16:uniqueId val="{00000220-4352-4722-B63F-CD5C1C52E553}"/>
              </c:ext>
            </c:extLst>
          </c:dPt>
          <c:dPt>
            <c:idx val="137"/>
            <c:invertIfNegative val="0"/>
            <c:bubble3D val="0"/>
            <c:extLst>
              <c:ext xmlns:c16="http://schemas.microsoft.com/office/drawing/2014/chart" uri="{C3380CC4-5D6E-409C-BE32-E72D297353CC}">
                <c16:uniqueId val="{00000221-4352-4722-B63F-CD5C1C52E553}"/>
              </c:ext>
            </c:extLst>
          </c:dPt>
          <c:dPt>
            <c:idx val="138"/>
            <c:invertIfNegative val="0"/>
            <c:bubble3D val="0"/>
            <c:extLst>
              <c:ext xmlns:c16="http://schemas.microsoft.com/office/drawing/2014/chart" uri="{C3380CC4-5D6E-409C-BE32-E72D297353CC}">
                <c16:uniqueId val="{00000228-F844-4F86-962E-A86465320DB0}"/>
              </c:ext>
            </c:extLst>
          </c:dPt>
          <c:dPt>
            <c:idx val="139"/>
            <c:invertIfNegative val="0"/>
            <c:bubble3D val="0"/>
            <c:extLst>
              <c:ext xmlns:c16="http://schemas.microsoft.com/office/drawing/2014/chart" uri="{C3380CC4-5D6E-409C-BE32-E72D297353CC}">
                <c16:uniqueId val="{00000229-F844-4F86-962E-A86465320DB0}"/>
              </c:ext>
            </c:extLst>
          </c:dPt>
          <c:dPt>
            <c:idx val="140"/>
            <c:invertIfNegative val="0"/>
            <c:bubble3D val="0"/>
            <c:extLst>
              <c:ext xmlns:c16="http://schemas.microsoft.com/office/drawing/2014/chart" uri="{C3380CC4-5D6E-409C-BE32-E72D297353CC}">
                <c16:uniqueId val="{0000022A-F844-4F86-962E-A86465320DB0}"/>
              </c:ext>
            </c:extLst>
          </c:dPt>
          <c:dPt>
            <c:idx val="141"/>
            <c:invertIfNegative val="0"/>
            <c:bubble3D val="0"/>
            <c:extLst>
              <c:ext xmlns:c16="http://schemas.microsoft.com/office/drawing/2014/chart" uri="{C3380CC4-5D6E-409C-BE32-E72D297353CC}">
                <c16:uniqueId val="{0000022B-F844-4F86-962E-A86465320DB0}"/>
              </c:ext>
            </c:extLst>
          </c:dPt>
          <c:dPt>
            <c:idx val="142"/>
            <c:invertIfNegative val="0"/>
            <c:bubble3D val="0"/>
            <c:extLst>
              <c:ext xmlns:c16="http://schemas.microsoft.com/office/drawing/2014/chart" uri="{C3380CC4-5D6E-409C-BE32-E72D297353CC}">
                <c16:uniqueId val="{0000022C-F844-4F86-962E-A86465320DB0}"/>
              </c:ext>
            </c:extLst>
          </c:dPt>
          <c:dPt>
            <c:idx val="143"/>
            <c:invertIfNegative val="0"/>
            <c:bubble3D val="0"/>
            <c:extLst>
              <c:ext xmlns:c16="http://schemas.microsoft.com/office/drawing/2014/chart" uri="{C3380CC4-5D6E-409C-BE32-E72D297353CC}">
                <c16:uniqueId val="{0000022D-F844-4F86-962E-A86465320DB0}"/>
              </c:ext>
            </c:extLst>
          </c:dPt>
          <c:dPt>
            <c:idx val="144"/>
            <c:invertIfNegative val="0"/>
            <c:bubble3D val="0"/>
            <c:extLst>
              <c:ext xmlns:c16="http://schemas.microsoft.com/office/drawing/2014/chart" uri="{C3380CC4-5D6E-409C-BE32-E72D297353CC}">
                <c16:uniqueId val="{0000022E-F844-4F86-962E-A86465320DB0}"/>
              </c:ext>
            </c:extLst>
          </c:dPt>
          <c:dPt>
            <c:idx val="145"/>
            <c:invertIfNegative val="0"/>
            <c:bubble3D val="0"/>
            <c:extLst>
              <c:ext xmlns:c16="http://schemas.microsoft.com/office/drawing/2014/chart" uri="{C3380CC4-5D6E-409C-BE32-E72D297353CC}">
                <c16:uniqueId val="{0000022F-F844-4F86-962E-A86465320DB0}"/>
              </c:ext>
            </c:extLst>
          </c:dPt>
          <c:dPt>
            <c:idx val="146"/>
            <c:invertIfNegative val="0"/>
            <c:bubble3D val="0"/>
            <c:extLst>
              <c:ext xmlns:c16="http://schemas.microsoft.com/office/drawing/2014/chart" uri="{C3380CC4-5D6E-409C-BE32-E72D297353CC}">
                <c16:uniqueId val="{00000230-F844-4F86-962E-A86465320DB0}"/>
              </c:ext>
            </c:extLst>
          </c:dPt>
          <c:dPt>
            <c:idx val="147"/>
            <c:invertIfNegative val="0"/>
            <c:bubble3D val="0"/>
            <c:extLst>
              <c:ext xmlns:c16="http://schemas.microsoft.com/office/drawing/2014/chart" uri="{C3380CC4-5D6E-409C-BE32-E72D297353CC}">
                <c16:uniqueId val="{00000231-F844-4F86-962E-A86465320DB0}"/>
              </c:ext>
            </c:extLst>
          </c:dPt>
          <c:dPt>
            <c:idx val="148"/>
            <c:invertIfNegative val="0"/>
            <c:bubble3D val="0"/>
            <c:extLst>
              <c:ext xmlns:c16="http://schemas.microsoft.com/office/drawing/2014/chart" uri="{C3380CC4-5D6E-409C-BE32-E72D297353CC}">
                <c16:uniqueId val="{00000232-F844-4F86-962E-A86465320DB0}"/>
              </c:ext>
            </c:extLst>
          </c:dPt>
          <c:dPt>
            <c:idx val="149"/>
            <c:invertIfNegative val="0"/>
            <c:bubble3D val="0"/>
            <c:extLst>
              <c:ext xmlns:c16="http://schemas.microsoft.com/office/drawing/2014/chart" uri="{C3380CC4-5D6E-409C-BE32-E72D297353CC}">
                <c16:uniqueId val="{00000233-F844-4F86-962E-A86465320DB0}"/>
              </c:ext>
            </c:extLst>
          </c:dPt>
          <c:dPt>
            <c:idx val="150"/>
            <c:invertIfNegative val="0"/>
            <c:bubble3D val="0"/>
            <c:extLst>
              <c:ext xmlns:c16="http://schemas.microsoft.com/office/drawing/2014/chart" uri="{C3380CC4-5D6E-409C-BE32-E72D297353CC}">
                <c16:uniqueId val="{00000234-F844-4F86-962E-A86465320DB0}"/>
              </c:ext>
            </c:extLst>
          </c:dPt>
          <c:dPt>
            <c:idx val="151"/>
            <c:invertIfNegative val="0"/>
            <c:bubble3D val="0"/>
            <c:extLst>
              <c:ext xmlns:c16="http://schemas.microsoft.com/office/drawing/2014/chart" uri="{C3380CC4-5D6E-409C-BE32-E72D297353CC}">
                <c16:uniqueId val="{00000235-F844-4F86-962E-A86465320DB0}"/>
              </c:ext>
            </c:extLst>
          </c:dPt>
          <c:dPt>
            <c:idx val="152"/>
            <c:invertIfNegative val="0"/>
            <c:bubble3D val="0"/>
            <c:extLst>
              <c:ext xmlns:c16="http://schemas.microsoft.com/office/drawing/2014/chart" uri="{C3380CC4-5D6E-409C-BE32-E72D297353CC}">
                <c16:uniqueId val="{00000236-F844-4F86-962E-A86465320DB0}"/>
              </c:ext>
            </c:extLst>
          </c:dPt>
          <c:dPt>
            <c:idx val="153"/>
            <c:invertIfNegative val="0"/>
            <c:bubble3D val="0"/>
            <c:extLst>
              <c:ext xmlns:c16="http://schemas.microsoft.com/office/drawing/2014/chart" uri="{C3380CC4-5D6E-409C-BE32-E72D297353CC}">
                <c16:uniqueId val="{00000237-F844-4F86-962E-A86465320DB0}"/>
              </c:ext>
            </c:extLst>
          </c:dPt>
          <c:dPt>
            <c:idx val="154"/>
            <c:invertIfNegative val="0"/>
            <c:bubble3D val="0"/>
            <c:extLst>
              <c:ext xmlns:c16="http://schemas.microsoft.com/office/drawing/2014/chart" uri="{C3380CC4-5D6E-409C-BE32-E72D297353CC}">
                <c16:uniqueId val="{00000238-F844-4F86-962E-A86465320DB0}"/>
              </c:ext>
            </c:extLst>
          </c:dPt>
          <c:dPt>
            <c:idx val="155"/>
            <c:invertIfNegative val="0"/>
            <c:bubble3D val="0"/>
            <c:extLst>
              <c:ext xmlns:c16="http://schemas.microsoft.com/office/drawing/2014/chart" uri="{C3380CC4-5D6E-409C-BE32-E72D297353CC}">
                <c16:uniqueId val="{00000239-F844-4F86-962E-A86465320DB0}"/>
              </c:ext>
            </c:extLst>
          </c:dPt>
          <c:dPt>
            <c:idx val="156"/>
            <c:invertIfNegative val="0"/>
            <c:bubble3D val="0"/>
            <c:extLst>
              <c:ext xmlns:c16="http://schemas.microsoft.com/office/drawing/2014/chart" uri="{C3380CC4-5D6E-409C-BE32-E72D297353CC}">
                <c16:uniqueId val="{0000023A-F844-4F86-962E-A86465320DB0}"/>
              </c:ext>
            </c:extLst>
          </c:dPt>
          <c:dPt>
            <c:idx val="157"/>
            <c:invertIfNegative val="0"/>
            <c:bubble3D val="0"/>
            <c:extLst>
              <c:ext xmlns:c16="http://schemas.microsoft.com/office/drawing/2014/chart" uri="{C3380CC4-5D6E-409C-BE32-E72D297353CC}">
                <c16:uniqueId val="{0000023B-F844-4F86-962E-A86465320DB0}"/>
              </c:ext>
            </c:extLst>
          </c:dPt>
          <c:dPt>
            <c:idx val="158"/>
            <c:invertIfNegative val="0"/>
            <c:bubble3D val="0"/>
            <c:extLst>
              <c:ext xmlns:c16="http://schemas.microsoft.com/office/drawing/2014/chart" uri="{C3380CC4-5D6E-409C-BE32-E72D297353CC}">
                <c16:uniqueId val="{0000023C-F844-4F86-962E-A86465320DB0}"/>
              </c:ext>
            </c:extLst>
          </c:dPt>
          <c:dPt>
            <c:idx val="159"/>
            <c:invertIfNegative val="0"/>
            <c:bubble3D val="0"/>
            <c:extLst>
              <c:ext xmlns:c16="http://schemas.microsoft.com/office/drawing/2014/chart" uri="{C3380CC4-5D6E-409C-BE32-E72D297353CC}">
                <c16:uniqueId val="{0000023D-F844-4F86-962E-A86465320DB0}"/>
              </c:ext>
            </c:extLst>
          </c:dPt>
          <c:dPt>
            <c:idx val="160"/>
            <c:invertIfNegative val="0"/>
            <c:bubble3D val="0"/>
            <c:extLst>
              <c:ext xmlns:c16="http://schemas.microsoft.com/office/drawing/2014/chart" uri="{C3380CC4-5D6E-409C-BE32-E72D297353CC}">
                <c16:uniqueId val="{0000023E-F844-4F86-962E-A86465320DB0}"/>
              </c:ext>
            </c:extLst>
          </c:dPt>
          <c:dPt>
            <c:idx val="161"/>
            <c:invertIfNegative val="0"/>
            <c:bubble3D val="0"/>
            <c:extLst>
              <c:ext xmlns:c16="http://schemas.microsoft.com/office/drawing/2014/chart" uri="{C3380CC4-5D6E-409C-BE32-E72D297353CC}">
                <c16:uniqueId val="{0000023F-F844-4F86-962E-A86465320DB0}"/>
              </c:ext>
            </c:extLst>
          </c:dPt>
          <c:dPt>
            <c:idx val="162"/>
            <c:invertIfNegative val="0"/>
            <c:bubble3D val="0"/>
            <c:extLst>
              <c:ext xmlns:c16="http://schemas.microsoft.com/office/drawing/2014/chart" uri="{C3380CC4-5D6E-409C-BE32-E72D297353CC}">
                <c16:uniqueId val="{00000240-F844-4F86-962E-A86465320DB0}"/>
              </c:ext>
            </c:extLst>
          </c:dPt>
          <c:dPt>
            <c:idx val="163"/>
            <c:invertIfNegative val="0"/>
            <c:bubble3D val="0"/>
            <c:extLst>
              <c:ext xmlns:c16="http://schemas.microsoft.com/office/drawing/2014/chart" uri="{C3380CC4-5D6E-409C-BE32-E72D297353CC}">
                <c16:uniqueId val="{00000241-F844-4F86-962E-A86465320DB0}"/>
              </c:ext>
            </c:extLst>
          </c:dPt>
          <c:dPt>
            <c:idx val="164"/>
            <c:invertIfNegative val="0"/>
            <c:bubble3D val="0"/>
            <c:extLst>
              <c:ext xmlns:c16="http://schemas.microsoft.com/office/drawing/2014/chart" uri="{C3380CC4-5D6E-409C-BE32-E72D297353CC}">
                <c16:uniqueId val="{00000242-F844-4F86-962E-A86465320DB0}"/>
              </c:ext>
            </c:extLst>
          </c:dPt>
          <c:dPt>
            <c:idx val="165"/>
            <c:invertIfNegative val="0"/>
            <c:bubble3D val="0"/>
            <c:extLst>
              <c:ext xmlns:c16="http://schemas.microsoft.com/office/drawing/2014/chart" uri="{C3380CC4-5D6E-409C-BE32-E72D297353CC}">
                <c16:uniqueId val="{00000243-F844-4F86-962E-A86465320DB0}"/>
              </c:ext>
            </c:extLst>
          </c:dPt>
          <c:dPt>
            <c:idx val="166"/>
            <c:invertIfNegative val="0"/>
            <c:bubble3D val="0"/>
            <c:extLst>
              <c:ext xmlns:c16="http://schemas.microsoft.com/office/drawing/2014/chart" uri="{C3380CC4-5D6E-409C-BE32-E72D297353CC}">
                <c16:uniqueId val="{00000244-F844-4F86-962E-A86465320DB0}"/>
              </c:ext>
            </c:extLst>
          </c:dPt>
          <c:dPt>
            <c:idx val="167"/>
            <c:invertIfNegative val="0"/>
            <c:bubble3D val="0"/>
            <c:extLst>
              <c:ext xmlns:c16="http://schemas.microsoft.com/office/drawing/2014/chart" uri="{C3380CC4-5D6E-409C-BE32-E72D297353CC}">
                <c16:uniqueId val="{00000245-F844-4F86-962E-A86465320DB0}"/>
              </c:ext>
            </c:extLst>
          </c:dPt>
          <c:dPt>
            <c:idx val="168"/>
            <c:invertIfNegative val="0"/>
            <c:bubble3D val="0"/>
            <c:extLst>
              <c:ext xmlns:c16="http://schemas.microsoft.com/office/drawing/2014/chart" uri="{C3380CC4-5D6E-409C-BE32-E72D297353CC}">
                <c16:uniqueId val="{00000246-F844-4F86-962E-A86465320DB0}"/>
              </c:ext>
            </c:extLst>
          </c:dPt>
          <c:dPt>
            <c:idx val="169"/>
            <c:invertIfNegative val="0"/>
            <c:bubble3D val="0"/>
            <c:extLst>
              <c:ext xmlns:c16="http://schemas.microsoft.com/office/drawing/2014/chart" uri="{C3380CC4-5D6E-409C-BE32-E72D297353CC}">
                <c16:uniqueId val="{00000247-F844-4F86-962E-A86465320DB0}"/>
              </c:ext>
            </c:extLst>
          </c:dPt>
          <c:dPt>
            <c:idx val="170"/>
            <c:invertIfNegative val="0"/>
            <c:bubble3D val="0"/>
            <c:extLst>
              <c:ext xmlns:c16="http://schemas.microsoft.com/office/drawing/2014/chart" uri="{C3380CC4-5D6E-409C-BE32-E72D297353CC}">
                <c16:uniqueId val="{00000248-F844-4F86-962E-A86465320DB0}"/>
              </c:ext>
            </c:extLst>
          </c:dPt>
          <c:dPt>
            <c:idx val="171"/>
            <c:invertIfNegative val="0"/>
            <c:bubble3D val="0"/>
            <c:extLst>
              <c:ext xmlns:c16="http://schemas.microsoft.com/office/drawing/2014/chart" uri="{C3380CC4-5D6E-409C-BE32-E72D297353CC}">
                <c16:uniqueId val="{00000249-F844-4F86-962E-A86465320DB0}"/>
              </c:ext>
            </c:extLst>
          </c:dPt>
          <c:dPt>
            <c:idx val="172"/>
            <c:invertIfNegative val="0"/>
            <c:bubble3D val="0"/>
            <c:extLst>
              <c:ext xmlns:c16="http://schemas.microsoft.com/office/drawing/2014/chart" uri="{C3380CC4-5D6E-409C-BE32-E72D297353CC}">
                <c16:uniqueId val="{0000024A-F844-4F86-962E-A86465320DB0}"/>
              </c:ext>
            </c:extLst>
          </c:dPt>
          <c:dPt>
            <c:idx val="173"/>
            <c:invertIfNegative val="0"/>
            <c:bubble3D val="0"/>
            <c:extLst>
              <c:ext xmlns:c16="http://schemas.microsoft.com/office/drawing/2014/chart" uri="{C3380CC4-5D6E-409C-BE32-E72D297353CC}">
                <c16:uniqueId val="{0000024B-F844-4F86-962E-A86465320DB0}"/>
              </c:ext>
            </c:extLst>
          </c:dPt>
          <c:dPt>
            <c:idx val="174"/>
            <c:invertIfNegative val="0"/>
            <c:bubble3D val="0"/>
            <c:extLst>
              <c:ext xmlns:c16="http://schemas.microsoft.com/office/drawing/2014/chart" uri="{C3380CC4-5D6E-409C-BE32-E72D297353CC}">
                <c16:uniqueId val="{0000024C-F844-4F86-962E-A86465320DB0}"/>
              </c:ext>
            </c:extLst>
          </c:dPt>
          <c:dPt>
            <c:idx val="175"/>
            <c:invertIfNegative val="0"/>
            <c:bubble3D val="0"/>
            <c:extLst>
              <c:ext xmlns:c16="http://schemas.microsoft.com/office/drawing/2014/chart" uri="{C3380CC4-5D6E-409C-BE32-E72D297353CC}">
                <c16:uniqueId val="{0000024D-F844-4F86-962E-A86465320DB0}"/>
              </c:ext>
            </c:extLst>
          </c:dPt>
          <c:dPt>
            <c:idx val="176"/>
            <c:invertIfNegative val="0"/>
            <c:bubble3D val="0"/>
            <c:extLst>
              <c:ext xmlns:c16="http://schemas.microsoft.com/office/drawing/2014/chart" uri="{C3380CC4-5D6E-409C-BE32-E72D297353CC}">
                <c16:uniqueId val="{0000024E-F844-4F86-962E-A86465320DB0}"/>
              </c:ext>
            </c:extLst>
          </c:dPt>
          <c:dPt>
            <c:idx val="177"/>
            <c:invertIfNegative val="0"/>
            <c:bubble3D val="0"/>
            <c:extLst>
              <c:ext xmlns:c16="http://schemas.microsoft.com/office/drawing/2014/chart" uri="{C3380CC4-5D6E-409C-BE32-E72D297353CC}">
                <c16:uniqueId val="{0000024F-F844-4F86-962E-A86465320DB0}"/>
              </c:ext>
            </c:extLst>
          </c:dPt>
          <c:dPt>
            <c:idx val="178"/>
            <c:invertIfNegative val="0"/>
            <c:bubble3D val="0"/>
            <c:extLst>
              <c:ext xmlns:c16="http://schemas.microsoft.com/office/drawing/2014/chart" uri="{C3380CC4-5D6E-409C-BE32-E72D297353CC}">
                <c16:uniqueId val="{00000250-F844-4F86-962E-A86465320DB0}"/>
              </c:ext>
            </c:extLst>
          </c:dPt>
          <c:dPt>
            <c:idx val="179"/>
            <c:invertIfNegative val="0"/>
            <c:bubble3D val="0"/>
            <c:extLst>
              <c:ext xmlns:c16="http://schemas.microsoft.com/office/drawing/2014/chart" uri="{C3380CC4-5D6E-409C-BE32-E72D297353CC}">
                <c16:uniqueId val="{00000251-F844-4F86-962E-A86465320DB0}"/>
              </c:ext>
            </c:extLst>
          </c:dPt>
          <c:dPt>
            <c:idx val="180"/>
            <c:invertIfNegative val="0"/>
            <c:bubble3D val="0"/>
            <c:extLst>
              <c:ext xmlns:c16="http://schemas.microsoft.com/office/drawing/2014/chart" uri="{C3380CC4-5D6E-409C-BE32-E72D297353CC}">
                <c16:uniqueId val="{00000252-F844-4F86-962E-A86465320DB0}"/>
              </c:ext>
            </c:extLst>
          </c:dPt>
          <c:dPt>
            <c:idx val="181"/>
            <c:invertIfNegative val="0"/>
            <c:bubble3D val="0"/>
            <c:extLst>
              <c:ext xmlns:c16="http://schemas.microsoft.com/office/drawing/2014/chart" uri="{C3380CC4-5D6E-409C-BE32-E72D297353CC}">
                <c16:uniqueId val="{00000253-F844-4F86-962E-A86465320DB0}"/>
              </c:ext>
            </c:extLst>
          </c:dPt>
          <c:dPt>
            <c:idx val="182"/>
            <c:invertIfNegative val="0"/>
            <c:bubble3D val="0"/>
            <c:extLst>
              <c:ext xmlns:c16="http://schemas.microsoft.com/office/drawing/2014/chart" uri="{C3380CC4-5D6E-409C-BE32-E72D297353CC}">
                <c16:uniqueId val="{00000254-F844-4F86-962E-A86465320DB0}"/>
              </c:ext>
            </c:extLst>
          </c:dPt>
          <c:dPt>
            <c:idx val="183"/>
            <c:invertIfNegative val="0"/>
            <c:bubble3D val="0"/>
            <c:extLst>
              <c:ext xmlns:c16="http://schemas.microsoft.com/office/drawing/2014/chart" uri="{C3380CC4-5D6E-409C-BE32-E72D297353CC}">
                <c16:uniqueId val="{00000255-F844-4F86-962E-A86465320DB0}"/>
              </c:ext>
            </c:extLst>
          </c:dPt>
          <c:dPt>
            <c:idx val="184"/>
            <c:invertIfNegative val="0"/>
            <c:bubble3D val="0"/>
            <c:extLst>
              <c:ext xmlns:c16="http://schemas.microsoft.com/office/drawing/2014/chart" uri="{C3380CC4-5D6E-409C-BE32-E72D297353CC}">
                <c16:uniqueId val="{00000256-F844-4F86-962E-A86465320DB0}"/>
              </c:ext>
            </c:extLst>
          </c:dPt>
          <c:dPt>
            <c:idx val="185"/>
            <c:invertIfNegative val="0"/>
            <c:bubble3D val="0"/>
            <c:extLst>
              <c:ext xmlns:c16="http://schemas.microsoft.com/office/drawing/2014/chart" uri="{C3380CC4-5D6E-409C-BE32-E72D297353CC}">
                <c16:uniqueId val="{00000257-F844-4F86-962E-A86465320DB0}"/>
              </c:ext>
            </c:extLst>
          </c:dPt>
          <c:dPt>
            <c:idx val="186"/>
            <c:invertIfNegative val="0"/>
            <c:bubble3D val="0"/>
            <c:extLst>
              <c:ext xmlns:c16="http://schemas.microsoft.com/office/drawing/2014/chart" uri="{C3380CC4-5D6E-409C-BE32-E72D297353CC}">
                <c16:uniqueId val="{00000258-F844-4F86-962E-A86465320DB0}"/>
              </c:ext>
            </c:extLst>
          </c:dPt>
          <c:dPt>
            <c:idx val="187"/>
            <c:invertIfNegative val="0"/>
            <c:bubble3D val="0"/>
            <c:extLst>
              <c:ext xmlns:c16="http://schemas.microsoft.com/office/drawing/2014/chart" uri="{C3380CC4-5D6E-409C-BE32-E72D297353CC}">
                <c16:uniqueId val="{00000259-F844-4F86-962E-A86465320DB0}"/>
              </c:ext>
            </c:extLst>
          </c:dPt>
          <c:dPt>
            <c:idx val="188"/>
            <c:invertIfNegative val="0"/>
            <c:bubble3D val="0"/>
            <c:extLst>
              <c:ext xmlns:c16="http://schemas.microsoft.com/office/drawing/2014/chart" uri="{C3380CC4-5D6E-409C-BE32-E72D297353CC}">
                <c16:uniqueId val="{0000025A-F844-4F86-962E-A86465320DB0}"/>
              </c:ext>
            </c:extLst>
          </c:dPt>
          <c:dPt>
            <c:idx val="189"/>
            <c:invertIfNegative val="0"/>
            <c:bubble3D val="0"/>
            <c:extLst>
              <c:ext xmlns:c16="http://schemas.microsoft.com/office/drawing/2014/chart" uri="{C3380CC4-5D6E-409C-BE32-E72D297353CC}">
                <c16:uniqueId val="{0000025B-F844-4F86-962E-A86465320DB0}"/>
              </c:ext>
            </c:extLst>
          </c:dPt>
          <c:dPt>
            <c:idx val="190"/>
            <c:invertIfNegative val="0"/>
            <c:bubble3D val="0"/>
            <c:extLst>
              <c:ext xmlns:c16="http://schemas.microsoft.com/office/drawing/2014/chart" uri="{C3380CC4-5D6E-409C-BE32-E72D297353CC}">
                <c16:uniqueId val="{0000025C-F844-4F86-962E-A86465320DB0}"/>
              </c:ext>
            </c:extLst>
          </c:dPt>
          <c:dPt>
            <c:idx val="191"/>
            <c:invertIfNegative val="0"/>
            <c:bubble3D val="0"/>
            <c:extLst>
              <c:ext xmlns:c16="http://schemas.microsoft.com/office/drawing/2014/chart" uri="{C3380CC4-5D6E-409C-BE32-E72D297353CC}">
                <c16:uniqueId val="{0000025D-F844-4F86-962E-A86465320DB0}"/>
              </c:ext>
            </c:extLst>
          </c:dPt>
          <c:dPt>
            <c:idx val="192"/>
            <c:invertIfNegative val="0"/>
            <c:bubble3D val="0"/>
            <c:extLst>
              <c:ext xmlns:c16="http://schemas.microsoft.com/office/drawing/2014/chart" uri="{C3380CC4-5D6E-409C-BE32-E72D297353CC}">
                <c16:uniqueId val="{0000025E-F844-4F86-962E-A86465320DB0}"/>
              </c:ext>
            </c:extLst>
          </c:dPt>
          <c:dPt>
            <c:idx val="193"/>
            <c:invertIfNegative val="0"/>
            <c:bubble3D val="0"/>
            <c:extLst>
              <c:ext xmlns:c16="http://schemas.microsoft.com/office/drawing/2014/chart" uri="{C3380CC4-5D6E-409C-BE32-E72D297353CC}">
                <c16:uniqueId val="{0000025F-F844-4F86-962E-A86465320DB0}"/>
              </c:ext>
            </c:extLst>
          </c:dPt>
          <c:dPt>
            <c:idx val="194"/>
            <c:invertIfNegative val="0"/>
            <c:bubble3D val="0"/>
            <c:extLst>
              <c:ext xmlns:c16="http://schemas.microsoft.com/office/drawing/2014/chart" uri="{C3380CC4-5D6E-409C-BE32-E72D297353CC}">
                <c16:uniqueId val="{00000260-F844-4F86-962E-A86465320DB0}"/>
              </c:ext>
            </c:extLst>
          </c:dPt>
          <c:dPt>
            <c:idx val="195"/>
            <c:invertIfNegative val="0"/>
            <c:bubble3D val="0"/>
            <c:extLst>
              <c:ext xmlns:c16="http://schemas.microsoft.com/office/drawing/2014/chart" uri="{C3380CC4-5D6E-409C-BE32-E72D297353CC}">
                <c16:uniqueId val="{00000261-F844-4F86-962E-A86465320DB0}"/>
              </c:ext>
            </c:extLst>
          </c:dPt>
          <c:dPt>
            <c:idx val="196"/>
            <c:invertIfNegative val="0"/>
            <c:bubble3D val="0"/>
            <c:extLst>
              <c:ext xmlns:c16="http://schemas.microsoft.com/office/drawing/2014/chart" uri="{C3380CC4-5D6E-409C-BE32-E72D297353CC}">
                <c16:uniqueId val="{00000262-F844-4F86-962E-A86465320DB0}"/>
              </c:ext>
            </c:extLst>
          </c:dPt>
          <c:dPt>
            <c:idx val="197"/>
            <c:invertIfNegative val="0"/>
            <c:bubble3D val="0"/>
            <c:extLst>
              <c:ext xmlns:c16="http://schemas.microsoft.com/office/drawing/2014/chart" uri="{C3380CC4-5D6E-409C-BE32-E72D297353CC}">
                <c16:uniqueId val="{00000263-F844-4F86-962E-A86465320DB0}"/>
              </c:ext>
            </c:extLst>
          </c:dPt>
          <c:dPt>
            <c:idx val="198"/>
            <c:invertIfNegative val="0"/>
            <c:bubble3D val="0"/>
            <c:extLst>
              <c:ext xmlns:c16="http://schemas.microsoft.com/office/drawing/2014/chart" uri="{C3380CC4-5D6E-409C-BE32-E72D297353CC}">
                <c16:uniqueId val="{00000264-F844-4F86-962E-A86465320DB0}"/>
              </c:ext>
            </c:extLst>
          </c:dPt>
          <c:dPt>
            <c:idx val="199"/>
            <c:invertIfNegative val="0"/>
            <c:bubble3D val="0"/>
            <c:extLst>
              <c:ext xmlns:c16="http://schemas.microsoft.com/office/drawing/2014/chart" uri="{C3380CC4-5D6E-409C-BE32-E72D297353CC}">
                <c16:uniqueId val="{00000265-F844-4F86-962E-A86465320DB0}"/>
              </c:ext>
            </c:extLst>
          </c:dPt>
          <c:dPt>
            <c:idx val="200"/>
            <c:invertIfNegative val="0"/>
            <c:bubble3D val="0"/>
            <c:extLst>
              <c:ext xmlns:c16="http://schemas.microsoft.com/office/drawing/2014/chart" uri="{C3380CC4-5D6E-409C-BE32-E72D297353CC}">
                <c16:uniqueId val="{00000266-F844-4F86-962E-A86465320DB0}"/>
              </c:ext>
            </c:extLst>
          </c:dPt>
          <c:dPt>
            <c:idx val="201"/>
            <c:invertIfNegative val="0"/>
            <c:bubble3D val="0"/>
            <c:extLst>
              <c:ext xmlns:c16="http://schemas.microsoft.com/office/drawing/2014/chart" uri="{C3380CC4-5D6E-409C-BE32-E72D297353CC}">
                <c16:uniqueId val="{00000267-F844-4F86-962E-A86465320DB0}"/>
              </c:ext>
            </c:extLst>
          </c:dPt>
          <c:dPt>
            <c:idx val="202"/>
            <c:invertIfNegative val="0"/>
            <c:bubble3D val="0"/>
            <c:extLst>
              <c:ext xmlns:c16="http://schemas.microsoft.com/office/drawing/2014/chart" uri="{C3380CC4-5D6E-409C-BE32-E72D297353CC}">
                <c16:uniqueId val="{00000268-F844-4F86-962E-A86465320DB0}"/>
              </c:ext>
            </c:extLst>
          </c:dPt>
          <c:dPt>
            <c:idx val="203"/>
            <c:invertIfNegative val="0"/>
            <c:bubble3D val="0"/>
            <c:extLst>
              <c:ext xmlns:c16="http://schemas.microsoft.com/office/drawing/2014/chart" uri="{C3380CC4-5D6E-409C-BE32-E72D297353CC}">
                <c16:uniqueId val="{00000269-F844-4F86-962E-A86465320DB0}"/>
              </c:ext>
            </c:extLst>
          </c:dPt>
          <c:dPt>
            <c:idx val="204"/>
            <c:invertIfNegative val="0"/>
            <c:bubble3D val="0"/>
            <c:extLst>
              <c:ext xmlns:c16="http://schemas.microsoft.com/office/drawing/2014/chart" uri="{C3380CC4-5D6E-409C-BE32-E72D297353CC}">
                <c16:uniqueId val="{0000026A-F844-4F86-962E-A86465320DB0}"/>
              </c:ext>
            </c:extLst>
          </c:dPt>
          <c:dPt>
            <c:idx val="205"/>
            <c:invertIfNegative val="0"/>
            <c:bubble3D val="0"/>
            <c:extLst>
              <c:ext xmlns:c16="http://schemas.microsoft.com/office/drawing/2014/chart" uri="{C3380CC4-5D6E-409C-BE32-E72D297353CC}">
                <c16:uniqueId val="{0000026B-F844-4F86-962E-A86465320DB0}"/>
              </c:ext>
            </c:extLst>
          </c:dPt>
          <c:dPt>
            <c:idx val="206"/>
            <c:invertIfNegative val="0"/>
            <c:bubble3D val="0"/>
            <c:extLst>
              <c:ext xmlns:c16="http://schemas.microsoft.com/office/drawing/2014/chart" uri="{C3380CC4-5D6E-409C-BE32-E72D297353CC}">
                <c16:uniqueId val="{0000026C-F844-4F86-962E-A86465320DB0}"/>
              </c:ext>
            </c:extLst>
          </c:dPt>
          <c:dPt>
            <c:idx val="207"/>
            <c:invertIfNegative val="0"/>
            <c:bubble3D val="0"/>
            <c:extLst>
              <c:ext xmlns:c16="http://schemas.microsoft.com/office/drawing/2014/chart" uri="{C3380CC4-5D6E-409C-BE32-E72D297353CC}">
                <c16:uniqueId val="{0000026D-F844-4F86-962E-A86465320DB0}"/>
              </c:ext>
            </c:extLst>
          </c:dPt>
          <c:dPt>
            <c:idx val="208"/>
            <c:invertIfNegative val="0"/>
            <c:bubble3D val="0"/>
            <c:extLst>
              <c:ext xmlns:c16="http://schemas.microsoft.com/office/drawing/2014/chart" uri="{C3380CC4-5D6E-409C-BE32-E72D297353CC}">
                <c16:uniqueId val="{0000026E-F844-4F86-962E-A86465320DB0}"/>
              </c:ext>
            </c:extLst>
          </c:dPt>
          <c:dPt>
            <c:idx val="209"/>
            <c:invertIfNegative val="0"/>
            <c:bubble3D val="0"/>
            <c:extLst>
              <c:ext xmlns:c16="http://schemas.microsoft.com/office/drawing/2014/chart" uri="{C3380CC4-5D6E-409C-BE32-E72D297353CC}">
                <c16:uniqueId val="{0000026F-F844-4F86-962E-A86465320DB0}"/>
              </c:ext>
            </c:extLst>
          </c:dPt>
          <c:dPt>
            <c:idx val="210"/>
            <c:invertIfNegative val="0"/>
            <c:bubble3D val="0"/>
            <c:extLst>
              <c:ext xmlns:c16="http://schemas.microsoft.com/office/drawing/2014/chart" uri="{C3380CC4-5D6E-409C-BE32-E72D297353CC}">
                <c16:uniqueId val="{00000270-F844-4F86-962E-A86465320DB0}"/>
              </c:ext>
            </c:extLst>
          </c:dPt>
          <c:dPt>
            <c:idx val="211"/>
            <c:invertIfNegative val="0"/>
            <c:bubble3D val="0"/>
            <c:extLst>
              <c:ext xmlns:c16="http://schemas.microsoft.com/office/drawing/2014/chart" uri="{C3380CC4-5D6E-409C-BE32-E72D297353CC}">
                <c16:uniqueId val="{00000271-F844-4F86-962E-A86465320DB0}"/>
              </c:ext>
            </c:extLst>
          </c:dPt>
          <c:dPt>
            <c:idx val="212"/>
            <c:invertIfNegative val="0"/>
            <c:bubble3D val="0"/>
            <c:extLst>
              <c:ext xmlns:c16="http://schemas.microsoft.com/office/drawing/2014/chart" uri="{C3380CC4-5D6E-409C-BE32-E72D297353CC}">
                <c16:uniqueId val="{00000272-F844-4F86-962E-A86465320DB0}"/>
              </c:ext>
            </c:extLst>
          </c:dPt>
          <c:dPt>
            <c:idx val="213"/>
            <c:invertIfNegative val="0"/>
            <c:bubble3D val="0"/>
            <c:extLst>
              <c:ext xmlns:c16="http://schemas.microsoft.com/office/drawing/2014/chart" uri="{C3380CC4-5D6E-409C-BE32-E72D297353CC}">
                <c16:uniqueId val="{00000273-F844-4F86-962E-A86465320DB0}"/>
              </c:ext>
            </c:extLst>
          </c:dPt>
          <c:dPt>
            <c:idx val="214"/>
            <c:invertIfNegative val="0"/>
            <c:bubble3D val="0"/>
            <c:extLst>
              <c:ext xmlns:c16="http://schemas.microsoft.com/office/drawing/2014/chart" uri="{C3380CC4-5D6E-409C-BE32-E72D297353CC}">
                <c16:uniqueId val="{00000274-F844-4F86-962E-A86465320DB0}"/>
              </c:ext>
            </c:extLst>
          </c:dPt>
          <c:dPt>
            <c:idx val="215"/>
            <c:invertIfNegative val="0"/>
            <c:bubble3D val="0"/>
            <c:extLst>
              <c:ext xmlns:c16="http://schemas.microsoft.com/office/drawing/2014/chart" uri="{C3380CC4-5D6E-409C-BE32-E72D297353CC}">
                <c16:uniqueId val="{00000275-F844-4F86-962E-A86465320DB0}"/>
              </c:ext>
            </c:extLst>
          </c:dPt>
          <c:dPt>
            <c:idx val="216"/>
            <c:invertIfNegative val="0"/>
            <c:bubble3D val="0"/>
            <c:extLst>
              <c:ext xmlns:c16="http://schemas.microsoft.com/office/drawing/2014/chart" uri="{C3380CC4-5D6E-409C-BE32-E72D297353CC}">
                <c16:uniqueId val="{00000276-F844-4F86-962E-A86465320DB0}"/>
              </c:ext>
            </c:extLst>
          </c:dPt>
          <c:dPt>
            <c:idx val="217"/>
            <c:invertIfNegative val="0"/>
            <c:bubble3D val="0"/>
            <c:extLst>
              <c:ext xmlns:c16="http://schemas.microsoft.com/office/drawing/2014/chart" uri="{C3380CC4-5D6E-409C-BE32-E72D297353CC}">
                <c16:uniqueId val="{00000277-F844-4F86-962E-A86465320DB0}"/>
              </c:ext>
            </c:extLst>
          </c:dPt>
          <c:dPt>
            <c:idx val="218"/>
            <c:invertIfNegative val="0"/>
            <c:bubble3D val="0"/>
            <c:extLst>
              <c:ext xmlns:c16="http://schemas.microsoft.com/office/drawing/2014/chart" uri="{C3380CC4-5D6E-409C-BE32-E72D297353CC}">
                <c16:uniqueId val="{00000278-F844-4F86-962E-A86465320DB0}"/>
              </c:ext>
            </c:extLst>
          </c:dPt>
          <c:dPt>
            <c:idx val="219"/>
            <c:invertIfNegative val="0"/>
            <c:bubble3D val="0"/>
            <c:extLst>
              <c:ext xmlns:c16="http://schemas.microsoft.com/office/drawing/2014/chart" uri="{C3380CC4-5D6E-409C-BE32-E72D297353CC}">
                <c16:uniqueId val="{00000279-F844-4F86-962E-A86465320DB0}"/>
              </c:ext>
            </c:extLst>
          </c:dPt>
          <c:dPt>
            <c:idx val="220"/>
            <c:invertIfNegative val="0"/>
            <c:bubble3D val="0"/>
            <c:extLst>
              <c:ext xmlns:c16="http://schemas.microsoft.com/office/drawing/2014/chart" uri="{C3380CC4-5D6E-409C-BE32-E72D297353CC}">
                <c16:uniqueId val="{0000027A-F844-4F86-962E-A86465320DB0}"/>
              </c:ext>
            </c:extLst>
          </c:dPt>
          <c:dPt>
            <c:idx val="221"/>
            <c:invertIfNegative val="0"/>
            <c:bubble3D val="0"/>
            <c:extLst>
              <c:ext xmlns:c16="http://schemas.microsoft.com/office/drawing/2014/chart" uri="{C3380CC4-5D6E-409C-BE32-E72D297353CC}">
                <c16:uniqueId val="{0000027B-F844-4F86-962E-A86465320DB0}"/>
              </c:ext>
            </c:extLst>
          </c:dPt>
          <c:dPt>
            <c:idx val="222"/>
            <c:invertIfNegative val="0"/>
            <c:bubble3D val="0"/>
            <c:extLst>
              <c:ext xmlns:c16="http://schemas.microsoft.com/office/drawing/2014/chart" uri="{C3380CC4-5D6E-409C-BE32-E72D297353CC}">
                <c16:uniqueId val="{0000027C-F844-4F86-962E-A86465320DB0}"/>
              </c:ext>
            </c:extLst>
          </c:dPt>
          <c:dPt>
            <c:idx val="223"/>
            <c:invertIfNegative val="0"/>
            <c:bubble3D val="0"/>
            <c:extLst>
              <c:ext xmlns:c16="http://schemas.microsoft.com/office/drawing/2014/chart" uri="{C3380CC4-5D6E-409C-BE32-E72D297353CC}">
                <c16:uniqueId val="{0000027D-F844-4F86-962E-A86465320DB0}"/>
              </c:ext>
            </c:extLst>
          </c:dPt>
          <c:dPt>
            <c:idx val="224"/>
            <c:invertIfNegative val="0"/>
            <c:bubble3D val="0"/>
            <c:extLst>
              <c:ext xmlns:c16="http://schemas.microsoft.com/office/drawing/2014/chart" uri="{C3380CC4-5D6E-409C-BE32-E72D297353CC}">
                <c16:uniqueId val="{0000027E-F844-4F86-962E-A86465320DB0}"/>
              </c:ext>
            </c:extLst>
          </c:dPt>
          <c:dPt>
            <c:idx val="225"/>
            <c:invertIfNegative val="0"/>
            <c:bubble3D val="0"/>
            <c:extLst>
              <c:ext xmlns:c16="http://schemas.microsoft.com/office/drawing/2014/chart" uri="{C3380CC4-5D6E-409C-BE32-E72D297353CC}">
                <c16:uniqueId val="{0000027F-F844-4F86-962E-A86465320DB0}"/>
              </c:ext>
            </c:extLst>
          </c:dPt>
          <c:dPt>
            <c:idx val="226"/>
            <c:invertIfNegative val="0"/>
            <c:bubble3D val="0"/>
            <c:extLst>
              <c:ext xmlns:c16="http://schemas.microsoft.com/office/drawing/2014/chart" uri="{C3380CC4-5D6E-409C-BE32-E72D297353CC}">
                <c16:uniqueId val="{00000280-F844-4F86-962E-A86465320DB0}"/>
              </c:ext>
            </c:extLst>
          </c:dPt>
          <c:dPt>
            <c:idx val="227"/>
            <c:invertIfNegative val="0"/>
            <c:bubble3D val="0"/>
            <c:extLst>
              <c:ext xmlns:c16="http://schemas.microsoft.com/office/drawing/2014/chart" uri="{C3380CC4-5D6E-409C-BE32-E72D297353CC}">
                <c16:uniqueId val="{00000281-F844-4F86-962E-A86465320DB0}"/>
              </c:ext>
            </c:extLst>
          </c:dPt>
          <c:dPt>
            <c:idx val="228"/>
            <c:invertIfNegative val="0"/>
            <c:bubble3D val="0"/>
            <c:extLst>
              <c:ext xmlns:c16="http://schemas.microsoft.com/office/drawing/2014/chart" uri="{C3380CC4-5D6E-409C-BE32-E72D297353CC}">
                <c16:uniqueId val="{00000282-F844-4F86-962E-A86465320DB0}"/>
              </c:ext>
            </c:extLst>
          </c:dPt>
          <c:dPt>
            <c:idx val="229"/>
            <c:invertIfNegative val="0"/>
            <c:bubble3D val="0"/>
            <c:extLst>
              <c:ext xmlns:c16="http://schemas.microsoft.com/office/drawing/2014/chart" uri="{C3380CC4-5D6E-409C-BE32-E72D297353CC}">
                <c16:uniqueId val="{00000283-F844-4F86-962E-A86465320DB0}"/>
              </c:ext>
            </c:extLst>
          </c:dPt>
          <c:dPt>
            <c:idx val="230"/>
            <c:invertIfNegative val="0"/>
            <c:bubble3D val="0"/>
            <c:extLst>
              <c:ext xmlns:c16="http://schemas.microsoft.com/office/drawing/2014/chart" uri="{C3380CC4-5D6E-409C-BE32-E72D297353CC}">
                <c16:uniqueId val="{00000284-F844-4F86-962E-A86465320DB0}"/>
              </c:ext>
            </c:extLst>
          </c:dPt>
          <c:dPt>
            <c:idx val="231"/>
            <c:invertIfNegative val="0"/>
            <c:bubble3D val="0"/>
            <c:extLst>
              <c:ext xmlns:c16="http://schemas.microsoft.com/office/drawing/2014/chart" uri="{C3380CC4-5D6E-409C-BE32-E72D297353CC}">
                <c16:uniqueId val="{00000285-F844-4F86-962E-A86465320DB0}"/>
              </c:ext>
            </c:extLst>
          </c:dPt>
          <c:dPt>
            <c:idx val="232"/>
            <c:invertIfNegative val="0"/>
            <c:bubble3D val="0"/>
            <c:extLst>
              <c:ext xmlns:c16="http://schemas.microsoft.com/office/drawing/2014/chart" uri="{C3380CC4-5D6E-409C-BE32-E72D297353CC}">
                <c16:uniqueId val="{00000286-F844-4F86-962E-A86465320DB0}"/>
              </c:ext>
            </c:extLst>
          </c:dPt>
          <c:dPt>
            <c:idx val="233"/>
            <c:invertIfNegative val="0"/>
            <c:bubble3D val="0"/>
            <c:extLst>
              <c:ext xmlns:c16="http://schemas.microsoft.com/office/drawing/2014/chart" uri="{C3380CC4-5D6E-409C-BE32-E72D297353CC}">
                <c16:uniqueId val="{00000287-F844-4F86-962E-A86465320DB0}"/>
              </c:ext>
            </c:extLst>
          </c:dPt>
          <c:dPt>
            <c:idx val="234"/>
            <c:invertIfNegative val="0"/>
            <c:bubble3D val="0"/>
            <c:extLst>
              <c:ext xmlns:c16="http://schemas.microsoft.com/office/drawing/2014/chart" uri="{C3380CC4-5D6E-409C-BE32-E72D297353CC}">
                <c16:uniqueId val="{00000288-F844-4F86-962E-A86465320DB0}"/>
              </c:ext>
            </c:extLst>
          </c:dPt>
          <c:dPt>
            <c:idx val="235"/>
            <c:invertIfNegative val="0"/>
            <c:bubble3D val="0"/>
            <c:extLst>
              <c:ext xmlns:c16="http://schemas.microsoft.com/office/drawing/2014/chart" uri="{C3380CC4-5D6E-409C-BE32-E72D297353CC}">
                <c16:uniqueId val="{00000289-F844-4F86-962E-A86465320DB0}"/>
              </c:ext>
            </c:extLst>
          </c:dPt>
          <c:dPt>
            <c:idx val="236"/>
            <c:invertIfNegative val="0"/>
            <c:bubble3D val="0"/>
            <c:extLst>
              <c:ext xmlns:c16="http://schemas.microsoft.com/office/drawing/2014/chart" uri="{C3380CC4-5D6E-409C-BE32-E72D297353CC}">
                <c16:uniqueId val="{0000028A-F844-4F86-962E-A86465320DB0}"/>
              </c:ext>
            </c:extLst>
          </c:dPt>
          <c:dPt>
            <c:idx val="237"/>
            <c:invertIfNegative val="0"/>
            <c:bubble3D val="0"/>
            <c:extLst>
              <c:ext xmlns:c16="http://schemas.microsoft.com/office/drawing/2014/chart" uri="{C3380CC4-5D6E-409C-BE32-E72D297353CC}">
                <c16:uniqueId val="{0000028B-F844-4F86-962E-A86465320DB0}"/>
              </c:ext>
            </c:extLst>
          </c:dPt>
          <c:dPt>
            <c:idx val="238"/>
            <c:invertIfNegative val="0"/>
            <c:bubble3D val="0"/>
            <c:extLst>
              <c:ext xmlns:c16="http://schemas.microsoft.com/office/drawing/2014/chart" uri="{C3380CC4-5D6E-409C-BE32-E72D297353CC}">
                <c16:uniqueId val="{0000028C-F844-4F86-962E-A86465320DB0}"/>
              </c:ext>
            </c:extLst>
          </c:dPt>
          <c:dPt>
            <c:idx val="239"/>
            <c:invertIfNegative val="0"/>
            <c:bubble3D val="0"/>
            <c:extLst>
              <c:ext xmlns:c16="http://schemas.microsoft.com/office/drawing/2014/chart" uri="{C3380CC4-5D6E-409C-BE32-E72D297353CC}">
                <c16:uniqueId val="{0000028D-F844-4F86-962E-A86465320DB0}"/>
              </c:ext>
            </c:extLst>
          </c:dPt>
          <c:dPt>
            <c:idx val="240"/>
            <c:invertIfNegative val="0"/>
            <c:bubble3D val="0"/>
            <c:extLst>
              <c:ext xmlns:c16="http://schemas.microsoft.com/office/drawing/2014/chart" uri="{C3380CC4-5D6E-409C-BE32-E72D297353CC}">
                <c16:uniqueId val="{0000028E-F844-4F86-962E-A86465320DB0}"/>
              </c:ext>
            </c:extLst>
          </c:dPt>
          <c:dPt>
            <c:idx val="241"/>
            <c:invertIfNegative val="0"/>
            <c:bubble3D val="0"/>
            <c:extLst>
              <c:ext xmlns:c16="http://schemas.microsoft.com/office/drawing/2014/chart" uri="{C3380CC4-5D6E-409C-BE32-E72D297353CC}">
                <c16:uniqueId val="{0000028F-F844-4F86-962E-A86465320DB0}"/>
              </c:ext>
            </c:extLst>
          </c:dPt>
          <c:dPt>
            <c:idx val="242"/>
            <c:invertIfNegative val="0"/>
            <c:bubble3D val="0"/>
            <c:extLst>
              <c:ext xmlns:c16="http://schemas.microsoft.com/office/drawing/2014/chart" uri="{C3380CC4-5D6E-409C-BE32-E72D297353CC}">
                <c16:uniqueId val="{00000290-F844-4F86-962E-A86465320DB0}"/>
              </c:ext>
            </c:extLst>
          </c:dPt>
          <c:dPt>
            <c:idx val="243"/>
            <c:invertIfNegative val="0"/>
            <c:bubble3D val="0"/>
            <c:extLst>
              <c:ext xmlns:c16="http://schemas.microsoft.com/office/drawing/2014/chart" uri="{C3380CC4-5D6E-409C-BE32-E72D297353CC}">
                <c16:uniqueId val="{00000291-F844-4F86-962E-A86465320DB0}"/>
              </c:ext>
            </c:extLst>
          </c:dPt>
          <c:dPt>
            <c:idx val="244"/>
            <c:invertIfNegative val="0"/>
            <c:bubble3D val="0"/>
            <c:extLst>
              <c:ext xmlns:c16="http://schemas.microsoft.com/office/drawing/2014/chart" uri="{C3380CC4-5D6E-409C-BE32-E72D297353CC}">
                <c16:uniqueId val="{00000292-F844-4F86-962E-A86465320DB0}"/>
              </c:ext>
            </c:extLst>
          </c:dPt>
          <c:dPt>
            <c:idx val="245"/>
            <c:invertIfNegative val="0"/>
            <c:bubble3D val="0"/>
            <c:extLst>
              <c:ext xmlns:c16="http://schemas.microsoft.com/office/drawing/2014/chart" uri="{C3380CC4-5D6E-409C-BE32-E72D297353CC}">
                <c16:uniqueId val="{00000293-F844-4F86-962E-A86465320DB0}"/>
              </c:ext>
            </c:extLst>
          </c:dPt>
          <c:dPt>
            <c:idx val="246"/>
            <c:invertIfNegative val="0"/>
            <c:bubble3D val="0"/>
            <c:extLst>
              <c:ext xmlns:c16="http://schemas.microsoft.com/office/drawing/2014/chart" uri="{C3380CC4-5D6E-409C-BE32-E72D297353CC}">
                <c16:uniqueId val="{00000294-F844-4F86-962E-A86465320DB0}"/>
              </c:ext>
            </c:extLst>
          </c:dPt>
          <c:dPt>
            <c:idx val="247"/>
            <c:invertIfNegative val="0"/>
            <c:bubble3D val="0"/>
            <c:extLst>
              <c:ext xmlns:c16="http://schemas.microsoft.com/office/drawing/2014/chart" uri="{C3380CC4-5D6E-409C-BE32-E72D297353CC}">
                <c16:uniqueId val="{00000295-F844-4F86-962E-A86465320DB0}"/>
              </c:ext>
            </c:extLst>
          </c:dPt>
          <c:dPt>
            <c:idx val="248"/>
            <c:invertIfNegative val="0"/>
            <c:bubble3D val="0"/>
            <c:extLst>
              <c:ext xmlns:c16="http://schemas.microsoft.com/office/drawing/2014/chart" uri="{C3380CC4-5D6E-409C-BE32-E72D297353CC}">
                <c16:uniqueId val="{00000296-F844-4F86-962E-A86465320DB0}"/>
              </c:ext>
            </c:extLst>
          </c:dPt>
          <c:dPt>
            <c:idx val="249"/>
            <c:invertIfNegative val="0"/>
            <c:bubble3D val="0"/>
            <c:extLst>
              <c:ext xmlns:c16="http://schemas.microsoft.com/office/drawing/2014/chart" uri="{C3380CC4-5D6E-409C-BE32-E72D297353CC}">
                <c16:uniqueId val="{00000297-F844-4F86-962E-A86465320DB0}"/>
              </c:ext>
            </c:extLst>
          </c:dPt>
          <c:dPt>
            <c:idx val="250"/>
            <c:invertIfNegative val="0"/>
            <c:bubble3D val="0"/>
            <c:extLst>
              <c:ext xmlns:c16="http://schemas.microsoft.com/office/drawing/2014/chart" uri="{C3380CC4-5D6E-409C-BE32-E72D297353CC}">
                <c16:uniqueId val="{00000298-F844-4F86-962E-A86465320DB0}"/>
              </c:ext>
            </c:extLst>
          </c:dPt>
          <c:dPt>
            <c:idx val="251"/>
            <c:invertIfNegative val="0"/>
            <c:bubble3D val="0"/>
            <c:extLst>
              <c:ext xmlns:c16="http://schemas.microsoft.com/office/drawing/2014/chart" uri="{C3380CC4-5D6E-409C-BE32-E72D297353CC}">
                <c16:uniqueId val="{00000299-F844-4F86-962E-A86465320DB0}"/>
              </c:ext>
            </c:extLst>
          </c:dPt>
          <c:dPt>
            <c:idx val="252"/>
            <c:invertIfNegative val="0"/>
            <c:bubble3D val="0"/>
            <c:extLst>
              <c:ext xmlns:c16="http://schemas.microsoft.com/office/drawing/2014/chart" uri="{C3380CC4-5D6E-409C-BE32-E72D297353CC}">
                <c16:uniqueId val="{0000029A-F844-4F86-962E-A86465320DB0}"/>
              </c:ext>
            </c:extLst>
          </c:dPt>
          <c:dPt>
            <c:idx val="253"/>
            <c:invertIfNegative val="0"/>
            <c:bubble3D val="0"/>
            <c:extLst>
              <c:ext xmlns:c16="http://schemas.microsoft.com/office/drawing/2014/chart" uri="{C3380CC4-5D6E-409C-BE32-E72D297353CC}">
                <c16:uniqueId val="{0000029B-F844-4F86-962E-A86465320DB0}"/>
              </c:ext>
            </c:extLst>
          </c:dPt>
          <c:dPt>
            <c:idx val="254"/>
            <c:invertIfNegative val="0"/>
            <c:bubble3D val="0"/>
            <c:extLst>
              <c:ext xmlns:c16="http://schemas.microsoft.com/office/drawing/2014/chart" uri="{C3380CC4-5D6E-409C-BE32-E72D297353CC}">
                <c16:uniqueId val="{0000029C-F844-4F86-962E-A86465320DB0}"/>
              </c:ext>
            </c:extLst>
          </c:dPt>
          <c:dPt>
            <c:idx val="255"/>
            <c:invertIfNegative val="0"/>
            <c:bubble3D val="0"/>
            <c:extLst>
              <c:ext xmlns:c16="http://schemas.microsoft.com/office/drawing/2014/chart" uri="{C3380CC4-5D6E-409C-BE32-E72D297353CC}">
                <c16:uniqueId val="{0000029D-F844-4F86-962E-A86465320DB0}"/>
              </c:ext>
            </c:extLst>
          </c:dPt>
          <c:dPt>
            <c:idx val="256"/>
            <c:invertIfNegative val="0"/>
            <c:bubble3D val="0"/>
            <c:extLst>
              <c:ext xmlns:c16="http://schemas.microsoft.com/office/drawing/2014/chart" uri="{C3380CC4-5D6E-409C-BE32-E72D297353CC}">
                <c16:uniqueId val="{0000029E-F844-4F86-962E-A86465320DB0}"/>
              </c:ext>
            </c:extLst>
          </c:dPt>
          <c:dPt>
            <c:idx val="257"/>
            <c:invertIfNegative val="0"/>
            <c:bubble3D val="0"/>
            <c:extLst>
              <c:ext xmlns:c16="http://schemas.microsoft.com/office/drawing/2014/chart" uri="{C3380CC4-5D6E-409C-BE32-E72D297353CC}">
                <c16:uniqueId val="{0000029F-F844-4F86-962E-A86465320DB0}"/>
              </c:ext>
            </c:extLst>
          </c:dPt>
          <c:dPt>
            <c:idx val="258"/>
            <c:invertIfNegative val="0"/>
            <c:bubble3D val="0"/>
            <c:extLst>
              <c:ext xmlns:c16="http://schemas.microsoft.com/office/drawing/2014/chart" uri="{C3380CC4-5D6E-409C-BE32-E72D297353CC}">
                <c16:uniqueId val="{000002A0-F844-4F86-962E-A86465320DB0}"/>
              </c:ext>
            </c:extLst>
          </c:dPt>
          <c:dPt>
            <c:idx val="259"/>
            <c:invertIfNegative val="0"/>
            <c:bubble3D val="0"/>
            <c:extLst>
              <c:ext xmlns:c16="http://schemas.microsoft.com/office/drawing/2014/chart" uri="{C3380CC4-5D6E-409C-BE32-E72D297353CC}">
                <c16:uniqueId val="{000002A1-F844-4F86-962E-A86465320DB0}"/>
              </c:ext>
            </c:extLst>
          </c:dPt>
          <c:dPt>
            <c:idx val="260"/>
            <c:invertIfNegative val="0"/>
            <c:bubble3D val="0"/>
            <c:extLst>
              <c:ext xmlns:c16="http://schemas.microsoft.com/office/drawing/2014/chart" uri="{C3380CC4-5D6E-409C-BE32-E72D297353CC}">
                <c16:uniqueId val="{000002A2-F844-4F86-962E-A86465320DB0}"/>
              </c:ext>
            </c:extLst>
          </c:dPt>
          <c:dPt>
            <c:idx val="261"/>
            <c:invertIfNegative val="0"/>
            <c:bubble3D val="0"/>
            <c:extLst>
              <c:ext xmlns:c16="http://schemas.microsoft.com/office/drawing/2014/chart" uri="{C3380CC4-5D6E-409C-BE32-E72D297353CC}">
                <c16:uniqueId val="{000002A3-F844-4F86-962E-A86465320DB0}"/>
              </c:ext>
            </c:extLst>
          </c:dPt>
          <c:dPt>
            <c:idx val="262"/>
            <c:invertIfNegative val="0"/>
            <c:bubble3D val="0"/>
            <c:extLst>
              <c:ext xmlns:c16="http://schemas.microsoft.com/office/drawing/2014/chart" uri="{C3380CC4-5D6E-409C-BE32-E72D297353CC}">
                <c16:uniqueId val="{000002A4-F844-4F86-962E-A86465320DB0}"/>
              </c:ext>
            </c:extLst>
          </c:dPt>
          <c:dPt>
            <c:idx val="263"/>
            <c:invertIfNegative val="0"/>
            <c:bubble3D val="0"/>
            <c:extLst>
              <c:ext xmlns:c16="http://schemas.microsoft.com/office/drawing/2014/chart" uri="{C3380CC4-5D6E-409C-BE32-E72D297353CC}">
                <c16:uniqueId val="{000002A5-F844-4F86-962E-A86465320DB0}"/>
              </c:ext>
            </c:extLst>
          </c:dPt>
          <c:dPt>
            <c:idx val="264"/>
            <c:invertIfNegative val="0"/>
            <c:bubble3D val="0"/>
            <c:extLst>
              <c:ext xmlns:c16="http://schemas.microsoft.com/office/drawing/2014/chart" uri="{C3380CC4-5D6E-409C-BE32-E72D297353CC}">
                <c16:uniqueId val="{000002A6-F844-4F86-962E-A86465320DB0}"/>
              </c:ext>
            </c:extLst>
          </c:dPt>
          <c:dPt>
            <c:idx val="265"/>
            <c:invertIfNegative val="0"/>
            <c:bubble3D val="0"/>
            <c:extLst>
              <c:ext xmlns:c16="http://schemas.microsoft.com/office/drawing/2014/chart" uri="{C3380CC4-5D6E-409C-BE32-E72D297353CC}">
                <c16:uniqueId val="{000002A7-F844-4F86-962E-A86465320DB0}"/>
              </c:ext>
            </c:extLst>
          </c:dPt>
          <c:dPt>
            <c:idx val="266"/>
            <c:invertIfNegative val="0"/>
            <c:bubble3D val="0"/>
            <c:extLst>
              <c:ext xmlns:c16="http://schemas.microsoft.com/office/drawing/2014/chart" uri="{C3380CC4-5D6E-409C-BE32-E72D297353CC}">
                <c16:uniqueId val="{000002A8-F844-4F86-962E-A86465320DB0}"/>
              </c:ext>
            </c:extLst>
          </c:dPt>
          <c:dPt>
            <c:idx val="267"/>
            <c:invertIfNegative val="0"/>
            <c:bubble3D val="0"/>
            <c:extLst>
              <c:ext xmlns:c16="http://schemas.microsoft.com/office/drawing/2014/chart" uri="{C3380CC4-5D6E-409C-BE32-E72D297353CC}">
                <c16:uniqueId val="{000002A9-F844-4F86-962E-A86465320DB0}"/>
              </c:ext>
            </c:extLst>
          </c:dPt>
          <c:dPt>
            <c:idx val="268"/>
            <c:invertIfNegative val="0"/>
            <c:bubble3D val="0"/>
            <c:extLst>
              <c:ext xmlns:c16="http://schemas.microsoft.com/office/drawing/2014/chart" uri="{C3380CC4-5D6E-409C-BE32-E72D297353CC}">
                <c16:uniqueId val="{000002AA-F844-4F86-962E-A86465320DB0}"/>
              </c:ext>
            </c:extLst>
          </c:dPt>
          <c:dPt>
            <c:idx val="269"/>
            <c:invertIfNegative val="0"/>
            <c:bubble3D val="0"/>
            <c:extLst>
              <c:ext xmlns:c16="http://schemas.microsoft.com/office/drawing/2014/chart" uri="{C3380CC4-5D6E-409C-BE32-E72D297353CC}">
                <c16:uniqueId val="{000002AB-F844-4F86-962E-A86465320DB0}"/>
              </c:ext>
            </c:extLst>
          </c:dPt>
          <c:dPt>
            <c:idx val="270"/>
            <c:invertIfNegative val="0"/>
            <c:bubble3D val="0"/>
            <c:extLst>
              <c:ext xmlns:c16="http://schemas.microsoft.com/office/drawing/2014/chart" uri="{C3380CC4-5D6E-409C-BE32-E72D297353CC}">
                <c16:uniqueId val="{000002AC-F844-4F86-962E-A86465320DB0}"/>
              </c:ext>
            </c:extLst>
          </c:dPt>
          <c:dPt>
            <c:idx val="271"/>
            <c:invertIfNegative val="0"/>
            <c:bubble3D val="0"/>
            <c:extLst>
              <c:ext xmlns:c16="http://schemas.microsoft.com/office/drawing/2014/chart" uri="{C3380CC4-5D6E-409C-BE32-E72D297353CC}">
                <c16:uniqueId val="{000002AD-F844-4F86-962E-A86465320DB0}"/>
              </c:ext>
            </c:extLst>
          </c:dPt>
          <c:dPt>
            <c:idx val="272"/>
            <c:invertIfNegative val="0"/>
            <c:bubble3D val="0"/>
            <c:extLst>
              <c:ext xmlns:c16="http://schemas.microsoft.com/office/drawing/2014/chart" uri="{C3380CC4-5D6E-409C-BE32-E72D297353CC}">
                <c16:uniqueId val="{000002AE-F844-4F86-962E-A86465320DB0}"/>
              </c:ext>
            </c:extLst>
          </c:dPt>
          <c:dPt>
            <c:idx val="273"/>
            <c:invertIfNegative val="0"/>
            <c:bubble3D val="0"/>
            <c:extLst>
              <c:ext xmlns:c16="http://schemas.microsoft.com/office/drawing/2014/chart" uri="{C3380CC4-5D6E-409C-BE32-E72D297353CC}">
                <c16:uniqueId val="{000002AF-F844-4F86-962E-A86465320DB0}"/>
              </c:ext>
            </c:extLst>
          </c:dPt>
          <c:dPt>
            <c:idx val="274"/>
            <c:invertIfNegative val="0"/>
            <c:bubble3D val="0"/>
            <c:extLst>
              <c:ext xmlns:c16="http://schemas.microsoft.com/office/drawing/2014/chart" uri="{C3380CC4-5D6E-409C-BE32-E72D297353CC}">
                <c16:uniqueId val="{000002B0-F844-4F86-962E-A86465320DB0}"/>
              </c:ext>
            </c:extLst>
          </c:dPt>
          <c:dPt>
            <c:idx val="275"/>
            <c:invertIfNegative val="0"/>
            <c:bubble3D val="0"/>
            <c:extLst>
              <c:ext xmlns:c16="http://schemas.microsoft.com/office/drawing/2014/chart" uri="{C3380CC4-5D6E-409C-BE32-E72D297353CC}">
                <c16:uniqueId val="{000002B1-F844-4F86-962E-A86465320DB0}"/>
              </c:ext>
            </c:extLst>
          </c:dPt>
          <c:dPt>
            <c:idx val="276"/>
            <c:invertIfNegative val="0"/>
            <c:bubble3D val="0"/>
            <c:extLst>
              <c:ext xmlns:c16="http://schemas.microsoft.com/office/drawing/2014/chart" uri="{C3380CC4-5D6E-409C-BE32-E72D297353CC}">
                <c16:uniqueId val="{000002B2-F844-4F86-962E-A86465320DB0}"/>
              </c:ext>
            </c:extLst>
          </c:dPt>
          <c:dPt>
            <c:idx val="277"/>
            <c:invertIfNegative val="0"/>
            <c:bubble3D val="0"/>
            <c:extLst>
              <c:ext xmlns:c16="http://schemas.microsoft.com/office/drawing/2014/chart" uri="{C3380CC4-5D6E-409C-BE32-E72D297353CC}">
                <c16:uniqueId val="{000002B3-F844-4F86-962E-A86465320DB0}"/>
              </c:ext>
            </c:extLst>
          </c:dPt>
          <c:dPt>
            <c:idx val="278"/>
            <c:invertIfNegative val="0"/>
            <c:bubble3D val="0"/>
            <c:extLst>
              <c:ext xmlns:c16="http://schemas.microsoft.com/office/drawing/2014/chart" uri="{C3380CC4-5D6E-409C-BE32-E72D297353CC}">
                <c16:uniqueId val="{000002B4-F844-4F86-962E-A86465320DB0}"/>
              </c:ext>
            </c:extLst>
          </c:dPt>
          <c:dPt>
            <c:idx val="279"/>
            <c:invertIfNegative val="0"/>
            <c:bubble3D val="0"/>
            <c:extLst>
              <c:ext xmlns:c16="http://schemas.microsoft.com/office/drawing/2014/chart" uri="{C3380CC4-5D6E-409C-BE32-E72D297353CC}">
                <c16:uniqueId val="{000002B5-F844-4F86-962E-A86465320DB0}"/>
              </c:ext>
            </c:extLst>
          </c:dPt>
          <c:dPt>
            <c:idx val="280"/>
            <c:invertIfNegative val="0"/>
            <c:bubble3D val="0"/>
            <c:extLst>
              <c:ext xmlns:c16="http://schemas.microsoft.com/office/drawing/2014/chart" uri="{C3380CC4-5D6E-409C-BE32-E72D297353CC}">
                <c16:uniqueId val="{000002B6-F844-4F86-962E-A86465320DB0}"/>
              </c:ext>
            </c:extLst>
          </c:dPt>
          <c:dPt>
            <c:idx val="281"/>
            <c:invertIfNegative val="0"/>
            <c:bubble3D val="0"/>
            <c:extLst>
              <c:ext xmlns:c16="http://schemas.microsoft.com/office/drawing/2014/chart" uri="{C3380CC4-5D6E-409C-BE32-E72D297353CC}">
                <c16:uniqueId val="{000002B7-F844-4F86-962E-A86465320DB0}"/>
              </c:ext>
            </c:extLst>
          </c:dPt>
          <c:dPt>
            <c:idx val="282"/>
            <c:invertIfNegative val="0"/>
            <c:bubble3D val="0"/>
            <c:extLst>
              <c:ext xmlns:c16="http://schemas.microsoft.com/office/drawing/2014/chart" uri="{C3380CC4-5D6E-409C-BE32-E72D297353CC}">
                <c16:uniqueId val="{000002B8-F844-4F86-962E-A86465320DB0}"/>
              </c:ext>
            </c:extLst>
          </c:dPt>
          <c:dPt>
            <c:idx val="283"/>
            <c:invertIfNegative val="0"/>
            <c:bubble3D val="0"/>
            <c:extLst>
              <c:ext xmlns:c16="http://schemas.microsoft.com/office/drawing/2014/chart" uri="{C3380CC4-5D6E-409C-BE32-E72D297353CC}">
                <c16:uniqueId val="{000002B9-F844-4F86-962E-A86465320DB0}"/>
              </c:ext>
            </c:extLst>
          </c:dPt>
          <c:dPt>
            <c:idx val="284"/>
            <c:invertIfNegative val="0"/>
            <c:bubble3D val="0"/>
            <c:extLst>
              <c:ext xmlns:c16="http://schemas.microsoft.com/office/drawing/2014/chart" uri="{C3380CC4-5D6E-409C-BE32-E72D297353CC}">
                <c16:uniqueId val="{000002BA-F844-4F86-962E-A86465320DB0}"/>
              </c:ext>
            </c:extLst>
          </c:dPt>
          <c:dPt>
            <c:idx val="285"/>
            <c:invertIfNegative val="0"/>
            <c:bubble3D val="0"/>
            <c:extLst>
              <c:ext xmlns:c16="http://schemas.microsoft.com/office/drawing/2014/chart" uri="{C3380CC4-5D6E-409C-BE32-E72D297353CC}">
                <c16:uniqueId val="{000002BB-F844-4F86-962E-A86465320DB0}"/>
              </c:ext>
            </c:extLst>
          </c:dPt>
          <c:dPt>
            <c:idx val="286"/>
            <c:invertIfNegative val="0"/>
            <c:bubble3D val="0"/>
            <c:extLst>
              <c:ext xmlns:c16="http://schemas.microsoft.com/office/drawing/2014/chart" uri="{C3380CC4-5D6E-409C-BE32-E72D297353CC}">
                <c16:uniqueId val="{000002BC-F844-4F86-962E-A86465320DB0}"/>
              </c:ext>
            </c:extLst>
          </c:dPt>
          <c:dPt>
            <c:idx val="287"/>
            <c:invertIfNegative val="0"/>
            <c:bubble3D val="0"/>
            <c:extLst>
              <c:ext xmlns:c16="http://schemas.microsoft.com/office/drawing/2014/chart" uri="{C3380CC4-5D6E-409C-BE32-E72D297353CC}">
                <c16:uniqueId val="{000002BD-F844-4F86-962E-A86465320DB0}"/>
              </c:ext>
            </c:extLst>
          </c:dPt>
          <c:dPt>
            <c:idx val="288"/>
            <c:invertIfNegative val="0"/>
            <c:bubble3D val="0"/>
            <c:extLst>
              <c:ext xmlns:c16="http://schemas.microsoft.com/office/drawing/2014/chart" uri="{C3380CC4-5D6E-409C-BE32-E72D297353CC}">
                <c16:uniqueId val="{000002BE-F844-4F86-962E-A86465320DB0}"/>
              </c:ext>
            </c:extLst>
          </c:dPt>
          <c:dPt>
            <c:idx val="289"/>
            <c:invertIfNegative val="0"/>
            <c:bubble3D val="0"/>
            <c:extLst>
              <c:ext xmlns:c16="http://schemas.microsoft.com/office/drawing/2014/chart" uri="{C3380CC4-5D6E-409C-BE32-E72D297353CC}">
                <c16:uniqueId val="{000002BF-F844-4F86-962E-A86465320DB0}"/>
              </c:ext>
            </c:extLst>
          </c:dPt>
          <c:dPt>
            <c:idx val="290"/>
            <c:invertIfNegative val="0"/>
            <c:bubble3D val="0"/>
            <c:extLst>
              <c:ext xmlns:c16="http://schemas.microsoft.com/office/drawing/2014/chart" uri="{C3380CC4-5D6E-409C-BE32-E72D297353CC}">
                <c16:uniqueId val="{000002C0-F844-4F86-962E-A86465320DB0}"/>
              </c:ext>
            </c:extLst>
          </c:dPt>
          <c:dPt>
            <c:idx val="291"/>
            <c:invertIfNegative val="0"/>
            <c:bubble3D val="0"/>
            <c:extLst>
              <c:ext xmlns:c16="http://schemas.microsoft.com/office/drawing/2014/chart" uri="{C3380CC4-5D6E-409C-BE32-E72D297353CC}">
                <c16:uniqueId val="{000002C1-F844-4F86-962E-A86465320DB0}"/>
              </c:ext>
            </c:extLst>
          </c:dPt>
          <c:dPt>
            <c:idx val="292"/>
            <c:invertIfNegative val="0"/>
            <c:bubble3D val="0"/>
            <c:extLst>
              <c:ext xmlns:c16="http://schemas.microsoft.com/office/drawing/2014/chart" uri="{C3380CC4-5D6E-409C-BE32-E72D297353CC}">
                <c16:uniqueId val="{000002C2-F844-4F86-962E-A86465320DB0}"/>
              </c:ext>
            </c:extLst>
          </c:dPt>
          <c:dPt>
            <c:idx val="293"/>
            <c:invertIfNegative val="0"/>
            <c:bubble3D val="0"/>
            <c:extLst>
              <c:ext xmlns:c16="http://schemas.microsoft.com/office/drawing/2014/chart" uri="{C3380CC4-5D6E-409C-BE32-E72D297353CC}">
                <c16:uniqueId val="{000002C3-F844-4F86-962E-A86465320DB0}"/>
              </c:ext>
            </c:extLst>
          </c:dPt>
          <c:dPt>
            <c:idx val="294"/>
            <c:invertIfNegative val="0"/>
            <c:bubble3D val="0"/>
            <c:extLst>
              <c:ext xmlns:c16="http://schemas.microsoft.com/office/drawing/2014/chart" uri="{C3380CC4-5D6E-409C-BE32-E72D297353CC}">
                <c16:uniqueId val="{000002C4-F844-4F86-962E-A86465320DB0}"/>
              </c:ext>
            </c:extLst>
          </c:dPt>
          <c:dPt>
            <c:idx val="295"/>
            <c:invertIfNegative val="0"/>
            <c:bubble3D val="0"/>
            <c:extLst>
              <c:ext xmlns:c16="http://schemas.microsoft.com/office/drawing/2014/chart" uri="{C3380CC4-5D6E-409C-BE32-E72D297353CC}">
                <c16:uniqueId val="{000002C5-F844-4F86-962E-A86465320DB0}"/>
              </c:ext>
            </c:extLst>
          </c:dPt>
          <c:dPt>
            <c:idx val="296"/>
            <c:invertIfNegative val="0"/>
            <c:bubble3D val="0"/>
            <c:extLst>
              <c:ext xmlns:c16="http://schemas.microsoft.com/office/drawing/2014/chart" uri="{C3380CC4-5D6E-409C-BE32-E72D297353CC}">
                <c16:uniqueId val="{000002C6-F844-4F86-962E-A86465320DB0}"/>
              </c:ext>
            </c:extLst>
          </c:dPt>
          <c:dPt>
            <c:idx val="297"/>
            <c:invertIfNegative val="0"/>
            <c:bubble3D val="0"/>
            <c:extLst>
              <c:ext xmlns:c16="http://schemas.microsoft.com/office/drawing/2014/chart" uri="{C3380CC4-5D6E-409C-BE32-E72D297353CC}">
                <c16:uniqueId val="{000002C7-F844-4F86-962E-A86465320DB0}"/>
              </c:ext>
            </c:extLst>
          </c:dPt>
          <c:dPt>
            <c:idx val="298"/>
            <c:invertIfNegative val="0"/>
            <c:bubble3D val="0"/>
            <c:extLst>
              <c:ext xmlns:c16="http://schemas.microsoft.com/office/drawing/2014/chart" uri="{C3380CC4-5D6E-409C-BE32-E72D297353CC}">
                <c16:uniqueId val="{000002C8-F844-4F86-962E-A86465320DB0}"/>
              </c:ext>
            </c:extLst>
          </c:dPt>
          <c:dPt>
            <c:idx val="299"/>
            <c:invertIfNegative val="0"/>
            <c:bubble3D val="0"/>
            <c:extLst>
              <c:ext xmlns:c16="http://schemas.microsoft.com/office/drawing/2014/chart" uri="{C3380CC4-5D6E-409C-BE32-E72D297353CC}">
                <c16:uniqueId val="{000002C9-F844-4F86-962E-A86465320DB0}"/>
              </c:ext>
            </c:extLst>
          </c:dPt>
          <c:dPt>
            <c:idx val="300"/>
            <c:invertIfNegative val="0"/>
            <c:bubble3D val="0"/>
            <c:extLst>
              <c:ext xmlns:c16="http://schemas.microsoft.com/office/drawing/2014/chart" uri="{C3380CC4-5D6E-409C-BE32-E72D297353CC}">
                <c16:uniqueId val="{000002CA-F844-4F86-962E-A86465320DB0}"/>
              </c:ext>
            </c:extLst>
          </c:dPt>
          <c:dPt>
            <c:idx val="301"/>
            <c:invertIfNegative val="0"/>
            <c:bubble3D val="0"/>
            <c:extLst>
              <c:ext xmlns:c16="http://schemas.microsoft.com/office/drawing/2014/chart" uri="{C3380CC4-5D6E-409C-BE32-E72D297353CC}">
                <c16:uniqueId val="{000002CB-F844-4F86-962E-A86465320DB0}"/>
              </c:ext>
            </c:extLst>
          </c:dPt>
          <c:dPt>
            <c:idx val="302"/>
            <c:invertIfNegative val="0"/>
            <c:bubble3D val="0"/>
            <c:extLst>
              <c:ext xmlns:c16="http://schemas.microsoft.com/office/drawing/2014/chart" uri="{C3380CC4-5D6E-409C-BE32-E72D297353CC}">
                <c16:uniqueId val="{000002CC-F844-4F86-962E-A86465320DB0}"/>
              </c:ext>
            </c:extLst>
          </c:dPt>
          <c:dPt>
            <c:idx val="303"/>
            <c:invertIfNegative val="0"/>
            <c:bubble3D val="0"/>
            <c:extLst>
              <c:ext xmlns:c16="http://schemas.microsoft.com/office/drawing/2014/chart" uri="{C3380CC4-5D6E-409C-BE32-E72D297353CC}">
                <c16:uniqueId val="{000002CD-F844-4F86-962E-A86465320DB0}"/>
              </c:ext>
            </c:extLst>
          </c:dPt>
          <c:dPt>
            <c:idx val="304"/>
            <c:invertIfNegative val="0"/>
            <c:bubble3D val="0"/>
            <c:extLst>
              <c:ext xmlns:c16="http://schemas.microsoft.com/office/drawing/2014/chart" uri="{C3380CC4-5D6E-409C-BE32-E72D297353CC}">
                <c16:uniqueId val="{000002CE-F844-4F86-962E-A86465320DB0}"/>
              </c:ext>
            </c:extLst>
          </c:dPt>
          <c:dPt>
            <c:idx val="305"/>
            <c:invertIfNegative val="0"/>
            <c:bubble3D val="0"/>
            <c:extLst>
              <c:ext xmlns:c16="http://schemas.microsoft.com/office/drawing/2014/chart" uri="{C3380CC4-5D6E-409C-BE32-E72D297353CC}">
                <c16:uniqueId val="{000002CF-F844-4F86-962E-A86465320DB0}"/>
              </c:ext>
            </c:extLst>
          </c:dPt>
          <c:dPt>
            <c:idx val="306"/>
            <c:invertIfNegative val="0"/>
            <c:bubble3D val="0"/>
            <c:extLst>
              <c:ext xmlns:c16="http://schemas.microsoft.com/office/drawing/2014/chart" uri="{C3380CC4-5D6E-409C-BE32-E72D297353CC}">
                <c16:uniqueId val="{000002D0-F844-4F86-962E-A86465320DB0}"/>
              </c:ext>
            </c:extLst>
          </c:dPt>
          <c:dPt>
            <c:idx val="307"/>
            <c:invertIfNegative val="0"/>
            <c:bubble3D val="0"/>
            <c:extLst>
              <c:ext xmlns:c16="http://schemas.microsoft.com/office/drawing/2014/chart" uri="{C3380CC4-5D6E-409C-BE32-E72D297353CC}">
                <c16:uniqueId val="{000002D1-F844-4F86-962E-A86465320DB0}"/>
              </c:ext>
            </c:extLst>
          </c:dPt>
          <c:dPt>
            <c:idx val="308"/>
            <c:invertIfNegative val="0"/>
            <c:bubble3D val="0"/>
            <c:extLst>
              <c:ext xmlns:c16="http://schemas.microsoft.com/office/drawing/2014/chart" uri="{C3380CC4-5D6E-409C-BE32-E72D297353CC}">
                <c16:uniqueId val="{000002D2-F844-4F86-962E-A86465320DB0}"/>
              </c:ext>
            </c:extLst>
          </c:dPt>
          <c:dPt>
            <c:idx val="309"/>
            <c:invertIfNegative val="0"/>
            <c:bubble3D val="0"/>
            <c:extLst>
              <c:ext xmlns:c16="http://schemas.microsoft.com/office/drawing/2014/chart" uri="{C3380CC4-5D6E-409C-BE32-E72D297353CC}">
                <c16:uniqueId val="{000002D3-F844-4F86-962E-A86465320DB0}"/>
              </c:ext>
            </c:extLst>
          </c:dPt>
          <c:dPt>
            <c:idx val="310"/>
            <c:invertIfNegative val="0"/>
            <c:bubble3D val="0"/>
            <c:extLst>
              <c:ext xmlns:c16="http://schemas.microsoft.com/office/drawing/2014/chart" uri="{C3380CC4-5D6E-409C-BE32-E72D297353CC}">
                <c16:uniqueId val="{000002D4-F844-4F86-962E-A86465320DB0}"/>
              </c:ext>
            </c:extLst>
          </c:dPt>
          <c:dPt>
            <c:idx val="311"/>
            <c:invertIfNegative val="0"/>
            <c:bubble3D val="0"/>
            <c:extLst>
              <c:ext xmlns:c16="http://schemas.microsoft.com/office/drawing/2014/chart" uri="{C3380CC4-5D6E-409C-BE32-E72D297353CC}">
                <c16:uniqueId val="{000002D5-F844-4F86-962E-A86465320DB0}"/>
              </c:ext>
            </c:extLst>
          </c:dPt>
          <c:dPt>
            <c:idx val="312"/>
            <c:invertIfNegative val="0"/>
            <c:bubble3D val="0"/>
            <c:extLst>
              <c:ext xmlns:c16="http://schemas.microsoft.com/office/drawing/2014/chart" uri="{C3380CC4-5D6E-409C-BE32-E72D297353CC}">
                <c16:uniqueId val="{000002D6-F844-4F86-962E-A86465320DB0}"/>
              </c:ext>
            </c:extLst>
          </c:dPt>
          <c:dPt>
            <c:idx val="313"/>
            <c:invertIfNegative val="0"/>
            <c:bubble3D val="0"/>
            <c:extLst>
              <c:ext xmlns:c16="http://schemas.microsoft.com/office/drawing/2014/chart" uri="{C3380CC4-5D6E-409C-BE32-E72D297353CC}">
                <c16:uniqueId val="{000002D7-F844-4F86-962E-A86465320DB0}"/>
              </c:ext>
            </c:extLst>
          </c:dPt>
          <c:dPt>
            <c:idx val="314"/>
            <c:invertIfNegative val="0"/>
            <c:bubble3D val="0"/>
            <c:extLst>
              <c:ext xmlns:c16="http://schemas.microsoft.com/office/drawing/2014/chart" uri="{C3380CC4-5D6E-409C-BE32-E72D297353CC}">
                <c16:uniqueId val="{000002D8-F844-4F86-962E-A86465320DB0}"/>
              </c:ext>
            </c:extLst>
          </c:dPt>
          <c:dPt>
            <c:idx val="315"/>
            <c:invertIfNegative val="0"/>
            <c:bubble3D val="0"/>
            <c:extLst>
              <c:ext xmlns:c16="http://schemas.microsoft.com/office/drawing/2014/chart" uri="{C3380CC4-5D6E-409C-BE32-E72D297353CC}">
                <c16:uniqueId val="{000002D9-F844-4F86-962E-A86465320DB0}"/>
              </c:ext>
            </c:extLst>
          </c:dPt>
          <c:dPt>
            <c:idx val="316"/>
            <c:invertIfNegative val="0"/>
            <c:bubble3D val="0"/>
            <c:extLst>
              <c:ext xmlns:c16="http://schemas.microsoft.com/office/drawing/2014/chart" uri="{C3380CC4-5D6E-409C-BE32-E72D297353CC}">
                <c16:uniqueId val="{000002DA-F844-4F86-962E-A86465320DB0}"/>
              </c:ext>
            </c:extLst>
          </c:dPt>
          <c:dPt>
            <c:idx val="317"/>
            <c:invertIfNegative val="0"/>
            <c:bubble3D val="0"/>
            <c:extLst>
              <c:ext xmlns:c16="http://schemas.microsoft.com/office/drawing/2014/chart" uri="{C3380CC4-5D6E-409C-BE32-E72D297353CC}">
                <c16:uniqueId val="{000002DB-F844-4F86-962E-A86465320DB0}"/>
              </c:ext>
            </c:extLst>
          </c:dPt>
          <c:dPt>
            <c:idx val="318"/>
            <c:invertIfNegative val="0"/>
            <c:bubble3D val="0"/>
            <c:extLst>
              <c:ext xmlns:c16="http://schemas.microsoft.com/office/drawing/2014/chart" uri="{C3380CC4-5D6E-409C-BE32-E72D297353CC}">
                <c16:uniqueId val="{000002DC-F844-4F86-962E-A86465320DB0}"/>
              </c:ext>
            </c:extLst>
          </c:dPt>
          <c:dPt>
            <c:idx val="319"/>
            <c:invertIfNegative val="0"/>
            <c:bubble3D val="0"/>
            <c:extLst>
              <c:ext xmlns:c16="http://schemas.microsoft.com/office/drawing/2014/chart" uri="{C3380CC4-5D6E-409C-BE32-E72D297353CC}">
                <c16:uniqueId val="{000002DD-F844-4F86-962E-A86465320DB0}"/>
              </c:ext>
            </c:extLst>
          </c:dPt>
          <c:dPt>
            <c:idx val="320"/>
            <c:invertIfNegative val="0"/>
            <c:bubble3D val="0"/>
            <c:extLst>
              <c:ext xmlns:c16="http://schemas.microsoft.com/office/drawing/2014/chart" uri="{C3380CC4-5D6E-409C-BE32-E72D297353CC}">
                <c16:uniqueId val="{000002DE-F844-4F86-962E-A86465320DB0}"/>
              </c:ext>
            </c:extLst>
          </c:dPt>
          <c:dPt>
            <c:idx val="321"/>
            <c:invertIfNegative val="0"/>
            <c:bubble3D val="0"/>
            <c:extLst>
              <c:ext xmlns:c16="http://schemas.microsoft.com/office/drawing/2014/chart" uri="{C3380CC4-5D6E-409C-BE32-E72D297353CC}">
                <c16:uniqueId val="{000002DF-F844-4F86-962E-A86465320DB0}"/>
              </c:ext>
            </c:extLst>
          </c:dPt>
          <c:dPt>
            <c:idx val="322"/>
            <c:invertIfNegative val="0"/>
            <c:bubble3D val="0"/>
            <c:extLst>
              <c:ext xmlns:c16="http://schemas.microsoft.com/office/drawing/2014/chart" uri="{C3380CC4-5D6E-409C-BE32-E72D297353CC}">
                <c16:uniqueId val="{000002E0-F844-4F86-962E-A86465320DB0}"/>
              </c:ext>
            </c:extLst>
          </c:dPt>
          <c:dPt>
            <c:idx val="323"/>
            <c:invertIfNegative val="0"/>
            <c:bubble3D val="0"/>
            <c:extLst>
              <c:ext xmlns:c16="http://schemas.microsoft.com/office/drawing/2014/chart" uri="{C3380CC4-5D6E-409C-BE32-E72D297353CC}">
                <c16:uniqueId val="{000002E1-F844-4F86-962E-A86465320DB0}"/>
              </c:ext>
            </c:extLst>
          </c:dPt>
          <c:dPt>
            <c:idx val="324"/>
            <c:invertIfNegative val="0"/>
            <c:bubble3D val="0"/>
            <c:extLst>
              <c:ext xmlns:c16="http://schemas.microsoft.com/office/drawing/2014/chart" uri="{C3380CC4-5D6E-409C-BE32-E72D297353CC}">
                <c16:uniqueId val="{000002E2-F844-4F86-962E-A86465320DB0}"/>
              </c:ext>
            </c:extLst>
          </c:dPt>
          <c:dPt>
            <c:idx val="325"/>
            <c:invertIfNegative val="0"/>
            <c:bubble3D val="0"/>
            <c:extLst>
              <c:ext xmlns:c16="http://schemas.microsoft.com/office/drawing/2014/chart" uri="{C3380CC4-5D6E-409C-BE32-E72D297353CC}">
                <c16:uniqueId val="{000002E3-F844-4F86-962E-A86465320DB0}"/>
              </c:ext>
            </c:extLst>
          </c:dPt>
          <c:dPt>
            <c:idx val="326"/>
            <c:invertIfNegative val="0"/>
            <c:bubble3D val="0"/>
            <c:extLst>
              <c:ext xmlns:c16="http://schemas.microsoft.com/office/drawing/2014/chart" uri="{C3380CC4-5D6E-409C-BE32-E72D297353CC}">
                <c16:uniqueId val="{000002E4-F844-4F86-962E-A86465320DB0}"/>
              </c:ext>
            </c:extLst>
          </c:dPt>
          <c:dPt>
            <c:idx val="327"/>
            <c:invertIfNegative val="0"/>
            <c:bubble3D val="0"/>
            <c:extLst>
              <c:ext xmlns:c16="http://schemas.microsoft.com/office/drawing/2014/chart" uri="{C3380CC4-5D6E-409C-BE32-E72D297353CC}">
                <c16:uniqueId val="{000002E5-F844-4F86-962E-A86465320DB0}"/>
              </c:ext>
            </c:extLst>
          </c:dPt>
          <c:dPt>
            <c:idx val="328"/>
            <c:invertIfNegative val="0"/>
            <c:bubble3D val="0"/>
            <c:extLst>
              <c:ext xmlns:c16="http://schemas.microsoft.com/office/drawing/2014/chart" uri="{C3380CC4-5D6E-409C-BE32-E72D297353CC}">
                <c16:uniqueId val="{000002E6-F844-4F86-962E-A86465320DB0}"/>
              </c:ext>
            </c:extLst>
          </c:dPt>
          <c:dPt>
            <c:idx val="329"/>
            <c:invertIfNegative val="0"/>
            <c:bubble3D val="0"/>
            <c:extLst>
              <c:ext xmlns:c16="http://schemas.microsoft.com/office/drawing/2014/chart" uri="{C3380CC4-5D6E-409C-BE32-E72D297353CC}">
                <c16:uniqueId val="{000002E7-F844-4F86-962E-A86465320DB0}"/>
              </c:ext>
            </c:extLst>
          </c:dPt>
          <c:dPt>
            <c:idx val="330"/>
            <c:invertIfNegative val="0"/>
            <c:bubble3D val="0"/>
            <c:extLst>
              <c:ext xmlns:c16="http://schemas.microsoft.com/office/drawing/2014/chart" uri="{C3380CC4-5D6E-409C-BE32-E72D297353CC}">
                <c16:uniqueId val="{000002E8-F844-4F86-962E-A86465320DB0}"/>
              </c:ext>
            </c:extLst>
          </c:dPt>
          <c:dPt>
            <c:idx val="331"/>
            <c:invertIfNegative val="0"/>
            <c:bubble3D val="0"/>
            <c:extLst>
              <c:ext xmlns:c16="http://schemas.microsoft.com/office/drawing/2014/chart" uri="{C3380CC4-5D6E-409C-BE32-E72D297353CC}">
                <c16:uniqueId val="{000002E9-F844-4F86-962E-A86465320DB0}"/>
              </c:ext>
            </c:extLst>
          </c:dPt>
          <c:dPt>
            <c:idx val="332"/>
            <c:invertIfNegative val="0"/>
            <c:bubble3D val="0"/>
            <c:extLst>
              <c:ext xmlns:c16="http://schemas.microsoft.com/office/drawing/2014/chart" uri="{C3380CC4-5D6E-409C-BE32-E72D297353CC}">
                <c16:uniqueId val="{000002EA-F844-4F86-962E-A86465320DB0}"/>
              </c:ext>
            </c:extLst>
          </c:dPt>
          <c:dPt>
            <c:idx val="333"/>
            <c:invertIfNegative val="0"/>
            <c:bubble3D val="0"/>
            <c:extLst>
              <c:ext xmlns:c16="http://schemas.microsoft.com/office/drawing/2014/chart" uri="{C3380CC4-5D6E-409C-BE32-E72D297353CC}">
                <c16:uniqueId val="{000002EB-F844-4F86-962E-A86465320DB0}"/>
              </c:ext>
            </c:extLst>
          </c:dPt>
          <c:dPt>
            <c:idx val="334"/>
            <c:invertIfNegative val="0"/>
            <c:bubble3D val="0"/>
            <c:extLst>
              <c:ext xmlns:c16="http://schemas.microsoft.com/office/drawing/2014/chart" uri="{C3380CC4-5D6E-409C-BE32-E72D297353CC}">
                <c16:uniqueId val="{000002EC-F844-4F86-962E-A86465320DB0}"/>
              </c:ext>
            </c:extLst>
          </c:dPt>
          <c:dPt>
            <c:idx val="335"/>
            <c:invertIfNegative val="0"/>
            <c:bubble3D val="0"/>
            <c:extLst>
              <c:ext xmlns:c16="http://schemas.microsoft.com/office/drawing/2014/chart" uri="{C3380CC4-5D6E-409C-BE32-E72D297353CC}">
                <c16:uniqueId val="{000002ED-F844-4F86-962E-A86465320DB0}"/>
              </c:ext>
            </c:extLst>
          </c:dPt>
          <c:dPt>
            <c:idx val="336"/>
            <c:invertIfNegative val="0"/>
            <c:bubble3D val="0"/>
            <c:extLst>
              <c:ext xmlns:c16="http://schemas.microsoft.com/office/drawing/2014/chart" uri="{C3380CC4-5D6E-409C-BE32-E72D297353CC}">
                <c16:uniqueId val="{000002EE-F844-4F86-962E-A86465320DB0}"/>
              </c:ext>
            </c:extLst>
          </c:dPt>
          <c:dPt>
            <c:idx val="337"/>
            <c:invertIfNegative val="0"/>
            <c:bubble3D val="0"/>
            <c:extLst>
              <c:ext xmlns:c16="http://schemas.microsoft.com/office/drawing/2014/chart" uri="{C3380CC4-5D6E-409C-BE32-E72D297353CC}">
                <c16:uniqueId val="{000002EF-F844-4F86-962E-A86465320DB0}"/>
              </c:ext>
            </c:extLst>
          </c:dPt>
          <c:dPt>
            <c:idx val="338"/>
            <c:invertIfNegative val="0"/>
            <c:bubble3D val="0"/>
            <c:extLst>
              <c:ext xmlns:c16="http://schemas.microsoft.com/office/drawing/2014/chart" uri="{C3380CC4-5D6E-409C-BE32-E72D297353CC}">
                <c16:uniqueId val="{000002F0-F844-4F86-962E-A86465320DB0}"/>
              </c:ext>
            </c:extLst>
          </c:dPt>
          <c:dPt>
            <c:idx val="339"/>
            <c:invertIfNegative val="0"/>
            <c:bubble3D val="0"/>
            <c:extLst>
              <c:ext xmlns:c16="http://schemas.microsoft.com/office/drawing/2014/chart" uri="{C3380CC4-5D6E-409C-BE32-E72D297353CC}">
                <c16:uniqueId val="{000002F1-F844-4F86-962E-A86465320DB0}"/>
              </c:ext>
            </c:extLst>
          </c:dPt>
          <c:dPt>
            <c:idx val="340"/>
            <c:invertIfNegative val="0"/>
            <c:bubble3D val="0"/>
            <c:extLst>
              <c:ext xmlns:c16="http://schemas.microsoft.com/office/drawing/2014/chart" uri="{C3380CC4-5D6E-409C-BE32-E72D297353CC}">
                <c16:uniqueId val="{000002F2-F844-4F86-962E-A86465320DB0}"/>
              </c:ext>
            </c:extLst>
          </c:dPt>
          <c:dPt>
            <c:idx val="341"/>
            <c:invertIfNegative val="0"/>
            <c:bubble3D val="0"/>
            <c:extLst>
              <c:ext xmlns:c16="http://schemas.microsoft.com/office/drawing/2014/chart" uri="{C3380CC4-5D6E-409C-BE32-E72D297353CC}">
                <c16:uniqueId val="{000002F3-F844-4F86-962E-A86465320DB0}"/>
              </c:ext>
            </c:extLst>
          </c:dPt>
          <c:dPt>
            <c:idx val="342"/>
            <c:invertIfNegative val="0"/>
            <c:bubble3D val="0"/>
            <c:extLst>
              <c:ext xmlns:c16="http://schemas.microsoft.com/office/drawing/2014/chart" uri="{C3380CC4-5D6E-409C-BE32-E72D297353CC}">
                <c16:uniqueId val="{000002F4-F844-4F86-962E-A86465320DB0}"/>
              </c:ext>
            </c:extLst>
          </c:dPt>
          <c:dPt>
            <c:idx val="343"/>
            <c:invertIfNegative val="0"/>
            <c:bubble3D val="0"/>
            <c:extLst>
              <c:ext xmlns:c16="http://schemas.microsoft.com/office/drawing/2014/chart" uri="{C3380CC4-5D6E-409C-BE32-E72D297353CC}">
                <c16:uniqueId val="{000002F5-F844-4F86-962E-A86465320DB0}"/>
              </c:ext>
            </c:extLst>
          </c:dPt>
          <c:dPt>
            <c:idx val="344"/>
            <c:invertIfNegative val="0"/>
            <c:bubble3D val="0"/>
            <c:extLst>
              <c:ext xmlns:c16="http://schemas.microsoft.com/office/drawing/2014/chart" uri="{C3380CC4-5D6E-409C-BE32-E72D297353CC}">
                <c16:uniqueId val="{000002F6-F844-4F86-962E-A86465320DB0}"/>
              </c:ext>
            </c:extLst>
          </c:dPt>
          <c:dPt>
            <c:idx val="345"/>
            <c:invertIfNegative val="0"/>
            <c:bubble3D val="0"/>
            <c:extLst>
              <c:ext xmlns:c16="http://schemas.microsoft.com/office/drawing/2014/chart" uri="{C3380CC4-5D6E-409C-BE32-E72D297353CC}">
                <c16:uniqueId val="{000002F7-F844-4F86-962E-A86465320DB0}"/>
              </c:ext>
            </c:extLst>
          </c:dPt>
          <c:dPt>
            <c:idx val="346"/>
            <c:invertIfNegative val="0"/>
            <c:bubble3D val="0"/>
            <c:extLst>
              <c:ext xmlns:c16="http://schemas.microsoft.com/office/drawing/2014/chart" uri="{C3380CC4-5D6E-409C-BE32-E72D297353CC}">
                <c16:uniqueId val="{000002F8-F844-4F86-962E-A86465320DB0}"/>
              </c:ext>
            </c:extLst>
          </c:dPt>
          <c:dPt>
            <c:idx val="347"/>
            <c:invertIfNegative val="0"/>
            <c:bubble3D val="0"/>
            <c:extLst>
              <c:ext xmlns:c16="http://schemas.microsoft.com/office/drawing/2014/chart" uri="{C3380CC4-5D6E-409C-BE32-E72D297353CC}">
                <c16:uniqueId val="{000002F9-F844-4F86-962E-A86465320DB0}"/>
              </c:ext>
            </c:extLst>
          </c:dPt>
          <c:dPt>
            <c:idx val="348"/>
            <c:invertIfNegative val="0"/>
            <c:bubble3D val="0"/>
            <c:extLst>
              <c:ext xmlns:c16="http://schemas.microsoft.com/office/drawing/2014/chart" uri="{C3380CC4-5D6E-409C-BE32-E72D297353CC}">
                <c16:uniqueId val="{000002FA-F844-4F86-962E-A86465320DB0}"/>
              </c:ext>
            </c:extLst>
          </c:dPt>
          <c:dPt>
            <c:idx val="349"/>
            <c:invertIfNegative val="0"/>
            <c:bubble3D val="0"/>
            <c:extLst>
              <c:ext xmlns:c16="http://schemas.microsoft.com/office/drawing/2014/chart" uri="{C3380CC4-5D6E-409C-BE32-E72D297353CC}">
                <c16:uniqueId val="{000002FB-F844-4F86-962E-A86465320DB0}"/>
              </c:ext>
            </c:extLst>
          </c:dPt>
          <c:dPt>
            <c:idx val="350"/>
            <c:invertIfNegative val="0"/>
            <c:bubble3D val="0"/>
            <c:extLst>
              <c:ext xmlns:c16="http://schemas.microsoft.com/office/drawing/2014/chart" uri="{C3380CC4-5D6E-409C-BE32-E72D297353CC}">
                <c16:uniqueId val="{000002FC-F844-4F86-962E-A86465320DB0}"/>
              </c:ext>
            </c:extLst>
          </c:dPt>
          <c:dPt>
            <c:idx val="351"/>
            <c:invertIfNegative val="0"/>
            <c:bubble3D val="0"/>
            <c:extLst>
              <c:ext xmlns:c16="http://schemas.microsoft.com/office/drawing/2014/chart" uri="{C3380CC4-5D6E-409C-BE32-E72D297353CC}">
                <c16:uniqueId val="{000002FD-F844-4F86-962E-A86465320DB0}"/>
              </c:ext>
            </c:extLst>
          </c:dPt>
          <c:dPt>
            <c:idx val="352"/>
            <c:invertIfNegative val="0"/>
            <c:bubble3D val="0"/>
            <c:extLst>
              <c:ext xmlns:c16="http://schemas.microsoft.com/office/drawing/2014/chart" uri="{C3380CC4-5D6E-409C-BE32-E72D297353CC}">
                <c16:uniqueId val="{000002FE-F844-4F86-962E-A86465320DB0}"/>
              </c:ext>
            </c:extLst>
          </c:dPt>
          <c:dPt>
            <c:idx val="353"/>
            <c:invertIfNegative val="0"/>
            <c:bubble3D val="0"/>
            <c:extLst>
              <c:ext xmlns:c16="http://schemas.microsoft.com/office/drawing/2014/chart" uri="{C3380CC4-5D6E-409C-BE32-E72D297353CC}">
                <c16:uniqueId val="{000002FF-F844-4F86-962E-A86465320DB0}"/>
              </c:ext>
            </c:extLst>
          </c:dPt>
          <c:dPt>
            <c:idx val="354"/>
            <c:invertIfNegative val="0"/>
            <c:bubble3D val="0"/>
            <c:extLst>
              <c:ext xmlns:c16="http://schemas.microsoft.com/office/drawing/2014/chart" uri="{C3380CC4-5D6E-409C-BE32-E72D297353CC}">
                <c16:uniqueId val="{00000300-F844-4F86-962E-A86465320DB0}"/>
              </c:ext>
            </c:extLst>
          </c:dPt>
          <c:dPt>
            <c:idx val="355"/>
            <c:invertIfNegative val="0"/>
            <c:bubble3D val="0"/>
            <c:extLst>
              <c:ext xmlns:c16="http://schemas.microsoft.com/office/drawing/2014/chart" uri="{C3380CC4-5D6E-409C-BE32-E72D297353CC}">
                <c16:uniqueId val="{00000301-F844-4F86-962E-A86465320DB0}"/>
              </c:ext>
            </c:extLst>
          </c:dPt>
          <c:dPt>
            <c:idx val="356"/>
            <c:invertIfNegative val="0"/>
            <c:bubble3D val="0"/>
            <c:extLst>
              <c:ext xmlns:c16="http://schemas.microsoft.com/office/drawing/2014/chart" uri="{C3380CC4-5D6E-409C-BE32-E72D297353CC}">
                <c16:uniqueId val="{00000302-F844-4F86-962E-A86465320DB0}"/>
              </c:ext>
            </c:extLst>
          </c:dPt>
          <c:dPt>
            <c:idx val="357"/>
            <c:invertIfNegative val="0"/>
            <c:bubble3D val="0"/>
            <c:extLst>
              <c:ext xmlns:c16="http://schemas.microsoft.com/office/drawing/2014/chart" uri="{C3380CC4-5D6E-409C-BE32-E72D297353CC}">
                <c16:uniqueId val="{00000303-F844-4F86-962E-A86465320DB0}"/>
              </c:ext>
            </c:extLst>
          </c:dPt>
          <c:dPt>
            <c:idx val="358"/>
            <c:invertIfNegative val="0"/>
            <c:bubble3D val="0"/>
            <c:extLst>
              <c:ext xmlns:c16="http://schemas.microsoft.com/office/drawing/2014/chart" uri="{C3380CC4-5D6E-409C-BE32-E72D297353CC}">
                <c16:uniqueId val="{00000304-F844-4F86-962E-A86465320DB0}"/>
              </c:ext>
            </c:extLst>
          </c:dPt>
          <c:dPt>
            <c:idx val="359"/>
            <c:invertIfNegative val="0"/>
            <c:bubble3D val="0"/>
            <c:extLst>
              <c:ext xmlns:c16="http://schemas.microsoft.com/office/drawing/2014/chart" uri="{C3380CC4-5D6E-409C-BE32-E72D297353CC}">
                <c16:uniqueId val="{00000305-F844-4F86-962E-A86465320DB0}"/>
              </c:ext>
            </c:extLst>
          </c:dPt>
          <c:dPt>
            <c:idx val="360"/>
            <c:invertIfNegative val="0"/>
            <c:bubble3D val="0"/>
            <c:extLst>
              <c:ext xmlns:c16="http://schemas.microsoft.com/office/drawing/2014/chart" uri="{C3380CC4-5D6E-409C-BE32-E72D297353CC}">
                <c16:uniqueId val="{00000306-F844-4F86-962E-A86465320DB0}"/>
              </c:ext>
            </c:extLst>
          </c:dPt>
          <c:dPt>
            <c:idx val="361"/>
            <c:invertIfNegative val="0"/>
            <c:bubble3D val="0"/>
            <c:extLst>
              <c:ext xmlns:c16="http://schemas.microsoft.com/office/drawing/2014/chart" uri="{C3380CC4-5D6E-409C-BE32-E72D297353CC}">
                <c16:uniqueId val="{00000307-F844-4F86-962E-A86465320DB0}"/>
              </c:ext>
            </c:extLst>
          </c:dPt>
          <c:dPt>
            <c:idx val="362"/>
            <c:invertIfNegative val="0"/>
            <c:bubble3D val="0"/>
            <c:extLst>
              <c:ext xmlns:c16="http://schemas.microsoft.com/office/drawing/2014/chart" uri="{C3380CC4-5D6E-409C-BE32-E72D297353CC}">
                <c16:uniqueId val="{00000308-F844-4F86-962E-A86465320DB0}"/>
              </c:ext>
            </c:extLst>
          </c:dPt>
          <c:dPt>
            <c:idx val="363"/>
            <c:invertIfNegative val="0"/>
            <c:bubble3D val="0"/>
            <c:extLst>
              <c:ext xmlns:c16="http://schemas.microsoft.com/office/drawing/2014/chart" uri="{C3380CC4-5D6E-409C-BE32-E72D297353CC}">
                <c16:uniqueId val="{00000309-F844-4F86-962E-A86465320DB0}"/>
              </c:ext>
            </c:extLst>
          </c:dPt>
          <c:dPt>
            <c:idx val="364"/>
            <c:invertIfNegative val="0"/>
            <c:bubble3D val="0"/>
            <c:extLst>
              <c:ext xmlns:c16="http://schemas.microsoft.com/office/drawing/2014/chart" uri="{C3380CC4-5D6E-409C-BE32-E72D297353CC}">
                <c16:uniqueId val="{0000030A-F844-4F86-962E-A86465320DB0}"/>
              </c:ext>
            </c:extLst>
          </c:dPt>
          <c:dPt>
            <c:idx val="365"/>
            <c:invertIfNegative val="0"/>
            <c:bubble3D val="0"/>
            <c:extLst>
              <c:ext xmlns:c16="http://schemas.microsoft.com/office/drawing/2014/chart" uri="{C3380CC4-5D6E-409C-BE32-E72D297353CC}">
                <c16:uniqueId val="{0000030B-F844-4F86-962E-A86465320DB0}"/>
              </c:ext>
            </c:extLst>
          </c:dPt>
          <c:dPt>
            <c:idx val="366"/>
            <c:invertIfNegative val="0"/>
            <c:bubble3D val="0"/>
            <c:extLst>
              <c:ext xmlns:c16="http://schemas.microsoft.com/office/drawing/2014/chart" uri="{C3380CC4-5D6E-409C-BE32-E72D297353CC}">
                <c16:uniqueId val="{0000030C-F844-4F86-962E-A86465320DB0}"/>
              </c:ext>
            </c:extLst>
          </c:dPt>
          <c:dPt>
            <c:idx val="367"/>
            <c:invertIfNegative val="0"/>
            <c:bubble3D val="0"/>
            <c:extLst>
              <c:ext xmlns:c16="http://schemas.microsoft.com/office/drawing/2014/chart" uri="{C3380CC4-5D6E-409C-BE32-E72D297353CC}">
                <c16:uniqueId val="{0000030D-F844-4F86-962E-A86465320DB0}"/>
              </c:ext>
            </c:extLst>
          </c:dPt>
          <c:dPt>
            <c:idx val="368"/>
            <c:invertIfNegative val="0"/>
            <c:bubble3D val="0"/>
            <c:extLst>
              <c:ext xmlns:c16="http://schemas.microsoft.com/office/drawing/2014/chart" uri="{C3380CC4-5D6E-409C-BE32-E72D297353CC}">
                <c16:uniqueId val="{0000030E-F844-4F86-962E-A86465320DB0}"/>
              </c:ext>
            </c:extLst>
          </c:dPt>
          <c:dPt>
            <c:idx val="369"/>
            <c:invertIfNegative val="0"/>
            <c:bubble3D val="0"/>
            <c:extLst>
              <c:ext xmlns:c16="http://schemas.microsoft.com/office/drawing/2014/chart" uri="{C3380CC4-5D6E-409C-BE32-E72D297353CC}">
                <c16:uniqueId val="{0000030F-F844-4F86-962E-A86465320DB0}"/>
              </c:ext>
            </c:extLst>
          </c:dPt>
          <c:dPt>
            <c:idx val="370"/>
            <c:invertIfNegative val="0"/>
            <c:bubble3D val="0"/>
            <c:extLst>
              <c:ext xmlns:c16="http://schemas.microsoft.com/office/drawing/2014/chart" uri="{C3380CC4-5D6E-409C-BE32-E72D297353CC}">
                <c16:uniqueId val="{00000310-F844-4F86-962E-A86465320DB0}"/>
              </c:ext>
            </c:extLst>
          </c:dPt>
          <c:dPt>
            <c:idx val="371"/>
            <c:invertIfNegative val="0"/>
            <c:bubble3D val="0"/>
            <c:extLst>
              <c:ext xmlns:c16="http://schemas.microsoft.com/office/drawing/2014/chart" uri="{C3380CC4-5D6E-409C-BE32-E72D297353CC}">
                <c16:uniqueId val="{00000311-F844-4F86-962E-A86465320DB0}"/>
              </c:ext>
            </c:extLst>
          </c:dPt>
          <c:dPt>
            <c:idx val="372"/>
            <c:invertIfNegative val="0"/>
            <c:bubble3D val="0"/>
            <c:extLst>
              <c:ext xmlns:c16="http://schemas.microsoft.com/office/drawing/2014/chart" uri="{C3380CC4-5D6E-409C-BE32-E72D297353CC}">
                <c16:uniqueId val="{00000312-F844-4F86-962E-A86465320DB0}"/>
              </c:ext>
            </c:extLst>
          </c:dPt>
          <c:dPt>
            <c:idx val="373"/>
            <c:invertIfNegative val="0"/>
            <c:bubble3D val="0"/>
            <c:extLst>
              <c:ext xmlns:c16="http://schemas.microsoft.com/office/drawing/2014/chart" uri="{C3380CC4-5D6E-409C-BE32-E72D297353CC}">
                <c16:uniqueId val="{00000313-F844-4F86-962E-A86465320DB0}"/>
              </c:ext>
            </c:extLst>
          </c:dPt>
          <c:dPt>
            <c:idx val="374"/>
            <c:invertIfNegative val="0"/>
            <c:bubble3D val="0"/>
            <c:extLst>
              <c:ext xmlns:c16="http://schemas.microsoft.com/office/drawing/2014/chart" uri="{C3380CC4-5D6E-409C-BE32-E72D297353CC}">
                <c16:uniqueId val="{00000314-F844-4F86-962E-A86465320DB0}"/>
              </c:ext>
            </c:extLst>
          </c:dPt>
          <c:dPt>
            <c:idx val="375"/>
            <c:invertIfNegative val="0"/>
            <c:bubble3D val="0"/>
            <c:extLst>
              <c:ext xmlns:c16="http://schemas.microsoft.com/office/drawing/2014/chart" uri="{C3380CC4-5D6E-409C-BE32-E72D297353CC}">
                <c16:uniqueId val="{00000315-F844-4F86-962E-A86465320DB0}"/>
              </c:ext>
            </c:extLst>
          </c:dPt>
          <c:dPt>
            <c:idx val="376"/>
            <c:invertIfNegative val="0"/>
            <c:bubble3D val="0"/>
            <c:extLst>
              <c:ext xmlns:c16="http://schemas.microsoft.com/office/drawing/2014/chart" uri="{C3380CC4-5D6E-409C-BE32-E72D297353CC}">
                <c16:uniqueId val="{00000316-F844-4F86-962E-A86465320DB0}"/>
              </c:ext>
            </c:extLst>
          </c:dPt>
          <c:dPt>
            <c:idx val="377"/>
            <c:invertIfNegative val="0"/>
            <c:bubble3D val="0"/>
            <c:extLst>
              <c:ext xmlns:c16="http://schemas.microsoft.com/office/drawing/2014/chart" uri="{C3380CC4-5D6E-409C-BE32-E72D297353CC}">
                <c16:uniqueId val="{00000317-F844-4F86-962E-A86465320DB0}"/>
              </c:ext>
            </c:extLst>
          </c:dPt>
          <c:dPt>
            <c:idx val="378"/>
            <c:invertIfNegative val="0"/>
            <c:bubble3D val="0"/>
            <c:extLst>
              <c:ext xmlns:c16="http://schemas.microsoft.com/office/drawing/2014/chart" uri="{C3380CC4-5D6E-409C-BE32-E72D297353CC}">
                <c16:uniqueId val="{00000318-F844-4F86-962E-A86465320DB0}"/>
              </c:ext>
            </c:extLst>
          </c:dPt>
          <c:dPt>
            <c:idx val="379"/>
            <c:invertIfNegative val="0"/>
            <c:bubble3D val="0"/>
            <c:extLst>
              <c:ext xmlns:c16="http://schemas.microsoft.com/office/drawing/2014/chart" uri="{C3380CC4-5D6E-409C-BE32-E72D297353CC}">
                <c16:uniqueId val="{00000319-F844-4F86-962E-A86465320DB0}"/>
              </c:ext>
            </c:extLst>
          </c:dPt>
          <c:dPt>
            <c:idx val="380"/>
            <c:invertIfNegative val="0"/>
            <c:bubble3D val="0"/>
            <c:extLst>
              <c:ext xmlns:c16="http://schemas.microsoft.com/office/drawing/2014/chart" uri="{C3380CC4-5D6E-409C-BE32-E72D297353CC}">
                <c16:uniqueId val="{0000031A-F844-4F86-962E-A86465320DB0}"/>
              </c:ext>
            </c:extLst>
          </c:dPt>
          <c:dPt>
            <c:idx val="381"/>
            <c:invertIfNegative val="0"/>
            <c:bubble3D val="0"/>
            <c:extLst>
              <c:ext xmlns:c16="http://schemas.microsoft.com/office/drawing/2014/chart" uri="{C3380CC4-5D6E-409C-BE32-E72D297353CC}">
                <c16:uniqueId val="{0000031B-F844-4F86-962E-A86465320DB0}"/>
              </c:ext>
            </c:extLst>
          </c:dPt>
          <c:dPt>
            <c:idx val="382"/>
            <c:invertIfNegative val="0"/>
            <c:bubble3D val="0"/>
            <c:extLst>
              <c:ext xmlns:c16="http://schemas.microsoft.com/office/drawing/2014/chart" uri="{C3380CC4-5D6E-409C-BE32-E72D297353CC}">
                <c16:uniqueId val="{0000031C-F844-4F86-962E-A86465320DB0}"/>
              </c:ext>
            </c:extLst>
          </c:dPt>
          <c:dPt>
            <c:idx val="383"/>
            <c:invertIfNegative val="0"/>
            <c:bubble3D val="0"/>
            <c:extLst>
              <c:ext xmlns:c16="http://schemas.microsoft.com/office/drawing/2014/chart" uri="{C3380CC4-5D6E-409C-BE32-E72D297353CC}">
                <c16:uniqueId val="{0000031D-F844-4F86-962E-A86465320DB0}"/>
              </c:ext>
            </c:extLst>
          </c:dPt>
          <c:dPt>
            <c:idx val="384"/>
            <c:invertIfNegative val="0"/>
            <c:bubble3D val="0"/>
            <c:extLst>
              <c:ext xmlns:c16="http://schemas.microsoft.com/office/drawing/2014/chart" uri="{C3380CC4-5D6E-409C-BE32-E72D297353CC}">
                <c16:uniqueId val="{0000031E-F844-4F86-962E-A86465320DB0}"/>
              </c:ext>
            </c:extLst>
          </c:dPt>
          <c:dPt>
            <c:idx val="385"/>
            <c:invertIfNegative val="0"/>
            <c:bubble3D val="0"/>
            <c:extLst>
              <c:ext xmlns:c16="http://schemas.microsoft.com/office/drawing/2014/chart" uri="{C3380CC4-5D6E-409C-BE32-E72D297353CC}">
                <c16:uniqueId val="{0000031F-F844-4F86-962E-A86465320DB0}"/>
              </c:ext>
            </c:extLst>
          </c:dPt>
          <c:dPt>
            <c:idx val="386"/>
            <c:invertIfNegative val="0"/>
            <c:bubble3D val="0"/>
            <c:extLst>
              <c:ext xmlns:c16="http://schemas.microsoft.com/office/drawing/2014/chart" uri="{C3380CC4-5D6E-409C-BE32-E72D297353CC}">
                <c16:uniqueId val="{00000320-F844-4F86-962E-A86465320DB0}"/>
              </c:ext>
            </c:extLst>
          </c:dPt>
          <c:dPt>
            <c:idx val="387"/>
            <c:invertIfNegative val="0"/>
            <c:bubble3D val="0"/>
            <c:extLst>
              <c:ext xmlns:c16="http://schemas.microsoft.com/office/drawing/2014/chart" uri="{C3380CC4-5D6E-409C-BE32-E72D297353CC}">
                <c16:uniqueId val="{00000321-F844-4F86-962E-A86465320DB0}"/>
              </c:ext>
            </c:extLst>
          </c:dPt>
          <c:cat>
            <c:multiLvlStrRef>
              <c:f>pt.lvl3_generic_9!$B$8:$C$57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pt.lvl3_generic_9!$D$8:$D$57</c:f>
              <c:numCache>
                <c:formatCode>General</c:formatCode>
                <c:ptCount val="4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0.92879146503962406</c:v>
                </c:pt>
              </c:numCache>
            </c:numRef>
          </c:val>
          <c:extLst>
            <c:ext xmlns:c16="http://schemas.microsoft.com/office/drawing/2014/chart" uri="{C3380CC4-5D6E-409C-BE32-E72D297353CC}">
              <c16:uniqueId val="{00000052-2EBA-4932-B821-D657A2AE7E37}"/>
            </c:ext>
          </c:extLst>
        </c:ser>
        <c:dLbls>
          <c:showLegendKey val="0"/>
          <c:showVal val="0"/>
          <c:showCatName val="0"/>
          <c:showSerName val="0"/>
          <c:showPercent val="0"/>
          <c:showBubbleSize val="0"/>
        </c:dLbls>
        <c:gapWidth val="200"/>
        <c:overlap val="-27"/>
        <c:axId val="449381544"/>
        <c:axId val="449381936"/>
      </c:barChart>
      <c:lineChart>
        <c:grouping val="standard"/>
        <c:varyColors val="0"/>
        <c:ser>
          <c:idx val="1"/>
          <c:order val="1"/>
          <c:tx>
            <c:strRef>
              <c:f>pt.lvl3_generic_9!$E$7</c:f>
              <c:strCache>
                <c:ptCount val="1"/>
                <c:pt idx="0">
                  <c:v>Average of Cíl %</c:v>
                </c:pt>
              </c:strCache>
            </c:strRef>
          </c:tx>
          <c:spPr>
            <a:ln w="28575" cap="rnd">
              <a:solidFill>
                <a:srgbClr val="000000"/>
              </a:solidFill>
              <a:round/>
            </a:ln>
            <a:effectLst/>
          </c:spPr>
          <c:marker>
            <c:symbol val="none"/>
          </c:marker>
          <c:cat>
            <c:multiLvlStrRef>
              <c:f>pt.lvl3_generic_9!$B$8:$C$57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pt.lvl3_generic_9!$E$8:$E$57</c:f>
              <c:numCache>
                <c:formatCode>General</c:formatCode>
                <c:ptCount val="4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0.79999999999999993</c:v>
                </c:pt>
              </c:numCache>
            </c:numRef>
          </c:val>
          <c:smooth val="0"/>
          <c:extLst>
            <c:ext xmlns:c16="http://schemas.microsoft.com/office/drawing/2014/chart" uri="{C3380CC4-5D6E-409C-BE32-E72D297353CC}">
              <c16:uniqueId val="{00000053-2EBA-4932-B821-D657A2AE7E37}"/>
            </c:ext>
          </c:extLst>
        </c:ser>
        <c:ser>
          <c:idx val="2"/>
          <c:order val="2"/>
          <c:tx>
            <c:strRef>
              <c:f>pt.lvl3_generic_9!$F$7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14F-46AF-9675-99E88732CF6E}"/>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14F-46AF-9675-99E88732CF6E}"/>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14F-46AF-9675-99E88732CF6E}"/>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14F-46AF-9675-99E88732CF6E}"/>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14F-46AF-9675-99E88732CF6E}"/>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14F-46AF-9675-99E88732CF6E}"/>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14F-46AF-9675-99E88732CF6E}"/>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14F-46AF-9675-99E88732CF6E}"/>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14F-46AF-9675-99E88732CF6E}"/>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14F-46AF-9675-99E88732CF6E}"/>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14F-46AF-9675-99E88732CF6E}"/>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14F-46AF-9675-99E88732CF6E}"/>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14F-46AF-9675-99E88732CF6E}"/>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14F-46AF-9675-99E88732CF6E}"/>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14F-46AF-9675-99E88732CF6E}"/>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14F-46AF-9675-99E88732CF6E}"/>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14F-46AF-9675-99E88732CF6E}"/>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14F-46AF-9675-99E88732CF6E}"/>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14F-46AF-9675-99E88732CF6E}"/>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14F-46AF-9675-99E88732CF6E}"/>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14F-46AF-9675-99E88732CF6E}"/>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14F-46AF-9675-99E88732CF6E}"/>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C056-484C-933E-AF3E0A2F4D6E}"/>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C056-484C-933E-AF3E0A2F4D6E}"/>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C056-484C-933E-AF3E0A2F4D6E}"/>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C056-484C-933E-AF3E0A2F4D6E}"/>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C056-484C-933E-AF3E0A2F4D6E}"/>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C056-484C-933E-AF3E0A2F4D6E}"/>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C056-484C-933E-AF3E0A2F4D6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C056-484C-933E-AF3E0A2F4D6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C056-484C-933E-AF3E0A2F4D6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C056-484C-933E-AF3E0A2F4D6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C056-484C-933E-AF3E0A2F4D6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C056-484C-933E-AF3E0A2F4D6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5DA1-44B5-8F6C-975238A25A23}"/>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5DA1-44B5-8F6C-975238A25A23}"/>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5DA1-44B5-8F6C-975238A25A23}"/>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5DA1-44B5-8F6C-975238A25A23}"/>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5DA1-44B5-8F6C-975238A25A23}"/>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5DA1-44B5-8F6C-975238A25A23}"/>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5DA1-44B5-8F6C-975238A25A23}"/>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5DA1-44B5-8F6C-975238A25A23}"/>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5DA1-44B5-8F6C-975238A25A23}"/>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5DA1-44B5-8F6C-975238A25A23}"/>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5DA1-44B5-8F6C-975238A25A23}"/>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5DA1-44B5-8F6C-975238A25A23}"/>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7E28-4C7A-B09E-74921A0FA3C0}"/>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7E28-4C7A-B09E-74921A0FA3C0}"/>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7E28-4C7A-B09E-74921A0FA3C0}"/>
              </c:ext>
            </c:extLst>
          </c:dPt>
          <c:dPt>
            <c:idx val="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8-7E28-4C7A-B09E-74921A0FA3C0}"/>
              </c:ext>
            </c:extLst>
          </c:dPt>
          <c:dPt>
            <c:idx val="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9-7E28-4C7A-B09E-74921A0FA3C0}"/>
              </c:ext>
            </c:extLst>
          </c:dPt>
          <c:dPt>
            <c:idx val="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A-7E28-4C7A-B09E-74921A0FA3C0}"/>
              </c:ext>
            </c:extLst>
          </c:dPt>
          <c:dPt>
            <c:idx val="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B-7E28-4C7A-B09E-74921A0FA3C0}"/>
              </c:ext>
            </c:extLst>
          </c:dPt>
          <c:dPt>
            <c:idx val="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7E28-4C7A-B09E-74921A0FA3C0}"/>
              </c:ext>
            </c:extLst>
          </c:dPt>
          <c:dPt>
            <c:idx val="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7E28-4C7A-B09E-74921A0FA3C0}"/>
              </c:ext>
            </c:extLst>
          </c:dPt>
          <c:dPt>
            <c:idx val="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7E28-4C7A-B09E-74921A0FA3C0}"/>
              </c:ext>
            </c:extLst>
          </c:dPt>
          <c:dPt>
            <c:idx val="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7E28-4C7A-B09E-74921A0FA3C0}"/>
              </c:ext>
            </c:extLst>
          </c:dPt>
          <c:dPt>
            <c:idx val="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7E28-4C7A-B09E-74921A0FA3C0}"/>
              </c:ext>
            </c:extLst>
          </c:dPt>
          <c:dPt>
            <c:idx val="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7E28-4C7A-B09E-74921A0FA3C0}"/>
              </c:ext>
            </c:extLst>
          </c:dPt>
          <c:dPt>
            <c:idx val="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7E28-4C7A-B09E-74921A0FA3C0}"/>
              </c:ext>
            </c:extLst>
          </c:dPt>
          <c:dPt>
            <c:idx val="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7E28-4C7A-B09E-74921A0FA3C0}"/>
              </c:ext>
            </c:extLst>
          </c:dPt>
          <c:dPt>
            <c:idx val="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7E28-4C7A-B09E-74921A0FA3C0}"/>
              </c:ext>
            </c:extLst>
          </c:dPt>
          <c:dPt>
            <c:idx val="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6-7E28-4C7A-B09E-74921A0FA3C0}"/>
              </c:ext>
            </c:extLst>
          </c:dPt>
          <c:dPt>
            <c:idx val="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7-7E28-4C7A-B09E-74921A0FA3C0}"/>
              </c:ext>
            </c:extLst>
          </c:dPt>
          <c:dPt>
            <c:idx val="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8-7E28-4C7A-B09E-74921A0FA3C0}"/>
              </c:ext>
            </c:extLst>
          </c:dPt>
          <c:dPt>
            <c:idx val="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9-7E28-4C7A-B09E-74921A0FA3C0}"/>
              </c:ext>
            </c:extLst>
          </c:dPt>
          <c:dPt>
            <c:idx val="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A-7E28-4C7A-B09E-74921A0FA3C0}"/>
              </c:ext>
            </c:extLst>
          </c:dPt>
          <c:dPt>
            <c:idx val="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B-7E28-4C7A-B09E-74921A0FA3C0}"/>
              </c:ext>
            </c:extLst>
          </c:dPt>
          <c:dPt>
            <c:idx val="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C-7E28-4C7A-B09E-74921A0FA3C0}"/>
              </c:ext>
            </c:extLst>
          </c:dPt>
          <c:dPt>
            <c:idx val="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D-7E28-4C7A-B09E-74921A0FA3C0}"/>
              </c:ext>
            </c:extLst>
          </c:dPt>
          <c:dPt>
            <c:idx val="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E-7E28-4C7A-B09E-74921A0FA3C0}"/>
              </c:ext>
            </c:extLst>
          </c:dPt>
          <c:dPt>
            <c:idx val="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F-7E28-4C7A-B09E-74921A0FA3C0}"/>
              </c:ext>
            </c:extLst>
          </c:dPt>
          <c:dPt>
            <c:idx val="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0-7E28-4C7A-B09E-74921A0FA3C0}"/>
              </c:ext>
            </c:extLst>
          </c:dPt>
          <c:dPt>
            <c:idx val="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1-7E28-4C7A-B09E-74921A0FA3C0}"/>
              </c:ext>
            </c:extLst>
          </c:dPt>
          <c:dPt>
            <c:idx val="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2-7E28-4C7A-B09E-74921A0FA3C0}"/>
              </c:ext>
            </c:extLst>
          </c:dPt>
          <c:dPt>
            <c:idx val="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3-7E28-4C7A-B09E-74921A0FA3C0}"/>
              </c:ext>
            </c:extLst>
          </c:dPt>
          <c:dPt>
            <c:idx val="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4-7E28-4C7A-B09E-74921A0FA3C0}"/>
              </c:ext>
            </c:extLst>
          </c:dPt>
          <c:dPt>
            <c:idx val="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C-7E28-4C7A-B09E-74921A0FA3C0}"/>
              </c:ext>
            </c:extLst>
          </c:dPt>
          <c:dPt>
            <c:idx val="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9D-7E28-4C7A-B09E-74921A0FA3C0}"/>
              </c:ext>
            </c:extLst>
          </c:dPt>
          <c:dPt>
            <c:idx val="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7-ADFF-4F35-A4C0-2453E5B57754}"/>
              </c:ext>
            </c:extLst>
          </c:dPt>
          <c:dPt>
            <c:idx val="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8-ADFF-4F35-A4C0-2453E5B57754}"/>
              </c:ext>
            </c:extLst>
          </c:dPt>
          <c:dPt>
            <c:idx val="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9-ADFF-4F35-A4C0-2453E5B57754}"/>
              </c:ext>
            </c:extLst>
          </c:dPt>
          <c:dPt>
            <c:idx val="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A-ADFF-4F35-A4C0-2453E5B57754}"/>
              </c:ext>
            </c:extLst>
          </c:dPt>
          <c:dPt>
            <c:idx val="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B-ADFF-4F35-A4C0-2453E5B57754}"/>
              </c:ext>
            </c:extLst>
          </c:dPt>
          <c:dPt>
            <c:idx val="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C-ADFF-4F35-A4C0-2453E5B57754}"/>
              </c:ext>
            </c:extLst>
          </c:dPt>
          <c:dPt>
            <c:idx val="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D-ADFF-4F35-A4C0-2453E5B57754}"/>
              </c:ext>
            </c:extLst>
          </c:dPt>
          <c:dPt>
            <c:idx val="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E-ADFF-4F35-A4C0-2453E5B57754}"/>
              </c:ext>
            </c:extLst>
          </c:dPt>
          <c:dPt>
            <c:idx val="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5F-ADFF-4F35-A4C0-2453E5B57754}"/>
              </c:ext>
            </c:extLst>
          </c:dPt>
          <c:dPt>
            <c:idx val="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0-ADFF-4F35-A4C0-2453E5B57754}"/>
              </c:ext>
            </c:extLst>
          </c:dPt>
          <c:dPt>
            <c:idx val="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1-ADFF-4F35-A4C0-2453E5B57754}"/>
              </c:ext>
            </c:extLst>
          </c:dPt>
          <c:dPt>
            <c:idx val="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2-ADFF-4F35-A4C0-2453E5B57754}"/>
              </c:ext>
            </c:extLst>
          </c:dPt>
          <c:dPt>
            <c:idx val="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3-ADFF-4F35-A4C0-2453E5B57754}"/>
              </c:ext>
            </c:extLst>
          </c:dPt>
          <c:dPt>
            <c:idx val="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4-ADFF-4F35-A4C0-2453E5B57754}"/>
              </c:ext>
            </c:extLst>
          </c:dPt>
          <c:dPt>
            <c:idx val="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5-ADFF-4F35-A4C0-2453E5B57754}"/>
              </c:ext>
            </c:extLst>
          </c:dPt>
          <c:dPt>
            <c:idx val="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6-ADFF-4F35-A4C0-2453E5B57754}"/>
              </c:ext>
            </c:extLst>
          </c:dPt>
          <c:dPt>
            <c:idx val="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7-ADFF-4F35-A4C0-2453E5B57754}"/>
              </c:ext>
            </c:extLst>
          </c:dPt>
          <c:dPt>
            <c:idx val="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8-ADFF-4F35-A4C0-2453E5B57754}"/>
              </c:ext>
            </c:extLst>
          </c:dPt>
          <c:dPt>
            <c:idx val="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9-ADFF-4F35-A4C0-2453E5B57754}"/>
              </c:ext>
            </c:extLst>
          </c:dPt>
          <c:dPt>
            <c:idx val="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A-ADFF-4F35-A4C0-2453E5B57754}"/>
              </c:ext>
            </c:extLst>
          </c:dPt>
          <c:dPt>
            <c:idx val="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B-ADFF-4F35-A4C0-2453E5B57754}"/>
              </c:ext>
            </c:extLst>
          </c:dPt>
          <c:dPt>
            <c:idx val="1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C-ADFF-4F35-A4C0-2453E5B57754}"/>
              </c:ext>
            </c:extLst>
          </c:dPt>
          <c:dPt>
            <c:idx val="1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D-ADFF-4F35-A4C0-2453E5B57754}"/>
              </c:ext>
            </c:extLst>
          </c:dPt>
          <c:dPt>
            <c:idx val="1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E-ADFF-4F35-A4C0-2453E5B57754}"/>
              </c:ext>
            </c:extLst>
          </c:dPt>
          <c:dPt>
            <c:idx val="1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6F-ADFF-4F35-A4C0-2453E5B57754}"/>
              </c:ext>
            </c:extLst>
          </c:dPt>
          <c:dPt>
            <c:idx val="1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0-ADFF-4F35-A4C0-2453E5B57754}"/>
              </c:ext>
            </c:extLst>
          </c:dPt>
          <c:dPt>
            <c:idx val="1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71-ADFF-4F35-A4C0-2453E5B57754}"/>
              </c:ext>
            </c:extLst>
          </c:dPt>
          <c:dPt>
            <c:idx val="1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D-9804-4DD8-9694-568AA3BDB7BE}"/>
              </c:ext>
            </c:extLst>
          </c:dPt>
          <c:dPt>
            <c:idx val="1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AF-9804-4DD8-9694-568AA3BDB7BE}"/>
              </c:ext>
            </c:extLst>
          </c:dPt>
          <c:dPt>
            <c:idx val="1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E-9804-4DD8-9694-568AA3BDB7BE}"/>
              </c:ext>
            </c:extLst>
          </c:dPt>
          <c:dPt>
            <c:idx val="1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BF-9804-4DD8-9694-568AA3BDB7BE}"/>
              </c:ext>
            </c:extLst>
          </c:dPt>
          <c:dPt>
            <c:idx val="1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0-9804-4DD8-9694-568AA3BDB7BE}"/>
              </c:ext>
            </c:extLst>
          </c:dPt>
          <c:dPt>
            <c:idx val="1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1-9804-4DD8-9694-568AA3BDB7BE}"/>
              </c:ext>
            </c:extLst>
          </c:dPt>
          <c:dPt>
            <c:idx val="1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2-9804-4DD8-9694-568AA3BDB7BE}"/>
              </c:ext>
            </c:extLst>
          </c:dPt>
          <c:dPt>
            <c:idx val="1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3-9804-4DD8-9694-568AA3BDB7BE}"/>
              </c:ext>
            </c:extLst>
          </c:dPt>
          <c:dPt>
            <c:idx val="1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4-9804-4DD8-9694-568AA3BDB7BE}"/>
              </c:ext>
            </c:extLst>
          </c:dPt>
          <c:dPt>
            <c:idx val="1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5-9804-4DD8-9694-568AA3BDB7BE}"/>
              </c:ext>
            </c:extLst>
          </c:dPt>
          <c:dPt>
            <c:idx val="1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6-9804-4DD8-9694-568AA3BDB7BE}"/>
              </c:ext>
            </c:extLst>
          </c:dPt>
          <c:dPt>
            <c:idx val="1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7-9804-4DD8-9694-568AA3BDB7BE}"/>
              </c:ext>
            </c:extLst>
          </c:dPt>
          <c:dPt>
            <c:idx val="1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8-9804-4DD8-9694-568AA3BDB7BE}"/>
              </c:ext>
            </c:extLst>
          </c:dPt>
          <c:dPt>
            <c:idx val="1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9-9804-4DD8-9694-568AA3BDB7BE}"/>
              </c:ext>
            </c:extLst>
          </c:dPt>
          <c:dPt>
            <c:idx val="1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A-9804-4DD8-9694-568AA3BDB7BE}"/>
              </c:ext>
            </c:extLst>
          </c:dPt>
          <c:dPt>
            <c:idx val="1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B-9804-4DD8-9694-568AA3BDB7BE}"/>
              </c:ext>
            </c:extLst>
          </c:dPt>
          <c:dPt>
            <c:idx val="1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9-059F-4BE3-88E0-18DC76385D0D}"/>
              </c:ext>
            </c:extLst>
          </c:dPt>
          <c:dPt>
            <c:idx val="1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B-059F-4BE3-88E0-18DC76385D0D}"/>
              </c:ext>
            </c:extLst>
          </c:dPt>
          <c:dPt>
            <c:idx val="1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D-059F-4BE3-88E0-18DC76385D0D}"/>
              </c:ext>
            </c:extLst>
          </c:dPt>
          <c:dPt>
            <c:idx val="1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FF-059F-4BE3-88E0-18DC76385D0D}"/>
              </c:ext>
            </c:extLst>
          </c:dPt>
          <c:dPt>
            <c:idx val="1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1-059F-4BE3-88E0-18DC76385D0D}"/>
              </c:ext>
            </c:extLst>
          </c:dPt>
          <c:dPt>
            <c:idx val="1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3-059F-4BE3-88E0-18DC76385D0D}"/>
              </c:ext>
            </c:extLst>
          </c:dPt>
          <c:dPt>
            <c:idx val="1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E-9804-4DD8-9694-568AA3BDB7BE}"/>
              </c:ext>
            </c:extLst>
          </c:dPt>
          <c:dPt>
            <c:idx val="1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1CF-9804-4DD8-9694-568AA3BDB7BE}"/>
              </c:ext>
            </c:extLst>
          </c:dPt>
          <c:dPt>
            <c:idx val="1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C-45A8-4A3E-BAB4-1739250877BD}"/>
              </c:ext>
            </c:extLst>
          </c:dPt>
          <c:dPt>
            <c:idx val="1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D-45A8-4A3E-BAB4-1739250877BD}"/>
              </c:ext>
            </c:extLst>
          </c:dPt>
          <c:dPt>
            <c:idx val="1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E-45A8-4A3E-BAB4-1739250877BD}"/>
              </c:ext>
            </c:extLst>
          </c:dPt>
          <c:dPt>
            <c:idx val="1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0F-45A8-4A3E-BAB4-1739250877BD}"/>
              </c:ext>
            </c:extLst>
          </c:dPt>
          <c:dPt>
            <c:idx val="1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A-431D-487A-8E3D-A3FDF8517418}"/>
              </c:ext>
            </c:extLst>
          </c:dPt>
          <c:dPt>
            <c:idx val="1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1B-431D-487A-8E3D-A3FDF8517418}"/>
              </c:ext>
            </c:extLst>
          </c:dPt>
          <c:dPt>
            <c:idx val="1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2-4352-4722-B63F-CD5C1C52E553}"/>
              </c:ext>
            </c:extLst>
          </c:dPt>
          <c:dPt>
            <c:idx val="1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223-4352-4722-B63F-CD5C1C52E553}"/>
              </c:ext>
            </c:extLst>
          </c:dPt>
          <c:dPt>
            <c:idx val="1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2-F844-4F86-962E-A86465320DB0}"/>
              </c:ext>
            </c:extLst>
          </c:dPt>
          <c:dPt>
            <c:idx val="1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3-F844-4F86-962E-A86465320DB0}"/>
              </c:ext>
            </c:extLst>
          </c:dPt>
          <c:dPt>
            <c:idx val="1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4-F844-4F86-962E-A86465320DB0}"/>
              </c:ext>
            </c:extLst>
          </c:dPt>
          <c:dPt>
            <c:idx val="1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5-F844-4F86-962E-A86465320DB0}"/>
              </c:ext>
            </c:extLst>
          </c:dPt>
          <c:dPt>
            <c:idx val="1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6-F844-4F86-962E-A86465320DB0}"/>
              </c:ext>
            </c:extLst>
          </c:dPt>
          <c:dPt>
            <c:idx val="1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7-F844-4F86-962E-A86465320DB0}"/>
              </c:ext>
            </c:extLst>
          </c:dPt>
          <c:dPt>
            <c:idx val="1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8-F844-4F86-962E-A86465320DB0}"/>
              </c:ext>
            </c:extLst>
          </c:dPt>
          <c:dPt>
            <c:idx val="1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9-F844-4F86-962E-A86465320DB0}"/>
              </c:ext>
            </c:extLst>
          </c:dPt>
          <c:dPt>
            <c:idx val="1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A-F844-4F86-962E-A86465320DB0}"/>
              </c:ext>
            </c:extLst>
          </c:dPt>
          <c:dPt>
            <c:idx val="1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B-F844-4F86-962E-A86465320DB0}"/>
              </c:ext>
            </c:extLst>
          </c:dPt>
          <c:dPt>
            <c:idx val="1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C-F844-4F86-962E-A86465320DB0}"/>
              </c:ext>
            </c:extLst>
          </c:dPt>
          <c:dPt>
            <c:idx val="1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D-F844-4F86-962E-A86465320DB0}"/>
              </c:ext>
            </c:extLst>
          </c:dPt>
          <c:dPt>
            <c:idx val="1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E-F844-4F86-962E-A86465320DB0}"/>
              </c:ext>
            </c:extLst>
          </c:dPt>
          <c:dPt>
            <c:idx val="1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2F-F844-4F86-962E-A86465320DB0}"/>
              </c:ext>
            </c:extLst>
          </c:dPt>
          <c:dPt>
            <c:idx val="1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0-F844-4F86-962E-A86465320DB0}"/>
              </c:ext>
            </c:extLst>
          </c:dPt>
          <c:dPt>
            <c:idx val="1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1-F844-4F86-962E-A86465320DB0}"/>
              </c:ext>
            </c:extLst>
          </c:dPt>
          <c:dPt>
            <c:idx val="1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2-F844-4F86-962E-A86465320DB0}"/>
              </c:ext>
            </c:extLst>
          </c:dPt>
          <c:dPt>
            <c:idx val="1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3-F844-4F86-962E-A86465320DB0}"/>
              </c:ext>
            </c:extLst>
          </c:dPt>
          <c:dPt>
            <c:idx val="1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4-F844-4F86-962E-A86465320DB0}"/>
              </c:ext>
            </c:extLst>
          </c:dPt>
          <c:dPt>
            <c:idx val="1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5-F844-4F86-962E-A86465320DB0}"/>
              </c:ext>
            </c:extLst>
          </c:dPt>
          <c:dPt>
            <c:idx val="1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6-F844-4F86-962E-A86465320DB0}"/>
              </c:ext>
            </c:extLst>
          </c:dPt>
          <c:dPt>
            <c:idx val="1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7-F844-4F86-962E-A86465320DB0}"/>
              </c:ext>
            </c:extLst>
          </c:dPt>
          <c:dPt>
            <c:idx val="1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8-F844-4F86-962E-A86465320DB0}"/>
              </c:ext>
            </c:extLst>
          </c:dPt>
          <c:dPt>
            <c:idx val="1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9-F844-4F86-962E-A86465320DB0}"/>
              </c:ext>
            </c:extLst>
          </c:dPt>
          <c:dPt>
            <c:idx val="1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A-F844-4F86-962E-A86465320DB0}"/>
              </c:ext>
            </c:extLst>
          </c:dPt>
          <c:dPt>
            <c:idx val="1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B-F844-4F86-962E-A86465320DB0}"/>
              </c:ext>
            </c:extLst>
          </c:dPt>
          <c:dPt>
            <c:idx val="1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C-F844-4F86-962E-A86465320DB0}"/>
              </c:ext>
            </c:extLst>
          </c:dPt>
          <c:dPt>
            <c:idx val="1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D-F844-4F86-962E-A86465320DB0}"/>
              </c:ext>
            </c:extLst>
          </c:dPt>
          <c:dPt>
            <c:idx val="1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E-F844-4F86-962E-A86465320DB0}"/>
              </c:ext>
            </c:extLst>
          </c:dPt>
          <c:dPt>
            <c:idx val="1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3F-F844-4F86-962E-A86465320DB0}"/>
              </c:ext>
            </c:extLst>
          </c:dPt>
          <c:dPt>
            <c:idx val="1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0-F844-4F86-962E-A86465320DB0}"/>
              </c:ext>
            </c:extLst>
          </c:dPt>
          <c:dPt>
            <c:idx val="1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1-F844-4F86-962E-A86465320DB0}"/>
              </c:ext>
            </c:extLst>
          </c:dPt>
          <c:dPt>
            <c:idx val="1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2-F844-4F86-962E-A86465320DB0}"/>
              </c:ext>
            </c:extLst>
          </c:dPt>
          <c:dPt>
            <c:idx val="1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3-F844-4F86-962E-A86465320DB0}"/>
              </c:ext>
            </c:extLst>
          </c:dPt>
          <c:dPt>
            <c:idx val="1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4-F844-4F86-962E-A86465320DB0}"/>
              </c:ext>
            </c:extLst>
          </c:dPt>
          <c:dPt>
            <c:idx val="1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5-F844-4F86-962E-A86465320DB0}"/>
              </c:ext>
            </c:extLst>
          </c:dPt>
          <c:dPt>
            <c:idx val="1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6-F844-4F86-962E-A86465320DB0}"/>
              </c:ext>
            </c:extLst>
          </c:dPt>
          <c:dPt>
            <c:idx val="1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7-F844-4F86-962E-A86465320DB0}"/>
              </c:ext>
            </c:extLst>
          </c:dPt>
          <c:dPt>
            <c:idx val="1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8-F844-4F86-962E-A86465320DB0}"/>
              </c:ext>
            </c:extLst>
          </c:dPt>
          <c:dPt>
            <c:idx val="1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9-F844-4F86-962E-A86465320DB0}"/>
              </c:ext>
            </c:extLst>
          </c:dPt>
          <c:dPt>
            <c:idx val="1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A-F844-4F86-962E-A86465320DB0}"/>
              </c:ext>
            </c:extLst>
          </c:dPt>
          <c:dPt>
            <c:idx val="1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B-F844-4F86-962E-A86465320DB0}"/>
              </c:ext>
            </c:extLst>
          </c:dPt>
          <c:dPt>
            <c:idx val="1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C-F844-4F86-962E-A86465320DB0}"/>
              </c:ext>
            </c:extLst>
          </c:dPt>
          <c:dPt>
            <c:idx val="1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D-F844-4F86-962E-A86465320DB0}"/>
              </c:ext>
            </c:extLst>
          </c:dPt>
          <c:dPt>
            <c:idx val="1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E-F844-4F86-962E-A86465320DB0}"/>
              </c:ext>
            </c:extLst>
          </c:dPt>
          <c:dPt>
            <c:idx val="1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4F-F844-4F86-962E-A86465320DB0}"/>
              </c:ext>
            </c:extLst>
          </c:dPt>
          <c:dPt>
            <c:idx val="1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0-F844-4F86-962E-A86465320DB0}"/>
              </c:ext>
            </c:extLst>
          </c:dPt>
          <c:dPt>
            <c:idx val="1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1-F844-4F86-962E-A86465320DB0}"/>
              </c:ext>
            </c:extLst>
          </c:dPt>
          <c:dPt>
            <c:idx val="1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2-F844-4F86-962E-A86465320DB0}"/>
              </c:ext>
            </c:extLst>
          </c:dPt>
          <c:dPt>
            <c:idx val="1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3-F844-4F86-962E-A86465320DB0}"/>
              </c:ext>
            </c:extLst>
          </c:dPt>
          <c:dPt>
            <c:idx val="1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4-F844-4F86-962E-A86465320DB0}"/>
              </c:ext>
            </c:extLst>
          </c:dPt>
          <c:dPt>
            <c:idx val="1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5-F844-4F86-962E-A86465320DB0}"/>
              </c:ext>
            </c:extLst>
          </c:dPt>
          <c:dPt>
            <c:idx val="1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6-F844-4F86-962E-A86465320DB0}"/>
              </c:ext>
            </c:extLst>
          </c:dPt>
          <c:dPt>
            <c:idx val="1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7-F844-4F86-962E-A86465320DB0}"/>
              </c:ext>
            </c:extLst>
          </c:dPt>
          <c:dPt>
            <c:idx val="1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8-F844-4F86-962E-A86465320DB0}"/>
              </c:ext>
            </c:extLst>
          </c:dPt>
          <c:dPt>
            <c:idx val="1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9-F844-4F86-962E-A86465320DB0}"/>
              </c:ext>
            </c:extLst>
          </c:dPt>
          <c:dPt>
            <c:idx val="1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A-F844-4F86-962E-A86465320DB0}"/>
              </c:ext>
            </c:extLst>
          </c:dPt>
          <c:dPt>
            <c:idx val="1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B-F844-4F86-962E-A86465320DB0}"/>
              </c:ext>
            </c:extLst>
          </c:dPt>
          <c:dPt>
            <c:idx val="1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C-F844-4F86-962E-A86465320DB0}"/>
              </c:ext>
            </c:extLst>
          </c:dPt>
          <c:dPt>
            <c:idx val="1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D-F844-4F86-962E-A86465320DB0}"/>
              </c:ext>
            </c:extLst>
          </c:dPt>
          <c:dPt>
            <c:idx val="1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E-F844-4F86-962E-A86465320DB0}"/>
              </c:ext>
            </c:extLst>
          </c:dPt>
          <c:dPt>
            <c:idx val="1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5F-F844-4F86-962E-A86465320DB0}"/>
              </c:ext>
            </c:extLst>
          </c:dPt>
          <c:dPt>
            <c:idx val="2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0-F844-4F86-962E-A86465320DB0}"/>
              </c:ext>
            </c:extLst>
          </c:dPt>
          <c:dPt>
            <c:idx val="2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1-F844-4F86-962E-A86465320DB0}"/>
              </c:ext>
            </c:extLst>
          </c:dPt>
          <c:dPt>
            <c:idx val="2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2-F844-4F86-962E-A86465320DB0}"/>
              </c:ext>
            </c:extLst>
          </c:dPt>
          <c:dPt>
            <c:idx val="2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3-F844-4F86-962E-A86465320DB0}"/>
              </c:ext>
            </c:extLst>
          </c:dPt>
          <c:dPt>
            <c:idx val="2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4-F844-4F86-962E-A86465320DB0}"/>
              </c:ext>
            </c:extLst>
          </c:dPt>
          <c:dPt>
            <c:idx val="2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5-F844-4F86-962E-A86465320DB0}"/>
              </c:ext>
            </c:extLst>
          </c:dPt>
          <c:dPt>
            <c:idx val="2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6-F844-4F86-962E-A86465320DB0}"/>
              </c:ext>
            </c:extLst>
          </c:dPt>
          <c:dPt>
            <c:idx val="2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7-F844-4F86-962E-A86465320DB0}"/>
              </c:ext>
            </c:extLst>
          </c:dPt>
          <c:dPt>
            <c:idx val="2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8-F844-4F86-962E-A86465320DB0}"/>
              </c:ext>
            </c:extLst>
          </c:dPt>
          <c:dPt>
            <c:idx val="2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9-F844-4F86-962E-A86465320DB0}"/>
              </c:ext>
            </c:extLst>
          </c:dPt>
          <c:dPt>
            <c:idx val="2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A-F844-4F86-962E-A86465320DB0}"/>
              </c:ext>
            </c:extLst>
          </c:dPt>
          <c:dPt>
            <c:idx val="2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B-F844-4F86-962E-A86465320DB0}"/>
              </c:ext>
            </c:extLst>
          </c:dPt>
          <c:dPt>
            <c:idx val="2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C-F844-4F86-962E-A86465320DB0}"/>
              </c:ext>
            </c:extLst>
          </c:dPt>
          <c:dPt>
            <c:idx val="2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D-F844-4F86-962E-A86465320DB0}"/>
              </c:ext>
            </c:extLst>
          </c:dPt>
          <c:dPt>
            <c:idx val="2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E-F844-4F86-962E-A86465320DB0}"/>
              </c:ext>
            </c:extLst>
          </c:dPt>
          <c:dPt>
            <c:idx val="2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6F-F844-4F86-962E-A86465320DB0}"/>
              </c:ext>
            </c:extLst>
          </c:dPt>
          <c:dPt>
            <c:idx val="2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0-F844-4F86-962E-A86465320DB0}"/>
              </c:ext>
            </c:extLst>
          </c:dPt>
          <c:dPt>
            <c:idx val="2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1-F844-4F86-962E-A86465320DB0}"/>
              </c:ext>
            </c:extLst>
          </c:dPt>
          <c:dPt>
            <c:idx val="2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2-F844-4F86-962E-A86465320DB0}"/>
              </c:ext>
            </c:extLst>
          </c:dPt>
          <c:dPt>
            <c:idx val="2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3-F844-4F86-962E-A86465320DB0}"/>
              </c:ext>
            </c:extLst>
          </c:dPt>
          <c:dPt>
            <c:idx val="2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4-F844-4F86-962E-A86465320DB0}"/>
              </c:ext>
            </c:extLst>
          </c:dPt>
          <c:dPt>
            <c:idx val="2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5-F844-4F86-962E-A86465320DB0}"/>
              </c:ext>
            </c:extLst>
          </c:dPt>
          <c:dPt>
            <c:idx val="2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6-F844-4F86-962E-A86465320DB0}"/>
              </c:ext>
            </c:extLst>
          </c:dPt>
          <c:dPt>
            <c:idx val="2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7-F844-4F86-962E-A86465320DB0}"/>
              </c:ext>
            </c:extLst>
          </c:dPt>
          <c:dPt>
            <c:idx val="2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8-F844-4F86-962E-A86465320DB0}"/>
              </c:ext>
            </c:extLst>
          </c:dPt>
          <c:dPt>
            <c:idx val="2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9-F844-4F86-962E-A86465320DB0}"/>
              </c:ext>
            </c:extLst>
          </c:dPt>
          <c:dPt>
            <c:idx val="2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A-F844-4F86-962E-A86465320DB0}"/>
              </c:ext>
            </c:extLst>
          </c:dPt>
          <c:dPt>
            <c:idx val="2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B-F844-4F86-962E-A86465320DB0}"/>
              </c:ext>
            </c:extLst>
          </c:dPt>
          <c:dPt>
            <c:idx val="2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C-F844-4F86-962E-A86465320DB0}"/>
              </c:ext>
            </c:extLst>
          </c:dPt>
          <c:dPt>
            <c:idx val="2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D-F844-4F86-962E-A86465320DB0}"/>
              </c:ext>
            </c:extLst>
          </c:dPt>
          <c:dPt>
            <c:idx val="2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E-F844-4F86-962E-A86465320DB0}"/>
              </c:ext>
            </c:extLst>
          </c:dPt>
          <c:dPt>
            <c:idx val="2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7F-F844-4F86-962E-A86465320DB0}"/>
              </c:ext>
            </c:extLst>
          </c:dPt>
          <c:dPt>
            <c:idx val="2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0-F844-4F86-962E-A86465320DB0}"/>
              </c:ext>
            </c:extLst>
          </c:dPt>
          <c:dPt>
            <c:idx val="2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1-F844-4F86-962E-A86465320DB0}"/>
              </c:ext>
            </c:extLst>
          </c:dPt>
          <c:dPt>
            <c:idx val="2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2-F844-4F86-962E-A86465320DB0}"/>
              </c:ext>
            </c:extLst>
          </c:dPt>
          <c:dPt>
            <c:idx val="2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3-F844-4F86-962E-A86465320DB0}"/>
              </c:ext>
            </c:extLst>
          </c:dPt>
          <c:dPt>
            <c:idx val="2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4-F844-4F86-962E-A86465320DB0}"/>
              </c:ext>
            </c:extLst>
          </c:dPt>
          <c:dPt>
            <c:idx val="2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5-F844-4F86-962E-A86465320DB0}"/>
              </c:ext>
            </c:extLst>
          </c:dPt>
          <c:dPt>
            <c:idx val="2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6-F844-4F86-962E-A86465320DB0}"/>
              </c:ext>
            </c:extLst>
          </c:dPt>
          <c:dPt>
            <c:idx val="2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7-F844-4F86-962E-A86465320DB0}"/>
              </c:ext>
            </c:extLst>
          </c:dPt>
          <c:dPt>
            <c:idx val="2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8-F844-4F86-962E-A86465320DB0}"/>
              </c:ext>
            </c:extLst>
          </c:dPt>
          <c:dPt>
            <c:idx val="2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9-F844-4F86-962E-A86465320DB0}"/>
              </c:ext>
            </c:extLst>
          </c:dPt>
          <c:dPt>
            <c:idx val="2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A-F844-4F86-962E-A86465320DB0}"/>
              </c:ext>
            </c:extLst>
          </c:dPt>
          <c:dPt>
            <c:idx val="2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B-F844-4F86-962E-A86465320DB0}"/>
              </c:ext>
            </c:extLst>
          </c:dPt>
          <c:dPt>
            <c:idx val="2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C-F844-4F86-962E-A86465320DB0}"/>
              </c:ext>
            </c:extLst>
          </c:dPt>
          <c:dPt>
            <c:idx val="2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D-F844-4F86-962E-A86465320DB0}"/>
              </c:ext>
            </c:extLst>
          </c:dPt>
          <c:dPt>
            <c:idx val="2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E-F844-4F86-962E-A86465320DB0}"/>
              </c:ext>
            </c:extLst>
          </c:dPt>
          <c:dPt>
            <c:idx val="2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8F-F844-4F86-962E-A86465320DB0}"/>
              </c:ext>
            </c:extLst>
          </c:dPt>
          <c:dPt>
            <c:idx val="2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0-F844-4F86-962E-A86465320DB0}"/>
              </c:ext>
            </c:extLst>
          </c:dPt>
          <c:dPt>
            <c:idx val="2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1-F844-4F86-962E-A86465320DB0}"/>
              </c:ext>
            </c:extLst>
          </c:dPt>
          <c:dPt>
            <c:idx val="2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2-F844-4F86-962E-A86465320DB0}"/>
              </c:ext>
            </c:extLst>
          </c:dPt>
          <c:dPt>
            <c:idx val="2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3-F844-4F86-962E-A86465320DB0}"/>
              </c:ext>
            </c:extLst>
          </c:dPt>
          <c:dPt>
            <c:idx val="2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4-F844-4F86-962E-A86465320DB0}"/>
              </c:ext>
            </c:extLst>
          </c:dPt>
          <c:dPt>
            <c:idx val="2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5-F844-4F86-962E-A86465320DB0}"/>
              </c:ext>
            </c:extLst>
          </c:dPt>
          <c:dPt>
            <c:idx val="2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6-F844-4F86-962E-A86465320DB0}"/>
              </c:ext>
            </c:extLst>
          </c:dPt>
          <c:dPt>
            <c:idx val="2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7-F844-4F86-962E-A86465320DB0}"/>
              </c:ext>
            </c:extLst>
          </c:dPt>
          <c:dPt>
            <c:idx val="2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8-F844-4F86-962E-A86465320DB0}"/>
              </c:ext>
            </c:extLst>
          </c:dPt>
          <c:dPt>
            <c:idx val="2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9-F844-4F86-962E-A86465320DB0}"/>
              </c:ext>
            </c:extLst>
          </c:dPt>
          <c:dPt>
            <c:idx val="2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A-F844-4F86-962E-A86465320DB0}"/>
              </c:ext>
            </c:extLst>
          </c:dPt>
          <c:dPt>
            <c:idx val="2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B-F844-4F86-962E-A86465320DB0}"/>
              </c:ext>
            </c:extLst>
          </c:dPt>
          <c:dPt>
            <c:idx val="2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C-F844-4F86-962E-A86465320DB0}"/>
              </c:ext>
            </c:extLst>
          </c:dPt>
          <c:dPt>
            <c:idx val="2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D-F844-4F86-962E-A86465320DB0}"/>
              </c:ext>
            </c:extLst>
          </c:dPt>
          <c:dPt>
            <c:idx val="2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E-F844-4F86-962E-A86465320DB0}"/>
              </c:ext>
            </c:extLst>
          </c:dPt>
          <c:dPt>
            <c:idx val="2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9F-F844-4F86-962E-A86465320DB0}"/>
              </c:ext>
            </c:extLst>
          </c:dPt>
          <c:dPt>
            <c:idx val="2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0-F844-4F86-962E-A86465320DB0}"/>
              </c:ext>
            </c:extLst>
          </c:dPt>
          <c:dPt>
            <c:idx val="2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1-F844-4F86-962E-A86465320DB0}"/>
              </c:ext>
            </c:extLst>
          </c:dPt>
          <c:dPt>
            <c:idx val="2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2-F844-4F86-962E-A86465320DB0}"/>
              </c:ext>
            </c:extLst>
          </c:dPt>
          <c:dPt>
            <c:idx val="2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3-F844-4F86-962E-A86465320DB0}"/>
              </c:ext>
            </c:extLst>
          </c:dPt>
          <c:dPt>
            <c:idx val="2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4-F844-4F86-962E-A86465320DB0}"/>
              </c:ext>
            </c:extLst>
          </c:dPt>
          <c:dPt>
            <c:idx val="2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5-F844-4F86-962E-A86465320DB0}"/>
              </c:ext>
            </c:extLst>
          </c:dPt>
          <c:dPt>
            <c:idx val="2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6-F844-4F86-962E-A86465320DB0}"/>
              </c:ext>
            </c:extLst>
          </c:dPt>
          <c:dPt>
            <c:idx val="2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7-F844-4F86-962E-A86465320DB0}"/>
              </c:ext>
            </c:extLst>
          </c:dPt>
          <c:dPt>
            <c:idx val="2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8-F844-4F86-962E-A86465320DB0}"/>
              </c:ext>
            </c:extLst>
          </c:dPt>
          <c:dPt>
            <c:idx val="2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9-F844-4F86-962E-A86465320DB0}"/>
              </c:ext>
            </c:extLst>
          </c:dPt>
          <c:dPt>
            <c:idx val="2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A-F844-4F86-962E-A86465320DB0}"/>
              </c:ext>
            </c:extLst>
          </c:dPt>
          <c:dPt>
            <c:idx val="2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B-F844-4F86-962E-A86465320DB0}"/>
              </c:ext>
            </c:extLst>
          </c:dPt>
          <c:dPt>
            <c:idx val="2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C-F844-4F86-962E-A86465320DB0}"/>
              </c:ext>
            </c:extLst>
          </c:dPt>
          <c:dPt>
            <c:idx val="2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D-F844-4F86-962E-A86465320DB0}"/>
              </c:ext>
            </c:extLst>
          </c:dPt>
          <c:dPt>
            <c:idx val="2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E-F844-4F86-962E-A86465320DB0}"/>
              </c:ext>
            </c:extLst>
          </c:dPt>
          <c:dPt>
            <c:idx val="2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AF-F844-4F86-962E-A86465320DB0}"/>
              </c:ext>
            </c:extLst>
          </c:dPt>
          <c:dPt>
            <c:idx val="2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0-F844-4F86-962E-A86465320DB0}"/>
              </c:ext>
            </c:extLst>
          </c:dPt>
          <c:dPt>
            <c:idx val="2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1-F844-4F86-962E-A86465320DB0}"/>
              </c:ext>
            </c:extLst>
          </c:dPt>
          <c:dPt>
            <c:idx val="2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2-F844-4F86-962E-A86465320DB0}"/>
              </c:ext>
            </c:extLst>
          </c:dPt>
          <c:dPt>
            <c:idx val="2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3-F844-4F86-962E-A86465320DB0}"/>
              </c:ext>
            </c:extLst>
          </c:dPt>
          <c:dPt>
            <c:idx val="2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4-F844-4F86-962E-A86465320DB0}"/>
              </c:ext>
            </c:extLst>
          </c:dPt>
          <c:dPt>
            <c:idx val="2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5-F844-4F86-962E-A86465320DB0}"/>
              </c:ext>
            </c:extLst>
          </c:dPt>
          <c:dPt>
            <c:idx val="2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6-F844-4F86-962E-A86465320DB0}"/>
              </c:ext>
            </c:extLst>
          </c:dPt>
          <c:dPt>
            <c:idx val="2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7-F844-4F86-962E-A86465320DB0}"/>
              </c:ext>
            </c:extLst>
          </c:dPt>
          <c:dPt>
            <c:idx val="28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8-F844-4F86-962E-A86465320DB0}"/>
              </c:ext>
            </c:extLst>
          </c:dPt>
          <c:dPt>
            <c:idx val="28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9-F844-4F86-962E-A86465320DB0}"/>
              </c:ext>
            </c:extLst>
          </c:dPt>
          <c:dPt>
            <c:idx val="29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A-F844-4F86-962E-A86465320DB0}"/>
              </c:ext>
            </c:extLst>
          </c:dPt>
          <c:dPt>
            <c:idx val="29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B-F844-4F86-962E-A86465320DB0}"/>
              </c:ext>
            </c:extLst>
          </c:dPt>
          <c:dPt>
            <c:idx val="29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C-F844-4F86-962E-A86465320DB0}"/>
              </c:ext>
            </c:extLst>
          </c:dPt>
          <c:dPt>
            <c:idx val="29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D-F844-4F86-962E-A86465320DB0}"/>
              </c:ext>
            </c:extLst>
          </c:dPt>
          <c:dPt>
            <c:idx val="29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E-F844-4F86-962E-A86465320DB0}"/>
              </c:ext>
            </c:extLst>
          </c:dPt>
          <c:dPt>
            <c:idx val="29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BF-F844-4F86-962E-A86465320DB0}"/>
              </c:ext>
            </c:extLst>
          </c:dPt>
          <c:dPt>
            <c:idx val="29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0-F844-4F86-962E-A86465320DB0}"/>
              </c:ext>
            </c:extLst>
          </c:dPt>
          <c:dPt>
            <c:idx val="29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1-F844-4F86-962E-A86465320DB0}"/>
              </c:ext>
            </c:extLst>
          </c:dPt>
          <c:dPt>
            <c:idx val="29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2-F844-4F86-962E-A86465320DB0}"/>
              </c:ext>
            </c:extLst>
          </c:dPt>
          <c:dPt>
            <c:idx val="29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3-F844-4F86-962E-A86465320DB0}"/>
              </c:ext>
            </c:extLst>
          </c:dPt>
          <c:dPt>
            <c:idx val="30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4-F844-4F86-962E-A86465320DB0}"/>
              </c:ext>
            </c:extLst>
          </c:dPt>
          <c:dPt>
            <c:idx val="30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5-F844-4F86-962E-A86465320DB0}"/>
              </c:ext>
            </c:extLst>
          </c:dPt>
          <c:dPt>
            <c:idx val="30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6-F844-4F86-962E-A86465320DB0}"/>
              </c:ext>
            </c:extLst>
          </c:dPt>
          <c:dPt>
            <c:idx val="30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7-F844-4F86-962E-A86465320DB0}"/>
              </c:ext>
            </c:extLst>
          </c:dPt>
          <c:dPt>
            <c:idx val="30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8-F844-4F86-962E-A86465320DB0}"/>
              </c:ext>
            </c:extLst>
          </c:dPt>
          <c:dPt>
            <c:idx val="30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9-F844-4F86-962E-A86465320DB0}"/>
              </c:ext>
            </c:extLst>
          </c:dPt>
          <c:dPt>
            <c:idx val="30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A-F844-4F86-962E-A86465320DB0}"/>
              </c:ext>
            </c:extLst>
          </c:dPt>
          <c:dPt>
            <c:idx val="30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B-F844-4F86-962E-A86465320DB0}"/>
              </c:ext>
            </c:extLst>
          </c:dPt>
          <c:dPt>
            <c:idx val="30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C-F844-4F86-962E-A86465320DB0}"/>
              </c:ext>
            </c:extLst>
          </c:dPt>
          <c:dPt>
            <c:idx val="30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D-F844-4F86-962E-A86465320DB0}"/>
              </c:ext>
            </c:extLst>
          </c:dPt>
          <c:dPt>
            <c:idx val="3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E-F844-4F86-962E-A86465320DB0}"/>
              </c:ext>
            </c:extLst>
          </c:dPt>
          <c:dPt>
            <c:idx val="3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CF-F844-4F86-962E-A86465320DB0}"/>
              </c:ext>
            </c:extLst>
          </c:dPt>
          <c:dPt>
            <c:idx val="3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0-F844-4F86-962E-A86465320DB0}"/>
              </c:ext>
            </c:extLst>
          </c:dPt>
          <c:dPt>
            <c:idx val="3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1-F844-4F86-962E-A86465320DB0}"/>
              </c:ext>
            </c:extLst>
          </c:dPt>
          <c:dPt>
            <c:idx val="3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2-F844-4F86-962E-A86465320DB0}"/>
              </c:ext>
            </c:extLst>
          </c:dPt>
          <c:dPt>
            <c:idx val="3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3-F844-4F86-962E-A86465320DB0}"/>
              </c:ext>
            </c:extLst>
          </c:dPt>
          <c:dPt>
            <c:idx val="3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4-F844-4F86-962E-A86465320DB0}"/>
              </c:ext>
            </c:extLst>
          </c:dPt>
          <c:dPt>
            <c:idx val="31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5-F844-4F86-962E-A86465320DB0}"/>
              </c:ext>
            </c:extLst>
          </c:dPt>
          <c:dPt>
            <c:idx val="31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6-F844-4F86-962E-A86465320DB0}"/>
              </c:ext>
            </c:extLst>
          </c:dPt>
          <c:dPt>
            <c:idx val="31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7-F844-4F86-962E-A86465320DB0}"/>
              </c:ext>
            </c:extLst>
          </c:dPt>
          <c:dPt>
            <c:idx val="32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8-F844-4F86-962E-A86465320DB0}"/>
              </c:ext>
            </c:extLst>
          </c:dPt>
          <c:dPt>
            <c:idx val="32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9-F844-4F86-962E-A86465320DB0}"/>
              </c:ext>
            </c:extLst>
          </c:dPt>
          <c:dPt>
            <c:idx val="32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A-F844-4F86-962E-A86465320DB0}"/>
              </c:ext>
            </c:extLst>
          </c:dPt>
          <c:dPt>
            <c:idx val="32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B-F844-4F86-962E-A86465320DB0}"/>
              </c:ext>
            </c:extLst>
          </c:dPt>
          <c:dPt>
            <c:idx val="32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C-F844-4F86-962E-A86465320DB0}"/>
              </c:ext>
            </c:extLst>
          </c:dPt>
          <c:dPt>
            <c:idx val="32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D-F844-4F86-962E-A86465320DB0}"/>
              </c:ext>
            </c:extLst>
          </c:dPt>
          <c:dPt>
            <c:idx val="32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E-F844-4F86-962E-A86465320DB0}"/>
              </c:ext>
            </c:extLst>
          </c:dPt>
          <c:dPt>
            <c:idx val="32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DF-F844-4F86-962E-A86465320DB0}"/>
              </c:ext>
            </c:extLst>
          </c:dPt>
          <c:dPt>
            <c:idx val="32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0-F844-4F86-962E-A86465320DB0}"/>
              </c:ext>
            </c:extLst>
          </c:dPt>
          <c:dPt>
            <c:idx val="32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1-F844-4F86-962E-A86465320DB0}"/>
              </c:ext>
            </c:extLst>
          </c:dPt>
          <c:dPt>
            <c:idx val="33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2-F844-4F86-962E-A86465320DB0}"/>
              </c:ext>
            </c:extLst>
          </c:dPt>
          <c:dPt>
            <c:idx val="33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3-F844-4F86-962E-A86465320DB0}"/>
              </c:ext>
            </c:extLst>
          </c:dPt>
          <c:dPt>
            <c:idx val="33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4-F844-4F86-962E-A86465320DB0}"/>
              </c:ext>
            </c:extLst>
          </c:dPt>
          <c:dPt>
            <c:idx val="33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5-F844-4F86-962E-A86465320DB0}"/>
              </c:ext>
            </c:extLst>
          </c:dPt>
          <c:dPt>
            <c:idx val="33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6-F844-4F86-962E-A86465320DB0}"/>
              </c:ext>
            </c:extLst>
          </c:dPt>
          <c:dPt>
            <c:idx val="33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7-F844-4F86-962E-A86465320DB0}"/>
              </c:ext>
            </c:extLst>
          </c:dPt>
          <c:dPt>
            <c:idx val="33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8-F844-4F86-962E-A86465320DB0}"/>
              </c:ext>
            </c:extLst>
          </c:dPt>
          <c:dPt>
            <c:idx val="33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9-F844-4F86-962E-A86465320DB0}"/>
              </c:ext>
            </c:extLst>
          </c:dPt>
          <c:dPt>
            <c:idx val="33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A-F844-4F86-962E-A86465320DB0}"/>
              </c:ext>
            </c:extLst>
          </c:dPt>
          <c:dPt>
            <c:idx val="33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B-F844-4F86-962E-A86465320DB0}"/>
              </c:ext>
            </c:extLst>
          </c:dPt>
          <c:dPt>
            <c:idx val="34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C-F844-4F86-962E-A86465320DB0}"/>
              </c:ext>
            </c:extLst>
          </c:dPt>
          <c:dPt>
            <c:idx val="34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D-F844-4F86-962E-A86465320DB0}"/>
              </c:ext>
            </c:extLst>
          </c:dPt>
          <c:dPt>
            <c:idx val="34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E-F844-4F86-962E-A86465320DB0}"/>
              </c:ext>
            </c:extLst>
          </c:dPt>
          <c:dPt>
            <c:idx val="34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EF-F844-4F86-962E-A86465320DB0}"/>
              </c:ext>
            </c:extLst>
          </c:dPt>
          <c:dPt>
            <c:idx val="34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0-F844-4F86-962E-A86465320DB0}"/>
              </c:ext>
            </c:extLst>
          </c:dPt>
          <c:dPt>
            <c:idx val="34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1-F844-4F86-962E-A86465320DB0}"/>
              </c:ext>
            </c:extLst>
          </c:dPt>
          <c:dPt>
            <c:idx val="34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2-F844-4F86-962E-A86465320DB0}"/>
              </c:ext>
            </c:extLst>
          </c:dPt>
          <c:dPt>
            <c:idx val="34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3-F844-4F86-962E-A86465320DB0}"/>
              </c:ext>
            </c:extLst>
          </c:dPt>
          <c:dPt>
            <c:idx val="34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4-F844-4F86-962E-A86465320DB0}"/>
              </c:ext>
            </c:extLst>
          </c:dPt>
          <c:dPt>
            <c:idx val="34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5-F844-4F86-962E-A86465320DB0}"/>
              </c:ext>
            </c:extLst>
          </c:dPt>
          <c:dPt>
            <c:idx val="35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6-F844-4F86-962E-A86465320DB0}"/>
              </c:ext>
            </c:extLst>
          </c:dPt>
          <c:dPt>
            <c:idx val="35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7-F844-4F86-962E-A86465320DB0}"/>
              </c:ext>
            </c:extLst>
          </c:dPt>
          <c:dPt>
            <c:idx val="35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8-F844-4F86-962E-A86465320DB0}"/>
              </c:ext>
            </c:extLst>
          </c:dPt>
          <c:dPt>
            <c:idx val="35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9-F844-4F86-962E-A86465320DB0}"/>
              </c:ext>
            </c:extLst>
          </c:dPt>
          <c:dPt>
            <c:idx val="35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A-F844-4F86-962E-A86465320DB0}"/>
              </c:ext>
            </c:extLst>
          </c:dPt>
          <c:dPt>
            <c:idx val="35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B-F844-4F86-962E-A86465320DB0}"/>
              </c:ext>
            </c:extLst>
          </c:dPt>
          <c:dPt>
            <c:idx val="35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C-F844-4F86-962E-A86465320DB0}"/>
              </c:ext>
            </c:extLst>
          </c:dPt>
          <c:dPt>
            <c:idx val="35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D-F844-4F86-962E-A86465320DB0}"/>
              </c:ext>
            </c:extLst>
          </c:dPt>
          <c:dPt>
            <c:idx val="35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E-F844-4F86-962E-A86465320DB0}"/>
              </c:ext>
            </c:extLst>
          </c:dPt>
          <c:dPt>
            <c:idx val="35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3FF-F844-4F86-962E-A86465320DB0}"/>
              </c:ext>
            </c:extLst>
          </c:dPt>
          <c:dPt>
            <c:idx val="36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0-F844-4F86-962E-A86465320DB0}"/>
              </c:ext>
            </c:extLst>
          </c:dPt>
          <c:dPt>
            <c:idx val="36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1-F844-4F86-962E-A86465320DB0}"/>
              </c:ext>
            </c:extLst>
          </c:dPt>
          <c:dPt>
            <c:idx val="36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2-F844-4F86-962E-A86465320DB0}"/>
              </c:ext>
            </c:extLst>
          </c:dPt>
          <c:dPt>
            <c:idx val="36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3-F844-4F86-962E-A86465320DB0}"/>
              </c:ext>
            </c:extLst>
          </c:dPt>
          <c:dPt>
            <c:idx val="36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4-F844-4F86-962E-A86465320DB0}"/>
              </c:ext>
            </c:extLst>
          </c:dPt>
          <c:dPt>
            <c:idx val="36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5-F844-4F86-962E-A86465320DB0}"/>
              </c:ext>
            </c:extLst>
          </c:dPt>
          <c:dPt>
            <c:idx val="36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6-F844-4F86-962E-A86465320DB0}"/>
              </c:ext>
            </c:extLst>
          </c:dPt>
          <c:dPt>
            <c:idx val="36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7-F844-4F86-962E-A86465320DB0}"/>
              </c:ext>
            </c:extLst>
          </c:dPt>
          <c:dPt>
            <c:idx val="36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8-F844-4F86-962E-A86465320DB0}"/>
              </c:ext>
            </c:extLst>
          </c:dPt>
          <c:dPt>
            <c:idx val="36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9-F844-4F86-962E-A86465320DB0}"/>
              </c:ext>
            </c:extLst>
          </c:dPt>
          <c:dPt>
            <c:idx val="37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A-F844-4F86-962E-A86465320DB0}"/>
              </c:ext>
            </c:extLst>
          </c:dPt>
          <c:dPt>
            <c:idx val="37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B-F844-4F86-962E-A86465320DB0}"/>
              </c:ext>
            </c:extLst>
          </c:dPt>
          <c:dPt>
            <c:idx val="37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C-F844-4F86-962E-A86465320DB0}"/>
              </c:ext>
            </c:extLst>
          </c:dPt>
          <c:dPt>
            <c:idx val="37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D-F844-4F86-962E-A86465320DB0}"/>
              </c:ext>
            </c:extLst>
          </c:dPt>
          <c:dPt>
            <c:idx val="37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E-F844-4F86-962E-A86465320DB0}"/>
              </c:ext>
            </c:extLst>
          </c:dPt>
          <c:dPt>
            <c:idx val="37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0F-F844-4F86-962E-A86465320DB0}"/>
              </c:ext>
            </c:extLst>
          </c:dPt>
          <c:dPt>
            <c:idx val="37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0-F844-4F86-962E-A86465320DB0}"/>
              </c:ext>
            </c:extLst>
          </c:dPt>
          <c:dPt>
            <c:idx val="37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1-F844-4F86-962E-A86465320DB0}"/>
              </c:ext>
            </c:extLst>
          </c:dPt>
          <c:dPt>
            <c:idx val="37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2-F844-4F86-962E-A86465320DB0}"/>
              </c:ext>
            </c:extLst>
          </c:dPt>
          <c:dPt>
            <c:idx val="37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3-F844-4F86-962E-A86465320DB0}"/>
              </c:ext>
            </c:extLst>
          </c:dPt>
          <c:dPt>
            <c:idx val="38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4-F844-4F86-962E-A86465320DB0}"/>
              </c:ext>
            </c:extLst>
          </c:dPt>
          <c:dPt>
            <c:idx val="38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5-F844-4F86-962E-A86465320DB0}"/>
              </c:ext>
            </c:extLst>
          </c:dPt>
          <c:dPt>
            <c:idx val="38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6-F844-4F86-962E-A86465320DB0}"/>
              </c:ext>
            </c:extLst>
          </c:dPt>
          <c:dPt>
            <c:idx val="38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7-F844-4F86-962E-A86465320DB0}"/>
              </c:ext>
            </c:extLst>
          </c:dPt>
          <c:dPt>
            <c:idx val="38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8-F844-4F86-962E-A86465320DB0}"/>
              </c:ext>
            </c:extLst>
          </c:dPt>
          <c:dPt>
            <c:idx val="38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9-F844-4F86-962E-A86465320DB0}"/>
              </c:ext>
            </c:extLst>
          </c:dPt>
          <c:dPt>
            <c:idx val="38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A-F844-4F86-962E-A86465320DB0}"/>
              </c:ext>
            </c:extLst>
          </c:dPt>
          <c:dPt>
            <c:idx val="38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41B-F844-4F86-962E-A86465320DB0}"/>
              </c:ext>
            </c:extLst>
          </c:dPt>
          <c:cat>
            <c:multiLvlStrRef>
              <c:f>pt.lvl3_generic_9!$B$8:$C$57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pt.lvl3_generic_9!$F$8:$F$57</c:f>
              <c:numCache>
                <c:formatCode>General</c:formatCode>
                <c:ptCount val="4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54-2EBA-4932-B821-D657A2AE7E37}"/>
            </c:ext>
          </c:extLst>
        </c:ser>
        <c:dLbls>
          <c:showLegendKey val="0"/>
          <c:showVal val="0"/>
          <c:showCatName val="0"/>
          <c:showSerName val="0"/>
          <c:showPercent val="0"/>
          <c:showBubbleSize val="0"/>
        </c:dLbls>
        <c:marker val="1"/>
        <c:smooth val="0"/>
        <c:axId val="449381544"/>
        <c:axId val="449381936"/>
      </c:lineChart>
      <c:catAx>
        <c:axId val="449381544"/>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936"/>
        <c:crosses val="autoZero"/>
        <c:auto val="1"/>
        <c:lblAlgn val="ctr"/>
        <c:lblOffset val="100"/>
        <c:noMultiLvlLbl val="0"/>
      </c:catAx>
      <c:valAx>
        <c:axId val="44938193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54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1.3_3_2.xlsm]pt.lvl3_generic_10!pt.lvl3_generic_10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solidFill>
            <a:schemeClr val="accent1"/>
          </a:solidFill>
          <a:ln>
            <a:noFill/>
          </a:ln>
          <a:effectLst/>
        </c:spPr>
        <c:marker>
          <c:symbol val="none"/>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s>
    <c:plotArea>
      <c:layout>
        <c:manualLayout>
          <c:layoutTarget val="inner"/>
          <c:xMode val="edge"/>
          <c:yMode val="edge"/>
          <c:x val="4.2885701325421952E-2"/>
          <c:y val="0.19467259963941849"/>
          <c:w val="0.93595404622657019"/>
          <c:h val="0.69662434308949339"/>
        </c:manualLayout>
      </c:layout>
      <c:barChart>
        <c:barDir val="col"/>
        <c:grouping val="clustered"/>
        <c:varyColors val="0"/>
        <c:ser>
          <c:idx val="0"/>
          <c:order val="0"/>
          <c:tx>
            <c:strRef>
              <c:f>pt.lvl3_generic_10!$D$7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E2E4-4C9F-A5F3-DECFF3FF926F}"/>
              </c:ext>
            </c:extLst>
          </c:dPt>
          <c:dPt>
            <c:idx val="1"/>
            <c:invertIfNegative val="0"/>
            <c:bubble3D val="0"/>
            <c:spPr>
              <a:solidFill>
                <a:srgbClr val="9CC746"/>
              </a:solidFill>
              <a:ln>
                <a:noFill/>
              </a:ln>
              <a:effectLst/>
            </c:spPr>
            <c:extLst>
              <c:ext xmlns:c16="http://schemas.microsoft.com/office/drawing/2014/chart" uri="{C3380CC4-5D6E-409C-BE32-E72D297353CC}">
                <c16:uniqueId val="{00000001-E2E4-4C9F-A5F3-DECFF3FF926F}"/>
              </c:ext>
            </c:extLst>
          </c:dPt>
          <c:dPt>
            <c:idx val="2"/>
            <c:invertIfNegative val="0"/>
            <c:bubble3D val="0"/>
            <c:spPr>
              <a:solidFill>
                <a:srgbClr val="9CC746"/>
              </a:solidFill>
              <a:ln>
                <a:noFill/>
              </a:ln>
              <a:effectLst/>
            </c:spPr>
            <c:extLst>
              <c:ext xmlns:c16="http://schemas.microsoft.com/office/drawing/2014/chart" uri="{C3380CC4-5D6E-409C-BE32-E72D297353CC}">
                <c16:uniqueId val="{00000002-E2E4-4C9F-A5F3-DECFF3FF926F}"/>
              </c:ext>
            </c:extLst>
          </c:dPt>
          <c:dPt>
            <c:idx val="3"/>
            <c:invertIfNegative val="0"/>
            <c:bubble3D val="0"/>
            <c:spPr>
              <a:solidFill>
                <a:srgbClr val="9CC746"/>
              </a:solidFill>
              <a:ln>
                <a:noFill/>
              </a:ln>
              <a:effectLst/>
            </c:spPr>
            <c:extLst>
              <c:ext xmlns:c16="http://schemas.microsoft.com/office/drawing/2014/chart" uri="{C3380CC4-5D6E-409C-BE32-E72D297353CC}">
                <c16:uniqueId val="{00000003-E2E4-4C9F-A5F3-DECFF3FF926F}"/>
              </c:ext>
            </c:extLst>
          </c:dPt>
          <c:dPt>
            <c:idx val="4"/>
            <c:invertIfNegative val="0"/>
            <c:bubble3D val="0"/>
            <c:spPr>
              <a:solidFill>
                <a:srgbClr val="9CC746"/>
              </a:solidFill>
              <a:ln>
                <a:noFill/>
              </a:ln>
              <a:effectLst/>
            </c:spPr>
            <c:extLst>
              <c:ext xmlns:c16="http://schemas.microsoft.com/office/drawing/2014/chart" uri="{C3380CC4-5D6E-409C-BE32-E72D297353CC}">
                <c16:uniqueId val="{00000004-E2E4-4C9F-A5F3-DECFF3FF926F}"/>
              </c:ext>
            </c:extLst>
          </c:dPt>
          <c:dPt>
            <c:idx val="5"/>
            <c:invertIfNegative val="0"/>
            <c:bubble3D val="0"/>
            <c:spPr>
              <a:solidFill>
                <a:srgbClr val="9CC746"/>
              </a:solidFill>
              <a:ln>
                <a:noFill/>
              </a:ln>
              <a:effectLst/>
            </c:spPr>
            <c:extLst>
              <c:ext xmlns:c16="http://schemas.microsoft.com/office/drawing/2014/chart" uri="{C3380CC4-5D6E-409C-BE32-E72D297353CC}">
                <c16:uniqueId val="{00000005-E2E4-4C9F-A5F3-DECFF3FF926F}"/>
              </c:ext>
            </c:extLst>
          </c:dPt>
          <c:dPt>
            <c:idx val="6"/>
            <c:invertIfNegative val="0"/>
            <c:bubble3D val="0"/>
            <c:spPr>
              <a:solidFill>
                <a:srgbClr val="9CC746"/>
              </a:solidFill>
              <a:ln>
                <a:noFill/>
              </a:ln>
              <a:effectLst/>
            </c:spPr>
            <c:extLst>
              <c:ext xmlns:c16="http://schemas.microsoft.com/office/drawing/2014/chart" uri="{C3380CC4-5D6E-409C-BE32-E72D297353CC}">
                <c16:uniqueId val="{00000006-E2E4-4C9F-A5F3-DECFF3FF926F}"/>
              </c:ext>
            </c:extLst>
          </c:dPt>
          <c:dPt>
            <c:idx val="7"/>
            <c:invertIfNegative val="0"/>
            <c:bubble3D val="0"/>
            <c:spPr>
              <a:solidFill>
                <a:srgbClr val="9CC746"/>
              </a:solidFill>
              <a:ln>
                <a:noFill/>
              </a:ln>
              <a:effectLst/>
            </c:spPr>
            <c:extLst>
              <c:ext xmlns:c16="http://schemas.microsoft.com/office/drawing/2014/chart" uri="{C3380CC4-5D6E-409C-BE32-E72D297353CC}">
                <c16:uniqueId val="{00000007-E2E4-4C9F-A5F3-DECFF3FF926F}"/>
              </c:ext>
            </c:extLst>
          </c:dPt>
          <c:dPt>
            <c:idx val="8"/>
            <c:invertIfNegative val="0"/>
            <c:bubble3D val="0"/>
            <c:spPr>
              <a:solidFill>
                <a:srgbClr val="9B2D2A"/>
              </a:solidFill>
              <a:ln>
                <a:noFill/>
              </a:ln>
              <a:effectLst/>
            </c:spPr>
            <c:extLst>
              <c:ext xmlns:c16="http://schemas.microsoft.com/office/drawing/2014/chart" uri="{C3380CC4-5D6E-409C-BE32-E72D297353CC}">
                <c16:uniqueId val="{00000008-E2E4-4C9F-A5F3-DECFF3FF926F}"/>
              </c:ext>
            </c:extLst>
          </c:dPt>
          <c:dPt>
            <c:idx val="9"/>
            <c:invertIfNegative val="0"/>
            <c:bubble3D val="0"/>
            <c:spPr>
              <a:solidFill>
                <a:srgbClr val="9B2D2A"/>
              </a:solidFill>
              <a:ln>
                <a:noFill/>
              </a:ln>
              <a:effectLst/>
            </c:spPr>
            <c:extLst>
              <c:ext xmlns:c16="http://schemas.microsoft.com/office/drawing/2014/chart" uri="{C3380CC4-5D6E-409C-BE32-E72D297353CC}">
                <c16:uniqueId val="{00000009-E2E4-4C9F-A5F3-DECFF3FF926F}"/>
              </c:ext>
            </c:extLst>
          </c:dPt>
          <c:dPt>
            <c:idx val="10"/>
            <c:invertIfNegative val="0"/>
            <c:bubble3D val="0"/>
            <c:spPr>
              <a:solidFill>
                <a:srgbClr val="9B2D2A"/>
              </a:solidFill>
              <a:ln>
                <a:noFill/>
              </a:ln>
              <a:effectLst/>
            </c:spPr>
            <c:extLst>
              <c:ext xmlns:c16="http://schemas.microsoft.com/office/drawing/2014/chart" uri="{C3380CC4-5D6E-409C-BE32-E72D297353CC}">
                <c16:uniqueId val="{0000000A-E2E4-4C9F-A5F3-DECFF3FF926F}"/>
              </c:ext>
            </c:extLst>
          </c:dPt>
          <c:dPt>
            <c:idx val="11"/>
            <c:invertIfNegative val="0"/>
            <c:bubble3D val="0"/>
            <c:spPr>
              <a:solidFill>
                <a:srgbClr val="9B2D2A"/>
              </a:solidFill>
              <a:ln>
                <a:noFill/>
              </a:ln>
              <a:effectLst/>
            </c:spPr>
            <c:extLst>
              <c:ext xmlns:c16="http://schemas.microsoft.com/office/drawing/2014/chart" uri="{C3380CC4-5D6E-409C-BE32-E72D297353CC}">
                <c16:uniqueId val="{0000000B-E2E4-4C9F-A5F3-DECFF3FF926F}"/>
              </c:ext>
            </c:extLst>
          </c:dPt>
          <c:dPt>
            <c:idx val="12"/>
            <c:invertIfNegative val="0"/>
            <c:bubble3D val="0"/>
            <c:spPr>
              <a:solidFill>
                <a:srgbClr val="9CC746"/>
              </a:solidFill>
              <a:ln>
                <a:noFill/>
              </a:ln>
              <a:effectLst/>
            </c:spPr>
            <c:extLst>
              <c:ext xmlns:c16="http://schemas.microsoft.com/office/drawing/2014/chart" uri="{C3380CC4-5D6E-409C-BE32-E72D297353CC}">
                <c16:uniqueId val="{0000000C-E2E4-4C9F-A5F3-DECFF3FF926F}"/>
              </c:ext>
            </c:extLst>
          </c:dPt>
          <c:dPt>
            <c:idx val="13"/>
            <c:invertIfNegative val="0"/>
            <c:bubble3D val="0"/>
            <c:spPr>
              <a:solidFill>
                <a:srgbClr val="9CC746"/>
              </a:solidFill>
              <a:ln>
                <a:noFill/>
              </a:ln>
              <a:effectLst/>
            </c:spPr>
            <c:extLst>
              <c:ext xmlns:c16="http://schemas.microsoft.com/office/drawing/2014/chart" uri="{C3380CC4-5D6E-409C-BE32-E72D297353CC}">
                <c16:uniqueId val="{0000000D-E2E4-4C9F-A5F3-DECFF3FF926F}"/>
              </c:ext>
            </c:extLst>
          </c:dPt>
          <c:dPt>
            <c:idx val="14"/>
            <c:invertIfNegative val="0"/>
            <c:bubble3D val="0"/>
            <c:spPr>
              <a:solidFill>
                <a:srgbClr val="9B2D2A"/>
              </a:solidFill>
              <a:ln>
                <a:noFill/>
              </a:ln>
              <a:effectLst/>
            </c:spPr>
            <c:extLst>
              <c:ext xmlns:c16="http://schemas.microsoft.com/office/drawing/2014/chart" uri="{C3380CC4-5D6E-409C-BE32-E72D297353CC}">
                <c16:uniqueId val="{0000000E-E2E4-4C9F-A5F3-DECFF3FF926F}"/>
              </c:ext>
            </c:extLst>
          </c:dPt>
          <c:dPt>
            <c:idx val="15"/>
            <c:invertIfNegative val="0"/>
            <c:bubble3D val="0"/>
            <c:spPr>
              <a:solidFill>
                <a:srgbClr val="9B2D2A"/>
              </a:solidFill>
              <a:ln>
                <a:noFill/>
              </a:ln>
              <a:effectLst/>
            </c:spPr>
            <c:extLst>
              <c:ext xmlns:c16="http://schemas.microsoft.com/office/drawing/2014/chart" uri="{C3380CC4-5D6E-409C-BE32-E72D297353CC}">
                <c16:uniqueId val="{0000000F-E2E4-4C9F-A5F3-DECFF3FF926F}"/>
              </c:ext>
            </c:extLst>
          </c:dPt>
          <c:dPt>
            <c:idx val="16"/>
            <c:invertIfNegative val="0"/>
            <c:bubble3D val="0"/>
            <c:spPr>
              <a:solidFill>
                <a:srgbClr val="9CC746"/>
              </a:solidFill>
              <a:ln>
                <a:noFill/>
              </a:ln>
              <a:effectLst/>
            </c:spPr>
            <c:extLst>
              <c:ext xmlns:c16="http://schemas.microsoft.com/office/drawing/2014/chart" uri="{C3380CC4-5D6E-409C-BE32-E72D297353CC}">
                <c16:uniqueId val="{00000010-E2E4-4C9F-A5F3-DECFF3FF926F}"/>
              </c:ext>
            </c:extLst>
          </c:dPt>
          <c:dPt>
            <c:idx val="17"/>
            <c:invertIfNegative val="0"/>
            <c:bubble3D val="0"/>
            <c:spPr>
              <a:solidFill>
                <a:srgbClr val="9CC746"/>
              </a:solidFill>
              <a:ln>
                <a:noFill/>
              </a:ln>
              <a:effectLst/>
            </c:spPr>
            <c:extLst>
              <c:ext xmlns:c16="http://schemas.microsoft.com/office/drawing/2014/chart" uri="{C3380CC4-5D6E-409C-BE32-E72D297353CC}">
                <c16:uniqueId val="{00000011-E2E4-4C9F-A5F3-DECFF3FF926F}"/>
              </c:ext>
            </c:extLst>
          </c:dPt>
          <c:dPt>
            <c:idx val="18"/>
            <c:invertIfNegative val="0"/>
            <c:bubble3D val="0"/>
            <c:spPr>
              <a:solidFill>
                <a:srgbClr val="9CC746"/>
              </a:solidFill>
              <a:ln>
                <a:noFill/>
              </a:ln>
              <a:effectLst/>
            </c:spPr>
            <c:extLst>
              <c:ext xmlns:c16="http://schemas.microsoft.com/office/drawing/2014/chart" uri="{C3380CC4-5D6E-409C-BE32-E72D297353CC}">
                <c16:uniqueId val="{00000012-E2E4-4C9F-A5F3-DECFF3FF926F}"/>
              </c:ext>
            </c:extLst>
          </c:dPt>
          <c:dPt>
            <c:idx val="19"/>
            <c:invertIfNegative val="0"/>
            <c:bubble3D val="0"/>
            <c:spPr>
              <a:solidFill>
                <a:srgbClr val="9CC746"/>
              </a:solidFill>
              <a:ln>
                <a:noFill/>
              </a:ln>
              <a:effectLst/>
            </c:spPr>
            <c:extLst>
              <c:ext xmlns:c16="http://schemas.microsoft.com/office/drawing/2014/chart" uri="{C3380CC4-5D6E-409C-BE32-E72D297353CC}">
                <c16:uniqueId val="{00000013-E2E4-4C9F-A5F3-DECFF3FF926F}"/>
              </c:ext>
            </c:extLst>
          </c:dPt>
          <c:dPt>
            <c:idx val="20"/>
            <c:invertIfNegative val="0"/>
            <c:bubble3D val="0"/>
            <c:spPr>
              <a:solidFill>
                <a:srgbClr val="9CC746"/>
              </a:solidFill>
              <a:ln>
                <a:noFill/>
              </a:ln>
              <a:effectLst/>
            </c:spPr>
            <c:extLst>
              <c:ext xmlns:c16="http://schemas.microsoft.com/office/drawing/2014/chart" uri="{C3380CC4-5D6E-409C-BE32-E72D297353CC}">
                <c16:uniqueId val="{00000014-E2E4-4C9F-A5F3-DECFF3FF926F}"/>
              </c:ext>
            </c:extLst>
          </c:dPt>
          <c:dPt>
            <c:idx val="21"/>
            <c:invertIfNegative val="0"/>
            <c:bubble3D val="0"/>
            <c:spPr>
              <a:solidFill>
                <a:srgbClr val="9CC746"/>
              </a:solidFill>
              <a:ln>
                <a:noFill/>
              </a:ln>
              <a:effectLst/>
            </c:spPr>
            <c:extLst>
              <c:ext xmlns:c16="http://schemas.microsoft.com/office/drawing/2014/chart" uri="{C3380CC4-5D6E-409C-BE32-E72D297353CC}">
                <c16:uniqueId val="{00000015-E2E4-4C9F-A5F3-DECFF3FF926F}"/>
              </c:ext>
            </c:extLst>
          </c:dPt>
          <c:dPt>
            <c:idx val="22"/>
            <c:invertIfNegative val="0"/>
            <c:bubble3D val="0"/>
            <c:spPr>
              <a:solidFill>
                <a:srgbClr val="9B2D2A"/>
              </a:solidFill>
              <a:ln>
                <a:noFill/>
              </a:ln>
              <a:effectLst/>
            </c:spPr>
            <c:extLst>
              <c:ext xmlns:c16="http://schemas.microsoft.com/office/drawing/2014/chart" uri="{C3380CC4-5D6E-409C-BE32-E72D297353CC}">
                <c16:uniqueId val="{00000022-9639-4DB2-8951-6CFCCB115E59}"/>
              </c:ext>
            </c:extLst>
          </c:dPt>
          <c:dPt>
            <c:idx val="23"/>
            <c:invertIfNegative val="0"/>
            <c:bubble3D val="0"/>
            <c:spPr>
              <a:solidFill>
                <a:srgbClr val="9B2D2A"/>
              </a:solidFill>
              <a:ln>
                <a:noFill/>
              </a:ln>
              <a:effectLst/>
            </c:spPr>
            <c:extLst>
              <c:ext xmlns:c16="http://schemas.microsoft.com/office/drawing/2014/chart" uri="{C3380CC4-5D6E-409C-BE32-E72D297353CC}">
                <c16:uniqueId val="{00000023-9639-4DB2-8951-6CFCCB115E59}"/>
              </c:ext>
            </c:extLst>
          </c:dPt>
          <c:dPt>
            <c:idx val="24"/>
            <c:invertIfNegative val="0"/>
            <c:bubble3D val="0"/>
            <c:spPr>
              <a:solidFill>
                <a:srgbClr val="9CC746"/>
              </a:solidFill>
              <a:ln>
                <a:noFill/>
              </a:ln>
              <a:effectLst/>
            </c:spPr>
            <c:extLst>
              <c:ext xmlns:c16="http://schemas.microsoft.com/office/drawing/2014/chart" uri="{C3380CC4-5D6E-409C-BE32-E72D297353CC}">
                <c16:uniqueId val="{00000024-9639-4DB2-8951-6CFCCB115E59}"/>
              </c:ext>
            </c:extLst>
          </c:dPt>
          <c:dPt>
            <c:idx val="25"/>
            <c:invertIfNegative val="0"/>
            <c:bubble3D val="0"/>
            <c:spPr>
              <a:solidFill>
                <a:srgbClr val="9CC746"/>
              </a:solidFill>
              <a:ln>
                <a:noFill/>
              </a:ln>
              <a:effectLst/>
            </c:spPr>
            <c:extLst>
              <c:ext xmlns:c16="http://schemas.microsoft.com/office/drawing/2014/chart" uri="{C3380CC4-5D6E-409C-BE32-E72D297353CC}">
                <c16:uniqueId val="{00000025-9639-4DB2-8951-6CFCCB115E59}"/>
              </c:ext>
            </c:extLst>
          </c:dPt>
          <c:dPt>
            <c:idx val="26"/>
            <c:invertIfNegative val="0"/>
            <c:bubble3D val="0"/>
            <c:spPr>
              <a:solidFill>
                <a:srgbClr val="9CC746"/>
              </a:solidFill>
              <a:ln>
                <a:noFill/>
              </a:ln>
              <a:effectLst/>
            </c:spPr>
            <c:extLst>
              <c:ext xmlns:c16="http://schemas.microsoft.com/office/drawing/2014/chart" uri="{C3380CC4-5D6E-409C-BE32-E72D297353CC}">
                <c16:uniqueId val="{00000026-9639-4DB2-8951-6CFCCB115E59}"/>
              </c:ext>
            </c:extLst>
          </c:dPt>
          <c:dPt>
            <c:idx val="27"/>
            <c:invertIfNegative val="0"/>
            <c:bubble3D val="0"/>
            <c:spPr>
              <a:solidFill>
                <a:srgbClr val="9CC746"/>
              </a:solidFill>
              <a:ln>
                <a:noFill/>
              </a:ln>
              <a:effectLst/>
            </c:spPr>
            <c:extLst>
              <c:ext xmlns:c16="http://schemas.microsoft.com/office/drawing/2014/chart" uri="{C3380CC4-5D6E-409C-BE32-E72D297353CC}">
                <c16:uniqueId val="{00000027-9639-4DB2-8951-6CFCCB115E59}"/>
              </c:ext>
            </c:extLst>
          </c:dPt>
          <c:dPt>
            <c:idx val="28"/>
            <c:invertIfNegative val="0"/>
            <c:bubble3D val="0"/>
            <c:spPr>
              <a:solidFill>
                <a:srgbClr val="9CC746"/>
              </a:solidFill>
              <a:ln>
                <a:noFill/>
              </a:ln>
              <a:effectLst/>
            </c:spPr>
            <c:extLst>
              <c:ext xmlns:c16="http://schemas.microsoft.com/office/drawing/2014/chart" uri="{C3380CC4-5D6E-409C-BE32-E72D297353CC}">
                <c16:uniqueId val="{00000028-9639-4DB2-8951-6CFCCB115E59}"/>
              </c:ext>
            </c:extLst>
          </c:dPt>
          <c:dPt>
            <c:idx val="29"/>
            <c:invertIfNegative val="0"/>
            <c:bubble3D val="0"/>
            <c:spPr>
              <a:solidFill>
                <a:srgbClr val="9B2D2A"/>
              </a:solidFill>
              <a:ln>
                <a:noFill/>
              </a:ln>
              <a:effectLst/>
            </c:spPr>
            <c:extLst>
              <c:ext xmlns:c16="http://schemas.microsoft.com/office/drawing/2014/chart" uri="{C3380CC4-5D6E-409C-BE32-E72D297353CC}">
                <c16:uniqueId val="{00000029-9639-4DB2-8951-6CFCCB115E59}"/>
              </c:ext>
            </c:extLst>
          </c:dPt>
          <c:dPt>
            <c:idx val="30"/>
            <c:invertIfNegative val="0"/>
            <c:bubble3D val="0"/>
            <c:spPr>
              <a:solidFill>
                <a:srgbClr val="9CC746"/>
              </a:solidFill>
              <a:ln>
                <a:noFill/>
              </a:ln>
              <a:effectLst/>
            </c:spPr>
            <c:extLst>
              <c:ext xmlns:c16="http://schemas.microsoft.com/office/drawing/2014/chart" uri="{C3380CC4-5D6E-409C-BE32-E72D297353CC}">
                <c16:uniqueId val="{0000002A-9639-4DB2-8951-6CFCCB115E59}"/>
              </c:ext>
            </c:extLst>
          </c:dPt>
          <c:dPt>
            <c:idx val="31"/>
            <c:invertIfNegative val="0"/>
            <c:bubble3D val="0"/>
            <c:spPr>
              <a:solidFill>
                <a:srgbClr val="9CC746"/>
              </a:solidFill>
              <a:ln>
                <a:noFill/>
              </a:ln>
              <a:effectLst/>
            </c:spPr>
            <c:extLst>
              <c:ext xmlns:c16="http://schemas.microsoft.com/office/drawing/2014/chart" uri="{C3380CC4-5D6E-409C-BE32-E72D297353CC}">
                <c16:uniqueId val="{0000002B-9639-4DB2-8951-6CFCCB115E59}"/>
              </c:ext>
            </c:extLst>
          </c:dPt>
          <c:dPt>
            <c:idx val="32"/>
            <c:invertIfNegative val="0"/>
            <c:bubble3D val="0"/>
            <c:spPr>
              <a:solidFill>
                <a:srgbClr val="9CC746"/>
              </a:solidFill>
              <a:ln>
                <a:noFill/>
              </a:ln>
              <a:effectLst/>
            </c:spPr>
            <c:extLst>
              <c:ext xmlns:c16="http://schemas.microsoft.com/office/drawing/2014/chart" uri="{C3380CC4-5D6E-409C-BE32-E72D297353CC}">
                <c16:uniqueId val="{0000002C-9639-4DB2-8951-6CFCCB115E59}"/>
              </c:ext>
            </c:extLst>
          </c:dPt>
          <c:dPt>
            <c:idx val="33"/>
            <c:invertIfNegative val="0"/>
            <c:bubble3D val="0"/>
            <c:spPr>
              <a:solidFill>
                <a:srgbClr val="9B2D2A"/>
              </a:solidFill>
              <a:ln>
                <a:noFill/>
              </a:ln>
              <a:effectLst/>
            </c:spPr>
            <c:extLst>
              <c:ext xmlns:c16="http://schemas.microsoft.com/office/drawing/2014/chart" uri="{C3380CC4-5D6E-409C-BE32-E72D297353CC}">
                <c16:uniqueId val="{0000002D-9639-4DB2-8951-6CFCCB115E59}"/>
              </c:ext>
            </c:extLst>
          </c:dPt>
          <c:dPt>
            <c:idx val="34"/>
            <c:invertIfNegative val="0"/>
            <c:bubble3D val="0"/>
            <c:spPr>
              <a:solidFill>
                <a:srgbClr val="9CC746"/>
              </a:solidFill>
              <a:ln>
                <a:noFill/>
              </a:ln>
              <a:effectLst/>
            </c:spPr>
            <c:extLst>
              <c:ext xmlns:c16="http://schemas.microsoft.com/office/drawing/2014/chart" uri="{C3380CC4-5D6E-409C-BE32-E72D297353CC}">
                <c16:uniqueId val="{0000002E-9639-4DB2-8951-6CFCCB115E59}"/>
              </c:ext>
            </c:extLst>
          </c:dPt>
          <c:dPt>
            <c:idx val="35"/>
            <c:invertIfNegative val="0"/>
            <c:bubble3D val="0"/>
            <c:spPr>
              <a:solidFill>
                <a:srgbClr val="9CC746"/>
              </a:solidFill>
              <a:ln>
                <a:noFill/>
              </a:ln>
              <a:effectLst/>
            </c:spPr>
            <c:extLst>
              <c:ext xmlns:c16="http://schemas.microsoft.com/office/drawing/2014/chart" uri="{C3380CC4-5D6E-409C-BE32-E72D297353CC}">
                <c16:uniqueId val="{0000002F-9639-4DB2-8951-6CFCCB115E59}"/>
              </c:ext>
            </c:extLst>
          </c:dPt>
          <c:dPt>
            <c:idx val="36"/>
            <c:invertIfNegative val="0"/>
            <c:bubble3D val="0"/>
            <c:spPr>
              <a:solidFill>
                <a:srgbClr val="9B2D2A"/>
              </a:solidFill>
              <a:ln>
                <a:noFill/>
              </a:ln>
              <a:effectLst/>
            </c:spPr>
            <c:extLst>
              <c:ext xmlns:c16="http://schemas.microsoft.com/office/drawing/2014/chart" uri="{C3380CC4-5D6E-409C-BE32-E72D297353CC}">
                <c16:uniqueId val="{00000030-9639-4DB2-8951-6CFCCB115E59}"/>
              </c:ext>
            </c:extLst>
          </c:dPt>
          <c:dPt>
            <c:idx val="37"/>
            <c:invertIfNegative val="0"/>
            <c:bubble3D val="0"/>
            <c:spPr>
              <a:solidFill>
                <a:srgbClr val="9B2D2A"/>
              </a:solidFill>
              <a:ln>
                <a:noFill/>
              </a:ln>
              <a:effectLst/>
            </c:spPr>
            <c:extLst>
              <c:ext xmlns:c16="http://schemas.microsoft.com/office/drawing/2014/chart" uri="{C3380CC4-5D6E-409C-BE32-E72D297353CC}">
                <c16:uniqueId val="{00000031-9639-4DB2-8951-6CFCCB115E59}"/>
              </c:ext>
            </c:extLst>
          </c:dPt>
          <c:dPt>
            <c:idx val="38"/>
            <c:invertIfNegative val="0"/>
            <c:bubble3D val="0"/>
            <c:spPr>
              <a:solidFill>
                <a:srgbClr val="9B2D2A"/>
              </a:solidFill>
              <a:ln>
                <a:noFill/>
              </a:ln>
              <a:effectLst/>
            </c:spPr>
            <c:extLst>
              <c:ext xmlns:c16="http://schemas.microsoft.com/office/drawing/2014/chart" uri="{C3380CC4-5D6E-409C-BE32-E72D297353CC}">
                <c16:uniqueId val="{00000032-9639-4DB2-8951-6CFCCB115E59}"/>
              </c:ext>
            </c:extLst>
          </c:dPt>
          <c:dPt>
            <c:idx val="39"/>
            <c:invertIfNegative val="0"/>
            <c:bubble3D val="0"/>
            <c:spPr>
              <a:solidFill>
                <a:srgbClr val="9B2D2A"/>
              </a:solidFill>
              <a:ln>
                <a:noFill/>
              </a:ln>
              <a:effectLst/>
            </c:spPr>
            <c:extLst>
              <c:ext xmlns:c16="http://schemas.microsoft.com/office/drawing/2014/chart" uri="{C3380CC4-5D6E-409C-BE32-E72D297353CC}">
                <c16:uniqueId val="{00000033-9639-4DB2-8951-6CFCCB115E59}"/>
              </c:ext>
            </c:extLst>
          </c:dPt>
          <c:dPt>
            <c:idx val="40"/>
            <c:invertIfNegative val="0"/>
            <c:bubble3D val="0"/>
            <c:spPr>
              <a:solidFill>
                <a:srgbClr val="9CC746"/>
              </a:solidFill>
              <a:ln>
                <a:noFill/>
              </a:ln>
              <a:effectLst/>
            </c:spPr>
            <c:extLst>
              <c:ext xmlns:c16="http://schemas.microsoft.com/office/drawing/2014/chart" uri="{C3380CC4-5D6E-409C-BE32-E72D297353CC}">
                <c16:uniqueId val="{00000034-9639-4DB2-8951-6CFCCB115E59}"/>
              </c:ext>
            </c:extLst>
          </c:dPt>
          <c:dPt>
            <c:idx val="41"/>
            <c:invertIfNegative val="0"/>
            <c:bubble3D val="0"/>
            <c:spPr>
              <a:solidFill>
                <a:srgbClr val="9CC746"/>
              </a:solidFill>
              <a:ln>
                <a:noFill/>
              </a:ln>
              <a:effectLst/>
            </c:spPr>
            <c:extLst>
              <c:ext xmlns:c16="http://schemas.microsoft.com/office/drawing/2014/chart" uri="{C3380CC4-5D6E-409C-BE32-E72D297353CC}">
                <c16:uniqueId val="{00000035-9639-4DB2-8951-6CFCCB115E59}"/>
              </c:ext>
            </c:extLst>
          </c:dPt>
          <c:dPt>
            <c:idx val="42"/>
            <c:invertIfNegative val="0"/>
            <c:bubble3D val="0"/>
            <c:spPr>
              <a:solidFill>
                <a:srgbClr val="9CC746"/>
              </a:solidFill>
              <a:ln>
                <a:noFill/>
              </a:ln>
              <a:effectLst/>
            </c:spPr>
            <c:extLst>
              <c:ext xmlns:c16="http://schemas.microsoft.com/office/drawing/2014/chart" uri="{C3380CC4-5D6E-409C-BE32-E72D297353CC}">
                <c16:uniqueId val="{00000036-9639-4DB2-8951-6CFCCB115E59}"/>
              </c:ext>
            </c:extLst>
          </c:dPt>
          <c:dPt>
            <c:idx val="43"/>
            <c:invertIfNegative val="0"/>
            <c:bubble3D val="0"/>
            <c:spPr>
              <a:solidFill>
                <a:srgbClr val="9CC746"/>
              </a:solidFill>
              <a:ln>
                <a:noFill/>
              </a:ln>
              <a:effectLst/>
            </c:spPr>
            <c:extLst>
              <c:ext xmlns:c16="http://schemas.microsoft.com/office/drawing/2014/chart" uri="{C3380CC4-5D6E-409C-BE32-E72D297353CC}">
                <c16:uniqueId val="{00000037-9639-4DB2-8951-6CFCCB115E59}"/>
              </c:ext>
            </c:extLst>
          </c:dPt>
          <c:dPt>
            <c:idx val="44"/>
            <c:invertIfNegative val="0"/>
            <c:bubble3D val="0"/>
            <c:spPr>
              <a:solidFill>
                <a:srgbClr val="9CC746"/>
              </a:solidFill>
              <a:ln>
                <a:noFill/>
              </a:ln>
              <a:effectLst/>
            </c:spPr>
            <c:extLst>
              <c:ext xmlns:c16="http://schemas.microsoft.com/office/drawing/2014/chart" uri="{C3380CC4-5D6E-409C-BE32-E72D297353CC}">
                <c16:uniqueId val="{00000038-9639-4DB2-8951-6CFCCB115E59}"/>
              </c:ext>
            </c:extLst>
          </c:dPt>
          <c:dPt>
            <c:idx val="45"/>
            <c:invertIfNegative val="0"/>
            <c:bubble3D val="0"/>
            <c:spPr>
              <a:solidFill>
                <a:srgbClr val="9CC746"/>
              </a:solidFill>
              <a:ln>
                <a:noFill/>
              </a:ln>
              <a:effectLst/>
            </c:spPr>
            <c:extLst>
              <c:ext xmlns:c16="http://schemas.microsoft.com/office/drawing/2014/chart" uri="{C3380CC4-5D6E-409C-BE32-E72D297353CC}">
                <c16:uniqueId val="{00000039-9639-4DB2-8951-6CFCCB115E59}"/>
              </c:ext>
            </c:extLst>
          </c:dPt>
          <c:dPt>
            <c:idx val="46"/>
            <c:invertIfNegative val="0"/>
            <c:bubble3D val="0"/>
            <c:spPr>
              <a:solidFill>
                <a:srgbClr val="9CC746"/>
              </a:solidFill>
              <a:ln>
                <a:noFill/>
              </a:ln>
              <a:effectLst/>
            </c:spPr>
            <c:extLst>
              <c:ext xmlns:c16="http://schemas.microsoft.com/office/drawing/2014/chart" uri="{C3380CC4-5D6E-409C-BE32-E72D297353CC}">
                <c16:uniqueId val="{0000002E-4998-4285-BC74-F2D2D0757BFF}"/>
              </c:ext>
            </c:extLst>
          </c:dPt>
          <c:dPt>
            <c:idx val="47"/>
            <c:invertIfNegative val="0"/>
            <c:bubble3D val="0"/>
            <c:spPr>
              <a:solidFill>
                <a:srgbClr val="9B2D2A"/>
              </a:solidFill>
              <a:ln>
                <a:noFill/>
              </a:ln>
              <a:effectLst/>
            </c:spPr>
            <c:extLst>
              <c:ext xmlns:c16="http://schemas.microsoft.com/office/drawing/2014/chart" uri="{C3380CC4-5D6E-409C-BE32-E72D297353CC}">
                <c16:uniqueId val="{0000002F-4998-4285-BC74-F2D2D0757BFF}"/>
              </c:ext>
            </c:extLst>
          </c:dPt>
          <c:dPt>
            <c:idx val="48"/>
            <c:invertIfNegative val="0"/>
            <c:bubble3D val="0"/>
            <c:spPr>
              <a:solidFill>
                <a:srgbClr val="9CC746"/>
              </a:solidFill>
              <a:ln>
                <a:noFill/>
              </a:ln>
              <a:effectLst/>
            </c:spPr>
            <c:extLst>
              <c:ext xmlns:c16="http://schemas.microsoft.com/office/drawing/2014/chart" uri="{C3380CC4-5D6E-409C-BE32-E72D297353CC}">
                <c16:uniqueId val="{00000030-4998-4285-BC74-F2D2D0757BFF}"/>
              </c:ext>
            </c:extLst>
          </c:dPt>
          <c:dPt>
            <c:idx val="49"/>
            <c:invertIfNegative val="0"/>
            <c:bubble3D val="0"/>
            <c:extLst>
              <c:ext xmlns:c16="http://schemas.microsoft.com/office/drawing/2014/chart" uri="{C3380CC4-5D6E-409C-BE32-E72D297353CC}">
                <c16:uniqueId val="{00000031-4998-4285-BC74-F2D2D0757BFF}"/>
              </c:ext>
            </c:extLst>
          </c:dPt>
          <c:dPt>
            <c:idx val="50"/>
            <c:invertIfNegative val="0"/>
            <c:bubble3D val="0"/>
            <c:extLst>
              <c:ext xmlns:c16="http://schemas.microsoft.com/office/drawing/2014/chart" uri="{C3380CC4-5D6E-409C-BE32-E72D297353CC}">
                <c16:uniqueId val="{00000032-4998-4285-BC74-F2D2D0757BFF}"/>
              </c:ext>
            </c:extLst>
          </c:dPt>
          <c:dPt>
            <c:idx val="51"/>
            <c:invertIfNegative val="0"/>
            <c:bubble3D val="0"/>
            <c:extLst>
              <c:ext xmlns:c16="http://schemas.microsoft.com/office/drawing/2014/chart" uri="{C3380CC4-5D6E-409C-BE32-E72D297353CC}">
                <c16:uniqueId val="{00000033-4998-4285-BC74-F2D2D0757BFF}"/>
              </c:ext>
            </c:extLst>
          </c:dPt>
          <c:dPt>
            <c:idx val="52"/>
            <c:invertIfNegative val="0"/>
            <c:bubble3D val="0"/>
            <c:extLst>
              <c:ext xmlns:c16="http://schemas.microsoft.com/office/drawing/2014/chart" uri="{C3380CC4-5D6E-409C-BE32-E72D297353CC}">
                <c16:uniqueId val="{00000034-4998-4285-BC74-F2D2D0757BFF}"/>
              </c:ext>
            </c:extLst>
          </c:dPt>
          <c:dPt>
            <c:idx val="53"/>
            <c:invertIfNegative val="0"/>
            <c:bubble3D val="0"/>
            <c:extLst>
              <c:ext xmlns:c16="http://schemas.microsoft.com/office/drawing/2014/chart" uri="{C3380CC4-5D6E-409C-BE32-E72D297353CC}">
                <c16:uniqueId val="{00000035-4998-4285-BC74-F2D2D0757BFF}"/>
              </c:ext>
            </c:extLst>
          </c:dPt>
          <c:dPt>
            <c:idx val="54"/>
            <c:invertIfNegative val="0"/>
            <c:bubble3D val="0"/>
            <c:extLst>
              <c:ext xmlns:c16="http://schemas.microsoft.com/office/drawing/2014/chart" uri="{C3380CC4-5D6E-409C-BE32-E72D297353CC}">
                <c16:uniqueId val="{00000036-4998-4285-BC74-F2D2D0757BFF}"/>
              </c:ext>
            </c:extLst>
          </c:dPt>
          <c:dPt>
            <c:idx val="55"/>
            <c:invertIfNegative val="0"/>
            <c:bubble3D val="0"/>
            <c:extLst>
              <c:ext xmlns:c16="http://schemas.microsoft.com/office/drawing/2014/chart" uri="{C3380CC4-5D6E-409C-BE32-E72D297353CC}">
                <c16:uniqueId val="{00000037-4998-4285-BC74-F2D2D0757BFF}"/>
              </c:ext>
            </c:extLst>
          </c:dPt>
          <c:dPt>
            <c:idx val="56"/>
            <c:invertIfNegative val="0"/>
            <c:bubble3D val="0"/>
            <c:extLst>
              <c:ext xmlns:c16="http://schemas.microsoft.com/office/drawing/2014/chart" uri="{C3380CC4-5D6E-409C-BE32-E72D297353CC}">
                <c16:uniqueId val="{00000038-4998-4285-BC74-F2D2D0757BFF}"/>
              </c:ext>
            </c:extLst>
          </c:dPt>
          <c:dPt>
            <c:idx val="57"/>
            <c:invertIfNegative val="0"/>
            <c:bubble3D val="0"/>
            <c:extLst>
              <c:ext xmlns:c16="http://schemas.microsoft.com/office/drawing/2014/chart" uri="{C3380CC4-5D6E-409C-BE32-E72D297353CC}">
                <c16:uniqueId val="{00000039-4998-4285-BC74-F2D2D0757BFF}"/>
              </c:ext>
            </c:extLst>
          </c:dPt>
          <c:dPt>
            <c:idx val="58"/>
            <c:invertIfNegative val="0"/>
            <c:bubble3D val="0"/>
            <c:extLst>
              <c:ext xmlns:c16="http://schemas.microsoft.com/office/drawing/2014/chart" uri="{C3380CC4-5D6E-409C-BE32-E72D297353CC}">
                <c16:uniqueId val="{0000003A-4998-4285-BC74-F2D2D0757BFF}"/>
              </c:ext>
            </c:extLst>
          </c:dPt>
          <c:dPt>
            <c:idx val="59"/>
            <c:invertIfNegative val="0"/>
            <c:bubble3D val="0"/>
            <c:extLst>
              <c:ext xmlns:c16="http://schemas.microsoft.com/office/drawing/2014/chart" uri="{C3380CC4-5D6E-409C-BE32-E72D297353CC}">
                <c16:uniqueId val="{0000003B-4998-4285-BC74-F2D2D0757BFF}"/>
              </c:ext>
            </c:extLst>
          </c:dPt>
          <c:dPt>
            <c:idx val="60"/>
            <c:invertIfNegative val="0"/>
            <c:bubble3D val="0"/>
            <c:extLst>
              <c:ext xmlns:c16="http://schemas.microsoft.com/office/drawing/2014/chart" uri="{C3380CC4-5D6E-409C-BE32-E72D297353CC}">
                <c16:uniqueId val="{0000003C-4998-4285-BC74-F2D2D0757BFF}"/>
              </c:ext>
            </c:extLst>
          </c:dPt>
          <c:dPt>
            <c:idx val="61"/>
            <c:invertIfNegative val="0"/>
            <c:bubble3D val="0"/>
            <c:extLst>
              <c:ext xmlns:c16="http://schemas.microsoft.com/office/drawing/2014/chart" uri="{C3380CC4-5D6E-409C-BE32-E72D297353CC}">
                <c16:uniqueId val="{0000003D-4998-4285-BC74-F2D2D0757BFF}"/>
              </c:ext>
            </c:extLst>
          </c:dPt>
          <c:dPt>
            <c:idx val="62"/>
            <c:invertIfNegative val="0"/>
            <c:bubble3D val="0"/>
            <c:extLst>
              <c:ext xmlns:c16="http://schemas.microsoft.com/office/drawing/2014/chart" uri="{C3380CC4-5D6E-409C-BE32-E72D297353CC}">
                <c16:uniqueId val="{0000003E-4998-4285-BC74-F2D2D0757BFF}"/>
              </c:ext>
            </c:extLst>
          </c:dPt>
          <c:dPt>
            <c:idx val="63"/>
            <c:invertIfNegative val="0"/>
            <c:bubble3D val="0"/>
            <c:extLst>
              <c:ext xmlns:c16="http://schemas.microsoft.com/office/drawing/2014/chart" uri="{C3380CC4-5D6E-409C-BE32-E72D297353CC}">
                <c16:uniqueId val="{0000003F-4998-4285-BC74-F2D2D0757BFF}"/>
              </c:ext>
            </c:extLst>
          </c:dPt>
          <c:dPt>
            <c:idx val="64"/>
            <c:invertIfNegative val="0"/>
            <c:bubble3D val="0"/>
            <c:extLst>
              <c:ext xmlns:c16="http://schemas.microsoft.com/office/drawing/2014/chart" uri="{C3380CC4-5D6E-409C-BE32-E72D297353CC}">
                <c16:uniqueId val="{00000040-4998-4285-BC74-F2D2D0757BFF}"/>
              </c:ext>
            </c:extLst>
          </c:dPt>
          <c:dPt>
            <c:idx val="65"/>
            <c:invertIfNegative val="0"/>
            <c:bubble3D val="0"/>
            <c:extLst>
              <c:ext xmlns:c16="http://schemas.microsoft.com/office/drawing/2014/chart" uri="{C3380CC4-5D6E-409C-BE32-E72D297353CC}">
                <c16:uniqueId val="{00000041-4998-4285-BC74-F2D2D0757BFF}"/>
              </c:ext>
            </c:extLst>
          </c:dPt>
          <c:dPt>
            <c:idx val="66"/>
            <c:invertIfNegative val="0"/>
            <c:bubble3D val="0"/>
            <c:extLst>
              <c:ext xmlns:c16="http://schemas.microsoft.com/office/drawing/2014/chart" uri="{C3380CC4-5D6E-409C-BE32-E72D297353CC}">
                <c16:uniqueId val="{00000042-4998-4285-BC74-F2D2D0757BFF}"/>
              </c:ext>
            </c:extLst>
          </c:dPt>
          <c:dPt>
            <c:idx val="67"/>
            <c:invertIfNegative val="0"/>
            <c:bubble3D val="0"/>
            <c:extLst>
              <c:ext xmlns:c16="http://schemas.microsoft.com/office/drawing/2014/chart" uri="{C3380CC4-5D6E-409C-BE32-E72D297353CC}">
                <c16:uniqueId val="{00000043-4998-4285-BC74-F2D2D0757BFF}"/>
              </c:ext>
            </c:extLst>
          </c:dPt>
          <c:dPt>
            <c:idx val="68"/>
            <c:invertIfNegative val="0"/>
            <c:bubble3D val="0"/>
            <c:extLst>
              <c:ext xmlns:c16="http://schemas.microsoft.com/office/drawing/2014/chart" uri="{C3380CC4-5D6E-409C-BE32-E72D297353CC}">
                <c16:uniqueId val="{00000044-4998-4285-BC74-F2D2D0757BFF}"/>
              </c:ext>
            </c:extLst>
          </c:dPt>
          <c:dPt>
            <c:idx val="69"/>
            <c:invertIfNegative val="0"/>
            <c:bubble3D val="0"/>
            <c:extLst>
              <c:ext xmlns:c16="http://schemas.microsoft.com/office/drawing/2014/chart" uri="{C3380CC4-5D6E-409C-BE32-E72D297353CC}">
                <c16:uniqueId val="{00000045-4998-4285-BC74-F2D2D0757BFF}"/>
              </c:ext>
            </c:extLst>
          </c:dPt>
          <c:dPt>
            <c:idx val="70"/>
            <c:invertIfNegative val="0"/>
            <c:bubble3D val="0"/>
            <c:extLst>
              <c:ext xmlns:c16="http://schemas.microsoft.com/office/drawing/2014/chart" uri="{C3380CC4-5D6E-409C-BE32-E72D297353CC}">
                <c16:uniqueId val="{00000046-4998-4285-BC74-F2D2D0757BFF}"/>
              </c:ext>
            </c:extLst>
          </c:dPt>
          <c:dPt>
            <c:idx val="71"/>
            <c:invertIfNegative val="0"/>
            <c:bubble3D val="0"/>
            <c:extLst>
              <c:ext xmlns:c16="http://schemas.microsoft.com/office/drawing/2014/chart" uri="{C3380CC4-5D6E-409C-BE32-E72D297353CC}">
                <c16:uniqueId val="{00000047-4998-4285-BC74-F2D2D0757BFF}"/>
              </c:ext>
            </c:extLst>
          </c:dPt>
          <c:dPt>
            <c:idx val="72"/>
            <c:invertIfNegative val="0"/>
            <c:bubble3D val="0"/>
            <c:extLst>
              <c:ext xmlns:c16="http://schemas.microsoft.com/office/drawing/2014/chart" uri="{C3380CC4-5D6E-409C-BE32-E72D297353CC}">
                <c16:uniqueId val="{00000048-4998-4285-BC74-F2D2D0757BFF}"/>
              </c:ext>
            </c:extLst>
          </c:dPt>
          <c:dPt>
            <c:idx val="73"/>
            <c:invertIfNegative val="0"/>
            <c:bubble3D val="0"/>
            <c:extLst>
              <c:ext xmlns:c16="http://schemas.microsoft.com/office/drawing/2014/chart" uri="{C3380CC4-5D6E-409C-BE32-E72D297353CC}">
                <c16:uniqueId val="{00000049-4998-4285-BC74-F2D2D0757BFF}"/>
              </c:ext>
            </c:extLst>
          </c:dPt>
          <c:dPt>
            <c:idx val="74"/>
            <c:invertIfNegative val="0"/>
            <c:bubble3D val="0"/>
            <c:extLst>
              <c:ext xmlns:c16="http://schemas.microsoft.com/office/drawing/2014/chart" uri="{C3380CC4-5D6E-409C-BE32-E72D297353CC}">
                <c16:uniqueId val="{0000004A-4998-4285-BC74-F2D2D0757BFF}"/>
              </c:ext>
            </c:extLst>
          </c:dPt>
          <c:dPt>
            <c:idx val="75"/>
            <c:invertIfNegative val="0"/>
            <c:bubble3D val="0"/>
            <c:extLst>
              <c:ext xmlns:c16="http://schemas.microsoft.com/office/drawing/2014/chart" uri="{C3380CC4-5D6E-409C-BE32-E72D297353CC}">
                <c16:uniqueId val="{0000004B-4998-4285-BC74-F2D2D0757BFF}"/>
              </c:ext>
            </c:extLst>
          </c:dPt>
          <c:dPt>
            <c:idx val="76"/>
            <c:invertIfNegative val="0"/>
            <c:bubble3D val="0"/>
            <c:extLst>
              <c:ext xmlns:c16="http://schemas.microsoft.com/office/drawing/2014/chart" uri="{C3380CC4-5D6E-409C-BE32-E72D297353CC}">
                <c16:uniqueId val="{0000004C-4998-4285-BC74-F2D2D0757BFF}"/>
              </c:ext>
            </c:extLst>
          </c:dPt>
          <c:dPt>
            <c:idx val="77"/>
            <c:invertIfNegative val="0"/>
            <c:bubble3D val="0"/>
            <c:extLst>
              <c:ext xmlns:c16="http://schemas.microsoft.com/office/drawing/2014/chart" uri="{C3380CC4-5D6E-409C-BE32-E72D297353CC}">
                <c16:uniqueId val="{0000004D-4998-4285-BC74-F2D2D0757BFF}"/>
              </c:ext>
            </c:extLst>
          </c:dPt>
          <c:dPt>
            <c:idx val="78"/>
            <c:invertIfNegative val="0"/>
            <c:bubble3D val="0"/>
            <c:extLst>
              <c:ext xmlns:c16="http://schemas.microsoft.com/office/drawing/2014/chart" uri="{C3380CC4-5D6E-409C-BE32-E72D297353CC}">
                <c16:uniqueId val="{0000004E-4998-4285-BC74-F2D2D0757BFF}"/>
              </c:ext>
            </c:extLst>
          </c:dPt>
          <c:dPt>
            <c:idx val="79"/>
            <c:invertIfNegative val="0"/>
            <c:bubble3D val="0"/>
            <c:extLst>
              <c:ext xmlns:c16="http://schemas.microsoft.com/office/drawing/2014/chart" uri="{C3380CC4-5D6E-409C-BE32-E72D297353CC}">
                <c16:uniqueId val="{0000009E-4DB3-4C99-9667-8802FE2ED612}"/>
              </c:ext>
            </c:extLst>
          </c:dPt>
          <c:dPt>
            <c:idx val="80"/>
            <c:invertIfNegative val="0"/>
            <c:bubble3D val="0"/>
            <c:extLst>
              <c:ext xmlns:c16="http://schemas.microsoft.com/office/drawing/2014/chart" uri="{C3380CC4-5D6E-409C-BE32-E72D297353CC}">
                <c16:uniqueId val="{0000009F-4DB3-4C99-9667-8802FE2ED612}"/>
              </c:ext>
            </c:extLst>
          </c:dPt>
          <c:dPt>
            <c:idx val="81"/>
            <c:invertIfNegative val="0"/>
            <c:bubble3D val="0"/>
            <c:extLst>
              <c:ext xmlns:c16="http://schemas.microsoft.com/office/drawing/2014/chart" uri="{C3380CC4-5D6E-409C-BE32-E72D297353CC}">
                <c16:uniqueId val="{000000A0-4DB3-4C99-9667-8802FE2ED612}"/>
              </c:ext>
            </c:extLst>
          </c:dPt>
          <c:dPt>
            <c:idx val="82"/>
            <c:invertIfNegative val="0"/>
            <c:bubble3D val="0"/>
            <c:extLst>
              <c:ext xmlns:c16="http://schemas.microsoft.com/office/drawing/2014/chart" uri="{C3380CC4-5D6E-409C-BE32-E72D297353CC}">
                <c16:uniqueId val="{000000A1-4DB3-4C99-9667-8802FE2ED612}"/>
              </c:ext>
            </c:extLst>
          </c:dPt>
          <c:dPt>
            <c:idx val="83"/>
            <c:invertIfNegative val="0"/>
            <c:bubble3D val="0"/>
            <c:extLst>
              <c:ext xmlns:c16="http://schemas.microsoft.com/office/drawing/2014/chart" uri="{C3380CC4-5D6E-409C-BE32-E72D297353CC}">
                <c16:uniqueId val="{000000A2-4DB3-4C99-9667-8802FE2ED612}"/>
              </c:ext>
            </c:extLst>
          </c:dPt>
          <c:dPt>
            <c:idx val="84"/>
            <c:invertIfNegative val="0"/>
            <c:bubble3D val="0"/>
            <c:extLst>
              <c:ext xmlns:c16="http://schemas.microsoft.com/office/drawing/2014/chart" uri="{C3380CC4-5D6E-409C-BE32-E72D297353CC}">
                <c16:uniqueId val="{000000A3-4DB3-4C99-9667-8802FE2ED612}"/>
              </c:ext>
            </c:extLst>
          </c:dPt>
          <c:dPt>
            <c:idx val="85"/>
            <c:invertIfNegative val="0"/>
            <c:bubble3D val="0"/>
            <c:extLst>
              <c:ext xmlns:c16="http://schemas.microsoft.com/office/drawing/2014/chart" uri="{C3380CC4-5D6E-409C-BE32-E72D297353CC}">
                <c16:uniqueId val="{000000A4-4DB3-4C99-9667-8802FE2ED612}"/>
              </c:ext>
            </c:extLst>
          </c:dPt>
          <c:dPt>
            <c:idx val="86"/>
            <c:invertIfNegative val="0"/>
            <c:bubble3D val="0"/>
            <c:extLst>
              <c:ext xmlns:c16="http://schemas.microsoft.com/office/drawing/2014/chart" uri="{C3380CC4-5D6E-409C-BE32-E72D297353CC}">
                <c16:uniqueId val="{000000A5-4DB3-4C99-9667-8802FE2ED612}"/>
              </c:ext>
            </c:extLst>
          </c:dPt>
          <c:dPt>
            <c:idx val="87"/>
            <c:invertIfNegative val="0"/>
            <c:bubble3D val="0"/>
            <c:extLst>
              <c:ext xmlns:c16="http://schemas.microsoft.com/office/drawing/2014/chart" uri="{C3380CC4-5D6E-409C-BE32-E72D297353CC}">
                <c16:uniqueId val="{000000A6-4DB3-4C99-9667-8802FE2ED612}"/>
              </c:ext>
            </c:extLst>
          </c:dPt>
          <c:dPt>
            <c:idx val="88"/>
            <c:invertIfNegative val="0"/>
            <c:bubble3D val="0"/>
            <c:extLst>
              <c:ext xmlns:c16="http://schemas.microsoft.com/office/drawing/2014/chart" uri="{C3380CC4-5D6E-409C-BE32-E72D297353CC}">
                <c16:uniqueId val="{000000A7-4DB3-4C99-9667-8802FE2ED612}"/>
              </c:ext>
            </c:extLst>
          </c:dPt>
          <c:dPt>
            <c:idx val="89"/>
            <c:invertIfNegative val="0"/>
            <c:bubble3D val="0"/>
            <c:extLst>
              <c:ext xmlns:c16="http://schemas.microsoft.com/office/drawing/2014/chart" uri="{C3380CC4-5D6E-409C-BE32-E72D297353CC}">
                <c16:uniqueId val="{000000A8-4DB3-4C99-9667-8802FE2ED612}"/>
              </c:ext>
            </c:extLst>
          </c:dPt>
          <c:dPt>
            <c:idx val="90"/>
            <c:invertIfNegative val="0"/>
            <c:bubble3D val="0"/>
            <c:extLst>
              <c:ext xmlns:c16="http://schemas.microsoft.com/office/drawing/2014/chart" uri="{C3380CC4-5D6E-409C-BE32-E72D297353CC}">
                <c16:uniqueId val="{000000A9-4DB3-4C99-9667-8802FE2ED612}"/>
              </c:ext>
            </c:extLst>
          </c:dPt>
          <c:dPt>
            <c:idx val="91"/>
            <c:invertIfNegative val="0"/>
            <c:bubble3D val="0"/>
            <c:extLst>
              <c:ext xmlns:c16="http://schemas.microsoft.com/office/drawing/2014/chart" uri="{C3380CC4-5D6E-409C-BE32-E72D297353CC}">
                <c16:uniqueId val="{000000AA-4DB3-4C99-9667-8802FE2ED612}"/>
              </c:ext>
            </c:extLst>
          </c:dPt>
          <c:dPt>
            <c:idx val="92"/>
            <c:invertIfNegative val="0"/>
            <c:bubble3D val="0"/>
            <c:extLst>
              <c:ext xmlns:c16="http://schemas.microsoft.com/office/drawing/2014/chart" uri="{C3380CC4-5D6E-409C-BE32-E72D297353CC}">
                <c16:uniqueId val="{000000AB-4DB3-4C99-9667-8802FE2ED612}"/>
              </c:ext>
            </c:extLst>
          </c:dPt>
          <c:dPt>
            <c:idx val="93"/>
            <c:invertIfNegative val="0"/>
            <c:bubble3D val="0"/>
            <c:extLst>
              <c:ext xmlns:c16="http://schemas.microsoft.com/office/drawing/2014/chart" uri="{C3380CC4-5D6E-409C-BE32-E72D297353CC}">
                <c16:uniqueId val="{000000AC-4DB3-4C99-9667-8802FE2ED612}"/>
              </c:ext>
            </c:extLst>
          </c:dPt>
          <c:dPt>
            <c:idx val="94"/>
            <c:invertIfNegative val="0"/>
            <c:bubble3D val="0"/>
            <c:extLst>
              <c:ext xmlns:c16="http://schemas.microsoft.com/office/drawing/2014/chart" uri="{C3380CC4-5D6E-409C-BE32-E72D297353CC}">
                <c16:uniqueId val="{000000AD-4DB3-4C99-9667-8802FE2ED612}"/>
              </c:ext>
            </c:extLst>
          </c:dPt>
          <c:dPt>
            <c:idx val="95"/>
            <c:invertIfNegative val="0"/>
            <c:bubble3D val="0"/>
            <c:extLst>
              <c:ext xmlns:c16="http://schemas.microsoft.com/office/drawing/2014/chart" uri="{C3380CC4-5D6E-409C-BE32-E72D297353CC}">
                <c16:uniqueId val="{000000AE-4DB3-4C99-9667-8802FE2ED612}"/>
              </c:ext>
            </c:extLst>
          </c:dPt>
          <c:dPt>
            <c:idx val="96"/>
            <c:invertIfNegative val="0"/>
            <c:bubble3D val="0"/>
            <c:extLst>
              <c:ext xmlns:c16="http://schemas.microsoft.com/office/drawing/2014/chart" uri="{C3380CC4-5D6E-409C-BE32-E72D297353CC}">
                <c16:uniqueId val="{000000AF-4DB3-4C99-9667-8802FE2ED612}"/>
              </c:ext>
            </c:extLst>
          </c:dPt>
          <c:dPt>
            <c:idx val="97"/>
            <c:invertIfNegative val="0"/>
            <c:bubble3D val="0"/>
            <c:extLst>
              <c:ext xmlns:c16="http://schemas.microsoft.com/office/drawing/2014/chart" uri="{C3380CC4-5D6E-409C-BE32-E72D297353CC}">
                <c16:uniqueId val="{000000B0-4DB3-4C99-9667-8802FE2ED612}"/>
              </c:ext>
            </c:extLst>
          </c:dPt>
          <c:dPt>
            <c:idx val="98"/>
            <c:invertIfNegative val="0"/>
            <c:bubble3D val="0"/>
            <c:extLst>
              <c:ext xmlns:c16="http://schemas.microsoft.com/office/drawing/2014/chart" uri="{C3380CC4-5D6E-409C-BE32-E72D297353CC}">
                <c16:uniqueId val="{000000B1-4DB3-4C99-9667-8802FE2ED612}"/>
              </c:ext>
            </c:extLst>
          </c:dPt>
          <c:dPt>
            <c:idx val="99"/>
            <c:invertIfNegative val="0"/>
            <c:bubble3D val="0"/>
            <c:extLst>
              <c:ext xmlns:c16="http://schemas.microsoft.com/office/drawing/2014/chart" uri="{C3380CC4-5D6E-409C-BE32-E72D297353CC}">
                <c16:uniqueId val="{000000B2-4DB3-4C99-9667-8802FE2ED612}"/>
              </c:ext>
            </c:extLst>
          </c:dPt>
          <c:dPt>
            <c:idx val="100"/>
            <c:invertIfNegative val="0"/>
            <c:bubble3D val="0"/>
            <c:extLst>
              <c:ext xmlns:c16="http://schemas.microsoft.com/office/drawing/2014/chart" uri="{C3380CC4-5D6E-409C-BE32-E72D297353CC}">
                <c16:uniqueId val="{000000B3-4DB3-4C99-9667-8802FE2ED612}"/>
              </c:ext>
            </c:extLst>
          </c:dPt>
          <c:dPt>
            <c:idx val="101"/>
            <c:invertIfNegative val="0"/>
            <c:bubble3D val="0"/>
            <c:extLst>
              <c:ext xmlns:c16="http://schemas.microsoft.com/office/drawing/2014/chart" uri="{C3380CC4-5D6E-409C-BE32-E72D297353CC}">
                <c16:uniqueId val="{000000B4-4DB3-4C99-9667-8802FE2ED612}"/>
              </c:ext>
            </c:extLst>
          </c:dPt>
          <c:dPt>
            <c:idx val="102"/>
            <c:invertIfNegative val="0"/>
            <c:bubble3D val="0"/>
            <c:extLst>
              <c:ext xmlns:c16="http://schemas.microsoft.com/office/drawing/2014/chart" uri="{C3380CC4-5D6E-409C-BE32-E72D297353CC}">
                <c16:uniqueId val="{000000B5-4DB3-4C99-9667-8802FE2ED612}"/>
              </c:ext>
            </c:extLst>
          </c:dPt>
          <c:dPt>
            <c:idx val="103"/>
            <c:invertIfNegative val="0"/>
            <c:bubble3D val="0"/>
            <c:extLst>
              <c:ext xmlns:c16="http://schemas.microsoft.com/office/drawing/2014/chart" uri="{C3380CC4-5D6E-409C-BE32-E72D297353CC}">
                <c16:uniqueId val="{000000B6-4DB3-4C99-9667-8802FE2ED612}"/>
              </c:ext>
            </c:extLst>
          </c:dPt>
          <c:dPt>
            <c:idx val="104"/>
            <c:invertIfNegative val="0"/>
            <c:bubble3D val="0"/>
            <c:extLst>
              <c:ext xmlns:c16="http://schemas.microsoft.com/office/drawing/2014/chart" uri="{C3380CC4-5D6E-409C-BE32-E72D297353CC}">
                <c16:uniqueId val="{000000B7-4DB3-4C99-9667-8802FE2ED612}"/>
              </c:ext>
            </c:extLst>
          </c:dPt>
          <c:dPt>
            <c:idx val="105"/>
            <c:invertIfNegative val="0"/>
            <c:bubble3D val="0"/>
            <c:extLst>
              <c:ext xmlns:c16="http://schemas.microsoft.com/office/drawing/2014/chart" uri="{C3380CC4-5D6E-409C-BE32-E72D297353CC}">
                <c16:uniqueId val="{000000B8-4DB3-4C99-9667-8802FE2ED612}"/>
              </c:ext>
            </c:extLst>
          </c:dPt>
          <c:dPt>
            <c:idx val="106"/>
            <c:invertIfNegative val="0"/>
            <c:bubble3D val="0"/>
            <c:extLst>
              <c:ext xmlns:c16="http://schemas.microsoft.com/office/drawing/2014/chart" uri="{C3380CC4-5D6E-409C-BE32-E72D297353CC}">
                <c16:uniqueId val="{000000D5-70BD-4A0C-A6A8-B17BA72F3CD7}"/>
              </c:ext>
            </c:extLst>
          </c:dPt>
          <c:dPt>
            <c:idx val="107"/>
            <c:invertIfNegative val="0"/>
            <c:bubble3D val="0"/>
            <c:extLst>
              <c:ext xmlns:c16="http://schemas.microsoft.com/office/drawing/2014/chart" uri="{C3380CC4-5D6E-409C-BE32-E72D297353CC}">
                <c16:uniqueId val="{000000D7-70BD-4A0C-A6A8-B17BA72F3CD7}"/>
              </c:ext>
            </c:extLst>
          </c:dPt>
          <c:dPt>
            <c:idx val="108"/>
            <c:invertIfNegative val="0"/>
            <c:bubble3D val="0"/>
            <c:extLst>
              <c:ext xmlns:c16="http://schemas.microsoft.com/office/drawing/2014/chart" uri="{C3380CC4-5D6E-409C-BE32-E72D297353CC}">
                <c16:uniqueId val="{000000D8-70BD-4A0C-A6A8-B17BA72F3CD7}"/>
              </c:ext>
            </c:extLst>
          </c:dPt>
          <c:dPt>
            <c:idx val="109"/>
            <c:invertIfNegative val="0"/>
            <c:bubble3D val="0"/>
            <c:extLst>
              <c:ext xmlns:c16="http://schemas.microsoft.com/office/drawing/2014/chart" uri="{C3380CC4-5D6E-409C-BE32-E72D297353CC}">
                <c16:uniqueId val="{000000D9-70BD-4A0C-A6A8-B17BA72F3CD7}"/>
              </c:ext>
            </c:extLst>
          </c:dPt>
          <c:dPt>
            <c:idx val="110"/>
            <c:invertIfNegative val="0"/>
            <c:bubble3D val="0"/>
            <c:extLst>
              <c:ext xmlns:c16="http://schemas.microsoft.com/office/drawing/2014/chart" uri="{C3380CC4-5D6E-409C-BE32-E72D297353CC}">
                <c16:uniqueId val="{000000DA-70BD-4A0C-A6A8-B17BA72F3CD7}"/>
              </c:ext>
            </c:extLst>
          </c:dPt>
          <c:dPt>
            <c:idx val="111"/>
            <c:invertIfNegative val="0"/>
            <c:bubble3D val="0"/>
            <c:extLst>
              <c:ext xmlns:c16="http://schemas.microsoft.com/office/drawing/2014/chart" uri="{C3380CC4-5D6E-409C-BE32-E72D297353CC}">
                <c16:uniqueId val="{000000DB-70BD-4A0C-A6A8-B17BA72F3CD7}"/>
              </c:ext>
            </c:extLst>
          </c:dPt>
          <c:dPt>
            <c:idx val="112"/>
            <c:invertIfNegative val="0"/>
            <c:bubble3D val="0"/>
            <c:extLst>
              <c:ext xmlns:c16="http://schemas.microsoft.com/office/drawing/2014/chart" uri="{C3380CC4-5D6E-409C-BE32-E72D297353CC}">
                <c16:uniqueId val="{000000DC-70BD-4A0C-A6A8-B17BA72F3CD7}"/>
              </c:ext>
            </c:extLst>
          </c:dPt>
          <c:dPt>
            <c:idx val="113"/>
            <c:invertIfNegative val="0"/>
            <c:bubble3D val="0"/>
            <c:extLst>
              <c:ext xmlns:c16="http://schemas.microsoft.com/office/drawing/2014/chart" uri="{C3380CC4-5D6E-409C-BE32-E72D297353CC}">
                <c16:uniqueId val="{000000DD-70BD-4A0C-A6A8-B17BA72F3CD7}"/>
              </c:ext>
            </c:extLst>
          </c:dPt>
          <c:dPt>
            <c:idx val="114"/>
            <c:invertIfNegative val="0"/>
            <c:bubble3D val="0"/>
            <c:extLst>
              <c:ext xmlns:c16="http://schemas.microsoft.com/office/drawing/2014/chart" uri="{C3380CC4-5D6E-409C-BE32-E72D297353CC}">
                <c16:uniqueId val="{000000DE-70BD-4A0C-A6A8-B17BA72F3CD7}"/>
              </c:ext>
            </c:extLst>
          </c:dPt>
          <c:dPt>
            <c:idx val="115"/>
            <c:invertIfNegative val="0"/>
            <c:bubble3D val="0"/>
            <c:extLst>
              <c:ext xmlns:c16="http://schemas.microsoft.com/office/drawing/2014/chart" uri="{C3380CC4-5D6E-409C-BE32-E72D297353CC}">
                <c16:uniqueId val="{000000DF-70BD-4A0C-A6A8-B17BA72F3CD7}"/>
              </c:ext>
            </c:extLst>
          </c:dPt>
          <c:dPt>
            <c:idx val="116"/>
            <c:invertIfNegative val="0"/>
            <c:bubble3D val="0"/>
            <c:extLst>
              <c:ext xmlns:c16="http://schemas.microsoft.com/office/drawing/2014/chart" uri="{C3380CC4-5D6E-409C-BE32-E72D297353CC}">
                <c16:uniqueId val="{000000E0-70BD-4A0C-A6A8-B17BA72F3CD7}"/>
              </c:ext>
            </c:extLst>
          </c:dPt>
          <c:dPt>
            <c:idx val="117"/>
            <c:invertIfNegative val="0"/>
            <c:bubble3D val="0"/>
            <c:extLst>
              <c:ext xmlns:c16="http://schemas.microsoft.com/office/drawing/2014/chart" uri="{C3380CC4-5D6E-409C-BE32-E72D297353CC}">
                <c16:uniqueId val="{000000E1-70BD-4A0C-A6A8-B17BA72F3CD7}"/>
              </c:ext>
            </c:extLst>
          </c:dPt>
          <c:dPt>
            <c:idx val="118"/>
            <c:invertIfNegative val="0"/>
            <c:bubble3D val="0"/>
            <c:extLst>
              <c:ext xmlns:c16="http://schemas.microsoft.com/office/drawing/2014/chart" uri="{C3380CC4-5D6E-409C-BE32-E72D297353CC}">
                <c16:uniqueId val="{000000E2-70BD-4A0C-A6A8-B17BA72F3CD7}"/>
              </c:ext>
            </c:extLst>
          </c:dPt>
          <c:dPt>
            <c:idx val="119"/>
            <c:invertIfNegative val="0"/>
            <c:bubble3D val="0"/>
            <c:extLst>
              <c:ext xmlns:c16="http://schemas.microsoft.com/office/drawing/2014/chart" uri="{C3380CC4-5D6E-409C-BE32-E72D297353CC}">
                <c16:uniqueId val="{000000E3-70BD-4A0C-A6A8-B17BA72F3CD7}"/>
              </c:ext>
            </c:extLst>
          </c:dPt>
          <c:dPt>
            <c:idx val="120"/>
            <c:invertIfNegative val="0"/>
            <c:bubble3D val="0"/>
            <c:extLst>
              <c:ext xmlns:c16="http://schemas.microsoft.com/office/drawing/2014/chart" uri="{C3380CC4-5D6E-409C-BE32-E72D297353CC}">
                <c16:uniqueId val="{000000E4-70BD-4A0C-A6A8-B17BA72F3CD7}"/>
              </c:ext>
            </c:extLst>
          </c:dPt>
          <c:dPt>
            <c:idx val="121"/>
            <c:invertIfNegative val="0"/>
            <c:bubble3D val="0"/>
            <c:extLst>
              <c:ext xmlns:c16="http://schemas.microsoft.com/office/drawing/2014/chart" uri="{C3380CC4-5D6E-409C-BE32-E72D297353CC}">
                <c16:uniqueId val="{000000E5-70BD-4A0C-A6A8-B17BA72F3CD7}"/>
              </c:ext>
            </c:extLst>
          </c:dPt>
          <c:dPt>
            <c:idx val="122"/>
            <c:invertIfNegative val="0"/>
            <c:bubble3D val="0"/>
            <c:extLst>
              <c:ext xmlns:c16="http://schemas.microsoft.com/office/drawing/2014/chart" uri="{C3380CC4-5D6E-409C-BE32-E72D297353CC}">
                <c16:uniqueId val="{000000F5-A4CA-466C-AF4A-126C39C8076A}"/>
              </c:ext>
            </c:extLst>
          </c:dPt>
          <c:dPt>
            <c:idx val="123"/>
            <c:invertIfNegative val="0"/>
            <c:bubble3D val="0"/>
            <c:extLst>
              <c:ext xmlns:c16="http://schemas.microsoft.com/office/drawing/2014/chart" uri="{C3380CC4-5D6E-409C-BE32-E72D297353CC}">
                <c16:uniqueId val="{000000F7-A4CA-466C-AF4A-126C39C8076A}"/>
              </c:ext>
            </c:extLst>
          </c:dPt>
          <c:dPt>
            <c:idx val="124"/>
            <c:invertIfNegative val="0"/>
            <c:bubble3D val="0"/>
            <c:extLst>
              <c:ext xmlns:c16="http://schemas.microsoft.com/office/drawing/2014/chart" uri="{C3380CC4-5D6E-409C-BE32-E72D297353CC}">
                <c16:uniqueId val="{000000F9-A4CA-466C-AF4A-126C39C8076A}"/>
              </c:ext>
            </c:extLst>
          </c:dPt>
          <c:dPt>
            <c:idx val="125"/>
            <c:invertIfNegative val="0"/>
            <c:bubble3D val="0"/>
            <c:extLst>
              <c:ext xmlns:c16="http://schemas.microsoft.com/office/drawing/2014/chart" uri="{C3380CC4-5D6E-409C-BE32-E72D297353CC}">
                <c16:uniqueId val="{000000FB-A4CA-466C-AF4A-126C39C8076A}"/>
              </c:ext>
            </c:extLst>
          </c:dPt>
          <c:dPt>
            <c:idx val="126"/>
            <c:invertIfNegative val="0"/>
            <c:bubble3D val="0"/>
            <c:extLst>
              <c:ext xmlns:c16="http://schemas.microsoft.com/office/drawing/2014/chart" uri="{C3380CC4-5D6E-409C-BE32-E72D297353CC}">
                <c16:uniqueId val="{000000FD-A4CA-466C-AF4A-126C39C8076A}"/>
              </c:ext>
            </c:extLst>
          </c:dPt>
          <c:dPt>
            <c:idx val="127"/>
            <c:invertIfNegative val="0"/>
            <c:bubble3D val="0"/>
            <c:extLst>
              <c:ext xmlns:c16="http://schemas.microsoft.com/office/drawing/2014/chart" uri="{C3380CC4-5D6E-409C-BE32-E72D297353CC}">
                <c16:uniqueId val="{000000FF-A4CA-466C-AF4A-126C39C8076A}"/>
              </c:ext>
            </c:extLst>
          </c:dPt>
          <c:dPt>
            <c:idx val="128"/>
            <c:invertIfNegative val="0"/>
            <c:bubble3D val="0"/>
            <c:extLst>
              <c:ext xmlns:c16="http://schemas.microsoft.com/office/drawing/2014/chart" uri="{C3380CC4-5D6E-409C-BE32-E72D297353CC}">
                <c16:uniqueId val="{000000E6-70BD-4A0C-A6A8-B17BA72F3CD7}"/>
              </c:ext>
            </c:extLst>
          </c:dPt>
          <c:dPt>
            <c:idx val="129"/>
            <c:invertIfNegative val="0"/>
            <c:bubble3D val="0"/>
            <c:extLst>
              <c:ext xmlns:c16="http://schemas.microsoft.com/office/drawing/2014/chart" uri="{C3380CC4-5D6E-409C-BE32-E72D297353CC}">
                <c16:uniqueId val="{000000E7-70BD-4A0C-A6A8-B17BA72F3CD7}"/>
              </c:ext>
            </c:extLst>
          </c:dPt>
          <c:dPt>
            <c:idx val="130"/>
            <c:invertIfNegative val="0"/>
            <c:bubble3D val="0"/>
            <c:extLst>
              <c:ext xmlns:c16="http://schemas.microsoft.com/office/drawing/2014/chart" uri="{C3380CC4-5D6E-409C-BE32-E72D297353CC}">
                <c16:uniqueId val="{00000104-E46F-46D0-B81B-51BC4004C71F}"/>
              </c:ext>
            </c:extLst>
          </c:dPt>
          <c:dPt>
            <c:idx val="131"/>
            <c:invertIfNegative val="0"/>
            <c:bubble3D val="0"/>
            <c:extLst>
              <c:ext xmlns:c16="http://schemas.microsoft.com/office/drawing/2014/chart" uri="{C3380CC4-5D6E-409C-BE32-E72D297353CC}">
                <c16:uniqueId val="{00000105-E46F-46D0-B81B-51BC4004C71F}"/>
              </c:ext>
            </c:extLst>
          </c:dPt>
          <c:dPt>
            <c:idx val="132"/>
            <c:invertIfNegative val="0"/>
            <c:bubble3D val="0"/>
            <c:extLst>
              <c:ext xmlns:c16="http://schemas.microsoft.com/office/drawing/2014/chart" uri="{C3380CC4-5D6E-409C-BE32-E72D297353CC}">
                <c16:uniqueId val="{00000106-E46F-46D0-B81B-51BC4004C71F}"/>
              </c:ext>
            </c:extLst>
          </c:dPt>
          <c:dPt>
            <c:idx val="133"/>
            <c:invertIfNegative val="0"/>
            <c:bubble3D val="0"/>
            <c:extLst>
              <c:ext xmlns:c16="http://schemas.microsoft.com/office/drawing/2014/chart" uri="{C3380CC4-5D6E-409C-BE32-E72D297353CC}">
                <c16:uniqueId val="{00000107-E46F-46D0-B81B-51BC4004C71F}"/>
              </c:ext>
            </c:extLst>
          </c:dPt>
          <c:dPt>
            <c:idx val="134"/>
            <c:invertIfNegative val="0"/>
            <c:bubble3D val="0"/>
            <c:extLst>
              <c:ext xmlns:c16="http://schemas.microsoft.com/office/drawing/2014/chart" uri="{C3380CC4-5D6E-409C-BE32-E72D297353CC}">
                <c16:uniqueId val="{0000010C-C140-433D-A8C9-35889518DD66}"/>
              </c:ext>
            </c:extLst>
          </c:dPt>
          <c:dPt>
            <c:idx val="135"/>
            <c:invertIfNegative val="0"/>
            <c:bubble3D val="0"/>
            <c:extLst>
              <c:ext xmlns:c16="http://schemas.microsoft.com/office/drawing/2014/chart" uri="{C3380CC4-5D6E-409C-BE32-E72D297353CC}">
                <c16:uniqueId val="{0000010D-C140-433D-A8C9-35889518DD66}"/>
              </c:ext>
            </c:extLst>
          </c:dPt>
          <c:dPt>
            <c:idx val="136"/>
            <c:invertIfNegative val="0"/>
            <c:bubble3D val="0"/>
            <c:extLst>
              <c:ext xmlns:c16="http://schemas.microsoft.com/office/drawing/2014/chart" uri="{C3380CC4-5D6E-409C-BE32-E72D297353CC}">
                <c16:uniqueId val="{00000110-341F-4491-A0F4-0ED04982471B}"/>
              </c:ext>
            </c:extLst>
          </c:dPt>
          <c:dPt>
            <c:idx val="137"/>
            <c:invertIfNegative val="0"/>
            <c:bubble3D val="0"/>
            <c:extLst>
              <c:ext xmlns:c16="http://schemas.microsoft.com/office/drawing/2014/chart" uri="{C3380CC4-5D6E-409C-BE32-E72D297353CC}">
                <c16:uniqueId val="{00000111-341F-4491-A0F4-0ED04982471B}"/>
              </c:ext>
            </c:extLst>
          </c:dPt>
          <c:dPt>
            <c:idx val="138"/>
            <c:invertIfNegative val="0"/>
            <c:bubble3D val="0"/>
            <c:extLst>
              <c:ext xmlns:c16="http://schemas.microsoft.com/office/drawing/2014/chart" uri="{C3380CC4-5D6E-409C-BE32-E72D297353CC}">
                <c16:uniqueId val="{00000114-84D0-4CCB-81EB-C95CE8D234FC}"/>
              </c:ext>
            </c:extLst>
          </c:dPt>
          <c:dPt>
            <c:idx val="139"/>
            <c:invertIfNegative val="0"/>
            <c:bubble3D val="0"/>
            <c:extLst>
              <c:ext xmlns:c16="http://schemas.microsoft.com/office/drawing/2014/chart" uri="{C3380CC4-5D6E-409C-BE32-E72D297353CC}">
                <c16:uniqueId val="{00000115-84D0-4CCB-81EB-C95CE8D234FC}"/>
              </c:ext>
            </c:extLst>
          </c:dPt>
          <c:dPt>
            <c:idx val="140"/>
            <c:invertIfNegative val="0"/>
            <c:bubble3D val="0"/>
            <c:extLst>
              <c:ext xmlns:c16="http://schemas.microsoft.com/office/drawing/2014/chart" uri="{C3380CC4-5D6E-409C-BE32-E72D297353CC}">
                <c16:uniqueId val="{00000116-84D0-4CCB-81EB-C95CE8D234FC}"/>
              </c:ext>
            </c:extLst>
          </c:dPt>
          <c:dPt>
            <c:idx val="141"/>
            <c:invertIfNegative val="0"/>
            <c:bubble3D val="0"/>
            <c:extLst>
              <c:ext xmlns:c16="http://schemas.microsoft.com/office/drawing/2014/chart" uri="{C3380CC4-5D6E-409C-BE32-E72D297353CC}">
                <c16:uniqueId val="{00000117-84D0-4CCB-81EB-C95CE8D234FC}"/>
              </c:ext>
            </c:extLst>
          </c:dPt>
          <c:dPt>
            <c:idx val="142"/>
            <c:invertIfNegative val="0"/>
            <c:bubble3D val="0"/>
            <c:extLst>
              <c:ext xmlns:c16="http://schemas.microsoft.com/office/drawing/2014/chart" uri="{C3380CC4-5D6E-409C-BE32-E72D297353CC}">
                <c16:uniqueId val="{00000118-84D0-4CCB-81EB-C95CE8D234FC}"/>
              </c:ext>
            </c:extLst>
          </c:dPt>
          <c:dPt>
            <c:idx val="143"/>
            <c:invertIfNegative val="0"/>
            <c:bubble3D val="0"/>
            <c:extLst>
              <c:ext xmlns:c16="http://schemas.microsoft.com/office/drawing/2014/chart" uri="{C3380CC4-5D6E-409C-BE32-E72D297353CC}">
                <c16:uniqueId val="{00000119-84D0-4CCB-81EB-C95CE8D234FC}"/>
              </c:ext>
            </c:extLst>
          </c:dPt>
          <c:dPt>
            <c:idx val="144"/>
            <c:invertIfNegative val="0"/>
            <c:bubble3D val="0"/>
            <c:extLst>
              <c:ext xmlns:c16="http://schemas.microsoft.com/office/drawing/2014/chart" uri="{C3380CC4-5D6E-409C-BE32-E72D297353CC}">
                <c16:uniqueId val="{0000011A-84D0-4CCB-81EB-C95CE8D234FC}"/>
              </c:ext>
            </c:extLst>
          </c:dPt>
          <c:dPt>
            <c:idx val="145"/>
            <c:invertIfNegative val="0"/>
            <c:bubble3D val="0"/>
            <c:extLst>
              <c:ext xmlns:c16="http://schemas.microsoft.com/office/drawing/2014/chart" uri="{C3380CC4-5D6E-409C-BE32-E72D297353CC}">
                <c16:uniqueId val="{0000011B-84D0-4CCB-81EB-C95CE8D234FC}"/>
              </c:ext>
            </c:extLst>
          </c:dPt>
          <c:dPt>
            <c:idx val="146"/>
            <c:invertIfNegative val="0"/>
            <c:bubble3D val="0"/>
            <c:extLst>
              <c:ext xmlns:c16="http://schemas.microsoft.com/office/drawing/2014/chart" uri="{C3380CC4-5D6E-409C-BE32-E72D297353CC}">
                <c16:uniqueId val="{0000011C-84D0-4CCB-81EB-C95CE8D234FC}"/>
              </c:ext>
            </c:extLst>
          </c:dPt>
          <c:dPt>
            <c:idx val="147"/>
            <c:invertIfNegative val="0"/>
            <c:bubble3D val="0"/>
            <c:extLst>
              <c:ext xmlns:c16="http://schemas.microsoft.com/office/drawing/2014/chart" uri="{C3380CC4-5D6E-409C-BE32-E72D297353CC}">
                <c16:uniqueId val="{0000011D-84D0-4CCB-81EB-C95CE8D234FC}"/>
              </c:ext>
            </c:extLst>
          </c:dPt>
          <c:dPt>
            <c:idx val="148"/>
            <c:invertIfNegative val="0"/>
            <c:bubble3D val="0"/>
            <c:extLst>
              <c:ext xmlns:c16="http://schemas.microsoft.com/office/drawing/2014/chart" uri="{C3380CC4-5D6E-409C-BE32-E72D297353CC}">
                <c16:uniqueId val="{0000011E-84D0-4CCB-81EB-C95CE8D234FC}"/>
              </c:ext>
            </c:extLst>
          </c:dPt>
          <c:dPt>
            <c:idx val="149"/>
            <c:invertIfNegative val="0"/>
            <c:bubble3D val="0"/>
            <c:extLst>
              <c:ext xmlns:c16="http://schemas.microsoft.com/office/drawing/2014/chart" uri="{C3380CC4-5D6E-409C-BE32-E72D297353CC}">
                <c16:uniqueId val="{0000011F-84D0-4CCB-81EB-C95CE8D234FC}"/>
              </c:ext>
            </c:extLst>
          </c:dPt>
          <c:dPt>
            <c:idx val="150"/>
            <c:invertIfNegative val="0"/>
            <c:bubble3D val="0"/>
            <c:extLst>
              <c:ext xmlns:c16="http://schemas.microsoft.com/office/drawing/2014/chart" uri="{C3380CC4-5D6E-409C-BE32-E72D297353CC}">
                <c16:uniqueId val="{00000120-84D0-4CCB-81EB-C95CE8D234FC}"/>
              </c:ext>
            </c:extLst>
          </c:dPt>
          <c:dPt>
            <c:idx val="151"/>
            <c:invertIfNegative val="0"/>
            <c:bubble3D val="0"/>
            <c:extLst>
              <c:ext xmlns:c16="http://schemas.microsoft.com/office/drawing/2014/chart" uri="{C3380CC4-5D6E-409C-BE32-E72D297353CC}">
                <c16:uniqueId val="{00000121-84D0-4CCB-81EB-C95CE8D234FC}"/>
              </c:ext>
            </c:extLst>
          </c:dPt>
          <c:dPt>
            <c:idx val="152"/>
            <c:invertIfNegative val="0"/>
            <c:bubble3D val="0"/>
            <c:extLst>
              <c:ext xmlns:c16="http://schemas.microsoft.com/office/drawing/2014/chart" uri="{C3380CC4-5D6E-409C-BE32-E72D297353CC}">
                <c16:uniqueId val="{00000122-84D0-4CCB-81EB-C95CE8D234FC}"/>
              </c:ext>
            </c:extLst>
          </c:dPt>
          <c:dPt>
            <c:idx val="153"/>
            <c:invertIfNegative val="0"/>
            <c:bubble3D val="0"/>
            <c:extLst>
              <c:ext xmlns:c16="http://schemas.microsoft.com/office/drawing/2014/chart" uri="{C3380CC4-5D6E-409C-BE32-E72D297353CC}">
                <c16:uniqueId val="{00000123-84D0-4CCB-81EB-C95CE8D234FC}"/>
              </c:ext>
            </c:extLst>
          </c:dPt>
          <c:dPt>
            <c:idx val="154"/>
            <c:invertIfNegative val="0"/>
            <c:bubble3D val="0"/>
            <c:extLst>
              <c:ext xmlns:c16="http://schemas.microsoft.com/office/drawing/2014/chart" uri="{C3380CC4-5D6E-409C-BE32-E72D297353CC}">
                <c16:uniqueId val="{00000124-84D0-4CCB-81EB-C95CE8D234FC}"/>
              </c:ext>
            </c:extLst>
          </c:dPt>
          <c:dPt>
            <c:idx val="155"/>
            <c:invertIfNegative val="0"/>
            <c:bubble3D val="0"/>
            <c:extLst>
              <c:ext xmlns:c16="http://schemas.microsoft.com/office/drawing/2014/chart" uri="{C3380CC4-5D6E-409C-BE32-E72D297353CC}">
                <c16:uniqueId val="{00000125-84D0-4CCB-81EB-C95CE8D234FC}"/>
              </c:ext>
            </c:extLst>
          </c:dPt>
          <c:dPt>
            <c:idx val="156"/>
            <c:invertIfNegative val="0"/>
            <c:bubble3D val="0"/>
            <c:extLst>
              <c:ext xmlns:c16="http://schemas.microsoft.com/office/drawing/2014/chart" uri="{C3380CC4-5D6E-409C-BE32-E72D297353CC}">
                <c16:uniqueId val="{00000126-84D0-4CCB-81EB-C95CE8D234FC}"/>
              </c:ext>
            </c:extLst>
          </c:dPt>
          <c:dPt>
            <c:idx val="157"/>
            <c:invertIfNegative val="0"/>
            <c:bubble3D val="0"/>
            <c:extLst>
              <c:ext xmlns:c16="http://schemas.microsoft.com/office/drawing/2014/chart" uri="{C3380CC4-5D6E-409C-BE32-E72D297353CC}">
                <c16:uniqueId val="{00000127-84D0-4CCB-81EB-C95CE8D234FC}"/>
              </c:ext>
            </c:extLst>
          </c:dPt>
          <c:dPt>
            <c:idx val="158"/>
            <c:invertIfNegative val="0"/>
            <c:bubble3D val="0"/>
            <c:extLst>
              <c:ext xmlns:c16="http://schemas.microsoft.com/office/drawing/2014/chart" uri="{C3380CC4-5D6E-409C-BE32-E72D297353CC}">
                <c16:uniqueId val="{00000128-84D0-4CCB-81EB-C95CE8D234FC}"/>
              </c:ext>
            </c:extLst>
          </c:dPt>
          <c:dPt>
            <c:idx val="159"/>
            <c:invertIfNegative val="0"/>
            <c:bubble3D val="0"/>
            <c:extLst>
              <c:ext xmlns:c16="http://schemas.microsoft.com/office/drawing/2014/chart" uri="{C3380CC4-5D6E-409C-BE32-E72D297353CC}">
                <c16:uniqueId val="{00000129-84D0-4CCB-81EB-C95CE8D234FC}"/>
              </c:ext>
            </c:extLst>
          </c:dPt>
          <c:dPt>
            <c:idx val="160"/>
            <c:invertIfNegative val="0"/>
            <c:bubble3D val="0"/>
            <c:extLst>
              <c:ext xmlns:c16="http://schemas.microsoft.com/office/drawing/2014/chart" uri="{C3380CC4-5D6E-409C-BE32-E72D297353CC}">
                <c16:uniqueId val="{0000012A-84D0-4CCB-81EB-C95CE8D234FC}"/>
              </c:ext>
            </c:extLst>
          </c:dPt>
          <c:dPt>
            <c:idx val="161"/>
            <c:invertIfNegative val="0"/>
            <c:bubble3D val="0"/>
            <c:extLst>
              <c:ext xmlns:c16="http://schemas.microsoft.com/office/drawing/2014/chart" uri="{C3380CC4-5D6E-409C-BE32-E72D297353CC}">
                <c16:uniqueId val="{0000012B-84D0-4CCB-81EB-C95CE8D234FC}"/>
              </c:ext>
            </c:extLst>
          </c:dPt>
          <c:dPt>
            <c:idx val="162"/>
            <c:invertIfNegative val="0"/>
            <c:bubble3D val="0"/>
            <c:extLst>
              <c:ext xmlns:c16="http://schemas.microsoft.com/office/drawing/2014/chart" uri="{C3380CC4-5D6E-409C-BE32-E72D297353CC}">
                <c16:uniqueId val="{0000012C-84D0-4CCB-81EB-C95CE8D234FC}"/>
              </c:ext>
            </c:extLst>
          </c:dPt>
          <c:dPt>
            <c:idx val="163"/>
            <c:invertIfNegative val="0"/>
            <c:bubble3D val="0"/>
            <c:extLst>
              <c:ext xmlns:c16="http://schemas.microsoft.com/office/drawing/2014/chart" uri="{C3380CC4-5D6E-409C-BE32-E72D297353CC}">
                <c16:uniqueId val="{0000012D-84D0-4CCB-81EB-C95CE8D234FC}"/>
              </c:ext>
            </c:extLst>
          </c:dPt>
          <c:dPt>
            <c:idx val="164"/>
            <c:invertIfNegative val="0"/>
            <c:bubble3D val="0"/>
            <c:extLst>
              <c:ext xmlns:c16="http://schemas.microsoft.com/office/drawing/2014/chart" uri="{C3380CC4-5D6E-409C-BE32-E72D297353CC}">
                <c16:uniqueId val="{0000012E-84D0-4CCB-81EB-C95CE8D234FC}"/>
              </c:ext>
            </c:extLst>
          </c:dPt>
          <c:dPt>
            <c:idx val="165"/>
            <c:invertIfNegative val="0"/>
            <c:bubble3D val="0"/>
            <c:extLst>
              <c:ext xmlns:c16="http://schemas.microsoft.com/office/drawing/2014/chart" uri="{C3380CC4-5D6E-409C-BE32-E72D297353CC}">
                <c16:uniqueId val="{0000012F-84D0-4CCB-81EB-C95CE8D234FC}"/>
              </c:ext>
            </c:extLst>
          </c:dPt>
          <c:dPt>
            <c:idx val="166"/>
            <c:invertIfNegative val="0"/>
            <c:bubble3D val="0"/>
            <c:extLst>
              <c:ext xmlns:c16="http://schemas.microsoft.com/office/drawing/2014/chart" uri="{C3380CC4-5D6E-409C-BE32-E72D297353CC}">
                <c16:uniqueId val="{00000130-84D0-4CCB-81EB-C95CE8D234FC}"/>
              </c:ext>
            </c:extLst>
          </c:dPt>
          <c:dPt>
            <c:idx val="167"/>
            <c:invertIfNegative val="0"/>
            <c:bubble3D val="0"/>
            <c:extLst>
              <c:ext xmlns:c16="http://schemas.microsoft.com/office/drawing/2014/chart" uri="{C3380CC4-5D6E-409C-BE32-E72D297353CC}">
                <c16:uniqueId val="{00000131-84D0-4CCB-81EB-C95CE8D234FC}"/>
              </c:ext>
            </c:extLst>
          </c:dPt>
          <c:dPt>
            <c:idx val="168"/>
            <c:invertIfNegative val="0"/>
            <c:bubble3D val="0"/>
            <c:extLst>
              <c:ext xmlns:c16="http://schemas.microsoft.com/office/drawing/2014/chart" uri="{C3380CC4-5D6E-409C-BE32-E72D297353CC}">
                <c16:uniqueId val="{00000132-84D0-4CCB-81EB-C95CE8D234FC}"/>
              </c:ext>
            </c:extLst>
          </c:dPt>
          <c:dPt>
            <c:idx val="169"/>
            <c:invertIfNegative val="0"/>
            <c:bubble3D val="0"/>
            <c:extLst>
              <c:ext xmlns:c16="http://schemas.microsoft.com/office/drawing/2014/chart" uri="{C3380CC4-5D6E-409C-BE32-E72D297353CC}">
                <c16:uniqueId val="{00000133-84D0-4CCB-81EB-C95CE8D234FC}"/>
              </c:ext>
            </c:extLst>
          </c:dPt>
          <c:dPt>
            <c:idx val="170"/>
            <c:invertIfNegative val="0"/>
            <c:bubble3D val="0"/>
            <c:extLst>
              <c:ext xmlns:c16="http://schemas.microsoft.com/office/drawing/2014/chart" uri="{C3380CC4-5D6E-409C-BE32-E72D297353CC}">
                <c16:uniqueId val="{00000134-84D0-4CCB-81EB-C95CE8D234FC}"/>
              </c:ext>
            </c:extLst>
          </c:dPt>
          <c:dPt>
            <c:idx val="171"/>
            <c:invertIfNegative val="0"/>
            <c:bubble3D val="0"/>
            <c:extLst>
              <c:ext xmlns:c16="http://schemas.microsoft.com/office/drawing/2014/chart" uri="{C3380CC4-5D6E-409C-BE32-E72D297353CC}">
                <c16:uniqueId val="{00000135-84D0-4CCB-81EB-C95CE8D234FC}"/>
              </c:ext>
            </c:extLst>
          </c:dPt>
          <c:dPt>
            <c:idx val="172"/>
            <c:invertIfNegative val="0"/>
            <c:bubble3D val="0"/>
            <c:extLst>
              <c:ext xmlns:c16="http://schemas.microsoft.com/office/drawing/2014/chart" uri="{C3380CC4-5D6E-409C-BE32-E72D297353CC}">
                <c16:uniqueId val="{00000136-84D0-4CCB-81EB-C95CE8D234FC}"/>
              </c:ext>
            </c:extLst>
          </c:dPt>
          <c:dPt>
            <c:idx val="173"/>
            <c:invertIfNegative val="0"/>
            <c:bubble3D val="0"/>
            <c:extLst>
              <c:ext xmlns:c16="http://schemas.microsoft.com/office/drawing/2014/chart" uri="{C3380CC4-5D6E-409C-BE32-E72D297353CC}">
                <c16:uniqueId val="{00000137-84D0-4CCB-81EB-C95CE8D234FC}"/>
              </c:ext>
            </c:extLst>
          </c:dPt>
          <c:dPt>
            <c:idx val="174"/>
            <c:invertIfNegative val="0"/>
            <c:bubble3D val="0"/>
            <c:extLst>
              <c:ext xmlns:c16="http://schemas.microsoft.com/office/drawing/2014/chart" uri="{C3380CC4-5D6E-409C-BE32-E72D297353CC}">
                <c16:uniqueId val="{00000138-84D0-4CCB-81EB-C95CE8D234FC}"/>
              </c:ext>
            </c:extLst>
          </c:dPt>
          <c:dPt>
            <c:idx val="175"/>
            <c:invertIfNegative val="0"/>
            <c:bubble3D val="0"/>
            <c:extLst>
              <c:ext xmlns:c16="http://schemas.microsoft.com/office/drawing/2014/chart" uri="{C3380CC4-5D6E-409C-BE32-E72D297353CC}">
                <c16:uniqueId val="{00000139-84D0-4CCB-81EB-C95CE8D234FC}"/>
              </c:ext>
            </c:extLst>
          </c:dPt>
          <c:dPt>
            <c:idx val="176"/>
            <c:invertIfNegative val="0"/>
            <c:bubble3D val="0"/>
            <c:extLst>
              <c:ext xmlns:c16="http://schemas.microsoft.com/office/drawing/2014/chart" uri="{C3380CC4-5D6E-409C-BE32-E72D297353CC}">
                <c16:uniqueId val="{0000013A-84D0-4CCB-81EB-C95CE8D234FC}"/>
              </c:ext>
            </c:extLst>
          </c:dPt>
          <c:dPt>
            <c:idx val="177"/>
            <c:invertIfNegative val="0"/>
            <c:bubble3D val="0"/>
            <c:extLst>
              <c:ext xmlns:c16="http://schemas.microsoft.com/office/drawing/2014/chart" uri="{C3380CC4-5D6E-409C-BE32-E72D297353CC}">
                <c16:uniqueId val="{0000013B-84D0-4CCB-81EB-C95CE8D234FC}"/>
              </c:ext>
            </c:extLst>
          </c:dPt>
          <c:dPt>
            <c:idx val="178"/>
            <c:invertIfNegative val="0"/>
            <c:bubble3D val="0"/>
            <c:extLst>
              <c:ext xmlns:c16="http://schemas.microsoft.com/office/drawing/2014/chart" uri="{C3380CC4-5D6E-409C-BE32-E72D297353CC}">
                <c16:uniqueId val="{0000013C-84D0-4CCB-81EB-C95CE8D234FC}"/>
              </c:ext>
            </c:extLst>
          </c:dPt>
          <c:dPt>
            <c:idx val="179"/>
            <c:invertIfNegative val="0"/>
            <c:bubble3D val="0"/>
            <c:extLst>
              <c:ext xmlns:c16="http://schemas.microsoft.com/office/drawing/2014/chart" uri="{C3380CC4-5D6E-409C-BE32-E72D297353CC}">
                <c16:uniqueId val="{0000013D-84D0-4CCB-81EB-C95CE8D234FC}"/>
              </c:ext>
            </c:extLst>
          </c:dPt>
          <c:dPt>
            <c:idx val="180"/>
            <c:invertIfNegative val="0"/>
            <c:bubble3D val="0"/>
            <c:extLst>
              <c:ext xmlns:c16="http://schemas.microsoft.com/office/drawing/2014/chart" uri="{C3380CC4-5D6E-409C-BE32-E72D297353CC}">
                <c16:uniqueId val="{0000013E-84D0-4CCB-81EB-C95CE8D234FC}"/>
              </c:ext>
            </c:extLst>
          </c:dPt>
          <c:dPt>
            <c:idx val="181"/>
            <c:invertIfNegative val="0"/>
            <c:bubble3D val="0"/>
            <c:extLst>
              <c:ext xmlns:c16="http://schemas.microsoft.com/office/drawing/2014/chart" uri="{C3380CC4-5D6E-409C-BE32-E72D297353CC}">
                <c16:uniqueId val="{0000013F-84D0-4CCB-81EB-C95CE8D234FC}"/>
              </c:ext>
            </c:extLst>
          </c:dPt>
          <c:dPt>
            <c:idx val="182"/>
            <c:invertIfNegative val="0"/>
            <c:bubble3D val="0"/>
            <c:extLst>
              <c:ext xmlns:c16="http://schemas.microsoft.com/office/drawing/2014/chart" uri="{C3380CC4-5D6E-409C-BE32-E72D297353CC}">
                <c16:uniqueId val="{00000140-84D0-4CCB-81EB-C95CE8D234FC}"/>
              </c:ext>
            </c:extLst>
          </c:dPt>
          <c:dPt>
            <c:idx val="183"/>
            <c:invertIfNegative val="0"/>
            <c:bubble3D val="0"/>
            <c:extLst>
              <c:ext xmlns:c16="http://schemas.microsoft.com/office/drawing/2014/chart" uri="{C3380CC4-5D6E-409C-BE32-E72D297353CC}">
                <c16:uniqueId val="{00000141-84D0-4CCB-81EB-C95CE8D234FC}"/>
              </c:ext>
            </c:extLst>
          </c:dPt>
          <c:dPt>
            <c:idx val="184"/>
            <c:invertIfNegative val="0"/>
            <c:bubble3D val="0"/>
            <c:extLst>
              <c:ext xmlns:c16="http://schemas.microsoft.com/office/drawing/2014/chart" uri="{C3380CC4-5D6E-409C-BE32-E72D297353CC}">
                <c16:uniqueId val="{00000142-84D0-4CCB-81EB-C95CE8D234FC}"/>
              </c:ext>
            </c:extLst>
          </c:dPt>
          <c:dPt>
            <c:idx val="185"/>
            <c:invertIfNegative val="0"/>
            <c:bubble3D val="0"/>
            <c:extLst>
              <c:ext xmlns:c16="http://schemas.microsoft.com/office/drawing/2014/chart" uri="{C3380CC4-5D6E-409C-BE32-E72D297353CC}">
                <c16:uniqueId val="{00000143-84D0-4CCB-81EB-C95CE8D234FC}"/>
              </c:ext>
            </c:extLst>
          </c:dPt>
          <c:dPt>
            <c:idx val="186"/>
            <c:invertIfNegative val="0"/>
            <c:bubble3D val="0"/>
            <c:extLst>
              <c:ext xmlns:c16="http://schemas.microsoft.com/office/drawing/2014/chart" uri="{C3380CC4-5D6E-409C-BE32-E72D297353CC}">
                <c16:uniqueId val="{00000144-84D0-4CCB-81EB-C95CE8D234FC}"/>
              </c:ext>
            </c:extLst>
          </c:dPt>
          <c:dPt>
            <c:idx val="187"/>
            <c:invertIfNegative val="0"/>
            <c:bubble3D val="0"/>
            <c:extLst>
              <c:ext xmlns:c16="http://schemas.microsoft.com/office/drawing/2014/chart" uri="{C3380CC4-5D6E-409C-BE32-E72D297353CC}">
                <c16:uniqueId val="{00000145-84D0-4CCB-81EB-C95CE8D234FC}"/>
              </c:ext>
            </c:extLst>
          </c:dPt>
          <c:dPt>
            <c:idx val="188"/>
            <c:invertIfNegative val="0"/>
            <c:bubble3D val="0"/>
            <c:extLst>
              <c:ext xmlns:c16="http://schemas.microsoft.com/office/drawing/2014/chart" uri="{C3380CC4-5D6E-409C-BE32-E72D297353CC}">
                <c16:uniqueId val="{00000146-84D0-4CCB-81EB-C95CE8D234FC}"/>
              </c:ext>
            </c:extLst>
          </c:dPt>
          <c:dPt>
            <c:idx val="189"/>
            <c:invertIfNegative val="0"/>
            <c:bubble3D val="0"/>
            <c:extLst>
              <c:ext xmlns:c16="http://schemas.microsoft.com/office/drawing/2014/chart" uri="{C3380CC4-5D6E-409C-BE32-E72D297353CC}">
                <c16:uniqueId val="{00000147-84D0-4CCB-81EB-C95CE8D234FC}"/>
              </c:ext>
            </c:extLst>
          </c:dPt>
          <c:dPt>
            <c:idx val="190"/>
            <c:invertIfNegative val="0"/>
            <c:bubble3D val="0"/>
            <c:extLst>
              <c:ext xmlns:c16="http://schemas.microsoft.com/office/drawing/2014/chart" uri="{C3380CC4-5D6E-409C-BE32-E72D297353CC}">
                <c16:uniqueId val="{00000148-84D0-4CCB-81EB-C95CE8D234FC}"/>
              </c:ext>
            </c:extLst>
          </c:dPt>
          <c:dPt>
            <c:idx val="191"/>
            <c:invertIfNegative val="0"/>
            <c:bubble3D val="0"/>
            <c:extLst>
              <c:ext xmlns:c16="http://schemas.microsoft.com/office/drawing/2014/chart" uri="{C3380CC4-5D6E-409C-BE32-E72D297353CC}">
                <c16:uniqueId val="{00000149-84D0-4CCB-81EB-C95CE8D234FC}"/>
              </c:ext>
            </c:extLst>
          </c:dPt>
          <c:dPt>
            <c:idx val="192"/>
            <c:invertIfNegative val="0"/>
            <c:bubble3D val="0"/>
            <c:extLst>
              <c:ext xmlns:c16="http://schemas.microsoft.com/office/drawing/2014/chart" uri="{C3380CC4-5D6E-409C-BE32-E72D297353CC}">
                <c16:uniqueId val="{0000014A-84D0-4CCB-81EB-C95CE8D234FC}"/>
              </c:ext>
            </c:extLst>
          </c:dPt>
          <c:dPt>
            <c:idx val="193"/>
            <c:invertIfNegative val="0"/>
            <c:bubble3D val="0"/>
            <c:extLst>
              <c:ext xmlns:c16="http://schemas.microsoft.com/office/drawing/2014/chart" uri="{C3380CC4-5D6E-409C-BE32-E72D297353CC}">
                <c16:uniqueId val="{0000014B-84D0-4CCB-81EB-C95CE8D234FC}"/>
              </c:ext>
            </c:extLst>
          </c:dPt>
          <c:dPt>
            <c:idx val="194"/>
            <c:invertIfNegative val="0"/>
            <c:bubble3D val="0"/>
            <c:extLst>
              <c:ext xmlns:c16="http://schemas.microsoft.com/office/drawing/2014/chart" uri="{C3380CC4-5D6E-409C-BE32-E72D297353CC}">
                <c16:uniqueId val="{0000014C-84D0-4CCB-81EB-C95CE8D234FC}"/>
              </c:ext>
            </c:extLst>
          </c:dPt>
          <c:dPt>
            <c:idx val="195"/>
            <c:invertIfNegative val="0"/>
            <c:bubble3D val="0"/>
            <c:extLst>
              <c:ext xmlns:c16="http://schemas.microsoft.com/office/drawing/2014/chart" uri="{C3380CC4-5D6E-409C-BE32-E72D297353CC}">
                <c16:uniqueId val="{0000014D-84D0-4CCB-81EB-C95CE8D234FC}"/>
              </c:ext>
            </c:extLst>
          </c:dPt>
          <c:dPt>
            <c:idx val="196"/>
            <c:invertIfNegative val="0"/>
            <c:bubble3D val="0"/>
            <c:extLst>
              <c:ext xmlns:c16="http://schemas.microsoft.com/office/drawing/2014/chart" uri="{C3380CC4-5D6E-409C-BE32-E72D297353CC}">
                <c16:uniqueId val="{0000014E-84D0-4CCB-81EB-C95CE8D234FC}"/>
              </c:ext>
            </c:extLst>
          </c:dPt>
          <c:dPt>
            <c:idx val="197"/>
            <c:invertIfNegative val="0"/>
            <c:bubble3D val="0"/>
            <c:extLst>
              <c:ext xmlns:c16="http://schemas.microsoft.com/office/drawing/2014/chart" uri="{C3380CC4-5D6E-409C-BE32-E72D297353CC}">
                <c16:uniqueId val="{0000014F-84D0-4CCB-81EB-C95CE8D234FC}"/>
              </c:ext>
            </c:extLst>
          </c:dPt>
          <c:dPt>
            <c:idx val="198"/>
            <c:invertIfNegative val="0"/>
            <c:bubble3D val="0"/>
            <c:extLst>
              <c:ext xmlns:c16="http://schemas.microsoft.com/office/drawing/2014/chart" uri="{C3380CC4-5D6E-409C-BE32-E72D297353CC}">
                <c16:uniqueId val="{00000150-84D0-4CCB-81EB-C95CE8D234FC}"/>
              </c:ext>
            </c:extLst>
          </c:dPt>
          <c:dPt>
            <c:idx val="199"/>
            <c:invertIfNegative val="0"/>
            <c:bubble3D val="0"/>
            <c:extLst>
              <c:ext xmlns:c16="http://schemas.microsoft.com/office/drawing/2014/chart" uri="{C3380CC4-5D6E-409C-BE32-E72D297353CC}">
                <c16:uniqueId val="{00000151-84D0-4CCB-81EB-C95CE8D234FC}"/>
              </c:ext>
            </c:extLst>
          </c:dPt>
          <c:dPt>
            <c:idx val="200"/>
            <c:invertIfNegative val="0"/>
            <c:bubble3D val="0"/>
            <c:extLst>
              <c:ext xmlns:c16="http://schemas.microsoft.com/office/drawing/2014/chart" uri="{C3380CC4-5D6E-409C-BE32-E72D297353CC}">
                <c16:uniqueId val="{00000152-84D0-4CCB-81EB-C95CE8D234FC}"/>
              </c:ext>
            </c:extLst>
          </c:dPt>
          <c:dPt>
            <c:idx val="201"/>
            <c:invertIfNegative val="0"/>
            <c:bubble3D val="0"/>
            <c:extLst>
              <c:ext xmlns:c16="http://schemas.microsoft.com/office/drawing/2014/chart" uri="{C3380CC4-5D6E-409C-BE32-E72D297353CC}">
                <c16:uniqueId val="{00000153-84D0-4CCB-81EB-C95CE8D234FC}"/>
              </c:ext>
            </c:extLst>
          </c:dPt>
          <c:dPt>
            <c:idx val="202"/>
            <c:invertIfNegative val="0"/>
            <c:bubble3D val="0"/>
            <c:extLst>
              <c:ext xmlns:c16="http://schemas.microsoft.com/office/drawing/2014/chart" uri="{C3380CC4-5D6E-409C-BE32-E72D297353CC}">
                <c16:uniqueId val="{00000154-84D0-4CCB-81EB-C95CE8D234FC}"/>
              </c:ext>
            </c:extLst>
          </c:dPt>
          <c:dPt>
            <c:idx val="203"/>
            <c:invertIfNegative val="0"/>
            <c:bubble3D val="0"/>
            <c:extLst>
              <c:ext xmlns:c16="http://schemas.microsoft.com/office/drawing/2014/chart" uri="{C3380CC4-5D6E-409C-BE32-E72D297353CC}">
                <c16:uniqueId val="{00000155-84D0-4CCB-81EB-C95CE8D234FC}"/>
              </c:ext>
            </c:extLst>
          </c:dPt>
          <c:dPt>
            <c:idx val="204"/>
            <c:invertIfNegative val="0"/>
            <c:bubble3D val="0"/>
            <c:extLst>
              <c:ext xmlns:c16="http://schemas.microsoft.com/office/drawing/2014/chart" uri="{C3380CC4-5D6E-409C-BE32-E72D297353CC}">
                <c16:uniqueId val="{00000156-84D0-4CCB-81EB-C95CE8D234FC}"/>
              </c:ext>
            </c:extLst>
          </c:dPt>
          <c:dPt>
            <c:idx val="205"/>
            <c:invertIfNegative val="0"/>
            <c:bubble3D val="0"/>
            <c:extLst>
              <c:ext xmlns:c16="http://schemas.microsoft.com/office/drawing/2014/chart" uri="{C3380CC4-5D6E-409C-BE32-E72D297353CC}">
                <c16:uniqueId val="{00000157-84D0-4CCB-81EB-C95CE8D234FC}"/>
              </c:ext>
            </c:extLst>
          </c:dPt>
          <c:dPt>
            <c:idx val="206"/>
            <c:invertIfNegative val="0"/>
            <c:bubble3D val="0"/>
            <c:extLst>
              <c:ext xmlns:c16="http://schemas.microsoft.com/office/drawing/2014/chart" uri="{C3380CC4-5D6E-409C-BE32-E72D297353CC}">
                <c16:uniqueId val="{00000158-84D0-4CCB-81EB-C95CE8D234FC}"/>
              </c:ext>
            </c:extLst>
          </c:dPt>
          <c:dPt>
            <c:idx val="207"/>
            <c:invertIfNegative val="0"/>
            <c:bubble3D val="0"/>
            <c:extLst>
              <c:ext xmlns:c16="http://schemas.microsoft.com/office/drawing/2014/chart" uri="{C3380CC4-5D6E-409C-BE32-E72D297353CC}">
                <c16:uniqueId val="{00000159-84D0-4CCB-81EB-C95CE8D234FC}"/>
              </c:ext>
            </c:extLst>
          </c:dPt>
          <c:dPt>
            <c:idx val="208"/>
            <c:invertIfNegative val="0"/>
            <c:bubble3D val="0"/>
            <c:extLst>
              <c:ext xmlns:c16="http://schemas.microsoft.com/office/drawing/2014/chart" uri="{C3380CC4-5D6E-409C-BE32-E72D297353CC}">
                <c16:uniqueId val="{0000015A-84D0-4CCB-81EB-C95CE8D234FC}"/>
              </c:ext>
            </c:extLst>
          </c:dPt>
          <c:dPt>
            <c:idx val="209"/>
            <c:invertIfNegative val="0"/>
            <c:bubble3D val="0"/>
            <c:extLst>
              <c:ext xmlns:c16="http://schemas.microsoft.com/office/drawing/2014/chart" uri="{C3380CC4-5D6E-409C-BE32-E72D297353CC}">
                <c16:uniqueId val="{0000015B-84D0-4CCB-81EB-C95CE8D234FC}"/>
              </c:ext>
            </c:extLst>
          </c:dPt>
          <c:dPt>
            <c:idx val="210"/>
            <c:invertIfNegative val="0"/>
            <c:bubble3D val="0"/>
            <c:extLst>
              <c:ext xmlns:c16="http://schemas.microsoft.com/office/drawing/2014/chart" uri="{C3380CC4-5D6E-409C-BE32-E72D297353CC}">
                <c16:uniqueId val="{0000015C-84D0-4CCB-81EB-C95CE8D234FC}"/>
              </c:ext>
            </c:extLst>
          </c:dPt>
          <c:dPt>
            <c:idx val="211"/>
            <c:invertIfNegative val="0"/>
            <c:bubble3D val="0"/>
            <c:extLst>
              <c:ext xmlns:c16="http://schemas.microsoft.com/office/drawing/2014/chart" uri="{C3380CC4-5D6E-409C-BE32-E72D297353CC}">
                <c16:uniqueId val="{0000015D-84D0-4CCB-81EB-C95CE8D234FC}"/>
              </c:ext>
            </c:extLst>
          </c:dPt>
          <c:dPt>
            <c:idx val="212"/>
            <c:invertIfNegative val="0"/>
            <c:bubble3D val="0"/>
            <c:extLst>
              <c:ext xmlns:c16="http://schemas.microsoft.com/office/drawing/2014/chart" uri="{C3380CC4-5D6E-409C-BE32-E72D297353CC}">
                <c16:uniqueId val="{0000015E-84D0-4CCB-81EB-C95CE8D234FC}"/>
              </c:ext>
            </c:extLst>
          </c:dPt>
          <c:dPt>
            <c:idx val="213"/>
            <c:invertIfNegative val="0"/>
            <c:bubble3D val="0"/>
            <c:extLst>
              <c:ext xmlns:c16="http://schemas.microsoft.com/office/drawing/2014/chart" uri="{C3380CC4-5D6E-409C-BE32-E72D297353CC}">
                <c16:uniqueId val="{0000015F-84D0-4CCB-81EB-C95CE8D234FC}"/>
              </c:ext>
            </c:extLst>
          </c:dPt>
          <c:dPt>
            <c:idx val="214"/>
            <c:invertIfNegative val="0"/>
            <c:bubble3D val="0"/>
            <c:extLst>
              <c:ext xmlns:c16="http://schemas.microsoft.com/office/drawing/2014/chart" uri="{C3380CC4-5D6E-409C-BE32-E72D297353CC}">
                <c16:uniqueId val="{00000160-84D0-4CCB-81EB-C95CE8D234FC}"/>
              </c:ext>
            </c:extLst>
          </c:dPt>
          <c:dPt>
            <c:idx val="215"/>
            <c:invertIfNegative val="0"/>
            <c:bubble3D val="0"/>
            <c:extLst>
              <c:ext xmlns:c16="http://schemas.microsoft.com/office/drawing/2014/chart" uri="{C3380CC4-5D6E-409C-BE32-E72D297353CC}">
                <c16:uniqueId val="{00000161-84D0-4CCB-81EB-C95CE8D234FC}"/>
              </c:ext>
            </c:extLst>
          </c:dPt>
          <c:dPt>
            <c:idx val="216"/>
            <c:invertIfNegative val="0"/>
            <c:bubble3D val="0"/>
            <c:extLst>
              <c:ext xmlns:c16="http://schemas.microsoft.com/office/drawing/2014/chart" uri="{C3380CC4-5D6E-409C-BE32-E72D297353CC}">
                <c16:uniqueId val="{00000162-84D0-4CCB-81EB-C95CE8D234FC}"/>
              </c:ext>
            </c:extLst>
          </c:dPt>
          <c:dPt>
            <c:idx val="217"/>
            <c:invertIfNegative val="0"/>
            <c:bubble3D val="0"/>
            <c:extLst>
              <c:ext xmlns:c16="http://schemas.microsoft.com/office/drawing/2014/chart" uri="{C3380CC4-5D6E-409C-BE32-E72D297353CC}">
                <c16:uniqueId val="{00000163-84D0-4CCB-81EB-C95CE8D234FC}"/>
              </c:ext>
            </c:extLst>
          </c:dPt>
          <c:dPt>
            <c:idx val="218"/>
            <c:invertIfNegative val="0"/>
            <c:bubble3D val="0"/>
            <c:extLst>
              <c:ext xmlns:c16="http://schemas.microsoft.com/office/drawing/2014/chart" uri="{C3380CC4-5D6E-409C-BE32-E72D297353CC}">
                <c16:uniqueId val="{00000164-84D0-4CCB-81EB-C95CE8D234FC}"/>
              </c:ext>
            </c:extLst>
          </c:dPt>
          <c:dPt>
            <c:idx val="219"/>
            <c:invertIfNegative val="0"/>
            <c:bubble3D val="0"/>
            <c:extLst>
              <c:ext xmlns:c16="http://schemas.microsoft.com/office/drawing/2014/chart" uri="{C3380CC4-5D6E-409C-BE32-E72D297353CC}">
                <c16:uniqueId val="{00000165-84D0-4CCB-81EB-C95CE8D234FC}"/>
              </c:ext>
            </c:extLst>
          </c:dPt>
          <c:dPt>
            <c:idx val="220"/>
            <c:invertIfNegative val="0"/>
            <c:bubble3D val="0"/>
            <c:extLst>
              <c:ext xmlns:c16="http://schemas.microsoft.com/office/drawing/2014/chart" uri="{C3380CC4-5D6E-409C-BE32-E72D297353CC}">
                <c16:uniqueId val="{00000166-84D0-4CCB-81EB-C95CE8D234FC}"/>
              </c:ext>
            </c:extLst>
          </c:dPt>
          <c:dPt>
            <c:idx val="221"/>
            <c:invertIfNegative val="0"/>
            <c:bubble3D val="0"/>
            <c:extLst>
              <c:ext xmlns:c16="http://schemas.microsoft.com/office/drawing/2014/chart" uri="{C3380CC4-5D6E-409C-BE32-E72D297353CC}">
                <c16:uniqueId val="{00000167-84D0-4CCB-81EB-C95CE8D234FC}"/>
              </c:ext>
            </c:extLst>
          </c:dPt>
          <c:dPt>
            <c:idx val="222"/>
            <c:invertIfNegative val="0"/>
            <c:bubble3D val="0"/>
            <c:extLst>
              <c:ext xmlns:c16="http://schemas.microsoft.com/office/drawing/2014/chart" uri="{C3380CC4-5D6E-409C-BE32-E72D297353CC}">
                <c16:uniqueId val="{00000168-84D0-4CCB-81EB-C95CE8D234FC}"/>
              </c:ext>
            </c:extLst>
          </c:dPt>
          <c:dPt>
            <c:idx val="223"/>
            <c:invertIfNegative val="0"/>
            <c:bubble3D val="0"/>
            <c:extLst>
              <c:ext xmlns:c16="http://schemas.microsoft.com/office/drawing/2014/chart" uri="{C3380CC4-5D6E-409C-BE32-E72D297353CC}">
                <c16:uniqueId val="{00000169-84D0-4CCB-81EB-C95CE8D234FC}"/>
              </c:ext>
            </c:extLst>
          </c:dPt>
          <c:dPt>
            <c:idx val="224"/>
            <c:invertIfNegative val="0"/>
            <c:bubble3D val="0"/>
            <c:extLst>
              <c:ext xmlns:c16="http://schemas.microsoft.com/office/drawing/2014/chart" uri="{C3380CC4-5D6E-409C-BE32-E72D297353CC}">
                <c16:uniqueId val="{0000016A-84D0-4CCB-81EB-C95CE8D234FC}"/>
              </c:ext>
            </c:extLst>
          </c:dPt>
          <c:dPt>
            <c:idx val="225"/>
            <c:invertIfNegative val="0"/>
            <c:bubble3D val="0"/>
            <c:extLst>
              <c:ext xmlns:c16="http://schemas.microsoft.com/office/drawing/2014/chart" uri="{C3380CC4-5D6E-409C-BE32-E72D297353CC}">
                <c16:uniqueId val="{0000016B-84D0-4CCB-81EB-C95CE8D234FC}"/>
              </c:ext>
            </c:extLst>
          </c:dPt>
          <c:dPt>
            <c:idx val="226"/>
            <c:invertIfNegative val="0"/>
            <c:bubble3D val="0"/>
            <c:extLst>
              <c:ext xmlns:c16="http://schemas.microsoft.com/office/drawing/2014/chart" uri="{C3380CC4-5D6E-409C-BE32-E72D297353CC}">
                <c16:uniqueId val="{0000016C-84D0-4CCB-81EB-C95CE8D234FC}"/>
              </c:ext>
            </c:extLst>
          </c:dPt>
          <c:dPt>
            <c:idx val="227"/>
            <c:invertIfNegative val="0"/>
            <c:bubble3D val="0"/>
            <c:extLst>
              <c:ext xmlns:c16="http://schemas.microsoft.com/office/drawing/2014/chart" uri="{C3380CC4-5D6E-409C-BE32-E72D297353CC}">
                <c16:uniqueId val="{0000016D-84D0-4CCB-81EB-C95CE8D234FC}"/>
              </c:ext>
            </c:extLst>
          </c:dPt>
          <c:dPt>
            <c:idx val="228"/>
            <c:invertIfNegative val="0"/>
            <c:bubble3D val="0"/>
            <c:extLst>
              <c:ext xmlns:c16="http://schemas.microsoft.com/office/drawing/2014/chart" uri="{C3380CC4-5D6E-409C-BE32-E72D297353CC}">
                <c16:uniqueId val="{0000016E-84D0-4CCB-81EB-C95CE8D234FC}"/>
              </c:ext>
            </c:extLst>
          </c:dPt>
          <c:dPt>
            <c:idx val="229"/>
            <c:invertIfNegative val="0"/>
            <c:bubble3D val="0"/>
            <c:extLst>
              <c:ext xmlns:c16="http://schemas.microsoft.com/office/drawing/2014/chart" uri="{C3380CC4-5D6E-409C-BE32-E72D297353CC}">
                <c16:uniqueId val="{0000016F-84D0-4CCB-81EB-C95CE8D234FC}"/>
              </c:ext>
            </c:extLst>
          </c:dPt>
          <c:dPt>
            <c:idx val="230"/>
            <c:invertIfNegative val="0"/>
            <c:bubble3D val="0"/>
            <c:extLst>
              <c:ext xmlns:c16="http://schemas.microsoft.com/office/drawing/2014/chart" uri="{C3380CC4-5D6E-409C-BE32-E72D297353CC}">
                <c16:uniqueId val="{00000170-84D0-4CCB-81EB-C95CE8D234FC}"/>
              </c:ext>
            </c:extLst>
          </c:dPt>
          <c:dPt>
            <c:idx val="231"/>
            <c:invertIfNegative val="0"/>
            <c:bubble3D val="0"/>
            <c:extLst>
              <c:ext xmlns:c16="http://schemas.microsoft.com/office/drawing/2014/chart" uri="{C3380CC4-5D6E-409C-BE32-E72D297353CC}">
                <c16:uniqueId val="{00000171-84D0-4CCB-81EB-C95CE8D234FC}"/>
              </c:ext>
            </c:extLst>
          </c:dPt>
          <c:dPt>
            <c:idx val="232"/>
            <c:invertIfNegative val="0"/>
            <c:bubble3D val="0"/>
            <c:extLst>
              <c:ext xmlns:c16="http://schemas.microsoft.com/office/drawing/2014/chart" uri="{C3380CC4-5D6E-409C-BE32-E72D297353CC}">
                <c16:uniqueId val="{00000172-84D0-4CCB-81EB-C95CE8D234FC}"/>
              </c:ext>
            </c:extLst>
          </c:dPt>
          <c:dPt>
            <c:idx val="233"/>
            <c:invertIfNegative val="0"/>
            <c:bubble3D val="0"/>
            <c:extLst>
              <c:ext xmlns:c16="http://schemas.microsoft.com/office/drawing/2014/chart" uri="{C3380CC4-5D6E-409C-BE32-E72D297353CC}">
                <c16:uniqueId val="{00000173-84D0-4CCB-81EB-C95CE8D234FC}"/>
              </c:ext>
            </c:extLst>
          </c:dPt>
          <c:dPt>
            <c:idx val="234"/>
            <c:invertIfNegative val="0"/>
            <c:bubble3D val="0"/>
            <c:extLst>
              <c:ext xmlns:c16="http://schemas.microsoft.com/office/drawing/2014/chart" uri="{C3380CC4-5D6E-409C-BE32-E72D297353CC}">
                <c16:uniqueId val="{00000174-84D0-4CCB-81EB-C95CE8D234FC}"/>
              </c:ext>
            </c:extLst>
          </c:dPt>
          <c:dPt>
            <c:idx val="235"/>
            <c:invertIfNegative val="0"/>
            <c:bubble3D val="0"/>
            <c:extLst>
              <c:ext xmlns:c16="http://schemas.microsoft.com/office/drawing/2014/chart" uri="{C3380CC4-5D6E-409C-BE32-E72D297353CC}">
                <c16:uniqueId val="{00000175-84D0-4CCB-81EB-C95CE8D234FC}"/>
              </c:ext>
            </c:extLst>
          </c:dPt>
          <c:dPt>
            <c:idx val="236"/>
            <c:invertIfNegative val="0"/>
            <c:bubble3D val="0"/>
            <c:extLst>
              <c:ext xmlns:c16="http://schemas.microsoft.com/office/drawing/2014/chart" uri="{C3380CC4-5D6E-409C-BE32-E72D297353CC}">
                <c16:uniqueId val="{00000176-84D0-4CCB-81EB-C95CE8D234FC}"/>
              </c:ext>
            </c:extLst>
          </c:dPt>
          <c:dPt>
            <c:idx val="237"/>
            <c:invertIfNegative val="0"/>
            <c:bubble3D val="0"/>
            <c:extLst>
              <c:ext xmlns:c16="http://schemas.microsoft.com/office/drawing/2014/chart" uri="{C3380CC4-5D6E-409C-BE32-E72D297353CC}">
                <c16:uniqueId val="{00000177-84D0-4CCB-81EB-C95CE8D234FC}"/>
              </c:ext>
            </c:extLst>
          </c:dPt>
          <c:dPt>
            <c:idx val="238"/>
            <c:invertIfNegative val="0"/>
            <c:bubble3D val="0"/>
            <c:extLst>
              <c:ext xmlns:c16="http://schemas.microsoft.com/office/drawing/2014/chart" uri="{C3380CC4-5D6E-409C-BE32-E72D297353CC}">
                <c16:uniqueId val="{00000178-84D0-4CCB-81EB-C95CE8D234FC}"/>
              </c:ext>
            </c:extLst>
          </c:dPt>
          <c:dPt>
            <c:idx val="239"/>
            <c:invertIfNegative val="0"/>
            <c:bubble3D val="0"/>
            <c:extLst>
              <c:ext xmlns:c16="http://schemas.microsoft.com/office/drawing/2014/chart" uri="{C3380CC4-5D6E-409C-BE32-E72D297353CC}">
                <c16:uniqueId val="{00000179-84D0-4CCB-81EB-C95CE8D234FC}"/>
              </c:ext>
            </c:extLst>
          </c:dPt>
          <c:dPt>
            <c:idx val="240"/>
            <c:invertIfNegative val="0"/>
            <c:bubble3D val="0"/>
            <c:extLst>
              <c:ext xmlns:c16="http://schemas.microsoft.com/office/drawing/2014/chart" uri="{C3380CC4-5D6E-409C-BE32-E72D297353CC}">
                <c16:uniqueId val="{0000017A-84D0-4CCB-81EB-C95CE8D234FC}"/>
              </c:ext>
            </c:extLst>
          </c:dPt>
          <c:dPt>
            <c:idx val="241"/>
            <c:invertIfNegative val="0"/>
            <c:bubble3D val="0"/>
            <c:extLst>
              <c:ext xmlns:c16="http://schemas.microsoft.com/office/drawing/2014/chart" uri="{C3380CC4-5D6E-409C-BE32-E72D297353CC}">
                <c16:uniqueId val="{0000017B-84D0-4CCB-81EB-C95CE8D234FC}"/>
              </c:ext>
            </c:extLst>
          </c:dPt>
          <c:dPt>
            <c:idx val="242"/>
            <c:invertIfNegative val="0"/>
            <c:bubble3D val="0"/>
            <c:extLst>
              <c:ext xmlns:c16="http://schemas.microsoft.com/office/drawing/2014/chart" uri="{C3380CC4-5D6E-409C-BE32-E72D297353CC}">
                <c16:uniqueId val="{0000017C-84D0-4CCB-81EB-C95CE8D234FC}"/>
              </c:ext>
            </c:extLst>
          </c:dPt>
          <c:dPt>
            <c:idx val="243"/>
            <c:invertIfNegative val="0"/>
            <c:bubble3D val="0"/>
            <c:extLst>
              <c:ext xmlns:c16="http://schemas.microsoft.com/office/drawing/2014/chart" uri="{C3380CC4-5D6E-409C-BE32-E72D297353CC}">
                <c16:uniqueId val="{0000017D-84D0-4CCB-81EB-C95CE8D234FC}"/>
              </c:ext>
            </c:extLst>
          </c:dPt>
          <c:dPt>
            <c:idx val="244"/>
            <c:invertIfNegative val="0"/>
            <c:bubble3D val="0"/>
            <c:extLst>
              <c:ext xmlns:c16="http://schemas.microsoft.com/office/drawing/2014/chart" uri="{C3380CC4-5D6E-409C-BE32-E72D297353CC}">
                <c16:uniqueId val="{0000017E-84D0-4CCB-81EB-C95CE8D234FC}"/>
              </c:ext>
            </c:extLst>
          </c:dPt>
          <c:dPt>
            <c:idx val="245"/>
            <c:invertIfNegative val="0"/>
            <c:bubble3D val="0"/>
            <c:extLst>
              <c:ext xmlns:c16="http://schemas.microsoft.com/office/drawing/2014/chart" uri="{C3380CC4-5D6E-409C-BE32-E72D297353CC}">
                <c16:uniqueId val="{0000017F-84D0-4CCB-81EB-C95CE8D234FC}"/>
              </c:ext>
            </c:extLst>
          </c:dPt>
          <c:dPt>
            <c:idx val="246"/>
            <c:invertIfNegative val="0"/>
            <c:bubble3D val="0"/>
            <c:extLst>
              <c:ext xmlns:c16="http://schemas.microsoft.com/office/drawing/2014/chart" uri="{C3380CC4-5D6E-409C-BE32-E72D297353CC}">
                <c16:uniqueId val="{00000180-84D0-4CCB-81EB-C95CE8D234FC}"/>
              </c:ext>
            </c:extLst>
          </c:dPt>
          <c:dPt>
            <c:idx val="247"/>
            <c:invertIfNegative val="0"/>
            <c:bubble3D val="0"/>
            <c:extLst>
              <c:ext xmlns:c16="http://schemas.microsoft.com/office/drawing/2014/chart" uri="{C3380CC4-5D6E-409C-BE32-E72D297353CC}">
                <c16:uniqueId val="{00000181-84D0-4CCB-81EB-C95CE8D234FC}"/>
              </c:ext>
            </c:extLst>
          </c:dPt>
          <c:dPt>
            <c:idx val="248"/>
            <c:invertIfNegative val="0"/>
            <c:bubble3D val="0"/>
            <c:extLst>
              <c:ext xmlns:c16="http://schemas.microsoft.com/office/drawing/2014/chart" uri="{C3380CC4-5D6E-409C-BE32-E72D297353CC}">
                <c16:uniqueId val="{00000182-84D0-4CCB-81EB-C95CE8D234FC}"/>
              </c:ext>
            </c:extLst>
          </c:dPt>
          <c:dPt>
            <c:idx val="249"/>
            <c:invertIfNegative val="0"/>
            <c:bubble3D val="0"/>
            <c:extLst>
              <c:ext xmlns:c16="http://schemas.microsoft.com/office/drawing/2014/chart" uri="{C3380CC4-5D6E-409C-BE32-E72D297353CC}">
                <c16:uniqueId val="{00000183-84D0-4CCB-81EB-C95CE8D234FC}"/>
              </c:ext>
            </c:extLst>
          </c:dPt>
          <c:dPt>
            <c:idx val="250"/>
            <c:invertIfNegative val="0"/>
            <c:bubble3D val="0"/>
            <c:extLst>
              <c:ext xmlns:c16="http://schemas.microsoft.com/office/drawing/2014/chart" uri="{C3380CC4-5D6E-409C-BE32-E72D297353CC}">
                <c16:uniqueId val="{00000184-84D0-4CCB-81EB-C95CE8D234FC}"/>
              </c:ext>
            </c:extLst>
          </c:dPt>
          <c:dPt>
            <c:idx val="251"/>
            <c:invertIfNegative val="0"/>
            <c:bubble3D val="0"/>
            <c:extLst>
              <c:ext xmlns:c16="http://schemas.microsoft.com/office/drawing/2014/chart" uri="{C3380CC4-5D6E-409C-BE32-E72D297353CC}">
                <c16:uniqueId val="{00000185-84D0-4CCB-81EB-C95CE8D234FC}"/>
              </c:ext>
            </c:extLst>
          </c:dPt>
          <c:dPt>
            <c:idx val="252"/>
            <c:invertIfNegative val="0"/>
            <c:bubble3D val="0"/>
            <c:extLst>
              <c:ext xmlns:c16="http://schemas.microsoft.com/office/drawing/2014/chart" uri="{C3380CC4-5D6E-409C-BE32-E72D297353CC}">
                <c16:uniqueId val="{00000186-84D0-4CCB-81EB-C95CE8D234FC}"/>
              </c:ext>
            </c:extLst>
          </c:dPt>
          <c:dPt>
            <c:idx val="253"/>
            <c:invertIfNegative val="0"/>
            <c:bubble3D val="0"/>
            <c:extLst>
              <c:ext xmlns:c16="http://schemas.microsoft.com/office/drawing/2014/chart" uri="{C3380CC4-5D6E-409C-BE32-E72D297353CC}">
                <c16:uniqueId val="{00000187-84D0-4CCB-81EB-C95CE8D234FC}"/>
              </c:ext>
            </c:extLst>
          </c:dPt>
          <c:dPt>
            <c:idx val="254"/>
            <c:invertIfNegative val="0"/>
            <c:bubble3D val="0"/>
            <c:extLst>
              <c:ext xmlns:c16="http://schemas.microsoft.com/office/drawing/2014/chart" uri="{C3380CC4-5D6E-409C-BE32-E72D297353CC}">
                <c16:uniqueId val="{00000188-84D0-4CCB-81EB-C95CE8D234FC}"/>
              </c:ext>
            </c:extLst>
          </c:dPt>
          <c:dPt>
            <c:idx val="255"/>
            <c:invertIfNegative val="0"/>
            <c:bubble3D val="0"/>
            <c:extLst>
              <c:ext xmlns:c16="http://schemas.microsoft.com/office/drawing/2014/chart" uri="{C3380CC4-5D6E-409C-BE32-E72D297353CC}">
                <c16:uniqueId val="{00000189-84D0-4CCB-81EB-C95CE8D234FC}"/>
              </c:ext>
            </c:extLst>
          </c:dPt>
          <c:dPt>
            <c:idx val="256"/>
            <c:invertIfNegative val="0"/>
            <c:bubble3D val="0"/>
            <c:extLst>
              <c:ext xmlns:c16="http://schemas.microsoft.com/office/drawing/2014/chart" uri="{C3380CC4-5D6E-409C-BE32-E72D297353CC}">
                <c16:uniqueId val="{0000018A-84D0-4CCB-81EB-C95CE8D234FC}"/>
              </c:ext>
            </c:extLst>
          </c:dPt>
          <c:dPt>
            <c:idx val="257"/>
            <c:invertIfNegative val="0"/>
            <c:bubble3D val="0"/>
            <c:extLst>
              <c:ext xmlns:c16="http://schemas.microsoft.com/office/drawing/2014/chart" uri="{C3380CC4-5D6E-409C-BE32-E72D297353CC}">
                <c16:uniqueId val="{0000018B-84D0-4CCB-81EB-C95CE8D234FC}"/>
              </c:ext>
            </c:extLst>
          </c:dPt>
          <c:dPt>
            <c:idx val="258"/>
            <c:invertIfNegative val="0"/>
            <c:bubble3D val="0"/>
            <c:extLst>
              <c:ext xmlns:c16="http://schemas.microsoft.com/office/drawing/2014/chart" uri="{C3380CC4-5D6E-409C-BE32-E72D297353CC}">
                <c16:uniqueId val="{0000018C-84D0-4CCB-81EB-C95CE8D234FC}"/>
              </c:ext>
            </c:extLst>
          </c:dPt>
          <c:dPt>
            <c:idx val="259"/>
            <c:invertIfNegative val="0"/>
            <c:bubble3D val="0"/>
            <c:extLst>
              <c:ext xmlns:c16="http://schemas.microsoft.com/office/drawing/2014/chart" uri="{C3380CC4-5D6E-409C-BE32-E72D297353CC}">
                <c16:uniqueId val="{0000018D-84D0-4CCB-81EB-C95CE8D234FC}"/>
              </c:ext>
            </c:extLst>
          </c:dPt>
          <c:dPt>
            <c:idx val="260"/>
            <c:invertIfNegative val="0"/>
            <c:bubble3D val="0"/>
            <c:extLst>
              <c:ext xmlns:c16="http://schemas.microsoft.com/office/drawing/2014/chart" uri="{C3380CC4-5D6E-409C-BE32-E72D297353CC}">
                <c16:uniqueId val="{0000018E-84D0-4CCB-81EB-C95CE8D234FC}"/>
              </c:ext>
            </c:extLst>
          </c:dPt>
          <c:dPt>
            <c:idx val="261"/>
            <c:invertIfNegative val="0"/>
            <c:bubble3D val="0"/>
            <c:extLst>
              <c:ext xmlns:c16="http://schemas.microsoft.com/office/drawing/2014/chart" uri="{C3380CC4-5D6E-409C-BE32-E72D297353CC}">
                <c16:uniqueId val="{0000018F-84D0-4CCB-81EB-C95CE8D234FC}"/>
              </c:ext>
            </c:extLst>
          </c:dPt>
          <c:dPt>
            <c:idx val="262"/>
            <c:invertIfNegative val="0"/>
            <c:bubble3D val="0"/>
            <c:extLst>
              <c:ext xmlns:c16="http://schemas.microsoft.com/office/drawing/2014/chart" uri="{C3380CC4-5D6E-409C-BE32-E72D297353CC}">
                <c16:uniqueId val="{00000190-84D0-4CCB-81EB-C95CE8D234FC}"/>
              </c:ext>
            </c:extLst>
          </c:dPt>
          <c:dPt>
            <c:idx val="263"/>
            <c:invertIfNegative val="0"/>
            <c:bubble3D val="0"/>
            <c:extLst>
              <c:ext xmlns:c16="http://schemas.microsoft.com/office/drawing/2014/chart" uri="{C3380CC4-5D6E-409C-BE32-E72D297353CC}">
                <c16:uniqueId val="{00000191-84D0-4CCB-81EB-C95CE8D234FC}"/>
              </c:ext>
            </c:extLst>
          </c:dPt>
          <c:dPt>
            <c:idx val="264"/>
            <c:invertIfNegative val="0"/>
            <c:bubble3D val="0"/>
            <c:extLst>
              <c:ext xmlns:c16="http://schemas.microsoft.com/office/drawing/2014/chart" uri="{C3380CC4-5D6E-409C-BE32-E72D297353CC}">
                <c16:uniqueId val="{00000192-84D0-4CCB-81EB-C95CE8D234FC}"/>
              </c:ext>
            </c:extLst>
          </c:dPt>
          <c:dPt>
            <c:idx val="265"/>
            <c:invertIfNegative val="0"/>
            <c:bubble3D val="0"/>
            <c:extLst>
              <c:ext xmlns:c16="http://schemas.microsoft.com/office/drawing/2014/chart" uri="{C3380CC4-5D6E-409C-BE32-E72D297353CC}">
                <c16:uniqueId val="{00000193-84D0-4CCB-81EB-C95CE8D234FC}"/>
              </c:ext>
            </c:extLst>
          </c:dPt>
          <c:dPt>
            <c:idx val="266"/>
            <c:invertIfNegative val="0"/>
            <c:bubble3D val="0"/>
            <c:extLst>
              <c:ext xmlns:c16="http://schemas.microsoft.com/office/drawing/2014/chart" uri="{C3380CC4-5D6E-409C-BE32-E72D297353CC}">
                <c16:uniqueId val="{00000194-84D0-4CCB-81EB-C95CE8D234FC}"/>
              </c:ext>
            </c:extLst>
          </c:dPt>
          <c:dPt>
            <c:idx val="267"/>
            <c:invertIfNegative val="0"/>
            <c:bubble3D val="0"/>
            <c:extLst>
              <c:ext xmlns:c16="http://schemas.microsoft.com/office/drawing/2014/chart" uri="{C3380CC4-5D6E-409C-BE32-E72D297353CC}">
                <c16:uniqueId val="{00000195-84D0-4CCB-81EB-C95CE8D234FC}"/>
              </c:ext>
            </c:extLst>
          </c:dPt>
          <c:dPt>
            <c:idx val="268"/>
            <c:invertIfNegative val="0"/>
            <c:bubble3D val="0"/>
            <c:extLst>
              <c:ext xmlns:c16="http://schemas.microsoft.com/office/drawing/2014/chart" uri="{C3380CC4-5D6E-409C-BE32-E72D297353CC}">
                <c16:uniqueId val="{00000196-84D0-4CCB-81EB-C95CE8D234FC}"/>
              </c:ext>
            </c:extLst>
          </c:dPt>
          <c:dPt>
            <c:idx val="269"/>
            <c:invertIfNegative val="0"/>
            <c:bubble3D val="0"/>
            <c:extLst>
              <c:ext xmlns:c16="http://schemas.microsoft.com/office/drawing/2014/chart" uri="{C3380CC4-5D6E-409C-BE32-E72D297353CC}">
                <c16:uniqueId val="{00000197-84D0-4CCB-81EB-C95CE8D234FC}"/>
              </c:ext>
            </c:extLst>
          </c:dPt>
          <c:dPt>
            <c:idx val="270"/>
            <c:invertIfNegative val="0"/>
            <c:bubble3D val="0"/>
            <c:extLst>
              <c:ext xmlns:c16="http://schemas.microsoft.com/office/drawing/2014/chart" uri="{C3380CC4-5D6E-409C-BE32-E72D297353CC}">
                <c16:uniqueId val="{00000198-84D0-4CCB-81EB-C95CE8D234FC}"/>
              </c:ext>
            </c:extLst>
          </c:dPt>
          <c:dPt>
            <c:idx val="271"/>
            <c:invertIfNegative val="0"/>
            <c:bubble3D val="0"/>
            <c:extLst>
              <c:ext xmlns:c16="http://schemas.microsoft.com/office/drawing/2014/chart" uri="{C3380CC4-5D6E-409C-BE32-E72D297353CC}">
                <c16:uniqueId val="{00000199-84D0-4CCB-81EB-C95CE8D234FC}"/>
              </c:ext>
            </c:extLst>
          </c:dPt>
          <c:dPt>
            <c:idx val="272"/>
            <c:invertIfNegative val="0"/>
            <c:bubble3D val="0"/>
            <c:extLst>
              <c:ext xmlns:c16="http://schemas.microsoft.com/office/drawing/2014/chart" uri="{C3380CC4-5D6E-409C-BE32-E72D297353CC}">
                <c16:uniqueId val="{0000019A-84D0-4CCB-81EB-C95CE8D234FC}"/>
              </c:ext>
            </c:extLst>
          </c:dPt>
          <c:dPt>
            <c:idx val="273"/>
            <c:invertIfNegative val="0"/>
            <c:bubble3D val="0"/>
            <c:extLst>
              <c:ext xmlns:c16="http://schemas.microsoft.com/office/drawing/2014/chart" uri="{C3380CC4-5D6E-409C-BE32-E72D297353CC}">
                <c16:uniqueId val="{0000019B-84D0-4CCB-81EB-C95CE8D234FC}"/>
              </c:ext>
            </c:extLst>
          </c:dPt>
          <c:dPt>
            <c:idx val="274"/>
            <c:invertIfNegative val="0"/>
            <c:bubble3D val="0"/>
            <c:extLst>
              <c:ext xmlns:c16="http://schemas.microsoft.com/office/drawing/2014/chart" uri="{C3380CC4-5D6E-409C-BE32-E72D297353CC}">
                <c16:uniqueId val="{0000019C-84D0-4CCB-81EB-C95CE8D234FC}"/>
              </c:ext>
            </c:extLst>
          </c:dPt>
          <c:dPt>
            <c:idx val="275"/>
            <c:invertIfNegative val="0"/>
            <c:bubble3D val="0"/>
            <c:extLst>
              <c:ext xmlns:c16="http://schemas.microsoft.com/office/drawing/2014/chart" uri="{C3380CC4-5D6E-409C-BE32-E72D297353CC}">
                <c16:uniqueId val="{0000019D-84D0-4CCB-81EB-C95CE8D234FC}"/>
              </c:ext>
            </c:extLst>
          </c:dPt>
          <c:dPt>
            <c:idx val="276"/>
            <c:invertIfNegative val="0"/>
            <c:bubble3D val="0"/>
            <c:extLst>
              <c:ext xmlns:c16="http://schemas.microsoft.com/office/drawing/2014/chart" uri="{C3380CC4-5D6E-409C-BE32-E72D297353CC}">
                <c16:uniqueId val="{0000019E-84D0-4CCB-81EB-C95CE8D234FC}"/>
              </c:ext>
            </c:extLst>
          </c:dPt>
          <c:dPt>
            <c:idx val="277"/>
            <c:invertIfNegative val="0"/>
            <c:bubble3D val="0"/>
            <c:extLst>
              <c:ext xmlns:c16="http://schemas.microsoft.com/office/drawing/2014/chart" uri="{C3380CC4-5D6E-409C-BE32-E72D297353CC}">
                <c16:uniqueId val="{0000019F-84D0-4CCB-81EB-C95CE8D234FC}"/>
              </c:ext>
            </c:extLst>
          </c:dPt>
          <c:dPt>
            <c:idx val="278"/>
            <c:invertIfNegative val="0"/>
            <c:bubble3D val="0"/>
            <c:extLst>
              <c:ext xmlns:c16="http://schemas.microsoft.com/office/drawing/2014/chart" uri="{C3380CC4-5D6E-409C-BE32-E72D297353CC}">
                <c16:uniqueId val="{000001A0-84D0-4CCB-81EB-C95CE8D234FC}"/>
              </c:ext>
            </c:extLst>
          </c:dPt>
          <c:dPt>
            <c:idx val="279"/>
            <c:invertIfNegative val="0"/>
            <c:bubble3D val="0"/>
            <c:extLst>
              <c:ext xmlns:c16="http://schemas.microsoft.com/office/drawing/2014/chart" uri="{C3380CC4-5D6E-409C-BE32-E72D297353CC}">
                <c16:uniqueId val="{000001A1-84D0-4CCB-81EB-C95CE8D234FC}"/>
              </c:ext>
            </c:extLst>
          </c:dPt>
          <c:dPt>
            <c:idx val="280"/>
            <c:invertIfNegative val="0"/>
            <c:bubble3D val="0"/>
            <c:extLst>
              <c:ext xmlns:c16="http://schemas.microsoft.com/office/drawing/2014/chart" uri="{C3380CC4-5D6E-409C-BE32-E72D297353CC}">
                <c16:uniqueId val="{000001A2-84D0-4CCB-81EB-C95CE8D234FC}"/>
              </c:ext>
            </c:extLst>
          </c:dPt>
          <c:dPt>
            <c:idx val="281"/>
            <c:invertIfNegative val="0"/>
            <c:bubble3D val="0"/>
            <c:extLst>
              <c:ext xmlns:c16="http://schemas.microsoft.com/office/drawing/2014/chart" uri="{C3380CC4-5D6E-409C-BE32-E72D297353CC}">
                <c16:uniqueId val="{000001A3-84D0-4CCB-81EB-C95CE8D234FC}"/>
              </c:ext>
            </c:extLst>
          </c:dPt>
          <c:dPt>
            <c:idx val="282"/>
            <c:invertIfNegative val="0"/>
            <c:bubble3D val="0"/>
            <c:extLst>
              <c:ext xmlns:c16="http://schemas.microsoft.com/office/drawing/2014/chart" uri="{C3380CC4-5D6E-409C-BE32-E72D297353CC}">
                <c16:uniqueId val="{000001A4-84D0-4CCB-81EB-C95CE8D234FC}"/>
              </c:ext>
            </c:extLst>
          </c:dPt>
          <c:dPt>
            <c:idx val="283"/>
            <c:invertIfNegative val="0"/>
            <c:bubble3D val="0"/>
            <c:extLst>
              <c:ext xmlns:c16="http://schemas.microsoft.com/office/drawing/2014/chart" uri="{C3380CC4-5D6E-409C-BE32-E72D297353CC}">
                <c16:uniqueId val="{000001A5-84D0-4CCB-81EB-C95CE8D234FC}"/>
              </c:ext>
            </c:extLst>
          </c:dPt>
          <c:dPt>
            <c:idx val="284"/>
            <c:invertIfNegative val="0"/>
            <c:bubble3D val="0"/>
            <c:extLst>
              <c:ext xmlns:c16="http://schemas.microsoft.com/office/drawing/2014/chart" uri="{C3380CC4-5D6E-409C-BE32-E72D297353CC}">
                <c16:uniqueId val="{000001A6-84D0-4CCB-81EB-C95CE8D234FC}"/>
              </c:ext>
            </c:extLst>
          </c:dPt>
          <c:dPt>
            <c:idx val="285"/>
            <c:invertIfNegative val="0"/>
            <c:bubble3D val="0"/>
            <c:extLst>
              <c:ext xmlns:c16="http://schemas.microsoft.com/office/drawing/2014/chart" uri="{C3380CC4-5D6E-409C-BE32-E72D297353CC}">
                <c16:uniqueId val="{000001A7-84D0-4CCB-81EB-C95CE8D234FC}"/>
              </c:ext>
            </c:extLst>
          </c:dPt>
          <c:dPt>
            <c:idx val="286"/>
            <c:invertIfNegative val="0"/>
            <c:bubble3D val="0"/>
            <c:extLst>
              <c:ext xmlns:c16="http://schemas.microsoft.com/office/drawing/2014/chart" uri="{C3380CC4-5D6E-409C-BE32-E72D297353CC}">
                <c16:uniqueId val="{000001A8-84D0-4CCB-81EB-C95CE8D234FC}"/>
              </c:ext>
            </c:extLst>
          </c:dPt>
          <c:dPt>
            <c:idx val="287"/>
            <c:invertIfNegative val="0"/>
            <c:bubble3D val="0"/>
            <c:extLst>
              <c:ext xmlns:c16="http://schemas.microsoft.com/office/drawing/2014/chart" uri="{C3380CC4-5D6E-409C-BE32-E72D297353CC}">
                <c16:uniqueId val="{000001A9-84D0-4CCB-81EB-C95CE8D234FC}"/>
              </c:ext>
            </c:extLst>
          </c:dPt>
          <c:dPt>
            <c:idx val="288"/>
            <c:invertIfNegative val="0"/>
            <c:bubble3D val="0"/>
            <c:extLst>
              <c:ext xmlns:c16="http://schemas.microsoft.com/office/drawing/2014/chart" uri="{C3380CC4-5D6E-409C-BE32-E72D297353CC}">
                <c16:uniqueId val="{000001AA-84D0-4CCB-81EB-C95CE8D234FC}"/>
              </c:ext>
            </c:extLst>
          </c:dPt>
          <c:dPt>
            <c:idx val="289"/>
            <c:invertIfNegative val="0"/>
            <c:bubble3D val="0"/>
            <c:extLst>
              <c:ext xmlns:c16="http://schemas.microsoft.com/office/drawing/2014/chart" uri="{C3380CC4-5D6E-409C-BE32-E72D297353CC}">
                <c16:uniqueId val="{000001AB-84D0-4CCB-81EB-C95CE8D234FC}"/>
              </c:ext>
            </c:extLst>
          </c:dPt>
          <c:dPt>
            <c:idx val="290"/>
            <c:invertIfNegative val="0"/>
            <c:bubble3D val="0"/>
            <c:extLst>
              <c:ext xmlns:c16="http://schemas.microsoft.com/office/drawing/2014/chart" uri="{C3380CC4-5D6E-409C-BE32-E72D297353CC}">
                <c16:uniqueId val="{000001AC-84D0-4CCB-81EB-C95CE8D234FC}"/>
              </c:ext>
            </c:extLst>
          </c:dPt>
          <c:dPt>
            <c:idx val="291"/>
            <c:invertIfNegative val="0"/>
            <c:bubble3D val="0"/>
            <c:extLst>
              <c:ext xmlns:c16="http://schemas.microsoft.com/office/drawing/2014/chart" uri="{C3380CC4-5D6E-409C-BE32-E72D297353CC}">
                <c16:uniqueId val="{000001AD-84D0-4CCB-81EB-C95CE8D234FC}"/>
              </c:ext>
            </c:extLst>
          </c:dPt>
          <c:dPt>
            <c:idx val="292"/>
            <c:invertIfNegative val="0"/>
            <c:bubble3D val="0"/>
            <c:extLst>
              <c:ext xmlns:c16="http://schemas.microsoft.com/office/drawing/2014/chart" uri="{C3380CC4-5D6E-409C-BE32-E72D297353CC}">
                <c16:uniqueId val="{000001AE-84D0-4CCB-81EB-C95CE8D234FC}"/>
              </c:ext>
            </c:extLst>
          </c:dPt>
          <c:dPt>
            <c:idx val="293"/>
            <c:invertIfNegative val="0"/>
            <c:bubble3D val="0"/>
            <c:extLst>
              <c:ext xmlns:c16="http://schemas.microsoft.com/office/drawing/2014/chart" uri="{C3380CC4-5D6E-409C-BE32-E72D297353CC}">
                <c16:uniqueId val="{000001AF-84D0-4CCB-81EB-C95CE8D234FC}"/>
              </c:ext>
            </c:extLst>
          </c:dPt>
          <c:dPt>
            <c:idx val="294"/>
            <c:invertIfNegative val="0"/>
            <c:bubble3D val="0"/>
            <c:extLst>
              <c:ext xmlns:c16="http://schemas.microsoft.com/office/drawing/2014/chart" uri="{C3380CC4-5D6E-409C-BE32-E72D297353CC}">
                <c16:uniqueId val="{000001B0-84D0-4CCB-81EB-C95CE8D234FC}"/>
              </c:ext>
            </c:extLst>
          </c:dPt>
          <c:dPt>
            <c:idx val="295"/>
            <c:invertIfNegative val="0"/>
            <c:bubble3D val="0"/>
            <c:extLst>
              <c:ext xmlns:c16="http://schemas.microsoft.com/office/drawing/2014/chart" uri="{C3380CC4-5D6E-409C-BE32-E72D297353CC}">
                <c16:uniqueId val="{000001B1-84D0-4CCB-81EB-C95CE8D234FC}"/>
              </c:ext>
            </c:extLst>
          </c:dPt>
          <c:dPt>
            <c:idx val="296"/>
            <c:invertIfNegative val="0"/>
            <c:bubble3D val="0"/>
            <c:extLst>
              <c:ext xmlns:c16="http://schemas.microsoft.com/office/drawing/2014/chart" uri="{C3380CC4-5D6E-409C-BE32-E72D297353CC}">
                <c16:uniqueId val="{000001B2-84D0-4CCB-81EB-C95CE8D234FC}"/>
              </c:ext>
            </c:extLst>
          </c:dPt>
          <c:dPt>
            <c:idx val="297"/>
            <c:invertIfNegative val="0"/>
            <c:bubble3D val="0"/>
            <c:extLst>
              <c:ext xmlns:c16="http://schemas.microsoft.com/office/drawing/2014/chart" uri="{C3380CC4-5D6E-409C-BE32-E72D297353CC}">
                <c16:uniqueId val="{000001B3-84D0-4CCB-81EB-C95CE8D234FC}"/>
              </c:ext>
            </c:extLst>
          </c:dPt>
          <c:dPt>
            <c:idx val="298"/>
            <c:invertIfNegative val="0"/>
            <c:bubble3D val="0"/>
            <c:extLst>
              <c:ext xmlns:c16="http://schemas.microsoft.com/office/drawing/2014/chart" uri="{C3380CC4-5D6E-409C-BE32-E72D297353CC}">
                <c16:uniqueId val="{000001B4-84D0-4CCB-81EB-C95CE8D234FC}"/>
              </c:ext>
            </c:extLst>
          </c:dPt>
          <c:dPt>
            <c:idx val="299"/>
            <c:invertIfNegative val="0"/>
            <c:bubble3D val="0"/>
            <c:extLst>
              <c:ext xmlns:c16="http://schemas.microsoft.com/office/drawing/2014/chart" uri="{C3380CC4-5D6E-409C-BE32-E72D297353CC}">
                <c16:uniqueId val="{000001B5-84D0-4CCB-81EB-C95CE8D234FC}"/>
              </c:ext>
            </c:extLst>
          </c:dPt>
          <c:dPt>
            <c:idx val="300"/>
            <c:invertIfNegative val="0"/>
            <c:bubble3D val="0"/>
            <c:extLst>
              <c:ext xmlns:c16="http://schemas.microsoft.com/office/drawing/2014/chart" uri="{C3380CC4-5D6E-409C-BE32-E72D297353CC}">
                <c16:uniqueId val="{000001B6-84D0-4CCB-81EB-C95CE8D234FC}"/>
              </c:ext>
            </c:extLst>
          </c:dPt>
          <c:dPt>
            <c:idx val="301"/>
            <c:invertIfNegative val="0"/>
            <c:bubble3D val="0"/>
            <c:extLst>
              <c:ext xmlns:c16="http://schemas.microsoft.com/office/drawing/2014/chart" uri="{C3380CC4-5D6E-409C-BE32-E72D297353CC}">
                <c16:uniqueId val="{000001B7-84D0-4CCB-81EB-C95CE8D234FC}"/>
              </c:ext>
            </c:extLst>
          </c:dPt>
          <c:dPt>
            <c:idx val="302"/>
            <c:invertIfNegative val="0"/>
            <c:bubble3D val="0"/>
            <c:extLst>
              <c:ext xmlns:c16="http://schemas.microsoft.com/office/drawing/2014/chart" uri="{C3380CC4-5D6E-409C-BE32-E72D297353CC}">
                <c16:uniqueId val="{000001B8-84D0-4CCB-81EB-C95CE8D234FC}"/>
              </c:ext>
            </c:extLst>
          </c:dPt>
          <c:dPt>
            <c:idx val="303"/>
            <c:invertIfNegative val="0"/>
            <c:bubble3D val="0"/>
            <c:extLst>
              <c:ext xmlns:c16="http://schemas.microsoft.com/office/drawing/2014/chart" uri="{C3380CC4-5D6E-409C-BE32-E72D297353CC}">
                <c16:uniqueId val="{000001B9-84D0-4CCB-81EB-C95CE8D234FC}"/>
              </c:ext>
            </c:extLst>
          </c:dPt>
          <c:dPt>
            <c:idx val="304"/>
            <c:invertIfNegative val="0"/>
            <c:bubble3D val="0"/>
            <c:extLst>
              <c:ext xmlns:c16="http://schemas.microsoft.com/office/drawing/2014/chart" uri="{C3380CC4-5D6E-409C-BE32-E72D297353CC}">
                <c16:uniqueId val="{000001BA-84D0-4CCB-81EB-C95CE8D234FC}"/>
              </c:ext>
            </c:extLst>
          </c:dPt>
          <c:dPt>
            <c:idx val="305"/>
            <c:invertIfNegative val="0"/>
            <c:bubble3D val="0"/>
            <c:extLst>
              <c:ext xmlns:c16="http://schemas.microsoft.com/office/drawing/2014/chart" uri="{C3380CC4-5D6E-409C-BE32-E72D297353CC}">
                <c16:uniqueId val="{000001BB-84D0-4CCB-81EB-C95CE8D234FC}"/>
              </c:ext>
            </c:extLst>
          </c:dPt>
          <c:dPt>
            <c:idx val="306"/>
            <c:invertIfNegative val="0"/>
            <c:bubble3D val="0"/>
            <c:extLst>
              <c:ext xmlns:c16="http://schemas.microsoft.com/office/drawing/2014/chart" uri="{C3380CC4-5D6E-409C-BE32-E72D297353CC}">
                <c16:uniqueId val="{000001BC-84D0-4CCB-81EB-C95CE8D234FC}"/>
              </c:ext>
            </c:extLst>
          </c:dPt>
          <c:dPt>
            <c:idx val="307"/>
            <c:invertIfNegative val="0"/>
            <c:bubble3D val="0"/>
            <c:extLst>
              <c:ext xmlns:c16="http://schemas.microsoft.com/office/drawing/2014/chart" uri="{C3380CC4-5D6E-409C-BE32-E72D297353CC}">
                <c16:uniqueId val="{000001BD-84D0-4CCB-81EB-C95CE8D234FC}"/>
              </c:ext>
            </c:extLst>
          </c:dPt>
          <c:dPt>
            <c:idx val="308"/>
            <c:invertIfNegative val="0"/>
            <c:bubble3D val="0"/>
            <c:extLst>
              <c:ext xmlns:c16="http://schemas.microsoft.com/office/drawing/2014/chart" uri="{C3380CC4-5D6E-409C-BE32-E72D297353CC}">
                <c16:uniqueId val="{000001BE-84D0-4CCB-81EB-C95CE8D234FC}"/>
              </c:ext>
            </c:extLst>
          </c:dPt>
          <c:dPt>
            <c:idx val="309"/>
            <c:invertIfNegative val="0"/>
            <c:bubble3D val="0"/>
            <c:extLst>
              <c:ext xmlns:c16="http://schemas.microsoft.com/office/drawing/2014/chart" uri="{C3380CC4-5D6E-409C-BE32-E72D297353CC}">
                <c16:uniqueId val="{000001BF-84D0-4CCB-81EB-C95CE8D234FC}"/>
              </c:ext>
            </c:extLst>
          </c:dPt>
          <c:dPt>
            <c:idx val="310"/>
            <c:invertIfNegative val="0"/>
            <c:bubble3D val="0"/>
            <c:extLst>
              <c:ext xmlns:c16="http://schemas.microsoft.com/office/drawing/2014/chart" uri="{C3380CC4-5D6E-409C-BE32-E72D297353CC}">
                <c16:uniqueId val="{000001C0-84D0-4CCB-81EB-C95CE8D234FC}"/>
              </c:ext>
            </c:extLst>
          </c:dPt>
          <c:dPt>
            <c:idx val="311"/>
            <c:invertIfNegative val="0"/>
            <c:bubble3D val="0"/>
            <c:extLst>
              <c:ext xmlns:c16="http://schemas.microsoft.com/office/drawing/2014/chart" uri="{C3380CC4-5D6E-409C-BE32-E72D297353CC}">
                <c16:uniqueId val="{000001C1-84D0-4CCB-81EB-C95CE8D234FC}"/>
              </c:ext>
            </c:extLst>
          </c:dPt>
          <c:dPt>
            <c:idx val="312"/>
            <c:invertIfNegative val="0"/>
            <c:bubble3D val="0"/>
            <c:extLst>
              <c:ext xmlns:c16="http://schemas.microsoft.com/office/drawing/2014/chart" uri="{C3380CC4-5D6E-409C-BE32-E72D297353CC}">
                <c16:uniqueId val="{000001C2-84D0-4CCB-81EB-C95CE8D234FC}"/>
              </c:ext>
            </c:extLst>
          </c:dPt>
          <c:dPt>
            <c:idx val="313"/>
            <c:invertIfNegative val="0"/>
            <c:bubble3D val="0"/>
            <c:extLst>
              <c:ext xmlns:c16="http://schemas.microsoft.com/office/drawing/2014/chart" uri="{C3380CC4-5D6E-409C-BE32-E72D297353CC}">
                <c16:uniqueId val="{000001C3-84D0-4CCB-81EB-C95CE8D234FC}"/>
              </c:ext>
            </c:extLst>
          </c:dPt>
          <c:dPt>
            <c:idx val="314"/>
            <c:invertIfNegative val="0"/>
            <c:bubble3D val="0"/>
            <c:extLst>
              <c:ext xmlns:c16="http://schemas.microsoft.com/office/drawing/2014/chart" uri="{C3380CC4-5D6E-409C-BE32-E72D297353CC}">
                <c16:uniqueId val="{000001C4-84D0-4CCB-81EB-C95CE8D234FC}"/>
              </c:ext>
            </c:extLst>
          </c:dPt>
          <c:dPt>
            <c:idx val="315"/>
            <c:invertIfNegative val="0"/>
            <c:bubble3D val="0"/>
            <c:extLst>
              <c:ext xmlns:c16="http://schemas.microsoft.com/office/drawing/2014/chart" uri="{C3380CC4-5D6E-409C-BE32-E72D297353CC}">
                <c16:uniqueId val="{000001C5-84D0-4CCB-81EB-C95CE8D234FC}"/>
              </c:ext>
            </c:extLst>
          </c:dPt>
          <c:dPt>
            <c:idx val="316"/>
            <c:invertIfNegative val="0"/>
            <c:bubble3D val="0"/>
            <c:extLst>
              <c:ext xmlns:c16="http://schemas.microsoft.com/office/drawing/2014/chart" uri="{C3380CC4-5D6E-409C-BE32-E72D297353CC}">
                <c16:uniqueId val="{000001C6-84D0-4CCB-81EB-C95CE8D234FC}"/>
              </c:ext>
            </c:extLst>
          </c:dPt>
          <c:dPt>
            <c:idx val="317"/>
            <c:invertIfNegative val="0"/>
            <c:bubble3D val="0"/>
            <c:extLst>
              <c:ext xmlns:c16="http://schemas.microsoft.com/office/drawing/2014/chart" uri="{C3380CC4-5D6E-409C-BE32-E72D297353CC}">
                <c16:uniqueId val="{000001C7-84D0-4CCB-81EB-C95CE8D234FC}"/>
              </c:ext>
            </c:extLst>
          </c:dPt>
          <c:dPt>
            <c:idx val="318"/>
            <c:invertIfNegative val="0"/>
            <c:bubble3D val="0"/>
            <c:extLst>
              <c:ext xmlns:c16="http://schemas.microsoft.com/office/drawing/2014/chart" uri="{C3380CC4-5D6E-409C-BE32-E72D297353CC}">
                <c16:uniqueId val="{000001C8-84D0-4CCB-81EB-C95CE8D234FC}"/>
              </c:ext>
            </c:extLst>
          </c:dPt>
          <c:dPt>
            <c:idx val="319"/>
            <c:invertIfNegative val="0"/>
            <c:bubble3D val="0"/>
            <c:extLst>
              <c:ext xmlns:c16="http://schemas.microsoft.com/office/drawing/2014/chart" uri="{C3380CC4-5D6E-409C-BE32-E72D297353CC}">
                <c16:uniqueId val="{000001C9-84D0-4CCB-81EB-C95CE8D234FC}"/>
              </c:ext>
            </c:extLst>
          </c:dPt>
          <c:dPt>
            <c:idx val="320"/>
            <c:invertIfNegative val="0"/>
            <c:bubble3D val="0"/>
            <c:extLst>
              <c:ext xmlns:c16="http://schemas.microsoft.com/office/drawing/2014/chart" uri="{C3380CC4-5D6E-409C-BE32-E72D297353CC}">
                <c16:uniqueId val="{000001CA-84D0-4CCB-81EB-C95CE8D234FC}"/>
              </c:ext>
            </c:extLst>
          </c:dPt>
          <c:dPt>
            <c:idx val="321"/>
            <c:invertIfNegative val="0"/>
            <c:bubble3D val="0"/>
            <c:extLst>
              <c:ext xmlns:c16="http://schemas.microsoft.com/office/drawing/2014/chart" uri="{C3380CC4-5D6E-409C-BE32-E72D297353CC}">
                <c16:uniqueId val="{000001CB-84D0-4CCB-81EB-C95CE8D234FC}"/>
              </c:ext>
            </c:extLst>
          </c:dPt>
          <c:dPt>
            <c:idx val="322"/>
            <c:invertIfNegative val="0"/>
            <c:bubble3D val="0"/>
            <c:extLst>
              <c:ext xmlns:c16="http://schemas.microsoft.com/office/drawing/2014/chart" uri="{C3380CC4-5D6E-409C-BE32-E72D297353CC}">
                <c16:uniqueId val="{000001CC-84D0-4CCB-81EB-C95CE8D234FC}"/>
              </c:ext>
            </c:extLst>
          </c:dPt>
          <c:dPt>
            <c:idx val="323"/>
            <c:invertIfNegative val="0"/>
            <c:bubble3D val="0"/>
            <c:extLst>
              <c:ext xmlns:c16="http://schemas.microsoft.com/office/drawing/2014/chart" uri="{C3380CC4-5D6E-409C-BE32-E72D297353CC}">
                <c16:uniqueId val="{000001CD-84D0-4CCB-81EB-C95CE8D234FC}"/>
              </c:ext>
            </c:extLst>
          </c:dPt>
          <c:dPt>
            <c:idx val="324"/>
            <c:invertIfNegative val="0"/>
            <c:bubble3D val="0"/>
            <c:extLst>
              <c:ext xmlns:c16="http://schemas.microsoft.com/office/drawing/2014/chart" uri="{C3380CC4-5D6E-409C-BE32-E72D297353CC}">
                <c16:uniqueId val="{000001CE-84D0-4CCB-81EB-C95CE8D234FC}"/>
              </c:ext>
            </c:extLst>
          </c:dPt>
          <c:dPt>
            <c:idx val="325"/>
            <c:invertIfNegative val="0"/>
            <c:bubble3D val="0"/>
            <c:extLst>
              <c:ext xmlns:c16="http://schemas.microsoft.com/office/drawing/2014/chart" uri="{C3380CC4-5D6E-409C-BE32-E72D297353CC}">
                <c16:uniqueId val="{000001CF-84D0-4CCB-81EB-C95CE8D234FC}"/>
              </c:ext>
            </c:extLst>
          </c:dPt>
          <c:dPt>
            <c:idx val="326"/>
            <c:invertIfNegative val="0"/>
            <c:bubble3D val="0"/>
            <c:extLst>
              <c:ext xmlns:c16="http://schemas.microsoft.com/office/drawing/2014/chart" uri="{C3380CC4-5D6E-409C-BE32-E72D297353CC}">
                <c16:uniqueId val="{000001D0-84D0-4CCB-81EB-C95CE8D234FC}"/>
              </c:ext>
            </c:extLst>
          </c:dPt>
          <c:dPt>
            <c:idx val="327"/>
            <c:invertIfNegative val="0"/>
            <c:bubble3D val="0"/>
            <c:extLst>
              <c:ext xmlns:c16="http://schemas.microsoft.com/office/drawing/2014/chart" uri="{C3380CC4-5D6E-409C-BE32-E72D297353CC}">
                <c16:uniqueId val="{000001D1-84D0-4CCB-81EB-C95CE8D234FC}"/>
              </c:ext>
            </c:extLst>
          </c:dPt>
          <c:dPt>
            <c:idx val="328"/>
            <c:invertIfNegative val="0"/>
            <c:bubble3D val="0"/>
            <c:extLst>
              <c:ext xmlns:c16="http://schemas.microsoft.com/office/drawing/2014/chart" uri="{C3380CC4-5D6E-409C-BE32-E72D297353CC}">
                <c16:uniqueId val="{000001D2-84D0-4CCB-81EB-C95CE8D234FC}"/>
              </c:ext>
            </c:extLst>
          </c:dPt>
          <c:dPt>
            <c:idx val="329"/>
            <c:invertIfNegative val="0"/>
            <c:bubble3D val="0"/>
            <c:extLst>
              <c:ext xmlns:c16="http://schemas.microsoft.com/office/drawing/2014/chart" uri="{C3380CC4-5D6E-409C-BE32-E72D297353CC}">
                <c16:uniqueId val="{000001D3-84D0-4CCB-81EB-C95CE8D234FC}"/>
              </c:ext>
            </c:extLst>
          </c:dPt>
          <c:dPt>
            <c:idx val="330"/>
            <c:invertIfNegative val="0"/>
            <c:bubble3D val="0"/>
            <c:extLst>
              <c:ext xmlns:c16="http://schemas.microsoft.com/office/drawing/2014/chart" uri="{C3380CC4-5D6E-409C-BE32-E72D297353CC}">
                <c16:uniqueId val="{000001D4-84D0-4CCB-81EB-C95CE8D234FC}"/>
              </c:ext>
            </c:extLst>
          </c:dPt>
          <c:dPt>
            <c:idx val="331"/>
            <c:invertIfNegative val="0"/>
            <c:bubble3D val="0"/>
            <c:extLst>
              <c:ext xmlns:c16="http://schemas.microsoft.com/office/drawing/2014/chart" uri="{C3380CC4-5D6E-409C-BE32-E72D297353CC}">
                <c16:uniqueId val="{000001D5-84D0-4CCB-81EB-C95CE8D234FC}"/>
              </c:ext>
            </c:extLst>
          </c:dPt>
          <c:dPt>
            <c:idx val="332"/>
            <c:invertIfNegative val="0"/>
            <c:bubble3D val="0"/>
            <c:extLst>
              <c:ext xmlns:c16="http://schemas.microsoft.com/office/drawing/2014/chart" uri="{C3380CC4-5D6E-409C-BE32-E72D297353CC}">
                <c16:uniqueId val="{000001D6-84D0-4CCB-81EB-C95CE8D234FC}"/>
              </c:ext>
            </c:extLst>
          </c:dPt>
          <c:dPt>
            <c:idx val="333"/>
            <c:invertIfNegative val="0"/>
            <c:bubble3D val="0"/>
            <c:extLst>
              <c:ext xmlns:c16="http://schemas.microsoft.com/office/drawing/2014/chart" uri="{C3380CC4-5D6E-409C-BE32-E72D297353CC}">
                <c16:uniqueId val="{000001D7-84D0-4CCB-81EB-C95CE8D234FC}"/>
              </c:ext>
            </c:extLst>
          </c:dPt>
          <c:dPt>
            <c:idx val="334"/>
            <c:invertIfNegative val="0"/>
            <c:bubble3D val="0"/>
            <c:extLst>
              <c:ext xmlns:c16="http://schemas.microsoft.com/office/drawing/2014/chart" uri="{C3380CC4-5D6E-409C-BE32-E72D297353CC}">
                <c16:uniqueId val="{000001D8-84D0-4CCB-81EB-C95CE8D234FC}"/>
              </c:ext>
            </c:extLst>
          </c:dPt>
          <c:dPt>
            <c:idx val="335"/>
            <c:invertIfNegative val="0"/>
            <c:bubble3D val="0"/>
            <c:extLst>
              <c:ext xmlns:c16="http://schemas.microsoft.com/office/drawing/2014/chart" uri="{C3380CC4-5D6E-409C-BE32-E72D297353CC}">
                <c16:uniqueId val="{000001D9-84D0-4CCB-81EB-C95CE8D234FC}"/>
              </c:ext>
            </c:extLst>
          </c:dPt>
          <c:dPt>
            <c:idx val="336"/>
            <c:invertIfNegative val="0"/>
            <c:bubble3D val="0"/>
            <c:extLst>
              <c:ext xmlns:c16="http://schemas.microsoft.com/office/drawing/2014/chart" uri="{C3380CC4-5D6E-409C-BE32-E72D297353CC}">
                <c16:uniqueId val="{000001DA-84D0-4CCB-81EB-C95CE8D234FC}"/>
              </c:ext>
            </c:extLst>
          </c:dPt>
          <c:dPt>
            <c:idx val="337"/>
            <c:invertIfNegative val="0"/>
            <c:bubble3D val="0"/>
            <c:extLst>
              <c:ext xmlns:c16="http://schemas.microsoft.com/office/drawing/2014/chart" uri="{C3380CC4-5D6E-409C-BE32-E72D297353CC}">
                <c16:uniqueId val="{000001DB-84D0-4CCB-81EB-C95CE8D234FC}"/>
              </c:ext>
            </c:extLst>
          </c:dPt>
          <c:dPt>
            <c:idx val="338"/>
            <c:invertIfNegative val="0"/>
            <c:bubble3D val="0"/>
            <c:extLst>
              <c:ext xmlns:c16="http://schemas.microsoft.com/office/drawing/2014/chart" uri="{C3380CC4-5D6E-409C-BE32-E72D297353CC}">
                <c16:uniqueId val="{000001DC-84D0-4CCB-81EB-C95CE8D234FC}"/>
              </c:ext>
            </c:extLst>
          </c:dPt>
          <c:dPt>
            <c:idx val="339"/>
            <c:invertIfNegative val="0"/>
            <c:bubble3D val="0"/>
            <c:extLst>
              <c:ext xmlns:c16="http://schemas.microsoft.com/office/drawing/2014/chart" uri="{C3380CC4-5D6E-409C-BE32-E72D297353CC}">
                <c16:uniqueId val="{000001DD-84D0-4CCB-81EB-C95CE8D234FC}"/>
              </c:ext>
            </c:extLst>
          </c:dPt>
          <c:dPt>
            <c:idx val="340"/>
            <c:invertIfNegative val="0"/>
            <c:bubble3D val="0"/>
            <c:extLst>
              <c:ext xmlns:c16="http://schemas.microsoft.com/office/drawing/2014/chart" uri="{C3380CC4-5D6E-409C-BE32-E72D297353CC}">
                <c16:uniqueId val="{000001DE-84D0-4CCB-81EB-C95CE8D234FC}"/>
              </c:ext>
            </c:extLst>
          </c:dPt>
          <c:dPt>
            <c:idx val="341"/>
            <c:invertIfNegative val="0"/>
            <c:bubble3D val="0"/>
            <c:extLst>
              <c:ext xmlns:c16="http://schemas.microsoft.com/office/drawing/2014/chart" uri="{C3380CC4-5D6E-409C-BE32-E72D297353CC}">
                <c16:uniqueId val="{000001DF-84D0-4CCB-81EB-C95CE8D234FC}"/>
              </c:ext>
            </c:extLst>
          </c:dPt>
          <c:dPt>
            <c:idx val="342"/>
            <c:invertIfNegative val="0"/>
            <c:bubble3D val="0"/>
            <c:extLst>
              <c:ext xmlns:c16="http://schemas.microsoft.com/office/drawing/2014/chart" uri="{C3380CC4-5D6E-409C-BE32-E72D297353CC}">
                <c16:uniqueId val="{000001E0-84D0-4CCB-81EB-C95CE8D234FC}"/>
              </c:ext>
            </c:extLst>
          </c:dPt>
          <c:dPt>
            <c:idx val="343"/>
            <c:invertIfNegative val="0"/>
            <c:bubble3D val="0"/>
            <c:extLst>
              <c:ext xmlns:c16="http://schemas.microsoft.com/office/drawing/2014/chart" uri="{C3380CC4-5D6E-409C-BE32-E72D297353CC}">
                <c16:uniqueId val="{000001E1-84D0-4CCB-81EB-C95CE8D234FC}"/>
              </c:ext>
            </c:extLst>
          </c:dPt>
          <c:dPt>
            <c:idx val="344"/>
            <c:invertIfNegative val="0"/>
            <c:bubble3D val="0"/>
            <c:extLst>
              <c:ext xmlns:c16="http://schemas.microsoft.com/office/drawing/2014/chart" uri="{C3380CC4-5D6E-409C-BE32-E72D297353CC}">
                <c16:uniqueId val="{000001E2-84D0-4CCB-81EB-C95CE8D234FC}"/>
              </c:ext>
            </c:extLst>
          </c:dPt>
          <c:dPt>
            <c:idx val="345"/>
            <c:invertIfNegative val="0"/>
            <c:bubble3D val="0"/>
            <c:extLst>
              <c:ext xmlns:c16="http://schemas.microsoft.com/office/drawing/2014/chart" uri="{C3380CC4-5D6E-409C-BE32-E72D297353CC}">
                <c16:uniqueId val="{000001E3-84D0-4CCB-81EB-C95CE8D234FC}"/>
              </c:ext>
            </c:extLst>
          </c:dPt>
          <c:dPt>
            <c:idx val="346"/>
            <c:invertIfNegative val="0"/>
            <c:bubble3D val="0"/>
            <c:extLst>
              <c:ext xmlns:c16="http://schemas.microsoft.com/office/drawing/2014/chart" uri="{C3380CC4-5D6E-409C-BE32-E72D297353CC}">
                <c16:uniqueId val="{000001E4-84D0-4CCB-81EB-C95CE8D234FC}"/>
              </c:ext>
            </c:extLst>
          </c:dPt>
          <c:dPt>
            <c:idx val="347"/>
            <c:invertIfNegative val="0"/>
            <c:bubble3D val="0"/>
            <c:extLst>
              <c:ext xmlns:c16="http://schemas.microsoft.com/office/drawing/2014/chart" uri="{C3380CC4-5D6E-409C-BE32-E72D297353CC}">
                <c16:uniqueId val="{000001E5-84D0-4CCB-81EB-C95CE8D234FC}"/>
              </c:ext>
            </c:extLst>
          </c:dPt>
          <c:dPt>
            <c:idx val="348"/>
            <c:invertIfNegative val="0"/>
            <c:bubble3D val="0"/>
            <c:extLst>
              <c:ext xmlns:c16="http://schemas.microsoft.com/office/drawing/2014/chart" uri="{C3380CC4-5D6E-409C-BE32-E72D297353CC}">
                <c16:uniqueId val="{000001E6-84D0-4CCB-81EB-C95CE8D234FC}"/>
              </c:ext>
            </c:extLst>
          </c:dPt>
          <c:dPt>
            <c:idx val="349"/>
            <c:invertIfNegative val="0"/>
            <c:bubble3D val="0"/>
            <c:extLst>
              <c:ext xmlns:c16="http://schemas.microsoft.com/office/drawing/2014/chart" uri="{C3380CC4-5D6E-409C-BE32-E72D297353CC}">
                <c16:uniqueId val="{000001E7-84D0-4CCB-81EB-C95CE8D234FC}"/>
              </c:ext>
            </c:extLst>
          </c:dPt>
          <c:dPt>
            <c:idx val="350"/>
            <c:invertIfNegative val="0"/>
            <c:bubble3D val="0"/>
            <c:extLst>
              <c:ext xmlns:c16="http://schemas.microsoft.com/office/drawing/2014/chart" uri="{C3380CC4-5D6E-409C-BE32-E72D297353CC}">
                <c16:uniqueId val="{000001E8-84D0-4CCB-81EB-C95CE8D234FC}"/>
              </c:ext>
            </c:extLst>
          </c:dPt>
          <c:dPt>
            <c:idx val="351"/>
            <c:invertIfNegative val="0"/>
            <c:bubble3D val="0"/>
            <c:extLst>
              <c:ext xmlns:c16="http://schemas.microsoft.com/office/drawing/2014/chart" uri="{C3380CC4-5D6E-409C-BE32-E72D297353CC}">
                <c16:uniqueId val="{000001E9-84D0-4CCB-81EB-C95CE8D234FC}"/>
              </c:ext>
            </c:extLst>
          </c:dPt>
          <c:dPt>
            <c:idx val="352"/>
            <c:invertIfNegative val="0"/>
            <c:bubble3D val="0"/>
            <c:extLst>
              <c:ext xmlns:c16="http://schemas.microsoft.com/office/drawing/2014/chart" uri="{C3380CC4-5D6E-409C-BE32-E72D297353CC}">
                <c16:uniqueId val="{000001EA-84D0-4CCB-81EB-C95CE8D234FC}"/>
              </c:ext>
            </c:extLst>
          </c:dPt>
          <c:dPt>
            <c:idx val="353"/>
            <c:invertIfNegative val="0"/>
            <c:bubble3D val="0"/>
            <c:extLst>
              <c:ext xmlns:c16="http://schemas.microsoft.com/office/drawing/2014/chart" uri="{C3380CC4-5D6E-409C-BE32-E72D297353CC}">
                <c16:uniqueId val="{000001EB-84D0-4CCB-81EB-C95CE8D234FC}"/>
              </c:ext>
            </c:extLst>
          </c:dPt>
          <c:dPt>
            <c:idx val="354"/>
            <c:invertIfNegative val="0"/>
            <c:bubble3D val="0"/>
            <c:extLst>
              <c:ext xmlns:c16="http://schemas.microsoft.com/office/drawing/2014/chart" uri="{C3380CC4-5D6E-409C-BE32-E72D297353CC}">
                <c16:uniqueId val="{000001EC-84D0-4CCB-81EB-C95CE8D234FC}"/>
              </c:ext>
            </c:extLst>
          </c:dPt>
          <c:dPt>
            <c:idx val="355"/>
            <c:invertIfNegative val="0"/>
            <c:bubble3D val="0"/>
            <c:extLst>
              <c:ext xmlns:c16="http://schemas.microsoft.com/office/drawing/2014/chart" uri="{C3380CC4-5D6E-409C-BE32-E72D297353CC}">
                <c16:uniqueId val="{000001ED-84D0-4CCB-81EB-C95CE8D234FC}"/>
              </c:ext>
            </c:extLst>
          </c:dPt>
          <c:dPt>
            <c:idx val="356"/>
            <c:invertIfNegative val="0"/>
            <c:bubble3D val="0"/>
            <c:extLst>
              <c:ext xmlns:c16="http://schemas.microsoft.com/office/drawing/2014/chart" uri="{C3380CC4-5D6E-409C-BE32-E72D297353CC}">
                <c16:uniqueId val="{000001EE-84D0-4CCB-81EB-C95CE8D234FC}"/>
              </c:ext>
            </c:extLst>
          </c:dPt>
          <c:dPt>
            <c:idx val="357"/>
            <c:invertIfNegative val="0"/>
            <c:bubble3D val="0"/>
            <c:extLst>
              <c:ext xmlns:c16="http://schemas.microsoft.com/office/drawing/2014/chart" uri="{C3380CC4-5D6E-409C-BE32-E72D297353CC}">
                <c16:uniqueId val="{000001EF-84D0-4CCB-81EB-C95CE8D234FC}"/>
              </c:ext>
            </c:extLst>
          </c:dPt>
          <c:dPt>
            <c:idx val="358"/>
            <c:invertIfNegative val="0"/>
            <c:bubble3D val="0"/>
            <c:extLst>
              <c:ext xmlns:c16="http://schemas.microsoft.com/office/drawing/2014/chart" uri="{C3380CC4-5D6E-409C-BE32-E72D297353CC}">
                <c16:uniqueId val="{000001F0-84D0-4CCB-81EB-C95CE8D234FC}"/>
              </c:ext>
            </c:extLst>
          </c:dPt>
          <c:dPt>
            <c:idx val="359"/>
            <c:invertIfNegative val="0"/>
            <c:bubble3D val="0"/>
            <c:extLst>
              <c:ext xmlns:c16="http://schemas.microsoft.com/office/drawing/2014/chart" uri="{C3380CC4-5D6E-409C-BE32-E72D297353CC}">
                <c16:uniqueId val="{000001F1-84D0-4CCB-81EB-C95CE8D234FC}"/>
              </c:ext>
            </c:extLst>
          </c:dPt>
          <c:dPt>
            <c:idx val="360"/>
            <c:invertIfNegative val="0"/>
            <c:bubble3D val="0"/>
            <c:extLst>
              <c:ext xmlns:c16="http://schemas.microsoft.com/office/drawing/2014/chart" uri="{C3380CC4-5D6E-409C-BE32-E72D297353CC}">
                <c16:uniqueId val="{000001F2-84D0-4CCB-81EB-C95CE8D234FC}"/>
              </c:ext>
            </c:extLst>
          </c:dPt>
          <c:dPt>
            <c:idx val="361"/>
            <c:invertIfNegative val="0"/>
            <c:bubble3D val="0"/>
            <c:extLst>
              <c:ext xmlns:c16="http://schemas.microsoft.com/office/drawing/2014/chart" uri="{C3380CC4-5D6E-409C-BE32-E72D297353CC}">
                <c16:uniqueId val="{000001F3-84D0-4CCB-81EB-C95CE8D234FC}"/>
              </c:ext>
            </c:extLst>
          </c:dPt>
          <c:dPt>
            <c:idx val="362"/>
            <c:invertIfNegative val="0"/>
            <c:bubble3D val="0"/>
            <c:extLst>
              <c:ext xmlns:c16="http://schemas.microsoft.com/office/drawing/2014/chart" uri="{C3380CC4-5D6E-409C-BE32-E72D297353CC}">
                <c16:uniqueId val="{000001F4-84D0-4CCB-81EB-C95CE8D234FC}"/>
              </c:ext>
            </c:extLst>
          </c:dPt>
          <c:dPt>
            <c:idx val="363"/>
            <c:invertIfNegative val="0"/>
            <c:bubble3D val="0"/>
            <c:extLst>
              <c:ext xmlns:c16="http://schemas.microsoft.com/office/drawing/2014/chart" uri="{C3380CC4-5D6E-409C-BE32-E72D297353CC}">
                <c16:uniqueId val="{000001F5-84D0-4CCB-81EB-C95CE8D234FC}"/>
              </c:ext>
            </c:extLst>
          </c:dPt>
          <c:dPt>
            <c:idx val="364"/>
            <c:invertIfNegative val="0"/>
            <c:bubble3D val="0"/>
            <c:extLst>
              <c:ext xmlns:c16="http://schemas.microsoft.com/office/drawing/2014/chart" uri="{C3380CC4-5D6E-409C-BE32-E72D297353CC}">
                <c16:uniqueId val="{000001F6-84D0-4CCB-81EB-C95CE8D234FC}"/>
              </c:ext>
            </c:extLst>
          </c:dPt>
          <c:dPt>
            <c:idx val="365"/>
            <c:invertIfNegative val="0"/>
            <c:bubble3D val="0"/>
            <c:extLst>
              <c:ext xmlns:c16="http://schemas.microsoft.com/office/drawing/2014/chart" uri="{C3380CC4-5D6E-409C-BE32-E72D297353CC}">
                <c16:uniqueId val="{000001F7-84D0-4CCB-81EB-C95CE8D234FC}"/>
              </c:ext>
            </c:extLst>
          </c:dPt>
          <c:dPt>
            <c:idx val="366"/>
            <c:invertIfNegative val="0"/>
            <c:bubble3D val="0"/>
            <c:extLst>
              <c:ext xmlns:c16="http://schemas.microsoft.com/office/drawing/2014/chart" uri="{C3380CC4-5D6E-409C-BE32-E72D297353CC}">
                <c16:uniqueId val="{000001F8-84D0-4CCB-81EB-C95CE8D234FC}"/>
              </c:ext>
            </c:extLst>
          </c:dPt>
          <c:dPt>
            <c:idx val="367"/>
            <c:invertIfNegative val="0"/>
            <c:bubble3D val="0"/>
            <c:extLst>
              <c:ext xmlns:c16="http://schemas.microsoft.com/office/drawing/2014/chart" uri="{C3380CC4-5D6E-409C-BE32-E72D297353CC}">
                <c16:uniqueId val="{000001F9-84D0-4CCB-81EB-C95CE8D234FC}"/>
              </c:ext>
            </c:extLst>
          </c:dPt>
          <c:dPt>
            <c:idx val="368"/>
            <c:invertIfNegative val="0"/>
            <c:bubble3D val="0"/>
            <c:extLst>
              <c:ext xmlns:c16="http://schemas.microsoft.com/office/drawing/2014/chart" uri="{C3380CC4-5D6E-409C-BE32-E72D297353CC}">
                <c16:uniqueId val="{000001FA-84D0-4CCB-81EB-C95CE8D234FC}"/>
              </c:ext>
            </c:extLst>
          </c:dPt>
          <c:dPt>
            <c:idx val="369"/>
            <c:invertIfNegative val="0"/>
            <c:bubble3D val="0"/>
            <c:extLst>
              <c:ext xmlns:c16="http://schemas.microsoft.com/office/drawing/2014/chart" uri="{C3380CC4-5D6E-409C-BE32-E72D297353CC}">
                <c16:uniqueId val="{000001FB-84D0-4CCB-81EB-C95CE8D234FC}"/>
              </c:ext>
            </c:extLst>
          </c:dPt>
          <c:dPt>
            <c:idx val="370"/>
            <c:invertIfNegative val="0"/>
            <c:bubble3D val="0"/>
            <c:extLst>
              <c:ext xmlns:c16="http://schemas.microsoft.com/office/drawing/2014/chart" uri="{C3380CC4-5D6E-409C-BE32-E72D297353CC}">
                <c16:uniqueId val="{000001FC-84D0-4CCB-81EB-C95CE8D234FC}"/>
              </c:ext>
            </c:extLst>
          </c:dPt>
          <c:dPt>
            <c:idx val="371"/>
            <c:invertIfNegative val="0"/>
            <c:bubble3D val="0"/>
            <c:extLst>
              <c:ext xmlns:c16="http://schemas.microsoft.com/office/drawing/2014/chart" uri="{C3380CC4-5D6E-409C-BE32-E72D297353CC}">
                <c16:uniqueId val="{000001FD-84D0-4CCB-81EB-C95CE8D234FC}"/>
              </c:ext>
            </c:extLst>
          </c:dPt>
          <c:dPt>
            <c:idx val="372"/>
            <c:invertIfNegative val="0"/>
            <c:bubble3D val="0"/>
            <c:extLst>
              <c:ext xmlns:c16="http://schemas.microsoft.com/office/drawing/2014/chart" uri="{C3380CC4-5D6E-409C-BE32-E72D297353CC}">
                <c16:uniqueId val="{000001FE-84D0-4CCB-81EB-C95CE8D234FC}"/>
              </c:ext>
            </c:extLst>
          </c:dPt>
          <c:dPt>
            <c:idx val="373"/>
            <c:invertIfNegative val="0"/>
            <c:bubble3D val="0"/>
            <c:extLst>
              <c:ext xmlns:c16="http://schemas.microsoft.com/office/drawing/2014/chart" uri="{C3380CC4-5D6E-409C-BE32-E72D297353CC}">
                <c16:uniqueId val="{000001FF-84D0-4CCB-81EB-C95CE8D234FC}"/>
              </c:ext>
            </c:extLst>
          </c:dPt>
          <c:dPt>
            <c:idx val="374"/>
            <c:invertIfNegative val="0"/>
            <c:bubble3D val="0"/>
            <c:extLst>
              <c:ext xmlns:c16="http://schemas.microsoft.com/office/drawing/2014/chart" uri="{C3380CC4-5D6E-409C-BE32-E72D297353CC}">
                <c16:uniqueId val="{00000200-84D0-4CCB-81EB-C95CE8D234FC}"/>
              </c:ext>
            </c:extLst>
          </c:dPt>
          <c:dPt>
            <c:idx val="375"/>
            <c:invertIfNegative val="0"/>
            <c:bubble3D val="0"/>
            <c:extLst>
              <c:ext xmlns:c16="http://schemas.microsoft.com/office/drawing/2014/chart" uri="{C3380CC4-5D6E-409C-BE32-E72D297353CC}">
                <c16:uniqueId val="{00000201-84D0-4CCB-81EB-C95CE8D234FC}"/>
              </c:ext>
            </c:extLst>
          </c:dPt>
          <c:dPt>
            <c:idx val="376"/>
            <c:invertIfNegative val="0"/>
            <c:bubble3D val="0"/>
            <c:extLst>
              <c:ext xmlns:c16="http://schemas.microsoft.com/office/drawing/2014/chart" uri="{C3380CC4-5D6E-409C-BE32-E72D297353CC}">
                <c16:uniqueId val="{00000202-84D0-4CCB-81EB-C95CE8D234FC}"/>
              </c:ext>
            </c:extLst>
          </c:dPt>
          <c:dPt>
            <c:idx val="377"/>
            <c:invertIfNegative val="0"/>
            <c:bubble3D val="0"/>
            <c:extLst>
              <c:ext xmlns:c16="http://schemas.microsoft.com/office/drawing/2014/chart" uri="{C3380CC4-5D6E-409C-BE32-E72D297353CC}">
                <c16:uniqueId val="{00000203-84D0-4CCB-81EB-C95CE8D234FC}"/>
              </c:ext>
            </c:extLst>
          </c:dPt>
          <c:dPt>
            <c:idx val="378"/>
            <c:invertIfNegative val="0"/>
            <c:bubble3D val="0"/>
            <c:extLst>
              <c:ext xmlns:c16="http://schemas.microsoft.com/office/drawing/2014/chart" uri="{C3380CC4-5D6E-409C-BE32-E72D297353CC}">
                <c16:uniqueId val="{00000204-84D0-4CCB-81EB-C95CE8D234FC}"/>
              </c:ext>
            </c:extLst>
          </c:dPt>
          <c:dPt>
            <c:idx val="379"/>
            <c:invertIfNegative val="0"/>
            <c:bubble3D val="0"/>
            <c:extLst>
              <c:ext xmlns:c16="http://schemas.microsoft.com/office/drawing/2014/chart" uri="{C3380CC4-5D6E-409C-BE32-E72D297353CC}">
                <c16:uniqueId val="{00000205-84D0-4CCB-81EB-C95CE8D234FC}"/>
              </c:ext>
            </c:extLst>
          </c:dPt>
          <c:dPt>
            <c:idx val="380"/>
            <c:invertIfNegative val="0"/>
            <c:bubble3D val="0"/>
            <c:extLst>
              <c:ext xmlns:c16="http://schemas.microsoft.com/office/drawing/2014/chart" uri="{C3380CC4-5D6E-409C-BE32-E72D297353CC}">
                <c16:uniqueId val="{00000206-84D0-4CCB-81EB-C95CE8D234FC}"/>
              </c:ext>
            </c:extLst>
          </c:dPt>
          <c:dPt>
            <c:idx val="381"/>
            <c:invertIfNegative val="0"/>
            <c:bubble3D val="0"/>
            <c:extLst>
              <c:ext xmlns:c16="http://schemas.microsoft.com/office/drawing/2014/chart" uri="{C3380CC4-5D6E-409C-BE32-E72D297353CC}">
                <c16:uniqueId val="{00000207-84D0-4CCB-81EB-C95CE8D234FC}"/>
              </c:ext>
            </c:extLst>
          </c:dPt>
          <c:dPt>
            <c:idx val="382"/>
            <c:invertIfNegative val="0"/>
            <c:bubble3D val="0"/>
            <c:extLst>
              <c:ext xmlns:c16="http://schemas.microsoft.com/office/drawing/2014/chart" uri="{C3380CC4-5D6E-409C-BE32-E72D297353CC}">
                <c16:uniqueId val="{00000208-84D0-4CCB-81EB-C95CE8D234FC}"/>
              </c:ext>
            </c:extLst>
          </c:dPt>
          <c:dPt>
            <c:idx val="383"/>
            <c:invertIfNegative val="0"/>
            <c:bubble3D val="0"/>
            <c:extLst>
              <c:ext xmlns:c16="http://schemas.microsoft.com/office/drawing/2014/chart" uri="{C3380CC4-5D6E-409C-BE32-E72D297353CC}">
                <c16:uniqueId val="{00000209-84D0-4CCB-81EB-C95CE8D234FC}"/>
              </c:ext>
            </c:extLst>
          </c:dPt>
          <c:dPt>
            <c:idx val="384"/>
            <c:invertIfNegative val="0"/>
            <c:bubble3D val="0"/>
            <c:extLst>
              <c:ext xmlns:c16="http://schemas.microsoft.com/office/drawing/2014/chart" uri="{C3380CC4-5D6E-409C-BE32-E72D297353CC}">
                <c16:uniqueId val="{0000020A-84D0-4CCB-81EB-C95CE8D234FC}"/>
              </c:ext>
            </c:extLst>
          </c:dPt>
          <c:dPt>
            <c:idx val="385"/>
            <c:invertIfNegative val="0"/>
            <c:bubble3D val="0"/>
            <c:extLst>
              <c:ext xmlns:c16="http://schemas.microsoft.com/office/drawing/2014/chart" uri="{C3380CC4-5D6E-409C-BE32-E72D297353CC}">
                <c16:uniqueId val="{0000020B-84D0-4CCB-81EB-C95CE8D234FC}"/>
              </c:ext>
            </c:extLst>
          </c:dPt>
          <c:dPt>
            <c:idx val="386"/>
            <c:invertIfNegative val="0"/>
            <c:bubble3D val="0"/>
            <c:extLst>
              <c:ext xmlns:c16="http://schemas.microsoft.com/office/drawing/2014/chart" uri="{C3380CC4-5D6E-409C-BE32-E72D297353CC}">
                <c16:uniqueId val="{0000020C-84D0-4CCB-81EB-C95CE8D234FC}"/>
              </c:ext>
            </c:extLst>
          </c:dPt>
          <c:dPt>
            <c:idx val="387"/>
            <c:invertIfNegative val="0"/>
            <c:bubble3D val="0"/>
            <c:extLst>
              <c:ext xmlns:c16="http://schemas.microsoft.com/office/drawing/2014/chart" uri="{C3380CC4-5D6E-409C-BE32-E72D297353CC}">
                <c16:uniqueId val="{0000020D-84D0-4CCB-81EB-C95CE8D234FC}"/>
              </c:ext>
            </c:extLst>
          </c:dPt>
          <c:cat>
            <c:multiLvlStrRef>
              <c:f>pt.lvl3_generic_10!$B$8:$C$57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pt.lvl3_generic_10!$D$8:$D$57</c:f>
              <c:numCache>
                <c:formatCode>General</c:formatCode>
                <c:ptCount val="49"/>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0.92879146503962406</c:v>
                </c:pt>
              </c:numCache>
            </c:numRef>
          </c:val>
          <c:extLst>
            <c:ext xmlns:c16="http://schemas.microsoft.com/office/drawing/2014/chart" uri="{C3380CC4-5D6E-409C-BE32-E72D297353CC}">
              <c16:uniqueId val="{00000052-76E5-4770-B4F3-228CEF43736D}"/>
            </c:ext>
          </c:extLst>
        </c:ser>
        <c:ser>
          <c:idx val="2"/>
          <c:order val="2"/>
          <c:tx>
            <c:strRef>
              <c:f>pt.lvl3_generic_10!$F$7</c:f>
              <c:strCache>
                <c:ptCount val="1"/>
                <c:pt idx="0">
                  <c:v>Average of Cíl Úkol/Člověk</c:v>
                </c:pt>
              </c:strCache>
            </c:strRef>
          </c:tx>
          <c:spPr>
            <a:solidFill>
              <a:schemeClr val="accent3"/>
            </a:solidFill>
            <a:ln>
              <a:noFill/>
            </a:ln>
            <a:effectLst/>
          </c:spPr>
          <c:invertIfNegative val="0"/>
          <c:cat>
            <c:multiLvlStrRef>
              <c:f>pt.lvl3_generic_10!$B$8:$C$57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pt.lvl3_generic_10!$F$8:$F$57</c:f>
              <c:numCache>
                <c:formatCode>General</c:formatCode>
                <c:ptCount val="49"/>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extLst>
            <c:ext xmlns:c16="http://schemas.microsoft.com/office/drawing/2014/chart" uri="{C3380CC4-5D6E-409C-BE32-E72D297353CC}">
              <c16:uniqueId val="{00000054-76E5-4770-B4F3-228CEF43736D}"/>
            </c:ext>
          </c:extLst>
        </c:ser>
        <c:dLbls>
          <c:showLegendKey val="0"/>
          <c:showVal val="0"/>
          <c:showCatName val="0"/>
          <c:showSerName val="0"/>
          <c:showPercent val="0"/>
          <c:showBubbleSize val="0"/>
        </c:dLbls>
        <c:gapWidth val="200"/>
        <c:overlap val="-27"/>
        <c:axId val="449382720"/>
        <c:axId val="449383112"/>
      </c:barChart>
      <c:lineChart>
        <c:grouping val="standard"/>
        <c:varyColors val="0"/>
        <c:ser>
          <c:idx val="1"/>
          <c:order val="1"/>
          <c:tx>
            <c:strRef>
              <c:f>pt.lvl3_generic_10!$E$7</c:f>
              <c:strCache>
                <c:ptCount val="1"/>
                <c:pt idx="0">
                  <c:v>Average of Cíl %</c:v>
                </c:pt>
              </c:strCache>
            </c:strRef>
          </c:tx>
          <c:spPr>
            <a:ln w="28575" cap="rnd">
              <a:solidFill>
                <a:srgbClr val="000000"/>
              </a:solidFill>
              <a:round/>
            </a:ln>
            <a:effectLst/>
          </c:spPr>
          <c:marker>
            <c:symbol val="none"/>
          </c:marker>
          <c:cat>
            <c:multiLvlStrRef>
              <c:f>pt.lvl3_generic_10!$B$8:$C$57</c:f>
              <c:multiLvlStrCache>
                <c:ptCount val="49"/>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lvl>
                <c:lvl>
                  <c:pt idx="0">
                    <c:v>(blank)</c:v>
                  </c:pt>
                  <c:pt idx="1">
                    <c:v>27.11.17</c:v>
                  </c:pt>
                  <c:pt idx="33">
                    <c:v>28.11.17</c:v>
                  </c:pt>
                </c:lvl>
              </c:multiLvlStrCache>
            </c:multiLvlStrRef>
          </c:cat>
          <c:val>
            <c:numRef>
              <c:f>pt.lvl3_generic_10!$E$8:$E$57</c:f>
              <c:numCache>
                <c:formatCode>General</c:formatCode>
                <c:ptCount val="49"/>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0.79999999999999993</c:v>
                </c:pt>
              </c:numCache>
            </c:numRef>
          </c:val>
          <c:smooth val="0"/>
          <c:extLst>
            <c:ext xmlns:c16="http://schemas.microsoft.com/office/drawing/2014/chart" uri="{C3380CC4-5D6E-409C-BE32-E72D297353CC}">
              <c16:uniqueId val="{00000053-76E5-4770-B4F3-228CEF43736D}"/>
            </c:ext>
          </c:extLst>
        </c:ser>
        <c:dLbls>
          <c:showLegendKey val="0"/>
          <c:showVal val="0"/>
          <c:showCatName val="0"/>
          <c:showSerName val="0"/>
          <c:showPercent val="0"/>
          <c:showBubbleSize val="0"/>
        </c:dLbls>
        <c:marker val="1"/>
        <c:smooth val="0"/>
        <c:axId val="449382720"/>
        <c:axId val="449383112"/>
      </c:lineChart>
      <c:catAx>
        <c:axId val="449382720"/>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3112"/>
        <c:crosses val="autoZero"/>
        <c:auto val="1"/>
        <c:lblAlgn val="ctr"/>
        <c:lblOffset val="100"/>
        <c:noMultiLvlLbl val="0"/>
      </c:catAx>
      <c:valAx>
        <c:axId val="44938311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272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effectLst>
                  <a:outerShdw blurRad="50800" dist="38100" dir="5400000" algn="t" rotWithShape="0">
                    <a:prstClr val="black">
                      <a:alpha val="40000"/>
                    </a:prstClr>
                  </a:outerShdw>
                </a:effectLst>
              </a:defRPr>
            </a:pPr>
            <a:r>
              <a:rPr lang="cs-CZ" sz="1600">
                <a:effectLst>
                  <a:outerShdw blurRad="50800" dist="38100" dir="5400000" algn="t" rotWithShape="0">
                    <a:prstClr val="black">
                      <a:alpha val="40000"/>
                    </a:prstClr>
                  </a:outerShdw>
                </a:effectLst>
              </a:rPr>
              <a:t>Budova</a:t>
            </a:r>
            <a:r>
              <a:rPr lang="cs-CZ" sz="1600" baseline="0">
                <a:effectLst>
                  <a:outerShdw blurRad="50800" dist="38100" dir="5400000" algn="t" rotWithShape="0">
                    <a:prstClr val="black">
                      <a:alpha val="40000"/>
                    </a:prstClr>
                  </a:outerShdw>
                </a:effectLst>
              </a:rPr>
              <a:t> C</a:t>
            </a:r>
            <a:endParaRPr lang="cs-CZ" sz="1600">
              <a:effectLst>
                <a:outerShdw blurRad="50800" dist="38100" dir="5400000" algn="t" rotWithShape="0">
                  <a:prstClr val="black">
                    <a:alpha val="40000"/>
                  </a:prstClr>
                </a:outerShdw>
              </a:effectLst>
            </a:endParaRPr>
          </a:p>
        </c:rich>
      </c:tx>
      <c:layout>
        <c:manualLayout>
          <c:xMode val="edge"/>
          <c:yMode val="edge"/>
          <c:x val="0.37864435019018883"/>
          <c:y val="0.47037037037037038"/>
        </c:manualLayout>
      </c:layout>
      <c:overlay val="0"/>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solidFill>
              <a:srgbClr val="9BBB59"/>
            </a:solidFill>
            <a:ln>
              <a:noFill/>
            </a:ln>
          </c:spPr>
          <c:dPt>
            <c:idx val="0"/>
            <c:bubble3D val="0"/>
            <c:spPr>
              <a:solidFill>
                <a:srgbClr val="9BBB59"/>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04D-43E7-95E7-8A8B129B6488}"/>
              </c:ext>
            </c:extLst>
          </c:dPt>
          <c:dPt>
            <c:idx val="1"/>
            <c:bubble3D val="0"/>
            <c:spPr>
              <a:solidFill>
                <a:srgbClr val="C0504D"/>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extLst>
              <c:ext xmlns:c16="http://schemas.microsoft.com/office/drawing/2014/chart" uri="{C3380CC4-5D6E-409C-BE32-E72D297353CC}">
                <c16:uniqueId val="{00000003-604D-43E7-95E7-8A8B129B648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604D-43E7-95E7-8A8B129B6488}"/>
              </c:ext>
            </c:extLst>
          </c:dPt>
          <c:dPt>
            <c:idx val="3"/>
            <c:bubble3D val="0"/>
            <c:spPr>
              <a:noFill/>
              <a:ln>
                <a:noFill/>
              </a:ln>
              <a:effectLst/>
              <a:scene3d>
                <a:camera prst="orthographicFront">
                  <a:rot lat="0" lon="0" rev="0"/>
                </a:camera>
                <a:lightRig rig="threePt" dir="t">
                  <a:rot lat="0" lon="0" rev="1200000"/>
                </a:lightRig>
              </a:scene3d>
            </c:spPr>
            <c:extLst>
              <c:ext xmlns:c16="http://schemas.microsoft.com/office/drawing/2014/chart" uri="{C3380CC4-5D6E-409C-BE32-E72D297353CC}">
                <c16:uniqueId val="{00000007-604D-43E7-95E7-8A8B129B6488}"/>
              </c:ext>
            </c:extLst>
          </c:dPt>
          <c:dPt>
            <c:idx val="4"/>
            <c:bubble3D val="0"/>
            <c:spPr>
              <a:solidFill>
                <a:srgbClr val="9BBB59"/>
              </a:solidFill>
              <a:ln>
                <a:noFill/>
              </a:ln>
              <a:effectLst/>
            </c:spPr>
            <c:extLst>
              <c:ext xmlns:c16="http://schemas.microsoft.com/office/drawing/2014/chart" uri="{C3380CC4-5D6E-409C-BE32-E72D297353CC}">
                <c16:uniqueId val="{00000009-604D-43E7-95E7-8A8B129B6488}"/>
              </c:ext>
            </c:extLst>
          </c:dPt>
          <c:val>
            <c:numRef>
              <c:f>data.chart!$C$7:$F$7</c:f>
              <c:numCache>
                <c:formatCode>General</c:formatCode>
                <c:ptCount val="4"/>
                <c:pt idx="0">
                  <c:v>0</c:v>
                </c:pt>
                <c:pt idx="1">
                  <c:v>80.00000000000054</c:v>
                </c:pt>
                <c:pt idx="2">
                  <c:v>19.99999999999946</c:v>
                </c:pt>
                <c:pt idx="3">
                  <c:v>100</c:v>
                </c:pt>
              </c:numCache>
            </c:numRef>
          </c:val>
          <c:extLst>
            <c:ext xmlns:c16="http://schemas.microsoft.com/office/drawing/2014/chart" uri="{C3380CC4-5D6E-409C-BE32-E72D297353CC}">
              <c16:uniqueId val="{0000000A-604D-43E7-95E7-8A8B129B648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spPr>
              <a:noFill/>
              <a:effectLst/>
            </c:spPr>
            <c:extLst>
              <c:ext xmlns:c16="http://schemas.microsoft.com/office/drawing/2014/chart" uri="{C3380CC4-5D6E-409C-BE32-E72D297353CC}">
                <c16:uniqueId val="{0000000C-604D-43E7-95E7-8A8B129B648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604D-43E7-95E7-8A8B129B6488}"/>
              </c:ext>
            </c:extLst>
          </c:dPt>
          <c:dPt>
            <c:idx val="2"/>
            <c:bubble3D val="0"/>
            <c:spPr>
              <a:noFill/>
              <a:effectLst/>
            </c:spPr>
            <c:extLst>
              <c:ext xmlns:c16="http://schemas.microsoft.com/office/drawing/2014/chart" uri="{C3380CC4-5D6E-409C-BE32-E72D297353CC}">
                <c16:uniqueId val="{00000010-604D-43E7-95E7-8A8B129B6488}"/>
              </c:ext>
            </c:extLst>
          </c:dPt>
          <c:val>
            <c:numRef>
              <c:f>data.chart!$G$7:$I$7</c:f>
              <c:numCache>
                <c:formatCode>General</c:formatCode>
                <c:ptCount val="3"/>
                <c:pt idx="0">
                  <c:v>83.413106811478528</c:v>
                </c:pt>
                <c:pt idx="1">
                  <c:v>1.2</c:v>
                </c:pt>
                <c:pt idx="2">
                  <c:v>115.38689318852147</c:v>
                </c:pt>
              </c:numCache>
            </c:numRef>
          </c:val>
          <c:extLst>
            <c:ext xmlns:c16="http://schemas.microsoft.com/office/drawing/2014/chart" uri="{C3380CC4-5D6E-409C-BE32-E72D297353CC}">
              <c16:uniqueId val="{00000011-604D-43E7-95E7-8A8B129B648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legend_chart!$B$9</c:f>
              <c:strCache>
                <c:ptCount val="1"/>
                <c:pt idx="0">
                  <c:v>Pickování</c:v>
                </c:pt>
              </c:strCache>
            </c:strRef>
          </c:tx>
          <c:spPr>
            <a:solidFill>
              <a:srgbClr val="0070C0"/>
            </a:solidFill>
            <a:ln>
              <a:solidFill>
                <a:srgbClr val="0070C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legend_chart!$B$10:$B$22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CB1B-4DB6-9919-B9C012156C75}"/>
            </c:ext>
          </c:extLst>
        </c:ser>
        <c:ser>
          <c:idx val="1"/>
          <c:order val="1"/>
          <c:tx>
            <c:strRef>
              <c:f>legend_chart!$C$9</c:f>
              <c:strCache>
                <c:ptCount val="1"/>
                <c:pt idx="0">
                  <c:v>Uklízení</c:v>
                </c:pt>
              </c:strCache>
            </c:strRef>
          </c:tx>
          <c:spPr>
            <a:solidFill>
              <a:srgbClr val="C00000"/>
            </a:solidFill>
            <a:ln>
              <a:solidFill>
                <a:srgbClr val="C0000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legend_chart!$C$10:$C$22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CB1B-4DB6-9919-B9C012156C75}"/>
            </c:ext>
          </c:extLst>
        </c:ser>
        <c:dLbls>
          <c:showLegendKey val="0"/>
          <c:showVal val="0"/>
          <c:showCatName val="0"/>
          <c:showSerName val="0"/>
          <c:showPercent val="0"/>
          <c:showBubbleSize val="0"/>
        </c:dLbls>
        <c:gapWidth val="150"/>
        <c:overlap val="100"/>
        <c:axId val="449380760"/>
        <c:axId val="451042792"/>
      </c:barChart>
      <c:lineChart>
        <c:grouping val="standard"/>
        <c:varyColors val="0"/>
        <c:ser>
          <c:idx val="2"/>
          <c:order val="2"/>
          <c:tx>
            <c:strRef>
              <c:f>legend_chart!$D$9</c:f>
              <c:strCache>
                <c:ptCount val="1"/>
                <c:pt idx="0">
                  <c:v>Zátěž cíl</c:v>
                </c:pt>
              </c:strCache>
            </c:strRef>
          </c:tx>
          <c:spPr>
            <a:ln w="28575" cap="rnd">
              <a:solidFill>
                <a:schemeClr val="tx1"/>
              </a:solidFill>
              <a:round/>
            </a:ln>
            <a:effectLst/>
          </c:spPr>
          <c:marker>
            <c:symbol val="none"/>
          </c:marker>
          <c:dPt>
            <c:idx val="7"/>
            <c:marker>
              <c:symbol val="none"/>
            </c:marker>
            <c:bubble3D val="0"/>
            <c:spPr>
              <a:ln w="28575" cap="rnd">
                <a:solidFill>
                  <a:schemeClr val="tx1"/>
                </a:solidFill>
                <a:round/>
              </a:ln>
              <a:effectLst/>
            </c:spPr>
            <c:extLst>
              <c:ext xmlns:c16="http://schemas.microsoft.com/office/drawing/2014/chart" uri="{C3380CC4-5D6E-409C-BE32-E72D297353CC}">
                <c16:uniqueId val="{00000003-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legend_chart!$D$10:$D$22</c:f>
              <c:numCache>
                <c:formatCode>0%</c:formatCode>
                <c:ptCount val="13"/>
                <c:pt idx="0">
                  <c:v>0.95</c:v>
                </c:pt>
                <c:pt idx="1">
                  <c:v>0.95</c:v>
                </c:pt>
                <c:pt idx="2">
                  <c:v>0.95</c:v>
                </c:pt>
                <c:pt idx="3">
                  <c:v>0.95</c:v>
                </c:pt>
                <c:pt idx="4">
                  <c:v>0.95</c:v>
                </c:pt>
                <c:pt idx="5">
                  <c:v>0.95</c:v>
                </c:pt>
                <c:pt idx="6">
                  <c:v>0.95</c:v>
                </c:pt>
                <c:pt idx="7">
                  <c:v>0.95</c:v>
                </c:pt>
                <c:pt idx="8">
                  <c:v>0.95</c:v>
                </c:pt>
                <c:pt idx="9">
                  <c:v>0.95</c:v>
                </c:pt>
                <c:pt idx="10">
                  <c:v>0.95</c:v>
                </c:pt>
                <c:pt idx="11">
                  <c:v>0.95</c:v>
                </c:pt>
                <c:pt idx="12">
                  <c:v>0.95</c:v>
                </c:pt>
              </c:numCache>
            </c:numRef>
          </c:val>
          <c:smooth val="0"/>
          <c:extLst>
            <c:ext xmlns:c16="http://schemas.microsoft.com/office/drawing/2014/chart" uri="{C3380CC4-5D6E-409C-BE32-E72D297353CC}">
              <c16:uniqueId val="{00000004-CB1B-4DB6-9919-B9C012156C75}"/>
            </c:ext>
          </c:extLst>
        </c:ser>
        <c:ser>
          <c:idx val="3"/>
          <c:order val="3"/>
          <c:tx>
            <c:strRef>
              <c:f>legend_chart!$E$9</c:f>
              <c:strCache>
                <c:ptCount val="1"/>
                <c:pt idx="0">
                  <c:v>Zátěž</c:v>
                </c:pt>
              </c:strCache>
            </c:strRef>
          </c:tx>
          <c:spPr>
            <a:ln w="28575" cap="rnd">
              <a:solidFill>
                <a:srgbClr val="FFC000"/>
              </a:solidFill>
              <a:round/>
            </a:ln>
            <a:effectLst/>
          </c:spPr>
          <c:marker>
            <c:symbol val="circle"/>
            <c:size val="5"/>
            <c:spPr>
              <a:solidFill>
                <a:srgbClr val="00B050"/>
              </a:solidFill>
              <a:ln w="9525">
                <a:solidFill>
                  <a:srgbClr val="FFC000"/>
                </a:solidFill>
              </a:ln>
              <a:effectLst/>
            </c:spPr>
          </c:marker>
          <c:dPt>
            <c:idx val="7"/>
            <c:marker>
              <c:symbol val="circle"/>
              <c:size val="5"/>
              <c:spPr>
                <a:solidFill>
                  <a:srgbClr val="C00000"/>
                </a:solidFill>
                <a:ln w="9525">
                  <a:solidFill>
                    <a:srgbClr val="FFC000"/>
                  </a:solidFill>
                </a:ln>
                <a:effectLst/>
              </c:spPr>
            </c:marker>
            <c:bubble3D val="0"/>
            <c:extLst>
              <c:ext xmlns:c16="http://schemas.microsoft.com/office/drawing/2014/chart" uri="{C3380CC4-5D6E-409C-BE32-E72D297353CC}">
                <c16:uniqueId val="{00000005-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legend_chart!$E$10:$E$22</c:f>
              <c:numCache>
                <c:formatCode>0%</c:formatCode>
                <c:ptCount val="13"/>
                <c:pt idx="0">
                  <c:v>0.9</c:v>
                </c:pt>
                <c:pt idx="1">
                  <c:v>0.9</c:v>
                </c:pt>
                <c:pt idx="2">
                  <c:v>0.92</c:v>
                </c:pt>
                <c:pt idx="3">
                  <c:v>0.89</c:v>
                </c:pt>
                <c:pt idx="4">
                  <c:v>0.67</c:v>
                </c:pt>
                <c:pt idx="5">
                  <c:v>0.72</c:v>
                </c:pt>
                <c:pt idx="6">
                  <c:v>0.9</c:v>
                </c:pt>
                <c:pt idx="7">
                  <c:v>1.05</c:v>
                </c:pt>
                <c:pt idx="8">
                  <c:v>0.9</c:v>
                </c:pt>
                <c:pt idx="9">
                  <c:v>0.93</c:v>
                </c:pt>
                <c:pt idx="10">
                  <c:v>0.92</c:v>
                </c:pt>
                <c:pt idx="11">
                  <c:v>0.92</c:v>
                </c:pt>
                <c:pt idx="12">
                  <c:v>0.89</c:v>
                </c:pt>
              </c:numCache>
            </c:numRef>
          </c:val>
          <c:smooth val="0"/>
          <c:extLst>
            <c:ext xmlns:c16="http://schemas.microsoft.com/office/drawing/2014/chart" uri="{C3380CC4-5D6E-409C-BE32-E72D297353CC}">
              <c16:uniqueId val="{00000006-CB1B-4DB6-9919-B9C012156C75}"/>
            </c:ext>
          </c:extLst>
        </c:ser>
        <c:dLbls>
          <c:showLegendKey val="0"/>
          <c:showVal val="0"/>
          <c:showCatName val="0"/>
          <c:showSerName val="0"/>
          <c:showPercent val="0"/>
          <c:showBubbleSize val="0"/>
        </c:dLbls>
        <c:marker val="1"/>
        <c:smooth val="0"/>
        <c:axId val="451043576"/>
        <c:axId val="451043184"/>
      </c:lineChart>
      <c:catAx>
        <c:axId val="449380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2792"/>
        <c:crosses val="autoZero"/>
        <c:auto val="1"/>
        <c:lblAlgn val="ctr"/>
        <c:lblOffset val="100"/>
        <c:noMultiLvlLbl val="0"/>
      </c:catAx>
      <c:valAx>
        <c:axId val="451042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760"/>
        <c:crosses val="autoZero"/>
        <c:crossBetween val="between"/>
      </c:valAx>
      <c:valAx>
        <c:axId val="451043184"/>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043576"/>
        <c:crosses val="max"/>
        <c:crossBetween val="between"/>
      </c:valAx>
      <c:catAx>
        <c:axId val="451043576"/>
        <c:scaling>
          <c:orientation val="minMax"/>
        </c:scaling>
        <c:delete val="1"/>
        <c:axPos val="b"/>
        <c:numFmt formatCode="h:mm" sourceLinked="1"/>
        <c:majorTickMark val="out"/>
        <c:minorTickMark val="none"/>
        <c:tickLblPos val="nextTo"/>
        <c:crossAx val="451043184"/>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5195384225999"/>
          <c:y val="0.21337620028221252"/>
          <c:w val="0.73882419918156306"/>
          <c:h val="0.67983862214252189"/>
        </c:manualLayout>
      </c:layout>
      <c:barChart>
        <c:barDir val="col"/>
        <c:grouping val="clustered"/>
        <c:varyColors val="0"/>
        <c:ser>
          <c:idx val="0"/>
          <c:order val="0"/>
          <c:tx>
            <c:strRef>
              <c:f>legend_chart!$B$24</c:f>
              <c:strCache>
                <c:ptCount val="1"/>
                <c:pt idx="0">
                  <c:v>Zprac. úkoly</c:v>
                </c:pt>
              </c:strCache>
            </c:strRef>
          </c:tx>
          <c:spPr>
            <a:solidFill>
              <a:srgbClr val="0070C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legend_chart!$B$25:$B$37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E359-4CD8-AB0B-8AC28FDD5222}"/>
            </c:ext>
          </c:extLst>
        </c:ser>
        <c:ser>
          <c:idx val="1"/>
          <c:order val="1"/>
          <c:tx>
            <c:strRef>
              <c:f>legend_chart!$C$24</c:f>
              <c:strCache>
                <c:ptCount val="1"/>
                <c:pt idx="0">
                  <c:v>Úkoly</c:v>
                </c:pt>
              </c:strCache>
            </c:strRef>
          </c:tx>
          <c:spPr>
            <a:solidFill>
              <a:srgbClr val="C0000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legend_chart!$C$25:$C$37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E359-4CD8-AB0B-8AC28FDD5222}"/>
            </c:ext>
          </c:extLst>
        </c:ser>
        <c:dLbls>
          <c:showLegendKey val="0"/>
          <c:showVal val="0"/>
          <c:showCatName val="0"/>
          <c:showSerName val="0"/>
          <c:showPercent val="0"/>
          <c:showBubbleSize val="0"/>
        </c:dLbls>
        <c:gapWidth val="150"/>
        <c:axId val="451044752"/>
        <c:axId val="451045144"/>
      </c:barChart>
      <c:catAx>
        <c:axId val="4510447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144"/>
        <c:crosses val="autoZero"/>
        <c:auto val="1"/>
        <c:lblAlgn val="ctr"/>
        <c:lblOffset val="100"/>
        <c:noMultiLvlLbl val="0"/>
      </c:catAx>
      <c:valAx>
        <c:axId val="451045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4752"/>
        <c:crosses val="autoZero"/>
        <c:crossBetween val="between"/>
      </c:valAx>
      <c:spPr>
        <a:noFill/>
        <a:ln>
          <a:noFill/>
        </a:ln>
        <a:effectLst/>
      </c:spPr>
    </c:plotArea>
    <c:legend>
      <c:legendPos val="l"/>
      <c:layout>
        <c:manualLayout>
          <c:xMode val="edge"/>
          <c:yMode val="edge"/>
          <c:x val="3.4696296757699367E-3"/>
          <c:y val="4.7373023480508841E-2"/>
          <c:w val="0.10758622519367504"/>
          <c:h val="0.9125661005599915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905276782766"/>
          <c:y val="0.21337620028221252"/>
          <c:w val="0.5415743748002424"/>
          <c:h val="0.67983862214252189"/>
        </c:manualLayout>
      </c:layout>
      <c:barChart>
        <c:barDir val="col"/>
        <c:grouping val="stacked"/>
        <c:varyColors val="0"/>
        <c:ser>
          <c:idx val="0"/>
          <c:order val="0"/>
          <c:tx>
            <c:strRef>
              <c:f>legend_chart!$B$1</c:f>
              <c:strCache>
                <c:ptCount val="1"/>
                <c:pt idx="0">
                  <c:v>Do 60 min zprac</c:v>
                </c:pt>
              </c:strCache>
            </c:strRef>
          </c:tx>
          <c:spPr>
            <a:solidFill>
              <a:srgbClr val="92D05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legend_chart!$B$2:$B$7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0-FAAC-43F3-8B71-CC95047CA520}"/>
            </c:ext>
          </c:extLst>
        </c:ser>
        <c:ser>
          <c:idx val="1"/>
          <c:order val="1"/>
          <c:tx>
            <c:strRef>
              <c:f>legend_chart!$C$1</c:f>
              <c:strCache>
                <c:ptCount val="1"/>
                <c:pt idx="0">
                  <c:v>Do 90 min zprac</c:v>
                </c:pt>
              </c:strCache>
            </c:strRef>
          </c:tx>
          <c:spPr>
            <a:solidFill>
              <a:srgbClr val="FFC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legend_chart!$C$2:$C$7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1-FAAC-43F3-8B71-CC95047CA520}"/>
            </c:ext>
          </c:extLst>
        </c:ser>
        <c:ser>
          <c:idx val="4"/>
          <c:order val="2"/>
          <c:tx>
            <c:strRef>
              <c:f>legend_chart!$D$1</c:f>
              <c:strCache>
                <c:ptCount val="1"/>
                <c:pt idx="0">
                  <c:v>Nad 90 min zprac</c:v>
                </c:pt>
              </c:strCache>
            </c:strRef>
          </c:tx>
          <c:spPr>
            <a:solidFill>
              <a:srgbClr val="CC0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legend_chart!$D$2:$D$7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2-FAAC-43F3-8B71-CC95047CA520}"/>
            </c:ext>
          </c:extLst>
        </c:ser>
        <c:dLbls>
          <c:showLegendKey val="0"/>
          <c:showVal val="0"/>
          <c:showCatName val="0"/>
          <c:showSerName val="0"/>
          <c:showPercent val="0"/>
          <c:showBubbleSize val="0"/>
        </c:dLbls>
        <c:gapWidth val="150"/>
        <c:overlap val="100"/>
        <c:axId val="451045928"/>
        <c:axId val="451520136"/>
      </c:barChart>
      <c:lineChart>
        <c:grouping val="standard"/>
        <c:varyColors val="0"/>
        <c:ser>
          <c:idx val="2"/>
          <c:order val="3"/>
          <c:tx>
            <c:strRef>
              <c:f>legend_chart!$E$1</c:f>
              <c:strCache>
                <c:ptCount val="1"/>
                <c:pt idx="0">
                  <c:v>Do 60 min</c:v>
                </c:pt>
              </c:strCache>
            </c:strRef>
          </c:tx>
          <c:spPr>
            <a:ln w="28575" cap="rnd">
              <a:solidFill>
                <a:srgbClr val="9BBB59"/>
              </a:solidFill>
              <a:round/>
            </a:ln>
            <a:effectLst/>
          </c:spPr>
          <c:marker>
            <c:symbol val="circle"/>
            <c:size val="5"/>
            <c:spPr>
              <a:solidFill>
                <a:schemeClr val="tx1"/>
              </a:solidFill>
              <a:ln w="9525">
                <a:solidFill>
                  <a:srgbClr val="9BBB59"/>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legend_chart!$E$2:$E$7</c:f>
              <c:numCache>
                <c:formatCode>0%</c:formatCode>
                <c:ptCount val="6"/>
                <c:pt idx="0">
                  <c:v>0.88</c:v>
                </c:pt>
                <c:pt idx="1">
                  <c:v>0.88</c:v>
                </c:pt>
                <c:pt idx="2">
                  <c:v>0.88</c:v>
                </c:pt>
                <c:pt idx="3">
                  <c:v>0.88</c:v>
                </c:pt>
                <c:pt idx="4">
                  <c:v>0.88</c:v>
                </c:pt>
                <c:pt idx="5">
                  <c:v>0.88</c:v>
                </c:pt>
              </c:numCache>
            </c:numRef>
          </c:val>
          <c:smooth val="0"/>
          <c:extLst>
            <c:ext xmlns:c16="http://schemas.microsoft.com/office/drawing/2014/chart" uri="{C3380CC4-5D6E-409C-BE32-E72D297353CC}">
              <c16:uniqueId val="{00000003-FAAC-43F3-8B71-CC95047CA520}"/>
            </c:ext>
          </c:extLst>
        </c:ser>
        <c:ser>
          <c:idx val="3"/>
          <c:order val="4"/>
          <c:tx>
            <c:strRef>
              <c:f>legend_chart!$F$1</c:f>
              <c:strCache>
                <c:ptCount val="1"/>
                <c:pt idx="0">
                  <c:v>Do 90 min</c:v>
                </c:pt>
              </c:strCache>
            </c:strRef>
          </c:tx>
          <c:spPr>
            <a:ln w="28575" cap="rnd">
              <a:solidFill>
                <a:srgbClr val="FFC000"/>
              </a:solidFill>
              <a:round/>
            </a:ln>
            <a:effectLst/>
          </c:spPr>
          <c:marker>
            <c:symbol val="circle"/>
            <c:size val="5"/>
            <c:spPr>
              <a:solidFill>
                <a:schemeClr val="tx1"/>
              </a:solidFill>
              <a:ln w="9525">
                <a:solidFill>
                  <a:srgbClr val="FFC000"/>
                </a:solidFill>
              </a:ln>
              <a:effectLst/>
            </c:spPr>
          </c:marker>
          <c:dPt>
            <c:idx val="4"/>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4-FAAC-43F3-8B71-CC95047CA520}"/>
              </c:ext>
            </c:extLst>
          </c:dPt>
          <c:dPt>
            <c:idx val="5"/>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5-FAAC-43F3-8B71-CC95047CA520}"/>
              </c:ext>
            </c:extLst>
          </c:dPt>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legend_chart!$F$2:$F$7</c:f>
              <c:numCache>
                <c:formatCode>0%</c:formatCode>
                <c:ptCount val="6"/>
                <c:pt idx="0">
                  <c:v>0.9</c:v>
                </c:pt>
                <c:pt idx="1">
                  <c:v>0.9</c:v>
                </c:pt>
                <c:pt idx="2">
                  <c:v>0.92</c:v>
                </c:pt>
                <c:pt idx="3">
                  <c:v>0.89</c:v>
                </c:pt>
                <c:pt idx="4">
                  <c:v>0.67</c:v>
                </c:pt>
                <c:pt idx="5">
                  <c:v>0.72</c:v>
                </c:pt>
              </c:numCache>
            </c:numRef>
          </c:val>
          <c:smooth val="0"/>
          <c:extLst>
            <c:ext xmlns:c16="http://schemas.microsoft.com/office/drawing/2014/chart" uri="{C3380CC4-5D6E-409C-BE32-E72D297353CC}">
              <c16:uniqueId val="{00000006-FAAC-43F3-8B71-CC95047CA520}"/>
            </c:ext>
          </c:extLst>
        </c:ser>
        <c:ser>
          <c:idx val="5"/>
          <c:order val="5"/>
          <c:tx>
            <c:strRef>
              <c:f>legend_chart!$G$1</c:f>
              <c:strCache>
                <c:ptCount val="1"/>
                <c:pt idx="0">
                  <c:v>Nad 90 min</c:v>
                </c:pt>
              </c:strCache>
            </c:strRef>
          </c:tx>
          <c:spPr>
            <a:ln w="28575" cap="rnd">
              <a:solidFill>
                <a:srgbClr val="CC0000"/>
              </a:solidFill>
              <a:round/>
            </a:ln>
            <a:effectLst/>
          </c:spPr>
          <c:marker>
            <c:symbol val="circle"/>
            <c:size val="5"/>
            <c:spPr>
              <a:solidFill>
                <a:schemeClr val="tx1"/>
              </a:solidFill>
              <a:ln w="9525">
                <a:solidFill>
                  <a:srgbClr val="CC0000"/>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legend_chart!$G$2:$G$7</c:f>
              <c:numCache>
                <c:formatCode>0%</c:formatCode>
                <c:ptCount val="6"/>
                <c:pt idx="0">
                  <c:v>0.91</c:v>
                </c:pt>
                <c:pt idx="1">
                  <c:v>0.85</c:v>
                </c:pt>
                <c:pt idx="2">
                  <c:v>0.96</c:v>
                </c:pt>
                <c:pt idx="3">
                  <c:v>1</c:v>
                </c:pt>
                <c:pt idx="4">
                  <c:v>0.59</c:v>
                </c:pt>
                <c:pt idx="5">
                  <c:v>0.83</c:v>
                </c:pt>
              </c:numCache>
            </c:numRef>
          </c:val>
          <c:smooth val="0"/>
          <c:extLst>
            <c:ext xmlns:c16="http://schemas.microsoft.com/office/drawing/2014/chart" uri="{C3380CC4-5D6E-409C-BE32-E72D297353CC}">
              <c16:uniqueId val="{00000007-FAAC-43F3-8B71-CC95047CA520}"/>
            </c:ext>
          </c:extLst>
        </c:ser>
        <c:dLbls>
          <c:showLegendKey val="0"/>
          <c:showVal val="0"/>
          <c:showCatName val="0"/>
          <c:showSerName val="0"/>
          <c:showPercent val="0"/>
          <c:showBubbleSize val="0"/>
        </c:dLbls>
        <c:marker val="1"/>
        <c:smooth val="0"/>
        <c:axId val="451520920"/>
        <c:axId val="451520528"/>
      </c:lineChart>
      <c:catAx>
        <c:axId val="4510459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0136"/>
        <c:crosses val="autoZero"/>
        <c:auto val="1"/>
        <c:lblAlgn val="ctr"/>
        <c:lblOffset val="100"/>
        <c:noMultiLvlLbl val="0"/>
      </c:catAx>
      <c:valAx>
        <c:axId val="451520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928"/>
        <c:crosses val="autoZero"/>
        <c:crossBetween val="between"/>
      </c:valAx>
      <c:valAx>
        <c:axId val="451520528"/>
        <c:scaling>
          <c:orientation val="minMax"/>
          <c:max val="1.1000000000000001"/>
          <c:min val="0.5"/>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520920"/>
        <c:crosses val="max"/>
        <c:crossBetween val="between"/>
        <c:majorUnit val="0.1"/>
      </c:valAx>
      <c:catAx>
        <c:axId val="451520920"/>
        <c:scaling>
          <c:orientation val="minMax"/>
        </c:scaling>
        <c:delete val="1"/>
        <c:axPos val="b"/>
        <c:numFmt formatCode="h:mm" sourceLinked="1"/>
        <c:majorTickMark val="out"/>
        <c:minorTickMark val="none"/>
        <c:tickLblPos val="nextTo"/>
        <c:crossAx val="451520528"/>
        <c:crosses val="autoZero"/>
        <c:auto val="1"/>
        <c:lblAlgn val="ctr"/>
        <c:lblOffset val="100"/>
        <c:noMultiLvlLbl val="0"/>
      </c:catAx>
      <c:spPr>
        <a:noFill/>
        <a:ln>
          <a:noFill/>
        </a:ln>
        <a:effectLst/>
      </c:spPr>
    </c:plotArea>
    <c:legend>
      <c:legendPos val="l"/>
      <c:legendEntry>
        <c:idx val="0"/>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3"/>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4"/>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ayout>
        <c:manualLayout>
          <c:xMode val="edge"/>
          <c:yMode val="edge"/>
          <c:x val="6.7370520622938605E-3"/>
          <c:y val="6.1562610229276893E-2"/>
          <c:w val="0.2677482199196593"/>
          <c:h val="0.9048395061728394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1.3_3_2.xlsm]pt.generic_add_data3!pt.generic_add_data3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chemeClr val="accent1"/>
          </a:solidFill>
          <a:ln w="28575" cap="rnd">
            <a:solidFill>
              <a:srgbClr val="000000"/>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0"/>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1"/>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2"/>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3"/>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4"/>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5"/>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0"/>
        <c:spPr>
          <a:solidFill>
            <a:schemeClr val="accent1"/>
          </a:solidFill>
          <a:ln w="28575" cap="rnd">
            <a:solidFill>
              <a:srgbClr val="000000"/>
            </a:solidFill>
            <a:round/>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9025142766725842"/>
          <c:y val="0.35959742551880791"/>
          <c:w val="0.75757045167197745"/>
          <c:h val="0.57216597315918183"/>
        </c:manualLayout>
      </c:layout>
      <c:barChart>
        <c:barDir val="col"/>
        <c:grouping val="stacked"/>
        <c:varyColors val="0"/>
        <c:ser>
          <c:idx val="0"/>
          <c:order val="0"/>
          <c:tx>
            <c:strRef>
              <c:f>pt.generic_add_data3!$C$7:$C$8</c:f>
              <c:strCache>
                <c:ptCount val="1"/>
                <c:pt idx="0">
                  <c:v>(blank)</c:v>
                </c:pt>
              </c:strCache>
            </c:strRef>
          </c:tx>
          <c:spPr>
            <a:solidFill>
              <a:schemeClr val="accent1"/>
            </a:solidFill>
            <a:ln>
              <a:noFill/>
            </a:ln>
            <a:effectLst/>
          </c:spPr>
          <c:invertIfNegative val="0"/>
          <c:cat>
            <c:multiLvlStrRef>
              <c:f>pt.generic_add_data3!$A$9:$B$10</c:f>
              <c:multiLvlStrCache>
                <c:ptCount val="1"/>
                <c:lvl>
                  <c:pt idx="0">
                    <c:v>(blank)</c:v>
                  </c:pt>
                </c:lvl>
                <c:lvl>
                  <c:pt idx="0">
                    <c:v>(blank)</c:v>
                  </c:pt>
                </c:lvl>
              </c:multiLvlStrCache>
            </c:multiLvlStrRef>
          </c:cat>
          <c:val>
            <c:numRef>
              <c:f>pt.generic_add_data3!$C$9:$C$10</c:f>
              <c:numCache>
                <c:formatCode>General</c:formatCode>
                <c:ptCount val="1"/>
                <c:pt idx="0">
                  <c:v>0</c:v>
                </c:pt>
              </c:numCache>
            </c:numRef>
          </c:val>
          <c:extLst>
            <c:ext xmlns:c16="http://schemas.microsoft.com/office/drawing/2014/chart" uri="{C3380CC4-5D6E-409C-BE32-E72D297353CC}">
              <c16:uniqueId val="{0000001A-9AF6-46A4-B507-383A5BE37887}"/>
            </c:ext>
          </c:extLst>
        </c:ser>
        <c:dLbls>
          <c:showLegendKey val="0"/>
          <c:showVal val="0"/>
          <c:showCatName val="0"/>
          <c:showSerName val="0"/>
          <c:showPercent val="0"/>
          <c:showBubbleSize val="0"/>
        </c:dLbls>
        <c:gapWidth val="200"/>
        <c:overlap val="100"/>
        <c:axId val="451521704"/>
        <c:axId val="451522096"/>
      </c:barChart>
      <c:catAx>
        <c:axId val="451521704"/>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096"/>
        <c:crosses val="autoZero"/>
        <c:auto val="1"/>
        <c:lblAlgn val="ctr"/>
        <c:lblOffset val="100"/>
        <c:noMultiLvlLbl val="0"/>
      </c:catAx>
      <c:valAx>
        <c:axId val="45152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1704"/>
        <c:crosses val="autoZero"/>
        <c:crossBetween val="between"/>
      </c:valAx>
      <c:spPr>
        <a:noFill/>
        <a:ln w="25400">
          <a:noFill/>
        </a:ln>
        <a:effectLst/>
      </c:spPr>
    </c:plotArea>
    <c:legend>
      <c:legendPos val="l"/>
      <c:layout>
        <c:manualLayout>
          <c:xMode val="edge"/>
          <c:yMode val="edge"/>
          <c:x val="1.0448101523736318E-2"/>
          <c:y val="0.17250242397801344"/>
          <c:w val="0.10363633950780608"/>
          <c:h val="0.16199276635789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1.3_3_2.xlsm]pt.generic_add_data2!pt.generic_add_data2</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B2D2A"/>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spPr>
          <a:ln>
            <a:solidFill>
              <a:srgbClr val="FFC000"/>
            </a:solidFill>
          </a:ln>
        </c:spPr>
        <c:marker>
          <c:symbol val="circle"/>
          <c:size val="5"/>
          <c:spPr>
            <a:ln>
              <a:solidFill>
                <a:srgbClr val="FFC000"/>
              </a:solidFill>
            </a:ln>
          </c:spPr>
        </c:marker>
      </c:pivotFmt>
      <c:pivotFmt>
        <c:idx val="61"/>
        <c:spPr>
          <a:ln>
            <a:solidFill>
              <a:srgbClr val="000000"/>
            </a:solidFill>
          </a:ln>
        </c:spPr>
        <c:marker>
          <c:symbol val="none"/>
        </c:marker>
      </c:pivotFmt>
      <c:pivotFmt>
        <c:idx val="62"/>
        <c:marker>
          <c:symbol val="none"/>
        </c:marker>
      </c:pivotFmt>
      <c:pivotFmt>
        <c:idx val="63"/>
        <c:spPr>
          <a:solidFill>
            <a:srgbClr val="9CC746"/>
          </a:solidFill>
          <a:ln>
            <a:solidFill>
              <a:srgbClr val="FFC000"/>
            </a:solidFill>
          </a:ln>
        </c:spPr>
        <c:marker>
          <c:spPr>
            <a:solidFill>
              <a:srgbClr val="9CC746"/>
            </a:solidFill>
            <a:ln>
              <a:solidFill>
                <a:srgbClr val="FFC000"/>
              </a:solidFill>
              <a:prstDash val="solid"/>
            </a:ln>
          </c:spPr>
        </c:marker>
      </c:pivotFmt>
      <c:pivotFmt>
        <c:idx val="64"/>
        <c:spPr>
          <a:solidFill>
            <a:srgbClr val="9CC746"/>
          </a:solidFill>
          <a:ln>
            <a:solidFill>
              <a:srgbClr val="FFC000"/>
            </a:solidFill>
          </a:ln>
        </c:spPr>
        <c:marker>
          <c:spPr>
            <a:solidFill>
              <a:srgbClr val="9CC746"/>
            </a:solidFill>
            <a:ln>
              <a:solidFill>
                <a:srgbClr val="FFC000"/>
              </a:solidFill>
              <a:prstDash val="solid"/>
            </a:ln>
          </c:spPr>
        </c:marker>
      </c:pivotFmt>
      <c:pivotFmt>
        <c:idx val="65"/>
        <c:spPr>
          <a:solidFill>
            <a:srgbClr val="9CC746"/>
          </a:solidFill>
          <a:ln>
            <a:solidFill>
              <a:srgbClr val="FFC000"/>
            </a:solidFill>
          </a:ln>
        </c:spPr>
        <c:marker>
          <c:spPr>
            <a:solidFill>
              <a:srgbClr val="9CC746"/>
            </a:solidFill>
            <a:ln>
              <a:solidFill>
                <a:srgbClr val="FFC000"/>
              </a:solidFill>
              <a:prstDash val="solid"/>
            </a:ln>
          </c:spPr>
        </c:marker>
      </c:pivotFmt>
      <c:pivotFmt>
        <c:idx val="66"/>
        <c:spPr>
          <a:solidFill>
            <a:srgbClr val="9CC746"/>
          </a:solidFill>
          <a:ln>
            <a:solidFill>
              <a:srgbClr val="FFC000"/>
            </a:solidFill>
          </a:ln>
        </c:spPr>
        <c:marker>
          <c:spPr>
            <a:solidFill>
              <a:srgbClr val="9CC746"/>
            </a:solidFill>
            <a:ln>
              <a:solidFill>
                <a:srgbClr val="FFC000"/>
              </a:solidFill>
              <a:prstDash val="solid"/>
            </a:ln>
          </c:spPr>
        </c:marker>
      </c:pivotFmt>
      <c:pivotFmt>
        <c:idx val="67"/>
        <c:spPr>
          <a:solidFill>
            <a:srgbClr val="9CC746"/>
          </a:solidFill>
          <a:ln>
            <a:solidFill>
              <a:srgbClr val="FFC000"/>
            </a:solidFill>
          </a:ln>
        </c:spPr>
        <c:marker>
          <c:spPr>
            <a:solidFill>
              <a:srgbClr val="9CC746"/>
            </a:solidFill>
            <a:ln>
              <a:solidFill>
                <a:srgbClr val="FFC000"/>
              </a:solidFill>
              <a:prstDash val="solid"/>
            </a:ln>
          </c:spPr>
        </c:marker>
      </c:pivotFmt>
      <c:pivotFmt>
        <c:idx val="68"/>
        <c:spPr>
          <a:solidFill>
            <a:srgbClr val="9CC746"/>
          </a:solidFill>
          <a:ln>
            <a:solidFill>
              <a:srgbClr val="FFC000"/>
            </a:solidFill>
          </a:ln>
        </c:spPr>
        <c:marker>
          <c:spPr>
            <a:solidFill>
              <a:srgbClr val="9CC746"/>
            </a:solidFill>
            <a:ln>
              <a:solidFill>
                <a:srgbClr val="FFC000"/>
              </a:solidFill>
              <a:prstDash val="solid"/>
            </a:ln>
          </c:spPr>
        </c:marker>
      </c:pivotFmt>
      <c:pivotFmt>
        <c:idx val="69"/>
        <c:spPr>
          <a:solidFill>
            <a:srgbClr val="9B2D2A"/>
          </a:solidFill>
          <a:ln>
            <a:solidFill>
              <a:srgbClr val="FFC000"/>
            </a:solidFill>
          </a:ln>
        </c:spPr>
        <c:marker>
          <c:spPr>
            <a:solidFill>
              <a:srgbClr val="9B2D2A"/>
            </a:solidFill>
            <a:ln>
              <a:solidFill>
                <a:srgbClr val="FFC000"/>
              </a:solidFill>
              <a:prstDash val="solid"/>
            </a:ln>
          </c:spPr>
        </c:marker>
      </c:pivotFmt>
      <c:pivotFmt>
        <c:idx val="70"/>
        <c:spPr>
          <a:solidFill>
            <a:srgbClr val="9CC746"/>
          </a:solidFill>
          <a:ln>
            <a:solidFill>
              <a:srgbClr val="FFC000"/>
            </a:solidFill>
          </a:ln>
        </c:spPr>
        <c:marker>
          <c:spPr>
            <a:solidFill>
              <a:srgbClr val="9CC746"/>
            </a:solidFill>
            <a:ln>
              <a:solidFill>
                <a:srgbClr val="FFC000"/>
              </a:solidFill>
              <a:prstDash val="solid"/>
            </a:ln>
          </c:spPr>
        </c:marker>
      </c:pivotFmt>
      <c:pivotFmt>
        <c:idx val="71"/>
        <c:spPr>
          <a:solidFill>
            <a:srgbClr val="9CC746"/>
          </a:solidFill>
          <a:ln>
            <a:solidFill>
              <a:srgbClr val="FFC000"/>
            </a:solidFill>
          </a:ln>
        </c:spPr>
        <c:marker>
          <c:spPr>
            <a:solidFill>
              <a:srgbClr val="9CC746"/>
            </a:solidFill>
            <a:ln>
              <a:solidFill>
                <a:srgbClr val="FFC000"/>
              </a:solidFill>
              <a:prstDash val="solid"/>
            </a:ln>
          </c:spPr>
        </c:marker>
      </c:pivotFmt>
      <c:pivotFmt>
        <c:idx val="72"/>
        <c:spPr>
          <a:solidFill>
            <a:srgbClr val="9CC746"/>
          </a:solidFill>
          <a:ln>
            <a:solidFill>
              <a:srgbClr val="FFC000"/>
            </a:solidFill>
          </a:ln>
        </c:spPr>
        <c:marker>
          <c:spPr>
            <a:solidFill>
              <a:srgbClr val="9CC746"/>
            </a:solidFill>
            <a:ln>
              <a:solidFill>
                <a:srgbClr val="FFC000"/>
              </a:solidFill>
              <a:prstDash val="solid"/>
            </a:ln>
          </c:spPr>
        </c:marker>
      </c:pivotFmt>
      <c:pivotFmt>
        <c:idx val="73"/>
        <c:spPr>
          <a:solidFill>
            <a:srgbClr val="9CC746"/>
          </a:solidFill>
          <a:ln>
            <a:solidFill>
              <a:srgbClr val="FFC000"/>
            </a:solidFill>
          </a:ln>
        </c:spPr>
        <c:marker>
          <c:spPr>
            <a:solidFill>
              <a:srgbClr val="9CC746"/>
            </a:solidFill>
            <a:ln>
              <a:solidFill>
                <a:srgbClr val="FFC000"/>
              </a:solidFill>
              <a:prstDash val="solid"/>
            </a:ln>
          </c:spPr>
        </c:marker>
      </c:pivotFmt>
      <c:pivotFmt>
        <c:idx val="74"/>
        <c:spPr>
          <a:solidFill>
            <a:srgbClr val="9CC746"/>
          </a:solidFill>
          <a:ln>
            <a:solidFill>
              <a:srgbClr val="FFC000"/>
            </a:solidFill>
          </a:ln>
        </c:spPr>
        <c:marker>
          <c:spPr>
            <a:solidFill>
              <a:srgbClr val="9CC746"/>
            </a:solidFill>
            <a:ln>
              <a:solidFill>
                <a:srgbClr val="FFC000"/>
              </a:solidFill>
              <a:prstDash val="solid"/>
            </a:ln>
          </c:spPr>
        </c:marker>
      </c:pivotFmt>
      <c:pivotFmt>
        <c:idx val="75"/>
        <c:spPr>
          <a:solidFill>
            <a:srgbClr val="9CC746"/>
          </a:solidFill>
          <a:ln>
            <a:solidFill>
              <a:srgbClr val="FFC000"/>
            </a:solidFill>
          </a:ln>
        </c:spPr>
        <c:marker>
          <c:spPr>
            <a:solidFill>
              <a:srgbClr val="9CC746"/>
            </a:solidFill>
            <a:ln>
              <a:solidFill>
                <a:srgbClr val="FFC000"/>
              </a:solidFill>
              <a:prstDash val="solid"/>
            </a:ln>
          </c:spPr>
        </c:marker>
      </c:pivotFmt>
    </c:pivotFmts>
    <c:plotArea>
      <c:layout/>
      <c:barChart>
        <c:barDir val="col"/>
        <c:grouping val="stacked"/>
        <c:varyColors val="0"/>
        <c:ser>
          <c:idx val="0"/>
          <c:order val="0"/>
          <c:tx>
            <c:strRef>
              <c:f>pt.generic_add_data2!$C$7:$C$8</c:f>
              <c:strCache>
                <c:ptCount val="1"/>
                <c:pt idx="0">
                  <c:v>(blank)</c:v>
                </c:pt>
              </c:strCache>
            </c:strRef>
          </c:tx>
          <c:invertIfNegative val="0"/>
          <c:cat>
            <c:multiLvlStrRef>
              <c:f>pt.generic_add_data2!$A$9:$B$10</c:f>
              <c:multiLvlStrCache>
                <c:ptCount val="1"/>
                <c:lvl>
                  <c:pt idx="0">
                    <c:v>(blank)</c:v>
                  </c:pt>
                </c:lvl>
                <c:lvl>
                  <c:pt idx="0">
                    <c:v>(blank)</c:v>
                  </c:pt>
                </c:lvl>
              </c:multiLvlStrCache>
            </c:multiLvlStrRef>
          </c:cat>
          <c:val>
            <c:numRef>
              <c:f>pt.generic_add_data2!$C$9:$C$10</c:f>
              <c:numCache>
                <c:formatCode>General</c:formatCode>
                <c:ptCount val="1"/>
                <c:pt idx="0">
                  <c:v>0</c:v>
                </c:pt>
              </c:numCache>
            </c:numRef>
          </c:val>
          <c:extLst>
            <c:ext xmlns:c16="http://schemas.microsoft.com/office/drawing/2014/chart" uri="{C3380CC4-5D6E-409C-BE32-E72D297353CC}">
              <c16:uniqueId val="{00000000-D757-46A8-B4DA-7B175532B04A}"/>
            </c:ext>
          </c:extLst>
        </c:ser>
        <c:dLbls>
          <c:showLegendKey val="0"/>
          <c:showVal val="0"/>
          <c:showCatName val="0"/>
          <c:showSerName val="0"/>
          <c:showPercent val="0"/>
          <c:showBubbleSize val="0"/>
        </c:dLbls>
        <c:gapWidth val="200"/>
        <c:overlap val="100"/>
        <c:axId val="451522880"/>
        <c:axId val="451523272"/>
      </c:barChart>
      <c:catAx>
        <c:axId val="45152288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3272"/>
        <c:crosses val="autoZero"/>
        <c:auto val="1"/>
        <c:lblAlgn val="ctr"/>
        <c:lblOffset val="100"/>
        <c:noMultiLvlLbl val="0"/>
      </c:catAx>
      <c:valAx>
        <c:axId val="451523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88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1.3_3_2.xlsm]pt.generic_add_data4!pt.generic_add_data4</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s>
    <c:plotArea>
      <c:layout/>
      <c:barChart>
        <c:barDir val="col"/>
        <c:grouping val="stacked"/>
        <c:varyColors val="0"/>
        <c:ser>
          <c:idx val="0"/>
          <c:order val="0"/>
          <c:tx>
            <c:strRef>
              <c:f>pt.generic_add_data4!$C$7:$C$8</c:f>
              <c:strCache>
                <c:ptCount val="1"/>
                <c:pt idx="0">
                  <c:v>(blank)</c:v>
                </c:pt>
              </c:strCache>
            </c:strRef>
          </c:tx>
          <c:invertIfNegative val="0"/>
          <c:cat>
            <c:multiLvlStrRef>
              <c:f>pt.generic_add_data4!$A$9:$B$10</c:f>
              <c:multiLvlStrCache>
                <c:ptCount val="1"/>
                <c:lvl>
                  <c:pt idx="0">
                    <c:v>(blank)</c:v>
                  </c:pt>
                </c:lvl>
                <c:lvl>
                  <c:pt idx="0">
                    <c:v>(blank)</c:v>
                  </c:pt>
                </c:lvl>
              </c:multiLvlStrCache>
            </c:multiLvlStrRef>
          </c:cat>
          <c:val>
            <c:numRef>
              <c:f>pt.generic_add_data4!$C$9:$C$10</c:f>
              <c:numCache>
                <c:formatCode>General</c:formatCode>
                <c:ptCount val="1"/>
                <c:pt idx="0">
                  <c:v>0</c:v>
                </c:pt>
              </c:numCache>
            </c:numRef>
          </c:val>
          <c:extLst>
            <c:ext xmlns:c16="http://schemas.microsoft.com/office/drawing/2014/chart" uri="{C3380CC4-5D6E-409C-BE32-E72D297353CC}">
              <c16:uniqueId val="{00000000-C3F2-4944-A256-82A8B6A9B7A3}"/>
            </c:ext>
          </c:extLst>
        </c:ser>
        <c:dLbls>
          <c:showLegendKey val="0"/>
          <c:showVal val="0"/>
          <c:showCatName val="0"/>
          <c:showSerName val="0"/>
          <c:showPercent val="0"/>
          <c:showBubbleSize val="0"/>
        </c:dLbls>
        <c:gapWidth val="200"/>
        <c:overlap val="100"/>
        <c:axId val="456892520"/>
        <c:axId val="456892912"/>
      </c:barChart>
      <c:catAx>
        <c:axId val="45689252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912"/>
        <c:crosses val="autoZero"/>
        <c:auto val="1"/>
        <c:lblAlgn val="ctr"/>
        <c:lblOffset val="100"/>
        <c:noMultiLvlLbl val="0"/>
      </c:catAx>
      <c:valAx>
        <c:axId val="456892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52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1.3_3_2.xlsm]pt.generic_add_data5!pt.generic_add_data5</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spPr>
          <a:ln>
            <a:solidFill>
              <a:srgbClr val="FFC000"/>
            </a:solidFill>
          </a:ln>
        </c:spPr>
        <c:marker>
          <c:symbol val="circle"/>
          <c:size val="5"/>
          <c:spPr>
            <a:ln>
              <a:solidFill>
                <a:srgbClr val="FFC000"/>
              </a:solidFill>
            </a:ln>
          </c:spPr>
        </c:marker>
      </c:pivotFmt>
      <c:pivotFmt>
        <c:idx val="11"/>
        <c:spPr>
          <a:ln>
            <a:solidFill>
              <a:srgbClr val="000000"/>
            </a:solidFill>
          </a:ln>
        </c:spPr>
        <c:marker>
          <c:symbol val="none"/>
        </c:marker>
      </c:pivotFmt>
      <c:pivotFmt>
        <c:idx val="12"/>
        <c:spPr>
          <a:ln>
            <a:solidFill>
              <a:srgbClr val="FFC000"/>
            </a:solidFill>
          </a:ln>
        </c:spPr>
        <c:marker>
          <c:spPr>
            <a:solidFill>
              <a:srgbClr val="9CC746"/>
            </a:solidFill>
            <a:ln>
              <a:solidFill>
                <a:srgbClr val="FFC000"/>
              </a:solidFill>
              <a:prstDash val="solid"/>
            </a:ln>
          </c:spPr>
        </c:marker>
      </c:pivotFmt>
      <c:pivotFmt>
        <c:idx val="13"/>
        <c:spPr>
          <a:ln>
            <a:solidFill>
              <a:srgbClr val="FFC000"/>
            </a:solidFill>
          </a:ln>
        </c:spPr>
        <c:marker>
          <c:spPr>
            <a:solidFill>
              <a:srgbClr val="9CC746"/>
            </a:solidFill>
            <a:ln>
              <a:solidFill>
                <a:srgbClr val="FFC000"/>
              </a:solidFill>
              <a:prstDash val="solid"/>
            </a:ln>
          </c:spPr>
        </c:marker>
      </c:pivotFmt>
      <c:pivotFmt>
        <c:idx val="14"/>
        <c:spPr>
          <a:ln>
            <a:solidFill>
              <a:srgbClr val="FFC000"/>
            </a:solidFill>
          </a:ln>
        </c:spPr>
        <c:marker>
          <c:spPr>
            <a:solidFill>
              <a:srgbClr val="9CC746"/>
            </a:solidFill>
            <a:ln>
              <a:solidFill>
                <a:srgbClr val="FFC000"/>
              </a:solidFill>
              <a:prstDash val="solid"/>
            </a:ln>
          </c:spPr>
        </c:marker>
      </c:pivotFmt>
      <c:pivotFmt>
        <c:idx val="15"/>
        <c:spPr>
          <a:ln>
            <a:solidFill>
              <a:srgbClr val="FFC000"/>
            </a:solidFill>
          </a:ln>
        </c:spPr>
        <c:marker>
          <c:spPr>
            <a:solidFill>
              <a:srgbClr val="9CC746"/>
            </a:solidFill>
            <a:ln>
              <a:solidFill>
                <a:srgbClr val="FFC000"/>
              </a:solidFill>
              <a:prstDash val="solid"/>
            </a:ln>
          </c:spPr>
        </c:marker>
      </c:pivotFmt>
      <c:pivotFmt>
        <c:idx val="16"/>
        <c:spPr>
          <a:ln>
            <a:solidFill>
              <a:srgbClr val="FFC000"/>
            </a:solidFill>
          </a:ln>
        </c:spPr>
        <c:marker>
          <c:spPr>
            <a:solidFill>
              <a:srgbClr val="9CC746"/>
            </a:solidFill>
            <a:ln>
              <a:solidFill>
                <a:srgbClr val="FFC000"/>
              </a:solidFill>
              <a:prstDash val="solid"/>
            </a:ln>
          </c:spPr>
        </c:marker>
      </c:pivotFmt>
      <c:pivotFmt>
        <c:idx val="17"/>
        <c:spPr>
          <a:ln>
            <a:solidFill>
              <a:srgbClr val="FFC000"/>
            </a:solidFill>
          </a:ln>
        </c:spPr>
        <c:marker>
          <c:spPr>
            <a:solidFill>
              <a:srgbClr val="9CC746"/>
            </a:solidFill>
            <a:ln>
              <a:solidFill>
                <a:srgbClr val="FFC000"/>
              </a:solidFill>
              <a:prstDash val="solid"/>
            </a:ln>
          </c:spPr>
        </c:marker>
      </c:pivotFmt>
      <c:pivotFmt>
        <c:idx val="18"/>
        <c:spPr>
          <a:ln>
            <a:solidFill>
              <a:srgbClr val="FFC000"/>
            </a:solidFill>
          </a:ln>
        </c:spPr>
        <c:marker>
          <c:spPr>
            <a:solidFill>
              <a:srgbClr val="9CC746"/>
            </a:solidFill>
            <a:ln>
              <a:solidFill>
                <a:srgbClr val="FFC000"/>
              </a:solidFill>
              <a:prstDash val="solid"/>
            </a:ln>
          </c:spPr>
        </c:marker>
      </c:pivotFmt>
      <c:pivotFmt>
        <c:idx val="19"/>
        <c:spPr>
          <a:ln>
            <a:solidFill>
              <a:srgbClr val="FFC000"/>
            </a:solidFill>
          </a:ln>
        </c:spPr>
        <c:marker>
          <c:spPr>
            <a:solidFill>
              <a:srgbClr val="9CC746"/>
            </a:solidFill>
            <a:ln>
              <a:solidFill>
                <a:srgbClr val="FFC000"/>
              </a:solidFill>
              <a:prstDash val="solid"/>
            </a:ln>
          </c:spPr>
        </c:marker>
      </c:pivotFmt>
      <c:pivotFmt>
        <c:idx val="20"/>
        <c:spPr>
          <a:ln>
            <a:solidFill>
              <a:srgbClr val="FFC000"/>
            </a:solidFill>
          </a:ln>
        </c:spPr>
        <c:marker>
          <c:spPr>
            <a:solidFill>
              <a:srgbClr val="9CC746"/>
            </a:solidFill>
            <a:ln>
              <a:solidFill>
                <a:srgbClr val="FFC000"/>
              </a:solidFill>
              <a:prstDash val="solid"/>
            </a:ln>
          </c:spPr>
        </c:marker>
      </c:pivotFmt>
      <c:pivotFmt>
        <c:idx val="21"/>
        <c:spPr>
          <a:ln>
            <a:solidFill>
              <a:srgbClr val="FFC000"/>
            </a:solidFill>
          </a:ln>
        </c:spPr>
        <c:marker>
          <c:spPr>
            <a:solidFill>
              <a:srgbClr val="9CC746"/>
            </a:solidFill>
            <a:ln>
              <a:solidFill>
                <a:srgbClr val="FFC000"/>
              </a:solidFill>
              <a:prstDash val="solid"/>
            </a:ln>
          </c:spPr>
        </c:marker>
      </c:pivotFmt>
      <c:pivotFmt>
        <c:idx val="22"/>
        <c:spPr>
          <a:ln>
            <a:solidFill>
              <a:srgbClr val="FFC000"/>
            </a:solidFill>
          </a:ln>
        </c:spPr>
        <c:marker>
          <c:spPr>
            <a:solidFill>
              <a:srgbClr val="9CC746"/>
            </a:solidFill>
            <a:ln>
              <a:solidFill>
                <a:srgbClr val="FFC000"/>
              </a:solidFill>
              <a:prstDash val="solid"/>
            </a:ln>
          </c:spPr>
        </c:marker>
      </c:pivotFmt>
      <c:pivotFmt>
        <c:idx val="23"/>
        <c:spPr>
          <a:ln>
            <a:solidFill>
              <a:srgbClr val="FFC000"/>
            </a:solidFill>
          </a:ln>
        </c:spPr>
        <c:marker>
          <c:spPr>
            <a:solidFill>
              <a:srgbClr val="9CC746"/>
            </a:solidFill>
            <a:ln>
              <a:solidFill>
                <a:srgbClr val="FFC000"/>
              </a:solidFill>
              <a:prstDash val="solid"/>
            </a:ln>
          </c:spPr>
        </c:marker>
      </c:pivotFmt>
      <c:pivotFmt>
        <c:idx val="24"/>
        <c:spPr>
          <a:ln>
            <a:solidFill>
              <a:srgbClr val="FFC000"/>
            </a:solidFill>
          </a:ln>
        </c:spPr>
        <c:marker>
          <c:spPr>
            <a:solidFill>
              <a:srgbClr val="9CC746"/>
            </a:solidFill>
            <a:ln>
              <a:solidFill>
                <a:srgbClr val="FFC000"/>
              </a:solidFill>
              <a:prstDash val="solid"/>
            </a:ln>
          </c:spPr>
        </c:marker>
      </c:pivotFmt>
      <c:pivotFmt>
        <c:idx val="25"/>
        <c:marker>
          <c:symbol val="none"/>
        </c:marker>
      </c:pivotFmt>
    </c:pivotFmts>
    <c:plotArea>
      <c:layout/>
      <c:barChart>
        <c:barDir val="col"/>
        <c:grouping val="stacked"/>
        <c:varyColors val="0"/>
        <c:ser>
          <c:idx val="0"/>
          <c:order val="0"/>
          <c:tx>
            <c:strRef>
              <c:f>pt.generic_add_data5!$B$7:$B$8</c:f>
              <c:strCache>
                <c:ptCount val="1"/>
                <c:pt idx="0">
                  <c:v>(blank)</c:v>
                </c:pt>
              </c:strCache>
            </c:strRef>
          </c:tx>
          <c:invertIfNegative val="0"/>
          <c:cat>
            <c:multiLvlStrRef>
              <c:f>pt.generic_add_data5!$A$9:$A$11</c:f>
              <c:multiLvlStrCache>
                <c:ptCount val="1"/>
                <c:lvl>
                  <c:pt idx="0">
                    <c:v>(blank)</c:v>
                  </c:pt>
                </c:lvl>
                <c:lvl>
                  <c:pt idx="0">
                    <c:v>(blank)</c:v>
                  </c:pt>
                </c:lvl>
              </c:multiLvlStrCache>
            </c:multiLvlStrRef>
          </c:cat>
          <c:val>
            <c:numRef>
              <c:f>pt.generic_add_data5!$B$9:$B$11</c:f>
              <c:numCache>
                <c:formatCode>General</c:formatCode>
                <c:ptCount val="1"/>
                <c:pt idx="0">
                  <c:v>0</c:v>
                </c:pt>
              </c:numCache>
            </c:numRef>
          </c:val>
          <c:extLst>
            <c:ext xmlns:c16="http://schemas.microsoft.com/office/drawing/2014/chart" uri="{C3380CC4-5D6E-409C-BE32-E72D297353CC}">
              <c16:uniqueId val="{00000000-4FDE-478B-B3A4-901D3677D33B}"/>
            </c:ext>
          </c:extLst>
        </c:ser>
        <c:dLbls>
          <c:showLegendKey val="0"/>
          <c:showVal val="0"/>
          <c:showCatName val="0"/>
          <c:showSerName val="0"/>
          <c:showPercent val="0"/>
          <c:showBubbleSize val="0"/>
        </c:dLbls>
        <c:gapWidth val="200"/>
        <c:overlap val="100"/>
        <c:axId val="456893696"/>
        <c:axId val="456894088"/>
      </c:barChart>
      <c:catAx>
        <c:axId val="456893696"/>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088"/>
        <c:crosses val="autoZero"/>
        <c:auto val="1"/>
        <c:lblAlgn val="ctr"/>
        <c:lblOffset val="100"/>
        <c:noMultiLvlLbl val="0"/>
      </c:catAx>
      <c:valAx>
        <c:axId val="456894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369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1.3_3_2.xlsm]pt.generic_add_data6!pt.generic_add_data6</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CC746"/>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pt.generic_add_data6!$C$7:$C$8</c:f>
              <c:strCache>
                <c:ptCount val="1"/>
                <c:pt idx="0">
                  <c:v>(blank)</c:v>
                </c:pt>
              </c:strCache>
            </c:strRef>
          </c:tx>
          <c:invertIfNegative val="0"/>
          <c:cat>
            <c:multiLvlStrRef>
              <c:f>pt.generic_add_data6!$A$9:$B$10</c:f>
              <c:multiLvlStrCache>
                <c:ptCount val="1"/>
                <c:lvl>
                  <c:pt idx="0">
                    <c:v>(blank)</c:v>
                  </c:pt>
                </c:lvl>
                <c:lvl>
                  <c:pt idx="0">
                    <c:v>(blank)</c:v>
                  </c:pt>
                </c:lvl>
              </c:multiLvlStrCache>
            </c:multiLvlStrRef>
          </c:cat>
          <c:val>
            <c:numRef>
              <c:f>pt.generic_add_data6!$C$9:$C$10</c:f>
              <c:numCache>
                <c:formatCode>General</c:formatCode>
                <c:ptCount val="1"/>
                <c:pt idx="0">
                  <c:v>0</c:v>
                </c:pt>
              </c:numCache>
            </c:numRef>
          </c:val>
          <c:extLst>
            <c:ext xmlns:c16="http://schemas.microsoft.com/office/drawing/2014/chart" uri="{C3380CC4-5D6E-409C-BE32-E72D297353CC}">
              <c16:uniqueId val="{0000001A-FE12-4078-972C-59E4A9F21B0C}"/>
            </c:ext>
          </c:extLst>
        </c:ser>
        <c:dLbls>
          <c:showLegendKey val="0"/>
          <c:showVal val="0"/>
          <c:showCatName val="0"/>
          <c:showSerName val="0"/>
          <c:showPercent val="0"/>
          <c:showBubbleSize val="0"/>
        </c:dLbls>
        <c:gapWidth val="150"/>
        <c:overlap val="100"/>
        <c:axId val="456894872"/>
        <c:axId val="456895264"/>
      </c:barChart>
      <c:catAx>
        <c:axId val="4568948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5264"/>
        <c:crosses val="autoZero"/>
        <c:auto val="1"/>
        <c:lblAlgn val="ctr"/>
        <c:lblOffset val="100"/>
        <c:noMultiLvlLbl val="0"/>
      </c:catAx>
      <c:valAx>
        <c:axId val="456895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872"/>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1.3_3_2.xlsm]pt.generic_add_data7!pt.generic_add_data7</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pt.generic_add_data7!$C$7:$C$8</c:f>
              <c:strCache>
                <c:ptCount val="1"/>
                <c:pt idx="0">
                  <c:v>(blank)</c:v>
                </c:pt>
              </c:strCache>
            </c:strRef>
          </c:tx>
          <c:invertIfNegative val="0"/>
          <c:cat>
            <c:multiLvlStrRef>
              <c:f>pt.generic_add_data7!$A$9:$B$10</c:f>
              <c:multiLvlStrCache>
                <c:ptCount val="1"/>
                <c:lvl>
                  <c:pt idx="0">
                    <c:v>(blank)</c:v>
                  </c:pt>
                </c:lvl>
                <c:lvl>
                  <c:pt idx="0">
                    <c:v>(blank)</c:v>
                  </c:pt>
                </c:lvl>
              </c:multiLvlStrCache>
            </c:multiLvlStrRef>
          </c:cat>
          <c:val>
            <c:numRef>
              <c:f>pt.generic_add_data7!$C$9:$C$10</c:f>
              <c:numCache>
                <c:formatCode>General</c:formatCode>
                <c:ptCount val="1"/>
                <c:pt idx="0">
                  <c:v>0</c:v>
                </c:pt>
              </c:numCache>
            </c:numRef>
          </c:val>
          <c:extLst>
            <c:ext xmlns:c16="http://schemas.microsoft.com/office/drawing/2014/chart" uri="{C3380CC4-5D6E-409C-BE32-E72D297353CC}">
              <c16:uniqueId val="{00000000-0E8F-4465-9976-7F887CF01FC3}"/>
            </c:ext>
          </c:extLst>
        </c:ser>
        <c:dLbls>
          <c:showLegendKey val="0"/>
          <c:showVal val="0"/>
          <c:showCatName val="0"/>
          <c:showSerName val="0"/>
          <c:showPercent val="0"/>
          <c:showBubbleSize val="0"/>
        </c:dLbls>
        <c:gapWidth val="150"/>
        <c:overlap val="100"/>
        <c:axId val="456896048"/>
        <c:axId val="456679520"/>
      </c:barChart>
      <c:catAx>
        <c:axId val="45689604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79520"/>
        <c:crosses val="autoZero"/>
        <c:auto val="1"/>
        <c:lblAlgn val="ctr"/>
        <c:lblOffset val="100"/>
        <c:noMultiLvlLbl val="0"/>
      </c:catAx>
      <c:valAx>
        <c:axId val="45667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604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1.3_3_2.xlsm]pt.generic_add_data8!pt.generic_add_data8</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pt.generic_add_data8!$C$7:$C$8</c:f>
              <c:strCache>
                <c:ptCount val="1"/>
                <c:pt idx="0">
                  <c:v>(blank)</c:v>
                </c:pt>
              </c:strCache>
            </c:strRef>
          </c:tx>
          <c:invertIfNegative val="0"/>
          <c:cat>
            <c:multiLvlStrRef>
              <c:f>pt.generic_add_data8!$A$9:$B$10</c:f>
              <c:multiLvlStrCache>
                <c:ptCount val="1"/>
                <c:lvl>
                  <c:pt idx="0">
                    <c:v>(blank)</c:v>
                  </c:pt>
                </c:lvl>
                <c:lvl>
                  <c:pt idx="0">
                    <c:v>(blank)</c:v>
                  </c:pt>
                </c:lvl>
              </c:multiLvlStrCache>
            </c:multiLvlStrRef>
          </c:cat>
          <c:val>
            <c:numRef>
              <c:f>pt.generic_add_data8!$C$9:$C$10</c:f>
              <c:numCache>
                <c:formatCode>General</c:formatCode>
                <c:ptCount val="1"/>
                <c:pt idx="0">
                  <c:v>0</c:v>
                </c:pt>
              </c:numCache>
            </c:numRef>
          </c:val>
          <c:extLst>
            <c:ext xmlns:c16="http://schemas.microsoft.com/office/drawing/2014/chart" uri="{C3380CC4-5D6E-409C-BE32-E72D297353CC}">
              <c16:uniqueId val="{00000000-BB24-46E8-8B2B-A0B5CAEE05B2}"/>
            </c:ext>
          </c:extLst>
        </c:ser>
        <c:dLbls>
          <c:showLegendKey val="0"/>
          <c:showVal val="0"/>
          <c:showCatName val="0"/>
          <c:showSerName val="0"/>
          <c:showPercent val="0"/>
          <c:showBubbleSize val="0"/>
        </c:dLbls>
        <c:gapWidth val="150"/>
        <c:overlap val="100"/>
        <c:axId val="456680304"/>
        <c:axId val="456680696"/>
      </c:barChart>
      <c:catAx>
        <c:axId val="4566803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696"/>
        <c:crosses val="autoZero"/>
        <c:auto val="1"/>
        <c:lblAlgn val="ctr"/>
        <c:lblOffset val="100"/>
        <c:noMultiLvlLbl val="0"/>
      </c:catAx>
      <c:valAx>
        <c:axId val="456680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30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1.3_3_2.xlsm]pt.generic_add_data9!pt.generic_add_data9</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pt.generic_add_data9!$C$7:$C$8</c:f>
              <c:strCache>
                <c:ptCount val="1"/>
                <c:pt idx="0">
                  <c:v>(blank)</c:v>
                </c:pt>
              </c:strCache>
            </c:strRef>
          </c:tx>
          <c:invertIfNegative val="0"/>
          <c:cat>
            <c:multiLvlStrRef>
              <c:f>pt.generic_add_data9!$A$9:$B$10</c:f>
              <c:multiLvlStrCache>
                <c:ptCount val="1"/>
                <c:lvl>
                  <c:pt idx="0">
                    <c:v>(blank)</c:v>
                  </c:pt>
                </c:lvl>
                <c:lvl>
                  <c:pt idx="0">
                    <c:v>(blank)</c:v>
                  </c:pt>
                </c:lvl>
              </c:multiLvlStrCache>
            </c:multiLvlStrRef>
          </c:cat>
          <c:val>
            <c:numRef>
              <c:f>pt.generic_add_data9!$C$9:$C$10</c:f>
              <c:numCache>
                <c:formatCode>General</c:formatCode>
                <c:ptCount val="1"/>
                <c:pt idx="0">
                  <c:v>0</c:v>
                </c:pt>
              </c:numCache>
            </c:numRef>
          </c:val>
          <c:extLst>
            <c:ext xmlns:c16="http://schemas.microsoft.com/office/drawing/2014/chart" uri="{C3380CC4-5D6E-409C-BE32-E72D297353CC}">
              <c16:uniqueId val="{00000000-E3B6-4565-8B29-435D2DE0F8DA}"/>
            </c:ext>
          </c:extLst>
        </c:ser>
        <c:dLbls>
          <c:showLegendKey val="0"/>
          <c:showVal val="0"/>
          <c:showCatName val="0"/>
          <c:showSerName val="0"/>
          <c:showPercent val="0"/>
          <c:showBubbleSize val="0"/>
        </c:dLbls>
        <c:gapWidth val="150"/>
        <c:overlap val="100"/>
        <c:axId val="456681480"/>
        <c:axId val="456681872"/>
      </c:barChart>
      <c:catAx>
        <c:axId val="4566814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872"/>
        <c:crosses val="autoZero"/>
        <c:auto val="1"/>
        <c:lblAlgn val="ctr"/>
        <c:lblOffset val="100"/>
        <c:noMultiLvlLbl val="0"/>
      </c:catAx>
      <c:valAx>
        <c:axId val="45668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48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1.3_3_2.xlsm]pt.generic_add_data10!pt.generic_add_data10</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pt.generic_add_data10!$C$7:$C$8</c:f>
              <c:strCache>
                <c:ptCount val="1"/>
                <c:pt idx="0">
                  <c:v>(blank)</c:v>
                </c:pt>
              </c:strCache>
            </c:strRef>
          </c:tx>
          <c:invertIfNegative val="0"/>
          <c:cat>
            <c:multiLvlStrRef>
              <c:f>pt.generic_add_data10!$A$9:$B$10</c:f>
              <c:multiLvlStrCache>
                <c:ptCount val="1"/>
                <c:lvl>
                  <c:pt idx="0">
                    <c:v>(blank)</c:v>
                  </c:pt>
                </c:lvl>
                <c:lvl>
                  <c:pt idx="0">
                    <c:v>(blank)</c:v>
                  </c:pt>
                </c:lvl>
              </c:multiLvlStrCache>
            </c:multiLvlStrRef>
          </c:cat>
          <c:val>
            <c:numRef>
              <c:f>pt.generic_add_data10!$C$9:$C$10</c:f>
              <c:numCache>
                <c:formatCode>General</c:formatCode>
                <c:ptCount val="1"/>
                <c:pt idx="0">
                  <c:v>0</c:v>
                </c:pt>
              </c:numCache>
            </c:numRef>
          </c:val>
          <c:extLst>
            <c:ext xmlns:c16="http://schemas.microsoft.com/office/drawing/2014/chart" uri="{C3380CC4-5D6E-409C-BE32-E72D297353CC}">
              <c16:uniqueId val="{00000000-6EFB-424D-8B1C-FB27BC5352CC}"/>
            </c:ext>
          </c:extLst>
        </c:ser>
        <c:dLbls>
          <c:showLegendKey val="0"/>
          <c:showVal val="0"/>
          <c:showCatName val="0"/>
          <c:showSerName val="0"/>
          <c:showPercent val="0"/>
          <c:showBubbleSize val="0"/>
        </c:dLbls>
        <c:gapWidth val="150"/>
        <c:overlap val="100"/>
        <c:axId val="456682656"/>
        <c:axId val="456683048"/>
      </c:barChart>
      <c:catAx>
        <c:axId val="4566826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3048"/>
        <c:crosses val="autoZero"/>
        <c:auto val="1"/>
        <c:lblAlgn val="ctr"/>
        <c:lblOffset val="100"/>
        <c:noMultiLvlLbl val="0"/>
      </c:catAx>
      <c:valAx>
        <c:axId val="456683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265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1.3_3_2.xlsm]pt.generic_add_data1!pt.generic_add_data1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solidFill>
              <a:srgbClr val="FFC000"/>
            </a:solidFill>
          </a:ln>
          <a:effectLst/>
        </c:spPr>
        <c:marker>
          <c:symbol val="circle"/>
          <c:size val="5"/>
          <c:spPr>
            <a:solidFill>
              <a:schemeClr val="accent1"/>
            </a:solidFill>
            <a:ln w="9525">
              <a:solidFill>
                <a:srgbClr val="FFC000"/>
              </a:solidFill>
            </a:ln>
            <a:effectLst/>
          </c:spPr>
        </c:marker>
      </c:pivotFmt>
      <c:pivotFmt>
        <c:idx val="6"/>
        <c:spPr>
          <a:solidFill>
            <a:schemeClr val="accent1"/>
          </a:solidFill>
          <a:ln>
            <a:solidFill>
              <a:srgbClr val="000000"/>
            </a:solidFill>
          </a:ln>
          <a:effectLst/>
        </c:spPr>
        <c:marker>
          <c:symbol val="none"/>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0"/>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1"/>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2"/>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3"/>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4"/>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5"/>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chemeClr val="accent1"/>
          </a:solidFill>
          <a:ln>
            <a:noFill/>
          </a:ln>
          <a:effectLst/>
        </c:spPr>
        <c:marker>
          <c:symbol val="none"/>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B2D2A"/>
          </a:solidFill>
          <a:ln w="28575" cap="rnd">
            <a:solidFill>
              <a:srgbClr val="FFC000"/>
            </a:solidFill>
            <a:round/>
          </a:ln>
          <a:effectLst/>
        </c:spPr>
        <c:marker>
          <c:spPr>
            <a:solidFill>
              <a:srgbClr val="9B2D2A"/>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4"/>
        <c:spPr>
          <a:solidFill>
            <a:schemeClr val="accent1"/>
          </a:solidFill>
          <a:ln w="28575" cap="rnd">
            <a:solidFill>
              <a:srgbClr val="000000"/>
            </a:solidFill>
            <a:round/>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B2D2A"/>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8133834860998671"/>
          <c:y val="0.31514876304099038"/>
          <c:w val="0.7580052427320727"/>
          <c:h val="0.63152527316608142"/>
        </c:manualLayout>
      </c:layout>
      <c:barChart>
        <c:barDir val="col"/>
        <c:grouping val="stacked"/>
        <c:varyColors val="0"/>
        <c:ser>
          <c:idx val="0"/>
          <c:order val="0"/>
          <c:tx>
            <c:strRef>
              <c:f>pt.generic_add_data1!$D$8:$D$9</c:f>
              <c:strCache>
                <c:ptCount val="1"/>
                <c:pt idx="0">
                  <c:v>(blank)</c:v>
                </c:pt>
              </c:strCache>
            </c:strRef>
          </c:tx>
          <c:spPr>
            <a:solidFill>
              <a:schemeClr val="accent1"/>
            </a:solidFill>
            <a:ln>
              <a:noFill/>
            </a:ln>
            <a:effectLst/>
          </c:spPr>
          <c:invertIfNegative val="0"/>
          <c:cat>
            <c:multiLvlStrRef>
              <c:f>pt.generic_add_data1!$B$10:$C$11</c:f>
              <c:multiLvlStrCache>
                <c:ptCount val="1"/>
                <c:lvl>
                  <c:pt idx="0">
                    <c:v>(blank)</c:v>
                  </c:pt>
                </c:lvl>
                <c:lvl>
                  <c:pt idx="0">
                    <c:v>(blank)</c:v>
                  </c:pt>
                </c:lvl>
              </c:multiLvlStrCache>
            </c:multiLvlStrRef>
          </c:cat>
          <c:val>
            <c:numRef>
              <c:f>pt.generic_add_data1!$D$10:$D$11</c:f>
              <c:numCache>
                <c:formatCode>General</c:formatCode>
                <c:ptCount val="1"/>
                <c:pt idx="0">
                  <c:v>0</c:v>
                </c:pt>
              </c:numCache>
            </c:numRef>
          </c:val>
          <c:extLst>
            <c:ext xmlns:c16="http://schemas.microsoft.com/office/drawing/2014/chart" uri="{C3380CC4-5D6E-409C-BE32-E72D297353CC}">
              <c16:uniqueId val="{00000000-D321-4A28-B503-A5BBF8B54591}"/>
            </c:ext>
          </c:extLst>
        </c:ser>
        <c:dLbls>
          <c:showLegendKey val="0"/>
          <c:showVal val="0"/>
          <c:showCatName val="0"/>
          <c:showSerName val="0"/>
          <c:showPercent val="0"/>
          <c:showBubbleSize val="0"/>
        </c:dLbls>
        <c:gapWidth val="200"/>
        <c:overlap val="100"/>
        <c:axId val="457446904"/>
        <c:axId val="457447296"/>
      </c:barChart>
      <c:catAx>
        <c:axId val="4574469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7296"/>
        <c:crosses val="autoZero"/>
        <c:auto val="1"/>
        <c:lblAlgn val="ctr"/>
        <c:lblOffset val="100"/>
        <c:noMultiLvlLbl val="0"/>
      </c:catAx>
      <c:valAx>
        <c:axId val="45744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6904"/>
        <c:crosses val="autoZero"/>
        <c:crossBetween val="between"/>
      </c:valAx>
      <c:spPr>
        <a:noFill/>
        <a:ln>
          <a:noFill/>
        </a:ln>
        <a:effectLst/>
      </c:spPr>
    </c:plotArea>
    <c:legend>
      <c:legendPos val="l"/>
      <c:layout>
        <c:manualLayout>
          <c:xMode val="edge"/>
          <c:yMode val="edge"/>
          <c:x val="1.0408886864474E-2"/>
          <c:y val="0.17358784239886188"/>
          <c:w val="0.10363633950780608"/>
          <c:h val="0.162328715763035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1.3_3_2.xlsm]pt.generic_add_data11!pt.generic_add_data11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pt.generic_add_data11!$C$7:$C$9</c:f>
              <c:strCache>
                <c:ptCount val="1"/>
                <c:pt idx="0">
                  <c:v>(blank) - (blank)</c:v>
                </c:pt>
              </c:strCache>
            </c:strRef>
          </c:tx>
          <c:spPr>
            <a:solidFill>
              <a:schemeClr val="accent1"/>
            </a:solidFill>
            <a:ln>
              <a:noFill/>
            </a:ln>
            <a:effectLst/>
          </c:spPr>
          <c:invertIfNegative val="0"/>
          <c:cat>
            <c:multiLvlStrRef>
              <c:f>pt.generic_add_data11!$A$10:$B$11</c:f>
              <c:multiLvlStrCache>
                <c:ptCount val="1"/>
                <c:lvl>
                  <c:pt idx="0">
                    <c:v>(blank)</c:v>
                  </c:pt>
                </c:lvl>
                <c:lvl>
                  <c:pt idx="0">
                    <c:v>(blank)</c:v>
                  </c:pt>
                </c:lvl>
              </c:multiLvlStrCache>
            </c:multiLvlStrRef>
          </c:cat>
          <c:val>
            <c:numRef>
              <c:f>pt.generic_add_data11!$C$10:$C$11</c:f>
              <c:numCache>
                <c:formatCode>General</c:formatCode>
                <c:ptCount val="1"/>
                <c:pt idx="0">
                  <c:v>0</c:v>
                </c:pt>
              </c:numCache>
            </c:numRef>
          </c:val>
          <c:extLst>
            <c:ext xmlns:c16="http://schemas.microsoft.com/office/drawing/2014/chart" uri="{C3380CC4-5D6E-409C-BE32-E72D297353CC}">
              <c16:uniqueId val="{00000000-A49F-4183-98DD-B165785101B2}"/>
            </c:ext>
          </c:extLst>
        </c:ser>
        <c:dLbls>
          <c:showLegendKey val="0"/>
          <c:showVal val="0"/>
          <c:showCatName val="0"/>
          <c:showSerName val="0"/>
          <c:showPercent val="0"/>
          <c:showBubbleSize val="0"/>
        </c:dLbls>
        <c:gapWidth val="200"/>
        <c:overlap val="100"/>
        <c:axId val="457448080"/>
        <c:axId val="457448472"/>
      </c:barChart>
      <c:catAx>
        <c:axId val="4574480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472"/>
        <c:crosses val="autoZero"/>
        <c:auto val="1"/>
        <c:lblAlgn val="ctr"/>
        <c:lblOffset val="100"/>
        <c:tickLblSkip val="2"/>
        <c:tickMarkSkip val="1"/>
        <c:noMultiLvlLbl val="0"/>
      </c:catAx>
      <c:valAx>
        <c:axId val="457448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08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1.3_3_2.xlsm]pt.generic_add_data12!pt.generic_add_data12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rgbClr val="FFC000"/>
          </a:solidFill>
          <a:ln>
            <a:solidFill>
              <a:srgbClr val="FFC000"/>
            </a:solidFill>
          </a:ln>
          <a:effectLst/>
        </c:spPr>
        <c:marker>
          <c:symbol val="none"/>
        </c:marker>
      </c:pivotFmt>
      <c:pivotFmt>
        <c:idx val="11"/>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2"/>
        <c:spPr>
          <a:solidFill>
            <a:srgbClr val="9B2D2A"/>
          </a:solidFill>
          <a:ln>
            <a:solidFill>
              <a:srgbClr val="9B2D2A"/>
            </a:solidFill>
          </a:ln>
          <a:effectLst/>
        </c:spPr>
        <c:marker>
          <c:symbol val="none"/>
        </c:marker>
      </c:pivotFmt>
      <c:pivotFmt>
        <c:idx val="13"/>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4"/>
        <c:spPr>
          <a:solidFill>
            <a:schemeClr val="accent1"/>
          </a:solidFill>
          <a:ln>
            <a:noFill/>
          </a:ln>
          <a:effectLst/>
        </c:spPr>
        <c:marker>
          <c:symbol val="none"/>
        </c:marker>
      </c:pivotFmt>
      <c:pivotFmt>
        <c:idx val="15"/>
        <c:spPr>
          <a:solidFill>
            <a:srgbClr val="9CC746"/>
          </a:solidFill>
          <a:ln>
            <a:solidFill>
              <a:srgbClr val="9CC746"/>
            </a:solidFill>
          </a:ln>
          <a:effectLst/>
        </c:spPr>
        <c:marker>
          <c:symbol val="none"/>
        </c:marker>
      </c:pivotFmt>
      <c:pivotFmt>
        <c:idx val="16"/>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7"/>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18"/>
        <c:spPr>
          <a:solidFill>
            <a:srgbClr val="9B2D2A"/>
          </a:solidFill>
          <a:ln>
            <a:solidFill>
              <a:srgbClr val="9B2D2A"/>
            </a:solidFill>
          </a:ln>
          <a:effectLst/>
        </c:spPr>
        <c:marker>
          <c:symbol val="none"/>
        </c:marker>
      </c:pivotFmt>
      <c:pivotFmt>
        <c:idx val="19"/>
        <c:spPr>
          <a:solidFill>
            <a:srgbClr val="FFC000"/>
          </a:solidFill>
          <a:ln>
            <a:solidFill>
              <a:srgbClr val="FFC000"/>
            </a:solidFill>
          </a:ln>
          <a:effectLst/>
        </c:spPr>
        <c:marker>
          <c:symbol val="none"/>
        </c:marker>
      </c:pivotFmt>
      <c:pivotFmt>
        <c:idx val="20"/>
        <c:spPr>
          <a:solidFill>
            <a:schemeClr val="accent1"/>
          </a:solidFill>
          <a:ln w="28575" cap="rnd">
            <a:solidFill>
              <a:srgbClr val="FFC000"/>
            </a:solidFill>
            <a:round/>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s>
    <c:plotArea>
      <c:layout/>
      <c:barChart>
        <c:barDir val="col"/>
        <c:grouping val="stacked"/>
        <c:varyColors val="0"/>
        <c:ser>
          <c:idx val="0"/>
          <c:order val="0"/>
          <c:tx>
            <c:strRef>
              <c:f>pt.generic_add_data12!$C$7:$C$9</c:f>
              <c:strCache>
                <c:ptCount val="1"/>
                <c:pt idx="0">
                  <c:v>(blank) - (blank)</c:v>
                </c:pt>
              </c:strCache>
            </c:strRef>
          </c:tx>
          <c:spPr>
            <a:solidFill>
              <a:schemeClr val="accent1"/>
            </a:solidFill>
            <a:ln>
              <a:noFill/>
            </a:ln>
            <a:effectLst/>
          </c:spPr>
          <c:invertIfNegative val="0"/>
          <c:cat>
            <c:multiLvlStrRef>
              <c:f>pt.generic_add_data12!$A$10:$B$11</c:f>
              <c:multiLvlStrCache>
                <c:ptCount val="1"/>
                <c:lvl>
                  <c:pt idx="0">
                    <c:v>(blank)</c:v>
                  </c:pt>
                </c:lvl>
                <c:lvl>
                  <c:pt idx="0">
                    <c:v>(blank)</c:v>
                  </c:pt>
                </c:lvl>
              </c:multiLvlStrCache>
            </c:multiLvlStrRef>
          </c:cat>
          <c:val>
            <c:numRef>
              <c:f>pt.generic_add_data12!$C$10:$C$11</c:f>
              <c:numCache>
                <c:formatCode>General</c:formatCode>
                <c:ptCount val="1"/>
                <c:pt idx="0">
                  <c:v>0</c:v>
                </c:pt>
              </c:numCache>
            </c:numRef>
          </c:val>
          <c:extLst>
            <c:ext xmlns:c16="http://schemas.microsoft.com/office/drawing/2014/chart" uri="{C3380CC4-5D6E-409C-BE32-E72D297353CC}">
              <c16:uniqueId val="{00000000-58FA-41D2-94C1-10A08F5163B9}"/>
            </c:ext>
          </c:extLst>
        </c:ser>
        <c:dLbls>
          <c:showLegendKey val="0"/>
          <c:showVal val="0"/>
          <c:showCatName val="0"/>
          <c:showSerName val="0"/>
          <c:showPercent val="0"/>
          <c:showBubbleSize val="0"/>
        </c:dLbls>
        <c:gapWidth val="200"/>
        <c:overlap val="100"/>
        <c:axId val="457449256"/>
        <c:axId val="457449648"/>
      </c:barChart>
      <c:catAx>
        <c:axId val="4574492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648"/>
        <c:crosses val="autoZero"/>
        <c:auto val="1"/>
        <c:lblAlgn val="ctr"/>
        <c:lblOffset val="100"/>
        <c:tickLblSkip val="2"/>
        <c:tickMarkSkip val="1"/>
        <c:noMultiLvlLbl val="0"/>
      </c:catAx>
      <c:valAx>
        <c:axId val="45744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256"/>
        <c:crosses val="autoZero"/>
        <c:crossBetween val="between"/>
      </c:valAx>
      <c:spPr>
        <a:noFill/>
        <a:ln w="25400">
          <a:noFill/>
        </a:ln>
        <a:effectLst/>
      </c:spPr>
    </c:plotArea>
    <c:legend>
      <c:legendPos val="l"/>
      <c:layout>
        <c:manualLayout>
          <c:xMode val="edge"/>
          <c:yMode val="edge"/>
          <c:x val="1.0548482319802297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1.3_3_2.xlsm]pt.generic_add_data13!pt.generic_add_data13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rgbClr val="9B2D2A"/>
          </a:solidFill>
          <a:ln>
            <a:solidFill>
              <a:srgbClr val="9B2D2A"/>
            </a:solidFill>
          </a:ln>
          <a:effectLst/>
        </c:spPr>
        <c:marker>
          <c:symbol val="none"/>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pt.generic_add_data13!$C$7:$C$9</c:f>
              <c:strCache>
                <c:ptCount val="1"/>
                <c:pt idx="0">
                  <c:v>(blank) - (blank)</c:v>
                </c:pt>
              </c:strCache>
            </c:strRef>
          </c:tx>
          <c:spPr>
            <a:solidFill>
              <a:schemeClr val="accent1"/>
            </a:solidFill>
            <a:ln>
              <a:noFill/>
            </a:ln>
            <a:effectLst/>
          </c:spPr>
          <c:invertIfNegative val="0"/>
          <c:cat>
            <c:multiLvlStrRef>
              <c:f>pt.generic_add_data13!$A$10:$B$11</c:f>
              <c:multiLvlStrCache>
                <c:ptCount val="1"/>
                <c:lvl>
                  <c:pt idx="0">
                    <c:v>(blank)</c:v>
                  </c:pt>
                </c:lvl>
                <c:lvl>
                  <c:pt idx="0">
                    <c:v>(blank)</c:v>
                  </c:pt>
                </c:lvl>
              </c:multiLvlStrCache>
            </c:multiLvlStrRef>
          </c:cat>
          <c:val>
            <c:numRef>
              <c:f>pt.generic_add_data13!$C$10:$C$11</c:f>
              <c:numCache>
                <c:formatCode>General</c:formatCode>
                <c:ptCount val="1"/>
                <c:pt idx="0">
                  <c:v>0</c:v>
                </c:pt>
              </c:numCache>
            </c:numRef>
          </c:val>
          <c:extLst>
            <c:ext xmlns:c16="http://schemas.microsoft.com/office/drawing/2014/chart" uri="{C3380CC4-5D6E-409C-BE32-E72D297353CC}">
              <c16:uniqueId val="{00000000-FDCC-4387-A3B2-C2B3425A7E2F}"/>
            </c:ext>
          </c:extLst>
        </c:ser>
        <c:dLbls>
          <c:showLegendKey val="0"/>
          <c:showVal val="0"/>
          <c:showCatName val="0"/>
          <c:showSerName val="0"/>
          <c:showPercent val="0"/>
          <c:showBubbleSize val="0"/>
        </c:dLbls>
        <c:gapWidth val="200"/>
        <c:overlap val="100"/>
        <c:axId val="426255200"/>
        <c:axId val="426255592"/>
      </c:barChart>
      <c:catAx>
        <c:axId val="42625520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592"/>
        <c:crosses val="autoZero"/>
        <c:auto val="1"/>
        <c:lblAlgn val="ctr"/>
        <c:lblOffset val="100"/>
        <c:tickLblSkip val="2"/>
        <c:tickMarkSkip val="1"/>
        <c:noMultiLvlLbl val="0"/>
      </c:catAx>
      <c:valAx>
        <c:axId val="426255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20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23790411102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1.3_3_2.xlsm]pt.generic_add_data14!pt.generic_add_data14</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s>
    <c:plotArea>
      <c:layout/>
      <c:barChart>
        <c:barDir val="col"/>
        <c:grouping val="stacked"/>
        <c:varyColors val="0"/>
        <c:ser>
          <c:idx val="0"/>
          <c:order val="0"/>
          <c:tx>
            <c:strRef>
              <c:f>pt.generic_add_data14!$C$7:$C$9</c:f>
              <c:strCache>
                <c:ptCount val="1"/>
                <c:pt idx="0">
                  <c:v>(blank) - (blank)</c:v>
                </c:pt>
              </c:strCache>
            </c:strRef>
          </c:tx>
          <c:spPr>
            <a:solidFill>
              <a:schemeClr val="accent1"/>
            </a:solidFill>
            <a:ln>
              <a:noFill/>
            </a:ln>
            <a:effectLst/>
          </c:spPr>
          <c:invertIfNegative val="0"/>
          <c:cat>
            <c:multiLvlStrRef>
              <c:f>pt.generic_add_data14!$A$10:$B$11</c:f>
              <c:multiLvlStrCache>
                <c:ptCount val="1"/>
                <c:lvl>
                  <c:pt idx="0">
                    <c:v>(blank)</c:v>
                  </c:pt>
                </c:lvl>
                <c:lvl>
                  <c:pt idx="0">
                    <c:v>(blank)</c:v>
                  </c:pt>
                </c:lvl>
              </c:multiLvlStrCache>
            </c:multiLvlStrRef>
          </c:cat>
          <c:val>
            <c:numRef>
              <c:f>pt.generic_add_data14!$C$10:$C$11</c:f>
              <c:numCache>
                <c:formatCode>General</c:formatCode>
                <c:ptCount val="1"/>
                <c:pt idx="0">
                  <c:v>0</c:v>
                </c:pt>
              </c:numCache>
            </c:numRef>
          </c:val>
          <c:extLst>
            <c:ext xmlns:c16="http://schemas.microsoft.com/office/drawing/2014/chart" uri="{C3380CC4-5D6E-409C-BE32-E72D297353CC}">
              <c16:uniqueId val="{00000000-029F-4626-918F-CD6E95A751DC}"/>
            </c:ext>
          </c:extLst>
        </c:ser>
        <c:dLbls>
          <c:showLegendKey val="0"/>
          <c:showVal val="0"/>
          <c:showCatName val="0"/>
          <c:showSerName val="0"/>
          <c:showPercent val="0"/>
          <c:showBubbleSize val="0"/>
        </c:dLbls>
        <c:gapWidth val="200"/>
        <c:overlap val="100"/>
        <c:axId val="426256376"/>
        <c:axId val="426256768"/>
      </c:barChart>
      <c:catAx>
        <c:axId val="42625637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768"/>
        <c:crosses val="autoZero"/>
        <c:auto val="1"/>
        <c:lblAlgn val="ctr"/>
        <c:lblOffset val="100"/>
        <c:tickLblSkip val="2"/>
        <c:tickMarkSkip val="1"/>
        <c:noMultiLvlLbl val="0"/>
      </c:catAx>
      <c:valAx>
        <c:axId val="42625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37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1.3_3_2.xlsm]pt.generic_add_data15!pt.generic_add_data15</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pt.generic_add_data15!$C$7:$C$9</c:f>
              <c:strCache>
                <c:ptCount val="1"/>
                <c:pt idx="0">
                  <c:v>(blank) - (blank)</c:v>
                </c:pt>
              </c:strCache>
            </c:strRef>
          </c:tx>
          <c:spPr>
            <a:solidFill>
              <a:schemeClr val="accent1"/>
            </a:solidFill>
            <a:ln>
              <a:noFill/>
            </a:ln>
            <a:effectLst/>
          </c:spPr>
          <c:invertIfNegative val="0"/>
          <c:cat>
            <c:multiLvlStrRef>
              <c:f>pt.generic_add_data15!$A$10:$B$11</c:f>
              <c:multiLvlStrCache>
                <c:ptCount val="1"/>
                <c:lvl>
                  <c:pt idx="0">
                    <c:v>(blank)</c:v>
                  </c:pt>
                </c:lvl>
                <c:lvl>
                  <c:pt idx="0">
                    <c:v>(blank)</c:v>
                  </c:pt>
                </c:lvl>
              </c:multiLvlStrCache>
            </c:multiLvlStrRef>
          </c:cat>
          <c:val>
            <c:numRef>
              <c:f>pt.generic_add_data15!$C$10:$C$11</c:f>
              <c:numCache>
                <c:formatCode>General</c:formatCode>
                <c:ptCount val="1"/>
                <c:pt idx="0">
                  <c:v>0</c:v>
                </c:pt>
              </c:numCache>
            </c:numRef>
          </c:val>
          <c:extLst>
            <c:ext xmlns:c16="http://schemas.microsoft.com/office/drawing/2014/chart" uri="{C3380CC4-5D6E-409C-BE32-E72D297353CC}">
              <c16:uniqueId val="{00000000-E79D-4AF8-8047-6430A3FC00C8}"/>
            </c:ext>
          </c:extLst>
        </c:ser>
        <c:dLbls>
          <c:showLegendKey val="0"/>
          <c:showVal val="0"/>
          <c:showCatName val="0"/>
          <c:showSerName val="0"/>
          <c:showPercent val="0"/>
          <c:showBubbleSize val="0"/>
        </c:dLbls>
        <c:gapWidth val="200"/>
        <c:overlap val="100"/>
        <c:axId val="426257552"/>
        <c:axId val="426257944"/>
      </c:barChart>
      <c:catAx>
        <c:axId val="4262575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944"/>
        <c:crosses val="autoZero"/>
        <c:auto val="1"/>
        <c:lblAlgn val="ctr"/>
        <c:lblOffset val="100"/>
        <c:tickLblSkip val="2"/>
        <c:tickMarkSkip val="1"/>
        <c:noMultiLvlLbl val="0"/>
      </c:catAx>
      <c:valAx>
        <c:axId val="426257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55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1.3_3_2.xlsm]pt.generic_add_data16!pt.generic_add_data16</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pt.generic_add_data16!$C$7:$C$9</c:f>
              <c:strCache>
                <c:ptCount val="1"/>
                <c:pt idx="0">
                  <c:v>(blank) - (blank)</c:v>
                </c:pt>
              </c:strCache>
            </c:strRef>
          </c:tx>
          <c:spPr>
            <a:solidFill>
              <a:schemeClr val="accent1"/>
            </a:solidFill>
            <a:ln>
              <a:noFill/>
            </a:ln>
            <a:effectLst/>
          </c:spPr>
          <c:invertIfNegative val="0"/>
          <c:cat>
            <c:multiLvlStrRef>
              <c:f>pt.generic_add_data16!$A$10:$B$11</c:f>
              <c:multiLvlStrCache>
                <c:ptCount val="1"/>
                <c:lvl>
                  <c:pt idx="0">
                    <c:v>(blank)</c:v>
                  </c:pt>
                </c:lvl>
                <c:lvl>
                  <c:pt idx="0">
                    <c:v>(blank)</c:v>
                  </c:pt>
                </c:lvl>
              </c:multiLvlStrCache>
            </c:multiLvlStrRef>
          </c:cat>
          <c:val>
            <c:numRef>
              <c:f>pt.generic_add_data16!$C$10:$C$11</c:f>
              <c:numCache>
                <c:formatCode>General</c:formatCode>
                <c:ptCount val="1"/>
                <c:pt idx="0">
                  <c:v>0</c:v>
                </c:pt>
              </c:numCache>
            </c:numRef>
          </c:val>
          <c:extLst>
            <c:ext xmlns:c16="http://schemas.microsoft.com/office/drawing/2014/chart" uri="{C3380CC4-5D6E-409C-BE32-E72D297353CC}">
              <c16:uniqueId val="{00000000-CA87-4F3A-9509-916574A5DE92}"/>
            </c:ext>
          </c:extLst>
        </c:ser>
        <c:dLbls>
          <c:showLegendKey val="0"/>
          <c:showVal val="0"/>
          <c:showCatName val="0"/>
          <c:showSerName val="0"/>
          <c:showPercent val="0"/>
          <c:showBubbleSize val="0"/>
        </c:dLbls>
        <c:gapWidth val="200"/>
        <c:overlap val="100"/>
        <c:axId val="426258728"/>
        <c:axId val="458594808"/>
      </c:barChart>
      <c:catAx>
        <c:axId val="4262587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4808"/>
        <c:crosses val="autoZero"/>
        <c:auto val="1"/>
        <c:lblAlgn val="ctr"/>
        <c:lblOffset val="100"/>
        <c:tickLblSkip val="2"/>
        <c:tickMarkSkip val="1"/>
        <c:noMultiLvlLbl val="0"/>
      </c:catAx>
      <c:valAx>
        <c:axId val="458594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87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1.3_3_2.xlsm]pt.generic_add_data17!pt.generic_add_data17</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w="28575" cap="rnd">
            <a:noFill/>
            <a:round/>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pt.generic_add_data17!$C$7:$C$9</c:f>
              <c:strCache>
                <c:ptCount val="1"/>
                <c:pt idx="0">
                  <c:v>(blank) - (blank)</c:v>
                </c:pt>
              </c:strCache>
            </c:strRef>
          </c:tx>
          <c:spPr>
            <a:solidFill>
              <a:schemeClr val="accent1"/>
            </a:solidFill>
            <a:ln>
              <a:noFill/>
            </a:ln>
            <a:effectLst/>
          </c:spPr>
          <c:invertIfNegative val="0"/>
          <c:cat>
            <c:multiLvlStrRef>
              <c:f>pt.generic_add_data17!$A$10:$B$11</c:f>
              <c:multiLvlStrCache>
                <c:ptCount val="1"/>
                <c:lvl>
                  <c:pt idx="0">
                    <c:v>(blank)</c:v>
                  </c:pt>
                </c:lvl>
                <c:lvl>
                  <c:pt idx="0">
                    <c:v>(blank)</c:v>
                  </c:pt>
                </c:lvl>
              </c:multiLvlStrCache>
            </c:multiLvlStrRef>
          </c:cat>
          <c:val>
            <c:numRef>
              <c:f>pt.generic_add_data17!$C$10:$C$11</c:f>
              <c:numCache>
                <c:formatCode>General</c:formatCode>
                <c:ptCount val="1"/>
                <c:pt idx="0">
                  <c:v>0</c:v>
                </c:pt>
              </c:numCache>
            </c:numRef>
          </c:val>
          <c:extLst>
            <c:ext xmlns:c16="http://schemas.microsoft.com/office/drawing/2014/chart" uri="{C3380CC4-5D6E-409C-BE32-E72D297353CC}">
              <c16:uniqueId val="{00000000-8322-4BA7-A962-BF914D6D1E03}"/>
            </c:ext>
          </c:extLst>
        </c:ser>
        <c:dLbls>
          <c:showLegendKey val="0"/>
          <c:showVal val="0"/>
          <c:showCatName val="0"/>
          <c:showSerName val="0"/>
          <c:showPercent val="0"/>
          <c:showBubbleSize val="0"/>
        </c:dLbls>
        <c:gapWidth val="200"/>
        <c:overlap val="100"/>
        <c:axId val="458595984"/>
        <c:axId val="458595592"/>
      </c:barChart>
      <c:valAx>
        <c:axId val="458595592"/>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8595984"/>
        <c:crosses val="max"/>
        <c:crossBetween val="between"/>
      </c:valAx>
      <c:catAx>
        <c:axId val="458595984"/>
        <c:scaling>
          <c:orientation val="minMax"/>
        </c:scaling>
        <c:delete val="1"/>
        <c:axPos val="b"/>
        <c:numFmt formatCode="General" sourceLinked="1"/>
        <c:majorTickMark val="out"/>
        <c:minorTickMark val="none"/>
        <c:tickLblPos val="nextTo"/>
        <c:crossAx val="458595592"/>
        <c:crosses val="autoZero"/>
        <c:auto val="1"/>
        <c:lblAlgn val="ctr"/>
        <c:lblOffset val="100"/>
        <c:noMultiLvlLbl val="0"/>
      </c:cat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1.3_3_2.xlsm]pt.generic_add_data18!pt.generic_add_data18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pt.generic_add_data18!$C$7:$C$9</c:f>
              <c:strCache>
                <c:ptCount val="1"/>
                <c:pt idx="0">
                  <c:v>(blank) - (blank)</c:v>
                </c:pt>
              </c:strCache>
            </c:strRef>
          </c:tx>
          <c:spPr>
            <a:solidFill>
              <a:schemeClr val="accent1"/>
            </a:solidFill>
            <a:ln>
              <a:noFill/>
            </a:ln>
            <a:effectLst/>
          </c:spPr>
          <c:invertIfNegative val="0"/>
          <c:cat>
            <c:multiLvlStrRef>
              <c:f>pt.generic_add_data18!$A$10:$B$11</c:f>
              <c:multiLvlStrCache>
                <c:ptCount val="1"/>
                <c:lvl>
                  <c:pt idx="0">
                    <c:v>(blank)</c:v>
                  </c:pt>
                </c:lvl>
                <c:lvl>
                  <c:pt idx="0">
                    <c:v>(blank)</c:v>
                  </c:pt>
                </c:lvl>
              </c:multiLvlStrCache>
            </c:multiLvlStrRef>
          </c:cat>
          <c:val>
            <c:numRef>
              <c:f>pt.generic_add_data18!$C$10:$C$11</c:f>
              <c:numCache>
                <c:formatCode>General</c:formatCode>
                <c:ptCount val="1"/>
                <c:pt idx="0">
                  <c:v>0</c:v>
                </c:pt>
              </c:numCache>
            </c:numRef>
          </c:val>
          <c:extLst>
            <c:ext xmlns:c16="http://schemas.microsoft.com/office/drawing/2014/chart" uri="{C3380CC4-5D6E-409C-BE32-E72D297353CC}">
              <c16:uniqueId val="{00000000-5C44-4F0F-AC8D-36AE86DE32E4}"/>
            </c:ext>
          </c:extLst>
        </c:ser>
        <c:dLbls>
          <c:showLegendKey val="0"/>
          <c:showVal val="0"/>
          <c:showCatName val="0"/>
          <c:showSerName val="0"/>
          <c:showPercent val="0"/>
          <c:showBubbleSize val="0"/>
        </c:dLbls>
        <c:gapWidth val="200"/>
        <c:overlap val="100"/>
        <c:axId val="458596768"/>
        <c:axId val="458597160"/>
      </c:barChart>
      <c:catAx>
        <c:axId val="4585967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160"/>
        <c:crosses val="autoZero"/>
        <c:auto val="1"/>
        <c:lblAlgn val="ctr"/>
        <c:lblOffset val="100"/>
        <c:tickLblSkip val="2"/>
        <c:tickMarkSkip val="1"/>
        <c:noMultiLvlLbl val="0"/>
      </c:catAx>
      <c:valAx>
        <c:axId val="458597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676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1.3_3_2.xlsm]pt.generic_add_data19!pt.generic_add_data19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pt.generic_add_data19!$C$7:$C$9</c:f>
              <c:strCache>
                <c:ptCount val="1"/>
                <c:pt idx="0">
                  <c:v>(blank) - (blank)</c:v>
                </c:pt>
              </c:strCache>
            </c:strRef>
          </c:tx>
          <c:spPr>
            <a:solidFill>
              <a:schemeClr val="accent1"/>
            </a:solidFill>
            <a:ln>
              <a:noFill/>
            </a:ln>
            <a:effectLst/>
          </c:spPr>
          <c:invertIfNegative val="0"/>
          <c:cat>
            <c:multiLvlStrRef>
              <c:f>pt.generic_add_data19!$A$10:$B$11</c:f>
              <c:multiLvlStrCache>
                <c:ptCount val="1"/>
                <c:lvl>
                  <c:pt idx="0">
                    <c:v>(blank)</c:v>
                  </c:pt>
                </c:lvl>
                <c:lvl>
                  <c:pt idx="0">
                    <c:v>(blank)</c:v>
                  </c:pt>
                </c:lvl>
              </c:multiLvlStrCache>
            </c:multiLvlStrRef>
          </c:cat>
          <c:val>
            <c:numRef>
              <c:f>pt.generic_add_data19!$C$10:$C$11</c:f>
              <c:numCache>
                <c:formatCode>General</c:formatCode>
                <c:ptCount val="1"/>
                <c:pt idx="0">
                  <c:v>0</c:v>
                </c:pt>
              </c:numCache>
            </c:numRef>
          </c:val>
          <c:extLst>
            <c:ext xmlns:c16="http://schemas.microsoft.com/office/drawing/2014/chart" uri="{C3380CC4-5D6E-409C-BE32-E72D297353CC}">
              <c16:uniqueId val="{00000000-9FC4-4E20-B5EE-267EDD8A8918}"/>
            </c:ext>
          </c:extLst>
        </c:ser>
        <c:dLbls>
          <c:showLegendKey val="0"/>
          <c:showVal val="0"/>
          <c:showCatName val="0"/>
          <c:showSerName val="0"/>
          <c:showPercent val="0"/>
          <c:showBubbleSize val="0"/>
        </c:dLbls>
        <c:gapWidth val="200"/>
        <c:overlap val="100"/>
        <c:axId val="458597944"/>
        <c:axId val="458598336"/>
      </c:barChart>
      <c:catAx>
        <c:axId val="45859794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8336"/>
        <c:crosses val="autoZero"/>
        <c:auto val="1"/>
        <c:lblAlgn val="ctr"/>
        <c:lblOffset val="100"/>
        <c:tickLblSkip val="2"/>
        <c:tickMarkSkip val="1"/>
        <c:noMultiLvlLbl val="0"/>
      </c:catAx>
      <c:valAx>
        <c:axId val="45859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94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1.3_3_2.xlsm]pt.generic_add_data20!pt.generic_add_data20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pt.generic_add_data20!$C$7:$C$9</c:f>
              <c:strCache>
                <c:ptCount val="1"/>
                <c:pt idx="0">
                  <c:v>(blank) - (blank)</c:v>
                </c:pt>
              </c:strCache>
            </c:strRef>
          </c:tx>
          <c:spPr>
            <a:solidFill>
              <a:schemeClr val="accent1"/>
            </a:solidFill>
            <a:ln>
              <a:noFill/>
            </a:ln>
            <a:effectLst/>
          </c:spPr>
          <c:invertIfNegative val="0"/>
          <c:cat>
            <c:multiLvlStrRef>
              <c:f>pt.generic_add_data20!$A$10:$B$11</c:f>
              <c:multiLvlStrCache>
                <c:ptCount val="1"/>
                <c:lvl>
                  <c:pt idx="0">
                    <c:v>(blank)</c:v>
                  </c:pt>
                </c:lvl>
                <c:lvl>
                  <c:pt idx="0">
                    <c:v>(blank)</c:v>
                  </c:pt>
                </c:lvl>
              </c:multiLvlStrCache>
            </c:multiLvlStrRef>
          </c:cat>
          <c:val>
            <c:numRef>
              <c:f>pt.generic_add_data20!$C$10:$C$11</c:f>
              <c:numCache>
                <c:formatCode>General</c:formatCode>
                <c:ptCount val="1"/>
                <c:pt idx="0">
                  <c:v>0</c:v>
                </c:pt>
              </c:numCache>
            </c:numRef>
          </c:val>
          <c:extLst>
            <c:ext xmlns:c16="http://schemas.microsoft.com/office/drawing/2014/chart" uri="{C3380CC4-5D6E-409C-BE32-E72D297353CC}">
              <c16:uniqueId val="{00000000-D572-424A-977B-EF8534B45BCE}"/>
            </c:ext>
          </c:extLst>
        </c:ser>
        <c:dLbls>
          <c:showLegendKey val="0"/>
          <c:showVal val="0"/>
          <c:showCatName val="0"/>
          <c:showSerName val="0"/>
          <c:showPercent val="0"/>
          <c:showBubbleSize val="0"/>
        </c:dLbls>
        <c:gapWidth val="200"/>
        <c:overlap val="100"/>
        <c:axId val="458707208"/>
        <c:axId val="458707600"/>
      </c:barChart>
      <c:catAx>
        <c:axId val="45870720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600"/>
        <c:crosses val="autoZero"/>
        <c:auto val="1"/>
        <c:lblAlgn val="ctr"/>
        <c:lblOffset val="100"/>
        <c:tickLblSkip val="2"/>
        <c:tickMarkSkip val="1"/>
        <c:noMultiLvlLbl val="0"/>
      </c:catAx>
      <c:valAx>
        <c:axId val="45870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20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1.3_3_2.xlsm]pt.generic_add_data21!pt.generic_add_data21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pt.generic_add_data21!$D$8:$D$9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pt.generic_add_data21!$B$10:$C$11</c:f>
              <c:multiLvlStrCache>
                <c:ptCount val="1"/>
                <c:lvl>
                  <c:pt idx="0">
                    <c:v>(blank)</c:v>
                  </c:pt>
                </c:lvl>
                <c:lvl>
                  <c:pt idx="0">
                    <c:v>(blank)</c:v>
                  </c:pt>
                </c:lvl>
              </c:multiLvlStrCache>
            </c:multiLvlStrRef>
          </c:cat>
          <c:val>
            <c:numRef>
              <c:f>pt.generic_add_data21!$D$10:$D$11</c:f>
              <c:numCache>
                <c:formatCode>General</c:formatCode>
                <c:ptCount val="1"/>
                <c:pt idx="0">
                  <c:v>0</c:v>
                </c:pt>
              </c:numCache>
            </c:numRef>
          </c:val>
          <c:extLst>
            <c:ext xmlns:c16="http://schemas.microsoft.com/office/drawing/2014/chart" uri="{C3380CC4-5D6E-409C-BE32-E72D297353CC}">
              <c16:uniqueId val="{00000000-F7B7-47D2-A966-A7DB58F713D6}"/>
            </c:ext>
          </c:extLst>
        </c:ser>
        <c:dLbls>
          <c:dLblPos val="inBase"/>
          <c:showLegendKey val="0"/>
          <c:showVal val="1"/>
          <c:showCatName val="0"/>
          <c:showSerName val="0"/>
          <c:showPercent val="0"/>
          <c:showBubbleSize val="0"/>
        </c:dLbls>
        <c:gapWidth val="200"/>
        <c:overlap val="-27"/>
        <c:axId val="458708384"/>
        <c:axId val="458708776"/>
      </c:barChart>
      <c:catAx>
        <c:axId val="45870838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776"/>
        <c:crosses val="autoZero"/>
        <c:auto val="1"/>
        <c:lblAlgn val="ctr"/>
        <c:lblOffset val="100"/>
        <c:tickLblSkip val="2"/>
        <c:tickMarkSkip val="1"/>
        <c:noMultiLvlLbl val="0"/>
      </c:catAx>
      <c:valAx>
        <c:axId val="45870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38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1.3_3_2.xlsm]pt.generic_add_data22!pt.generic_add_data22</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pt.generic_add_data22!$C$8:$C$9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pt.generic_add_data22!$A$10:$B$11</c:f>
              <c:multiLvlStrCache>
                <c:ptCount val="1"/>
                <c:lvl>
                  <c:pt idx="0">
                    <c:v>(blank)</c:v>
                  </c:pt>
                </c:lvl>
                <c:lvl>
                  <c:pt idx="0">
                    <c:v>(blank)</c:v>
                  </c:pt>
                </c:lvl>
              </c:multiLvlStrCache>
            </c:multiLvlStrRef>
          </c:cat>
          <c:val>
            <c:numRef>
              <c:f>pt.generic_add_data22!$C$10:$C$11</c:f>
              <c:numCache>
                <c:formatCode>General</c:formatCode>
                <c:ptCount val="1"/>
                <c:pt idx="0">
                  <c:v>0</c:v>
                </c:pt>
              </c:numCache>
            </c:numRef>
          </c:val>
          <c:extLst>
            <c:ext xmlns:c16="http://schemas.microsoft.com/office/drawing/2014/chart" uri="{C3380CC4-5D6E-409C-BE32-E72D297353CC}">
              <c16:uniqueId val="{00000000-F8DA-45F0-962D-2DAF3A905F5F}"/>
            </c:ext>
          </c:extLst>
        </c:ser>
        <c:dLbls>
          <c:dLblPos val="inBase"/>
          <c:showLegendKey val="0"/>
          <c:showVal val="1"/>
          <c:showCatName val="0"/>
          <c:showSerName val="0"/>
          <c:showPercent val="0"/>
          <c:showBubbleSize val="0"/>
        </c:dLbls>
        <c:gapWidth val="200"/>
        <c:overlap val="-27"/>
        <c:axId val="458709560"/>
        <c:axId val="458709952"/>
      </c:barChart>
      <c:catAx>
        <c:axId val="4587095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952"/>
        <c:crosses val="autoZero"/>
        <c:auto val="1"/>
        <c:lblAlgn val="ctr"/>
        <c:lblOffset val="100"/>
        <c:tickLblSkip val="2"/>
        <c:tickMarkSkip val="1"/>
        <c:noMultiLvlLbl val="0"/>
      </c:catAx>
      <c:valAx>
        <c:axId val="45870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5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1.3_3_2.xlsm]pt.generic_add_data23!pt.generic_add_data23</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pt.generic_add_data23!$C$8:$C$9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pt.generic_add_data23!$A$10:$B$11</c:f>
              <c:multiLvlStrCache>
                <c:ptCount val="1"/>
                <c:lvl>
                  <c:pt idx="0">
                    <c:v>(blank)</c:v>
                  </c:pt>
                </c:lvl>
                <c:lvl>
                  <c:pt idx="0">
                    <c:v>(blank)</c:v>
                  </c:pt>
                </c:lvl>
              </c:multiLvlStrCache>
            </c:multiLvlStrRef>
          </c:cat>
          <c:val>
            <c:numRef>
              <c:f>pt.generic_add_data23!$C$10:$C$11</c:f>
              <c:numCache>
                <c:formatCode>General</c:formatCode>
                <c:ptCount val="1"/>
                <c:pt idx="0">
                  <c:v>0</c:v>
                </c:pt>
              </c:numCache>
            </c:numRef>
          </c:val>
          <c:extLst>
            <c:ext xmlns:c16="http://schemas.microsoft.com/office/drawing/2014/chart" uri="{C3380CC4-5D6E-409C-BE32-E72D297353CC}">
              <c16:uniqueId val="{00000000-090F-4082-8FD2-6134D43A1CC0}"/>
            </c:ext>
          </c:extLst>
        </c:ser>
        <c:dLbls>
          <c:dLblPos val="inBase"/>
          <c:showLegendKey val="0"/>
          <c:showVal val="1"/>
          <c:showCatName val="0"/>
          <c:showSerName val="0"/>
          <c:showPercent val="0"/>
          <c:showBubbleSize val="0"/>
        </c:dLbls>
        <c:gapWidth val="200"/>
        <c:overlap val="-27"/>
        <c:axId val="459401760"/>
        <c:axId val="459402152"/>
      </c:barChart>
      <c:catAx>
        <c:axId val="459401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152"/>
        <c:crosses val="autoZero"/>
        <c:auto val="1"/>
        <c:lblAlgn val="ctr"/>
        <c:lblOffset val="100"/>
        <c:tickLblSkip val="2"/>
        <c:tickMarkSkip val="1"/>
        <c:noMultiLvlLbl val="0"/>
      </c:catAx>
      <c:valAx>
        <c:axId val="459402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17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1.3_3_2.xlsm]pt.generic_add_data24!pt.generic_add_data24</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pt.generic_add_data24!$C$8:$C$9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pt.generic_add_data24!$A$10:$B$11</c:f>
              <c:multiLvlStrCache>
                <c:ptCount val="1"/>
                <c:lvl>
                  <c:pt idx="0">
                    <c:v>(blank)</c:v>
                  </c:pt>
                </c:lvl>
                <c:lvl>
                  <c:pt idx="0">
                    <c:v>(blank)</c:v>
                  </c:pt>
                </c:lvl>
              </c:multiLvlStrCache>
            </c:multiLvlStrRef>
          </c:cat>
          <c:val>
            <c:numRef>
              <c:f>pt.generic_add_data24!$C$10:$C$11</c:f>
              <c:numCache>
                <c:formatCode>General</c:formatCode>
                <c:ptCount val="1"/>
                <c:pt idx="0">
                  <c:v>0</c:v>
                </c:pt>
              </c:numCache>
            </c:numRef>
          </c:val>
          <c:extLst>
            <c:ext xmlns:c16="http://schemas.microsoft.com/office/drawing/2014/chart" uri="{C3380CC4-5D6E-409C-BE32-E72D297353CC}">
              <c16:uniqueId val="{00000000-4862-4BAE-BEC7-246296C57D28}"/>
            </c:ext>
          </c:extLst>
        </c:ser>
        <c:dLbls>
          <c:dLblPos val="inBase"/>
          <c:showLegendKey val="0"/>
          <c:showVal val="1"/>
          <c:showCatName val="0"/>
          <c:showSerName val="0"/>
          <c:showPercent val="0"/>
          <c:showBubbleSize val="0"/>
        </c:dLbls>
        <c:gapWidth val="200"/>
        <c:overlap val="-27"/>
        <c:axId val="459402936"/>
        <c:axId val="459403328"/>
      </c:barChart>
      <c:catAx>
        <c:axId val="45940293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3328"/>
        <c:crosses val="autoZero"/>
        <c:auto val="1"/>
        <c:lblAlgn val="ctr"/>
        <c:lblOffset val="100"/>
        <c:tickLblSkip val="2"/>
        <c:tickMarkSkip val="1"/>
        <c:noMultiLvlLbl val="0"/>
      </c:catAx>
      <c:valAx>
        <c:axId val="459403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93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1.3_3_2.xlsm]pt.generic_add_data25!pt.generic_add_data25</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pt.generic_add_data25!$C$8:$C$9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pt.generic_add_data25!$A$10:$B$11</c:f>
              <c:multiLvlStrCache>
                <c:ptCount val="1"/>
                <c:lvl>
                  <c:pt idx="0">
                    <c:v>(blank)</c:v>
                  </c:pt>
                </c:lvl>
                <c:lvl>
                  <c:pt idx="0">
                    <c:v>(blank)</c:v>
                  </c:pt>
                </c:lvl>
              </c:multiLvlStrCache>
            </c:multiLvlStrRef>
          </c:cat>
          <c:val>
            <c:numRef>
              <c:f>pt.generic_add_data25!$C$10:$C$11</c:f>
              <c:numCache>
                <c:formatCode>General</c:formatCode>
                <c:ptCount val="1"/>
                <c:pt idx="0">
                  <c:v>0</c:v>
                </c:pt>
              </c:numCache>
            </c:numRef>
          </c:val>
          <c:extLst>
            <c:ext xmlns:c16="http://schemas.microsoft.com/office/drawing/2014/chart" uri="{C3380CC4-5D6E-409C-BE32-E72D297353CC}">
              <c16:uniqueId val="{00000000-4F08-47D5-A84D-B39C2749F910}"/>
            </c:ext>
          </c:extLst>
        </c:ser>
        <c:dLbls>
          <c:dLblPos val="inBase"/>
          <c:showLegendKey val="0"/>
          <c:showVal val="1"/>
          <c:showCatName val="0"/>
          <c:showSerName val="0"/>
          <c:showPercent val="0"/>
          <c:showBubbleSize val="0"/>
        </c:dLbls>
        <c:gapWidth val="200"/>
        <c:overlap val="-27"/>
        <c:axId val="459404112"/>
        <c:axId val="459404504"/>
      </c:barChart>
      <c:catAx>
        <c:axId val="4594041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504"/>
        <c:crosses val="autoZero"/>
        <c:auto val="1"/>
        <c:lblAlgn val="ctr"/>
        <c:lblOffset val="100"/>
        <c:tickLblSkip val="2"/>
        <c:tickMarkSkip val="1"/>
        <c:noMultiLvlLbl val="0"/>
      </c:catAx>
      <c:valAx>
        <c:axId val="459404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1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1.3_3_2.xlsm]pt.generic_add_data26!pt.generic_add_data26</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pt.generic_add_data26!$C$8:$C$9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pt.generic_add_data26!$A$10:$B$11</c:f>
              <c:multiLvlStrCache>
                <c:ptCount val="1"/>
                <c:lvl>
                  <c:pt idx="0">
                    <c:v>(blank)</c:v>
                  </c:pt>
                </c:lvl>
                <c:lvl>
                  <c:pt idx="0">
                    <c:v>(blank)</c:v>
                  </c:pt>
                </c:lvl>
              </c:multiLvlStrCache>
            </c:multiLvlStrRef>
          </c:cat>
          <c:val>
            <c:numRef>
              <c:f>pt.generic_add_data26!$C$10:$C$11</c:f>
              <c:numCache>
                <c:formatCode>General</c:formatCode>
                <c:ptCount val="1"/>
                <c:pt idx="0">
                  <c:v>0</c:v>
                </c:pt>
              </c:numCache>
            </c:numRef>
          </c:val>
          <c:extLst>
            <c:ext xmlns:c16="http://schemas.microsoft.com/office/drawing/2014/chart" uri="{C3380CC4-5D6E-409C-BE32-E72D297353CC}">
              <c16:uniqueId val="{00000000-CF94-4F19-B6CC-13EC3EE53C5B}"/>
            </c:ext>
          </c:extLst>
        </c:ser>
        <c:dLbls>
          <c:dLblPos val="inBase"/>
          <c:showLegendKey val="0"/>
          <c:showVal val="1"/>
          <c:showCatName val="0"/>
          <c:showSerName val="0"/>
          <c:showPercent val="0"/>
          <c:showBubbleSize val="0"/>
        </c:dLbls>
        <c:gapWidth val="200"/>
        <c:overlap val="-27"/>
        <c:axId val="459405288"/>
        <c:axId val="459569128"/>
      </c:barChart>
      <c:catAx>
        <c:axId val="4594052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128"/>
        <c:crosses val="autoZero"/>
        <c:auto val="1"/>
        <c:lblAlgn val="ctr"/>
        <c:lblOffset val="100"/>
        <c:tickLblSkip val="2"/>
        <c:tickMarkSkip val="1"/>
        <c:noMultiLvlLbl val="0"/>
      </c:catAx>
      <c:valAx>
        <c:axId val="459569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52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1.3_3_2.xlsm]pt.generic_add_data27!pt.generic_add_data27</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pt.generic_add_data27!$C$8:$C$9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pt.generic_add_data27!$A$10:$B$11</c:f>
              <c:multiLvlStrCache>
                <c:ptCount val="1"/>
                <c:lvl>
                  <c:pt idx="0">
                    <c:v>(blank)</c:v>
                  </c:pt>
                </c:lvl>
                <c:lvl>
                  <c:pt idx="0">
                    <c:v>(blank)</c:v>
                  </c:pt>
                </c:lvl>
              </c:multiLvlStrCache>
            </c:multiLvlStrRef>
          </c:cat>
          <c:val>
            <c:numRef>
              <c:f>pt.generic_add_data27!$C$10:$C$11</c:f>
              <c:numCache>
                <c:formatCode>General</c:formatCode>
                <c:ptCount val="1"/>
                <c:pt idx="0">
                  <c:v>0</c:v>
                </c:pt>
              </c:numCache>
            </c:numRef>
          </c:val>
          <c:extLst>
            <c:ext xmlns:c16="http://schemas.microsoft.com/office/drawing/2014/chart" uri="{C3380CC4-5D6E-409C-BE32-E72D297353CC}">
              <c16:uniqueId val="{00000000-CBE3-479F-A8D1-604D3A71913F}"/>
            </c:ext>
          </c:extLst>
        </c:ser>
        <c:dLbls>
          <c:dLblPos val="inBase"/>
          <c:showLegendKey val="0"/>
          <c:showVal val="1"/>
          <c:showCatName val="0"/>
          <c:showSerName val="0"/>
          <c:showPercent val="0"/>
          <c:showBubbleSize val="0"/>
        </c:dLbls>
        <c:gapWidth val="200"/>
        <c:overlap val="-27"/>
        <c:axId val="459569912"/>
        <c:axId val="459570304"/>
      </c:barChart>
      <c:catAx>
        <c:axId val="4595699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0304"/>
        <c:crosses val="autoZero"/>
        <c:auto val="1"/>
        <c:lblAlgn val="ctr"/>
        <c:lblOffset val="100"/>
        <c:tickLblSkip val="2"/>
        <c:tickMarkSkip val="1"/>
        <c:noMultiLvlLbl val="0"/>
      </c:catAx>
      <c:valAx>
        <c:axId val="45957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9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1.3_3_2.xlsm]pt.generic_add_data28!pt.generic_add_data28</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pt.generic_add_data28!$C$8:$C$9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pt.generic_add_data28!$A$10:$B$11</c:f>
              <c:multiLvlStrCache>
                <c:ptCount val="1"/>
                <c:lvl>
                  <c:pt idx="0">
                    <c:v>(blank)</c:v>
                  </c:pt>
                </c:lvl>
                <c:lvl>
                  <c:pt idx="0">
                    <c:v>(blank)</c:v>
                  </c:pt>
                </c:lvl>
              </c:multiLvlStrCache>
            </c:multiLvlStrRef>
          </c:cat>
          <c:val>
            <c:numRef>
              <c:f>pt.generic_add_data28!$C$10:$C$11</c:f>
              <c:numCache>
                <c:formatCode>General</c:formatCode>
                <c:ptCount val="1"/>
                <c:pt idx="0">
                  <c:v>0</c:v>
                </c:pt>
              </c:numCache>
            </c:numRef>
          </c:val>
          <c:extLst>
            <c:ext xmlns:c16="http://schemas.microsoft.com/office/drawing/2014/chart" uri="{C3380CC4-5D6E-409C-BE32-E72D297353CC}">
              <c16:uniqueId val="{00000000-50C0-4736-9E04-415794C6D302}"/>
            </c:ext>
          </c:extLst>
        </c:ser>
        <c:dLbls>
          <c:dLblPos val="inBase"/>
          <c:showLegendKey val="0"/>
          <c:showVal val="1"/>
          <c:showCatName val="0"/>
          <c:showSerName val="0"/>
          <c:showPercent val="0"/>
          <c:showBubbleSize val="0"/>
        </c:dLbls>
        <c:gapWidth val="200"/>
        <c:overlap val="-27"/>
        <c:axId val="459571088"/>
        <c:axId val="459571480"/>
      </c:barChart>
      <c:catAx>
        <c:axId val="4595710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480"/>
        <c:crosses val="autoZero"/>
        <c:auto val="1"/>
        <c:lblAlgn val="ctr"/>
        <c:lblOffset val="100"/>
        <c:tickLblSkip val="2"/>
        <c:tickMarkSkip val="1"/>
        <c:noMultiLvlLbl val="0"/>
      </c:catAx>
      <c:valAx>
        <c:axId val="459571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0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1.3_3_2.xlsm]pt.generic_add_data29!pt.generic_add_data29</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pt.generic_add_data29!$C$8:$C$9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pt.generic_add_data29!$A$10:$B$11</c:f>
              <c:multiLvlStrCache>
                <c:ptCount val="1"/>
                <c:lvl>
                  <c:pt idx="0">
                    <c:v>(blank)</c:v>
                  </c:pt>
                </c:lvl>
                <c:lvl>
                  <c:pt idx="0">
                    <c:v>(blank)</c:v>
                  </c:pt>
                </c:lvl>
              </c:multiLvlStrCache>
            </c:multiLvlStrRef>
          </c:cat>
          <c:val>
            <c:numRef>
              <c:f>pt.generic_add_data29!$C$10:$C$11</c:f>
              <c:numCache>
                <c:formatCode>General</c:formatCode>
                <c:ptCount val="1"/>
                <c:pt idx="0">
                  <c:v>0</c:v>
                </c:pt>
              </c:numCache>
            </c:numRef>
          </c:val>
          <c:extLst>
            <c:ext xmlns:c16="http://schemas.microsoft.com/office/drawing/2014/chart" uri="{C3380CC4-5D6E-409C-BE32-E72D297353CC}">
              <c16:uniqueId val="{00000000-9B67-4097-85DF-5490C08A587E}"/>
            </c:ext>
          </c:extLst>
        </c:ser>
        <c:dLbls>
          <c:dLblPos val="inBase"/>
          <c:showLegendKey val="0"/>
          <c:showVal val="1"/>
          <c:showCatName val="0"/>
          <c:showSerName val="0"/>
          <c:showPercent val="0"/>
          <c:showBubbleSize val="0"/>
        </c:dLbls>
        <c:gapWidth val="200"/>
        <c:overlap val="-27"/>
        <c:axId val="459572264"/>
        <c:axId val="459572656"/>
      </c:barChart>
      <c:catAx>
        <c:axId val="45957226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656"/>
        <c:crosses val="autoZero"/>
        <c:auto val="1"/>
        <c:lblAlgn val="ctr"/>
        <c:lblOffset val="100"/>
        <c:tickLblSkip val="2"/>
        <c:tickMarkSkip val="1"/>
        <c:noMultiLvlLbl val="0"/>
      </c:catAx>
      <c:valAx>
        <c:axId val="45957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26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1.3_3_2.xlsm]pt.generic_add_data30!pt.generic_add_data30</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pt.generic_add_data30!$C$8:$C$9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pt.generic_add_data30!$A$10:$B$11</c:f>
              <c:multiLvlStrCache>
                <c:ptCount val="1"/>
                <c:lvl>
                  <c:pt idx="0">
                    <c:v>(blank)</c:v>
                  </c:pt>
                </c:lvl>
                <c:lvl>
                  <c:pt idx="0">
                    <c:v>(blank)</c:v>
                  </c:pt>
                </c:lvl>
              </c:multiLvlStrCache>
            </c:multiLvlStrRef>
          </c:cat>
          <c:val>
            <c:numRef>
              <c:f>pt.generic_add_data30!$C$10:$C$11</c:f>
              <c:numCache>
                <c:formatCode>General</c:formatCode>
                <c:ptCount val="1"/>
                <c:pt idx="0">
                  <c:v>0</c:v>
                </c:pt>
              </c:numCache>
            </c:numRef>
          </c:val>
          <c:extLst>
            <c:ext xmlns:c16="http://schemas.microsoft.com/office/drawing/2014/chart" uri="{C3380CC4-5D6E-409C-BE32-E72D297353CC}">
              <c16:uniqueId val="{00000000-5B23-4139-9250-F57D5E57BA4F}"/>
            </c:ext>
          </c:extLst>
        </c:ser>
        <c:dLbls>
          <c:dLblPos val="inBase"/>
          <c:showLegendKey val="0"/>
          <c:showVal val="1"/>
          <c:showCatName val="0"/>
          <c:showSerName val="0"/>
          <c:showPercent val="0"/>
          <c:showBubbleSize val="0"/>
        </c:dLbls>
        <c:gapWidth val="200"/>
        <c:overlap val="-27"/>
        <c:axId val="460050272"/>
        <c:axId val="460050664"/>
      </c:barChart>
      <c:catAx>
        <c:axId val="4600502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664"/>
        <c:crosses val="autoZero"/>
        <c:auto val="1"/>
        <c:lblAlgn val="ctr"/>
        <c:lblOffset val="100"/>
        <c:tickLblSkip val="2"/>
        <c:tickMarkSkip val="1"/>
        <c:noMultiLvlLbl val="0"/>
      </c:catAx>
      <c:valAx>
        <c:axId val="460050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27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4E1-4BF7-8C88-61F595F71BA2}"/>
              </c:ext>
            </c:extLst>
          </c:dPt>
          <c:dPt>
            <c:idx val="1"/>
            <c:bubble3D val="0"/>
            <c:spPr>
              <a:solidFill>
                <a:srgbClr val="FF0000"/>
              </a:solidFill>
              <a:ln w="19050">
                <a:noFill/>
              </a:ln>
              <a:effectLst/>
            </c:spPr>
            <c:extLst>
              <c:ext xmlns:c16="http://schemas.microsoft.com/office/drawing/2014/chart" uri="{C3380CC4-5D6E-409C-BE32-E72D297353CC}">
                <c16:uniqueId val="{00000003-24E1-4BF7-8C88-61F595F71BA2}"/>
              </c:ext>
            </c:extLst>
          </c:dPt>
          <c:val>
            <c:numRef>
              <c:f>#REF!</c:f>
              <c:numCache>
                <c:formatCode>General</c:formatCode>
                <c:ptCount val="1"/>
                <c:pt idx="0">
                  <c:v>1</c:v>
                </c:pt>
              </c:numCache>
            </c:numRef>
          </c:val>
          <c:extLst>
            <c:ext xmlns:c16="http://schemas.microsoft.com/office/drawing/2014/chart" uri="{C3380CC4-5D6E-409C-BE32-E72D297353CC}">
              <c16:uniqueId val="{00000004-24E1-4BF7-8C88-61F595F71BA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55" Type="http://schemas.openxmlformats.org/officeDocument/2006/relationships/chart" Target="../charts/chart55.xml"/><Relationship Id="rId63" Type="http://schemas.openxmlformats.org/officeDocument/2006/relationships/chart" Target="../charts/chart63.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61" Type="http://schemas.openxmlformats.org/officeDocument/2006/relationships/chart" Target="../charts/chart61.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8" Type="http://schemas.openxmlformats.org/officeDocument/2006/relationships/chart" Target="../charts/chart8.xml"/><Relationship Id="rId51" Type="http://schemas.openxmlformats.org/officeDocument/2006/relationships/chart" Target="../charts/chart51.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editAs="absolute">
    <xdr:from>
      <xdr:col>0</xdr:col>
      <xdr:colOff>20266</xdr:colOff>
      <xdr:row>147</xdr:row>
      <xdr:rowOff>166773</xdr:rowOff>
    </xdr:from>
    <xdr:to>
      <xdr:col>1</xdr:col>
      <xdr:colOff>319870</xdr:colOff>
      <xdr:row>151</xdr:row>
      <xdr:rowOff>126940</xdr:rowOff>
    </xdr:to>
    <xdr:sp macro="" textlink="">
      <xdr:nvSpPr>
        <xdr:cNvPr id="27" name="Ohnutý roh 26">
          <a:extLst>
            <a:ext uri="{FF2B5EF4-FFF2-40B4-BE49-F238E27FC236}">
              <a16:creationId xmlns:a16="http://schemas.microsoft.com/office/drawing/2014/main" id="{00000000-0008-0000-0000-00001B000000}"/>
            </a:ext>
          </a:extLst>
        </xdr:cNvPr>
        <xdr:cNvSpPr/>
      </xdr:nvSpPr>
      <xdr:spPr>
        <a:xfrm>
          <a:off x="20266" y="6530892"/>
          <a:ext cx="1343301" cy="730273"/>
        </a:xfrm>
        <a:prstGeom prst="foldedCorner">
          <a:avLst/>
        </a:prstGeom>
        <a:solidFill>
          <a:schemeClr val="bg1">
            <a:lumMod val="6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a:t>Nápověda</a:t>
          </a:r>
        </a:p>
      </xdr:txBody>
    </xdr:sp>
    <xdr:clientData/>
  </xdr:twoCellAnchor>
  <xdr:twoCellAnchor editAs="absolute">
    <xdr:from>
      <xdr:col>25</xdr:col>
      <xdr:colOff>917781</xdr:colOff>
      <xdr:row>3</xdr:row>
      <xdr:rowOff>66712</xdr:rowOff>
    </xdr:from>
    <xdr:to>
      <xdr:col>25</xdr:col>
      <xdr:colOff>1542269</xdr:colOff>
      <xdr:row>11</xdr:row>
      <xdr:rowOff>45546</xdr:rowOff>
    </xdr:to>
    <xdr:sp macro="" textlink="">
      <xdr:nvSpPr>
        <xdr:cNvPr id="44" name="Obdélník 43">
          <a:extLst>
            <a:ext uri="{FF2B5EF4-FFF2-40B4-BE49-F238E27FC236}">
              <a16:creationId xmlns:a16="http://schemas.microsoft.com/office/drawing/2014/main" id="{00000000-0008-0000-0000-00002C000000}"/>
            </a:ext>
          </a:extLst>
        </xdr:cNvPr>
        <xdr:cNvSpPr/>
      </xdr:nvSpPr>
      <xdr:spPr>
        <a:xfrm>
          <a:off x="17854963" y="638212"/>
          <a:ext cx="624488"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Továrna</a:t>
          </a:r>
        </a:p>
      </xdr:txBody>
    </xdr:sp>
    <xdr:clientData/>
  </xdr:twoCellAnchor>
  <xdr:twoCellAnchor>
    <xdr:from>
      <xdr:col>25</xdr:col>
      <xdr:colOff>917781</xdr:colOff>
      <xdr:row>17</xdr:row>
      <xdr:rowOff>19317</xdr:rowOff>
    </xdr:from>
    <xdr:to>
      <xdr:col>25</xdr:col>
      <xdr:colOff>1543630</xdr:colOff>
      <xdr:row>24</xdr:row>
      <xdr:rowOff>188651</xdr:rowOff>
    </xdr:to>
    <xdr:sp macro="" textlink="">
      <xdr:nvSpPr>
        <xdr:cNvPr id="45" name="Obdélník 44">
          <a:extLst>
            <a:ext uri="{FF2B5EF4-FFF2-40B4-BE49-F238E27FC236}">
              <a16:creationId xmlns:a16="http://schemas.microsoft.com/office/drawing/2014/main" id="{00000000-0008-0000-0000-00002D000000}"/>
            </a:ext>
          </a:extLst>
        </xdr:cNvPr>
        <xdr:cNvSpPr/>
      </xdr:nvSpPr>
      <xdr:spPr>
        <a:xfrm>
          <a:off x="17854963" y="3275135"/>
          <a:ext cx="625849"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Budova</a:t>
          </a:r>
        </a:p>
      </xdr:txBody>
    </xdr:sp>
    <xdr:clientData/>
  </xdr:twoCellAnchor>
  <xdr:twoCellAnchor>
    <xdr:from>
      <xdr:col>25</xdr:col>
      <xdr:colOff>917781</xdr:colOff>
      <xdr:row>33</xdr:row>
      <xdr:rowOff>61851</xdr:rowOff>
    </xdr:from>
    <xdr:to>
      <xdr:col>25</xdr:col>
      <xdr:colOff>1545601</xdr:colOff>
      <xdr:row>41</xdr:row>
      <xdr:rowOff>36355</xdr:rowOff>
    </xdr:to>
    <xdr:sp macro="" textlink="">
      <xdr:nvSpPr>
        <xdr:cNvPr id="46" name="Obdélník 45">
          <a:extLst>
            <a:ext uri="{FF2B5EF4-FFF2-40B4-BE49-F238E27FC236}">
              <a16:creationId xmlns:a16="http://schemas.microsoft.com/office/drawing/2014/main" id="{00000000-0008-0000-0000-00002E000000}"/>
            </a:ext>
          </a:extLst>
        </xdr:cNvPr>
        <xdr:cNvSpPr/>
      </xdr:nvSpPr>
      <xdr:spPr>
        <a:xfrm>
          <a:off x="17854963" y="6382987"/>
          <a:ext cx="627820" cy="149850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Proces</a:t>
          </a:r>
        </a:p>
      </xdr:txBody>
    </xdr:sp>
    <xdr:clientData/>
  </xdr:twoCellAnchor>
  <xdr:twoCellAnchor>
    <xdr:from>
      <xdr:col>10</xdr:col>
      <xdr:colOff>327033</xdr:colOff>
      <xdr:row>0</xdr:row>
      <xdr:rowOff>114300</xdr:rowOff>
    </xdr:from>
    <xdr:to>
      <xdr:col>14</xdr:col>
      <xdr:colOff>559867</xdr:colOff>
      <xdr:row>11</xdr:row>
      <xdr:rowOff>161925</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7661283" y="114300"/>
          <a:ext cx="3166534" cy="2143125"/>
          <a:chOff x="8370358" y="114300"/>
          <a:chExt cx="3175001" cy="2143125"/>
        </a:xfrm>
        <a:solidFill>
          <a:schemeClr val="bg1">
            <a:lumMod val="65000"/>
          </a:schemeClr>
        </a:solidFill>
      </xdr:grpSpPr>
      <xdr:sp macro="" textlink="">
        <xdr:nvSpPr>
          <xdr:cNvPr id="5" name="Obdélník 4">
            <a:extLst>
              <a:ext uri="{FF2B5EF4-FFF2-40B4-BE49-F238E27FC236}">
                <a16:creationId xmlns:a16="http://schemas.microsoft.com/office/drawing/2014/main" id="{00000000-0008-0000-0000-000005000000}"/>
              </a:ext>
            </a:extLst>
          </xdr:cNvPr>
          <xdr:cNvSpPr/>
        </xdr:nvSpPr>
        <xdr:spPr>
          <a:xfrm>
            <a:off x="10275358" y="619125"/>
            <a:ext cx="1151467"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62" name="Obdélník se zakulacenými rohy na stejné straně 61">
            <a:extLst>
              <a:ext uri="{FF2B5EF4-FFF2-40B4-BE49-F238E27FC236}">
                <a16:creationId xmlns:a16="http://schemas.microsoft.com/office/drawing/2014/main" id="{00000000-0008-0000-0000-00003E000000}"/>
              </a:ext>
            </a:extLst>
          </xdr:cNvPr>
          <xdr:cNvSpPr/>
        </xdr:nvSpPr>
        <xdr:spPr>
          <a:xfrm>
            <a:off x="8370358" y="114300"/>
            <a:ext cx="30564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Interní</a:t>
            </a:r>
            <a:r>
              <a:rPr lang="cs-CZ" sz="2000" b="1" cap="none" spc="0" baseline="0">
                <a:ln w="0"/>
                <a:solidFill>
                  <a:schemeClr val="bg1"/>
                </a:solidFill>
                <a:effectLst>
                  <a:outerShdw blurRad="38100" dist="19050" dir="2700000" algn="tl" rotWithShape="0">
                    <a:schemeClr val="dk1">
                      <a:alpha val="40000"/>
                    </a:schemeClr>
                  </a:outerShdw>
                </a:effectLst>
              </a:rPr>
              <a:t> příjem</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78" name="Graf 177">
            <a:extLst>
              <a:ext uri="{FF2B5EF4-FFF2-40B4-BE49-F238E27FC236}">
                <a16:creationId xmlns:a16="http://schemas.microsoft.com/office/drawing/2014/main" id="{00000000-0008-0000-0000-0000B2000000}"/>
              </a:ext>
            </a:extLst>
          </xdr:cNvPr>
          <xdr:cNvGraphicFramePr>
            <a:graphicFrameLocks/>
          </xdr:cNvGraphicFramePr>
        </xdr:nvGraphicFramePr>
        <xdr:xfrm>
          <a:off x="10218208" y="609601"/>
          <a:ext cx="1327151" cy="57149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Obdélník 3">
            <a:extLst>
              <a:ext uri="{FF2B5EF4-FFF2-40B4-BE49-F238E27FC236}">
                <a16:creationId xmlns:a16="http://schemas.microsoft.com/office/drawing/2014/main" id="{00000000-0008-0000-0000-000004000000}"/>
              </a:ext>
            </a:extLst>
          </xdr:cNvPr>
          <xdr:cNvSpPr/>
        </xdr:nvSpPr>
        <xdr:spPr>
          <a:xfrm>
            <a:off x="8370358" y="62865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179" name="Obdélník 178">
            <a:extLst>
              <a:ext uri="{FF2B5EF4-FFF2-40B4-BE49-F238E27FC236}">
                <a16:creationId xmlns:a16="http://schemas.microsoft.com/office/drawing/2014/main" id="{00000000-0008-0000-0000-0000B3000000}"/>
              </a:ext>
            </a:extLst>
          </xdr:cNvPr>
          <xdr:cNvSpPr/>
        </xdr:nvSpPr>
        <xdr:spPr>
          <a:xfrm>
            <a:off x="8370358" y="118110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180" name="Obdélník 179">
            <a:extLst>
              <a:ext uri="{FF2B5EF4-FFF2-40B4-BE49-F238E27FC236}">
                <a16:creationId xmlns:a16="http://schemas.microsoft.com/office/drawing/2014/main" id="{00000000-0008-0000-0000-0000B4000000}"/>
              </a:ext>
            </a:extLst>
          </xdr:cNvPr>
          <xdr:cNvSpPr/>
        </xdr:nvSpPr>
        <xdr:spPr>
          <a:xfrm>
            <a:off x="8370358" y="1733550"/>
            <a:ext cx="18954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181" name="Graf 180">
            <a:extLst>
              <a:ext uri="{FF2B5EF4-FFF2-40B4-BE49-F238E27FC236}">
                <a16:creationId xmlns:a16="http://schemas.microsoft.com/office/drawing/2014/main" id="{00000000-0008-0000-0000-0000B5000000}"/>
              </a:ext>
            </a:extLst>
          </xdr:cNvPr>
          <xdr:cNvGraphicFramePr>
            <a:graphicFrameLocks/>
          </xdr:cNvGraphicFramePr>
        </xdr:nvGraphicFramePr>
        <xdr:xfrm>
          <a:off x="10213446" y="1146572"/>
          <a:ext cx="1327151" cy="5714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2" name="Graf 181">
            <a:extLst>
              <a:ext uri="{FF2B5EF4-FFF2-40B4-BE49-F238E27FC236}">
                <a16:creationId xmlns:a16="http://schemas.microsoft.com/office/drawing/2014/main" id="{00000000-0008-0000-0000-0000B6000000}"/>
              </a:ext>
            </a:extLst>
          </xdr:cNvPr>
          <xdr:cNvGraphicFramePr>
            <a:graphicFrameLocks/>
          </xdr:cNvGraphicFramePr>
        </xdr:nvGraphicFramePr>
        <xdr:xfrm>
          <a:off x="10201540" y="1676400"/>
          <a:ext cx="1322918" cy="5714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444982</xdr:colOff>
      <xdr:row>0</xdr:row>
      <xdr:rowOff>123825</xdr:rowOff>
    </xdr:from>
    <xdr:to>
      <xdr:col>10</xdr:col>
      <xdr:colOff>365126</xdr:colOff>
      <xdr:row>11</xdr:row>
      <xdr:rowOff>171450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531207" y="123825"/>
          <a:ext cx="3168169" cy="2143125"/>
          <a:chOff x="5218065" y="123825"/>
          <a:chExt cx="3190394" cy="2143125"/>
        </a:xfrm>
        <a:solidFill>
          <a:schemeClr val="bg1">
            <a:lumMod val="65000"/>
          </a:schemeClr>
        </a:solidFill>
      </xdr:grpSpPr>
      <xdr:sp macro="" textlink="">
        <xdr:nvSpPr>
          <xdr:cNvPr id="191" name="Obdélník 190">
            <a:extLst>
              <a:ext uri="{FF2B5EF4-FFF2-40B4-BE49-F238E27FC236}">
                <a16:creationId xmlns:a16="http://schemas.microsoft.com/office/drawing/2014/main" id="{00000000-0008-0000-0000-0000BF000000}"/>
              </a:ext>
            </a:extLst>
          </xdr:cNvPr>
          <xdr:cNvSpPr/>
        </xdr:nvSpPr>
        <xdr:spPr>
          <a:xfrm>
            <a:off x="7142692" y="628650"/>
            <a:ext cx="1151466" cy="1638300"/>
          </a:xfrm>
          <a:prstGeom prst="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192" name="Obdélník se zakulacenými rohy na stejné straně 191">
            <a:extLst>
              <a:ext uri="{FF2B5EF4-FFF2-40B4-BE49-F238E27FC236}">
                <a16:creationId xmlns:a16="http://schemas.microsoft.com/office/drawing/2014/main" id="{00000000-0008-0000-0000-0000C0000000}"/>
              </a:ext>
            </a:extLst>
          </xdr:cNvPr>
          <xdr:cNvSpPr/>
        </xdr:nvSpPr>
        <xdr:spPr>
          <a:xfrm>
            <a:off x="5224992" y="123825"/>
            <a:ext cx="3069166" cy="485776"/>
          </a:xfrm>
          <a:prstGeom prst="round2Same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Zavážení FG linek</a:t>
            </a:r>
          </a:p>
        </xdr:txBody>
      </xdr:sp>
      <xdr:graphicFrame macro="">
        <xdr:nvGraphicFramePr>
          <xdr:cNvPr id="193" name="LVL1_FGLines_PDOT">
            <a:extLst>
              <a:ext uri="{FF2B5EF4-FFF2-40B4-BE49-F238E27FC236}">
                <a16:creationId xmlns:a16="http://schemas.microsoft.com/office/drawing/2014/main" id="{00000000-0008-0000-0000-0000C1000000}"/>
              </a:ext>
            </a:extLst>
          </xdr:cNvPr>
          <xdr:cNvGraphicFramePr>
            <a:graphicFrameLocks/>
          </xdr:cNvGraphicFramePr>
        </xdr:nvGraphicFramePr>
        <xdr:xfrm>
          <a:off x="7085542" y="619126"/>
          <a:ext cx="1322917" cy="571499"/>
        </xdr:xfrm>
        <a:graphic>
          <a:graphicData uri="http://schemas.openxmlformats.org/drawingml/2006/chart">
            <c:chart xmlns:c="http://schemas.openxmlformats.org/drawingml/2006/chart" xmlns:r="http://schemas.openxmlformats.org/officeDocument/2006/relationships" r:id="rId4"/>
          </a:graphicData>
        </a:graphic>
      </xdr:graphicFrame>
      <xdr:sp macro="[0]!PPOT_LVL1_BUTTON_APICK_Click" textlink="">
        <xdr:nvSpPr>
          <xdr:cNvPr id="194" name="LVL1_FGLINES_PDOT_BUTTON">
            <a:extLst>
              <a:ext uri="{FF2B5EF4-FFF2-40B4-BE49-F238E27FC236}">
                <a16:creationId xmlns:a16="http://schemas.microsoft.com/office/drawing/2014/main" id="{00000000-0008-0000-0000-0000C2000000}"/>
              </a:ext>
            </a:extLst>
          </xdr:cNvPr>
          <xdr:cNvSpPr/>
        </xdr:nvSpPr>
        <xdr:spPr>
          <a:xfrm>
            <a:off x="5224126" y="632979"/>
            <a:ext cx="1908175" cy="523875"/>
          </a:xfrm>
          <a:prstGeom prst="rect">
            <a:avLst/>
          </a:prstGeom>
          <a:gradFill flip="none" rotWithShape="1">
            <a:gsLst>
              <a:gs pos="0">
                <a:srgbClr val="CB6C1D"/>
              </a:gs>
              <a:gs pos="74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Palety dodané včas</a:t>
            </a:r>
            <a:endParaRPr lang="cs-CZ" sz="12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5" name="Obdélník 194">
            <a:extLst>
              <a:ext uri="{FF2B5EF4-FFF2-40B4-BE49-F238E27FC236}">
                <a16:creationId xmlns:a16="http://schemas.microsoft.com/office/drawing/2014/main" id="{00000000-0008-0000-0000-0000C3000000}"/>
              </a:ext>
            </a:extLst>
          </xdr:cNvPr>
          <xdr:cNvSpPr/>
        </xdr:nvSpPr>
        <xdr:spPr>
          <a:xfrm>
            <a:off x="5218065" y="1180234"/>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KPI</a:t>
            </a:r>
            <a:r>
              <a:rPr lang="cs-CZ" sz="1400" b="1" cap="none" spc="0" baseline="0">
                <a:ln w="0"/>
                <a:solidFill>
                  <a:schemeClr val="bg1"/>
                </a:solidFill>
                <a:effectLst>
                  <a:outerShdw blurRad="38100" dist="19050" dir="2700000" algn="tl" rotWithShape="0">
                    <a:schemeClr val="dk1">
                      <a:alpha val="40000"/>
                    </a:schemeClr>
                  </a:outerShdw>
                </a:effectLst>
              </a:rPr>
              <a:t> 2</a:t>
            </a:r>
            <a:endParaRPr lang="cs-CZ" sz="14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6" name="Obdélník 195">
            <a:extLst>
              <a:ext uri="{FF2B5EF4-FFF2-40B4-BE49-F238E27FC236}">
                <a16:creationId xmlns:a16="http://schemas.microsoft.com/office/drawing/2014/main" id="{00000000-0008-0000-0000-0000C4000000}"/>
              </a:ext>
            </a:extLst>
          </xdr:cNvPr>
          <xdr:cNvSpPr/>
        </xdr:nvSpPr>
        <xdr:spPr>
          <a:xfrm>
            <a:off x="5224992" y="1743075"/>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97" name="Graf 196">
            <a:extLst>
              <a:ext uri="{FF2B5EF4-FFF2-40B4-BE49-F238E27FC236}">
                <a16:creationId xmlns:a16="http://schemas.microsoft.com/office/drawing/2014/main" id="{00000000-0008-0000-0000-0000C5000000}"/>
              </a:ext>
            </a:extLst>
          </xdr:cNvPr>
          <xdr:cNvGraphicFramePr>
            <a:graphicFrameLocks/>
          </xdr:cNvGraphicFramePr>
        </xdr:nvGraphicFramePr>
        <xdr:xfrm>
          <a:off x="7080780" y="1156097"/>
          <a:ext cx="1322917" cy="571499"/>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8" name="Graf 197">
            <a:extLst>
              <a:ext uri="{FF2B5EF4-FFF2-40B4-BE49-F238E27FC236}">
                <a16:creationId xmlns:a16="http://schemas.microsoft.com/office/drawing/2014/main" id="{00000000-0008-0000-0000-0000C6000000}"/>
              </a:ext>
            </a:extLst>
          </xdr:cNvPr>
          <xdr:cNvGraphicFramePr>
            <a:graphicFrameLocks/>
          </xdr:cNvGraphicFramePr>
        </xdr:nvGraphicFramePr>
        <xdr:xfrm>
          <a:off x="7068874" y="1685925"/>
          <a:ext cx="1322917" cy="57149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14</xdr:col>
      <xdr:colOff>527058</xdr:colOff>
      <xdr:row>0</xdr:row>
      <xdr:rowOff>104775</xdr:rowOff>
    </xdr:from>
    <xdr:to>
      <xdr:col>20</xdr:col>
      <xdr:colOff>31759</xdr:colOff>
      <xdr:row>11</xdr:row>
      <xdr:rowOff>152400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0795008" y="104775"/>
          <a:ext cx="3162301" cy="2143125"/>
          <a:chOff x="11512550" y="104775"/>
          <a:chExt cx="3187701" cy="2143125"/>
        </a:xfrm>
        <a:solidFill>
          <a:schemeClr val="bg1">
            <a:lumMod val="65000"/>
          </a:schemeClr>
        </a:solidFill>
      </xdr:grpSpPr>
      <xdr:sp macro="" textlink="">
        <xdr:nvSpPr>
          <xdr:cNvPr id="199" name="Obdélník 198">
            <a:extLst>
              <a:ext uri="{FF2B5EF4-FFF2-40B4-BE49-F238E27FC236}">
                <a16:creationId xmlns:a16="http://schemas.microsoft.com/office/drawing/2014/main" id="{00000000-0008-0000-0000-0000C7000000}"/>
              </a:ext>
            </a:extLst>
          </xdr:cNvPr>
          <xdr:cNvSpPr/>
        </xdr:nvSpPr>
        <xdr:spPr>
          <a:xfrm>
            <a:off x="13434483" y="609600"/>
            <a:ext cx="1147234"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00" name="Obdélník se zakulacenými rohy na stejné straně 199">
            <a:extLst>
              <a:ext uri="{FF2B5EF4-FFF2-40B4-BE49-F238E27FC236}">
                <a16:creationId xmlns:a16="http://schemas.microsoft.com/office/drawing/2014/main" id="{00000000-0008-0000-0000-0000C8000000}"/>
              </a:ext>
            </a:extLst>
          </xdr:cNvPr>
          <xdr:cNvSpPr/>
        </xdr:nvSpPr>
        <xdr:spPr>
          <a:xfrm>
            <a:off x="11512550" y="104775"/>
            <a:ext cx="30691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Vrácení materiálu</a:t>
            </a:r>
          </a:p>
        </xdr:txBody>
      </xdr:sp>
      <xdr:graphicFrame macro="">
        <xdr:nvGraphicFramePr>
          <xdr:cNvPr id="201" name="Graf 200">
            <a:extLst>
              <a:ext uri="{FF2B5EF4-FFF2-40B4-BE49-F238E27FC236}">
                <a16:creationId xmlns:a16="http://schemas.microsoft.com/office/drawing/2014/main" id="{00000000-0008-0000-0000-0000C9000000}"/>
              </a:ext>
            </a:extLst>
          </xdr:cNvPr>
          <xdr:cNvGraphicFramePr>
            <a:graphicFrameLocks/>
          </xdr:cNvGraphicFramePr>
        </xdr:nvGraphicFramePr>
        <xdr:xfrm>
          <a:off x="13377333" y="600076"/>
          <a:ext cx="1322918" cy="57149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202" name="Obdélník 201">
            <a:extLst>
              <a:ext uri="{FF2B5EF4-FFF2-40B4-BE49-F238E27FC236}">
                <a16:creationId xmlns:a16="http://schemas.microsoft.com/office/drawing/2014/main" id="{00000000-0008-0000-0000-0000CA000000}"/>
              </a:ext>
            </a:extLst>
          </xdr:cNvPr>
          <xdr:cNvSpPr/>
        </xdr:nvSpPr>
        <xdr:spPr>
          <a:xfrm>
            <a:off x="11512550" y="619125"/>
            <a:ext cx="1912408"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03" name="Obdélník 202">
            <a:extLst>
              <a:ext uri="{FF2B5EF4-FFF2-40B4-BE49-F238E27FC236}">
                <a16:creationId xmlns:a16="http://schemas.microsoft.com/office/drawing/2014/main" id="{00000000-0008-0000-0000-0000CB000000}"/>
              </a:ext>
            </a:extLst>
          </xdr:cNvPr>
          <xdr:cNvSpPr/>
        </xdr:nvSpPr>
        <xdr:spPr>
          <a:xfrm>
            <a:off x="11512550" y="1171575"/>
            <a:ext cx="1912408"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04" name="Obdélník 203">
            <a:extLst>
              <a:ext uri="{FF2B5EF4-FFF2-40B4-BE49-F238E27FC236}">
                <a16:creationId xmlns:a16="http://schemas.microsoft.com/office/drawing/2014/main" id="{00000000-0008-0000-0000-0000CC000000}"/>
              </a:ext>
            </a:extLst>
          </xdr:cNvPr>
          <xdr:cNvSpPr/>
        </xdr:nvSpPr>
        <xdr:spPr>
          <a:xfrm>
            <a:off x="11512550" y="1724025"/>
            <a:ext cx="1912408"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05" name="Graf 204">
            <a:extLst>
              <a:ext uri="{FF2B5EF4-FFF2-40B4-BE49-F238E27FC236}">
                <a16:creationId xmlns:a16="http://schemas.microsoft.com/office/drawing/2014/main" id="{00000000-0008-0000-0000-0000CD000000}"/>
              </a:ext>
            </a:extLst>
          </xdr:cNvPr>
          <xdr:cNvGraphicFramePr>
            <a:graphicFrameLocks/>
          </xdr:cNvGraphicFramePr>
        </xdr:nvGraphicFramePr>
        <xdr:xfrm>
          <a:off x="13378921" y="1137047"/>
          <a:ext cx="1316568" cy="571499"/>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206" name="Graf 205">
            <a:extLst>
              <a:ext uri="{FF2B5EF4-FFF2-40B4-BE49-F238E27FC236}">
                <a16:creationId xmlns:a16="http://schemas.microsoft.com/office/drawing/2014/main" id="{00000000-0008-0000-0000-0000CE000000}"/>
              </a:ext>
            </a:extLst>
          </xdr:cNvPr>
          <xdr:cNvGraphicFramePr>
            <a:graphicFrameLocks/>
          </xdr:cNvGraphicFramePr>
        </xdr:nvGraphicFramePr>
        <xdr:xfrm>
          <a:off x="13356432" y="1666875"/>
          <a:ext cx="1327151" cy="57149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19</xdr:col>
      <xdr:colOff>607492</xdr:colOff>
      <xdr:row>0</xdr:row>
      <xdr:rowOff>95250</xdr:rowOff>
    </xdr:from>
    <xdr:to>
      <xdr:col>25</xdr:col>
      <xdr:colOff>103726</xdr:colOff>
      <xdr:row>11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3923442" y="95250"/>
          <a:ext cx="3153834" cy="2143125"/>
          <a:chOff x="14662150" y="95250"/>
          <a:chExt cx="3179234" cy="2143125"/>
        </a:xfrm>
        <a:solidFill>
          <a:schemeClr val="bg1">
            <a:lumMod val="65000"/>
          </a:schemeClr>
        </a:solidFill>
      </xdr:grpSpPr>
      <xdr:sp macro="" textlink="">
        <xdr:nvSpPr>
          <xdr:cNvPr id="219" name="Obdélník 218">
            <a:extLst>
              <a:ext uri="{FF2B5EF4-FFF2-40B4-BE49-F238E27FC236}">
                <a16:creationId xmlns:a16="http://schemas.microsoft.com/office/drawing/2014/main" id="{00000000-0008-0000-0000-0000DB000000}"/>
              </a:ext>
            </a:extLst>
          </xdr:cNvPr>
          <xdr:cNvSpPr/>
        </xdr:nvSpPr>
        <xdr:spPr>
          <a:xfrm>
            <a:off x="16579850" y="600075"/>
            <a:ext cx="1147233"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20" name="Obdélník se zakulacenými rohy na stejné straně 219">
            <a:extLst>
              <a:ext uri="{FF2B5EF4-FFF2-40B4-BE49-F238E27FC236}">
                <a16:creationId xmlns:a16="http://schemas.microsoft.com/office/drawing/2014/main" id="{00000000-0008-0000-0000-0000DC000000}"/>
              </a:ext>
            </a:extLst>
          </xdr:cNvPr>
          <xdr:cNvSpPr/>
        </xdr:nvSpPr>
        <xdr:spPr>
          <a:xfrm>
            <a:off x="14662150" y="95250"/>
            <a:ext cx="3064933"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Řidič</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221" name="Graf 220">
            <a:extLst>
              <a:ext uri="{FF2B5EF4-FFF2-40B4-BE49-F238E27FC236}">
                <a16:creationId xmlns:a16="http://schemas.microsoft.com/office/drawing/2014/main" id="{00000000-0008-0000-0000-0000DD000000}"/>
              </a:ext>
            </a:extLst>
          </xdr:cNvPr>
          <xdr:cNvGraphicFramePr>
            <a:graphicFrameLocks/>
          </xdr:cNvGraphicFramePr>
        </xdr:nvGraphicFramePr>
        <xdr:xfrm>
          <a:off x="16522700" y="590551"/>
          <a:ext cx="1318684" cy="571499"/>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22" name="Obdélník 221">
            <a:extLst>
              <a:ext uri="{FF2B5EF4-FFF2-40B4-BE49-F238E27FC236}">
                <a16:creationId xmlns:a16="http://schemas.microsoft.com/office/drawing/2014/main" id="{00000000-0008-0000-0000-0000DE000000}"/>
              </a:ext>
            </a:extLst>
          </xdr:cNvPr>
          <xdr:cNvSpPr/>
        </xdr:nvSpPr>
        <xdr:spPr>
          <a:xfrm>
            <a:off x="14662150" y="609600"/>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23" name="Obdélník 222">
            <a:extLst>
              <a:ext uri="{FF2B5EF4-FFF2-40B4-BE49-F238E27FC236}">
                <a16:creationId xmlns:a16="http://schemas.microsoft.com/office/drawing/2014/main" id="{00000000-0008-0000-0000-0000DF000000}"/>
              </a:ext>
            </a:extLst>
          </xdr:cNvPr>
          <xdr:cNvSpPr/>
        </xdr:nvSpPr>
        <xdr:spPr>
          <a:xfrm>
            <a:off x="14662150" y="1162050"/>
            <a:ext cx="1908175"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24" name="Obdélník 223">
            <a:extLst>
              <a:ext uri="{FF2B5EF4-FFF2-40B4-BE49-F238E27FC236}">
                <a16:creationId xmlns:a16="http://schemas.microsoft.com/office/drawing/2014/main" id="{00000000-0008-0000-0000-0000E0000000}"/>
              </a:ext>
            </a:extLst>
          </xdr:cNvPr>
          <xdr:cNvSpPr/>
        </xdr:nvSpPr>
        <xdr:spPr>
          <a:xfrm>
            <a:off x="14662150" y="1714500"/>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25" name="Graf 224">
            <a:extLst>
              <a:ext uri="{FF2B5EF4-FFF2-40B4-BE49-F238E27FC236}">
                <a16:creationId xmlns:a16="http://schemas.microsoft.com/office/drawing/2014/main" id="{00000000-0008-0000-0000-0000E1000000}"/>
              </a:ext>
            </a:extLst>
          </xdr:cNvPr>
          <xdr:cNvGraphicFramePr>
            <a:graphicFrameLocks/>
          </xdr:cNvGraphicFramePr>
        </xdr:nvGraphicFramePr>
        <xdr:xfrm>
          <a:off x="16517938" y="1127522"/>
          <a:ext cx="1318684" cy="571499"/>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6" name="Graf 225">
            <a:extLst>
              <a:ext uri="{FF2B5EF4-FFF2-40B4-BE49-F238E27FC236}">
                <a16:creationId xmlns:a16="http://schemas.microsoft.com/office/drawing/2014/main" id="{00000000-0008-0000-0000-0000E2000000}"/>
              </a:ext>
            </a:extLst>
          </xdr:cNvPr>
          <xdr:cNvGraphicFramePr>
            <a:graphicFrameLocks/>
          </xdr:cNvGraphicFramePr>
        </xdr:nvGraphicFramePr>
        <xdr:xfrm>
          <a:off x="16506032" y="1657350"/>
          <a:ext cx="1318684" cy="57149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9</xdr:col>
      <xdr:colOff>319401</xdr:colOff>
      <xdr:row>13</xdr:row>
      <xdr:rowOff>104775</xdr:rowOff>
    </xdr:from>
    <xdr:to>
      <xdr:col>15</xdr:col>
      <xdr:colOff>461505</xdr:colOff>
      <xdr:row>28</xdr:row>
      <xdr:rowOff>55275</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7044051" y="2590800"/>
          <a:ext cx="4295004" cy="2808000"/>
          <a:chOff x="7448550" y="2743200"/>
          <a:chExt cx="4295004" cy="2808000"/>
        </a:xfrm>
      </xdr:grpSpPr>
      <xdr:graphicFrame macro="">
        <xdr:nvGraphicFramePr>
          <xdr:cNvPr id="238" name="Graf 237">
            <a:extLst>
              <a:ext uri="{FF2B5EF4-FFF2-40B4-BE49-F238E27FC236}">
                <a16:creationId xmlns:a16="http://schemas.microsoft.com/office/drawing/2014/main" id="{00000000-0008-0000-0000-0000EE000000}"/>
              </a:ext>
            </a:extLst>
          </xdr:cNvPr>
          <xdr:cNvGraphicFramePr>
            <a:graphicFrameLocks/>
          </xdr:cNvGraphicFramePr>
        </xdr:nvGraphicFramePr>
        <xdr:xfrm>
          <a:off x="7448550" y="2743200"/>
          <a:ext cx="4295004" cy="2808000"/>
        </xdr:xfrm>
        <a:graphic>
          <a:graphicData uri="http://schemas.openxmlformats.org/drawingml/2006/chart">
            <c:chart xmlns:c="http://schemas.openxmlformats.org/drawingml/2006/chart" xmlns:r="http://schemas.openxmlformats.org/officeDocument/2006/relationships" r:id="rId13"/>
          </a:graphicData>
        </a:graphic>
      </xdr:graphicFrame>
      <xdr:sp macro="[0]!LVL2_B_BUTTON_Click" textlink="">
        <xdr:nvSpPr>
          <xdr:cNvPr id="18" name="LVL2_GENERIC_B_BUTTON">
            <a:extLst>
              <a:ext uri="{FF2B5EF4-FFF2-40B4-BE49-F238E27FC236}">
                <a16:creationId xmlns:a16="http://schemas.microsoft.com/office/drawing/2014/main" id="{00000000-0008-0000-0000-000012000000}"/>
              </a:ext>
            </a:extLst>
          </xdr:cNvPr>
          <xdr:cNvSpPr/>
        </xdr:nvSpPr>
        <xdr:spPr>
          <a:xfrm>
            <a:off x="8532412" y="4697067"/>
            <a:ext cx="2023534"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9</xdr:col>
      <xdr:colOff>583341</xdr:colOff>
      <xdr:row>35</xdr:row>
      <xdr:rowOff>126711</xdr:rowOff>
    </xdr:from>
    <xdr:to>
      <xdr:col>12</xdr:col>
      <xdr:colOff>87464</xdr:colOff>
      <xdr:row>37</xdr:row>
      <xdr:rowOff>37884</xdr:rowOff>
    </xdr:to>
    <xdr:sp macro="[0]!lvl3_button_show_primary_only_Click" textlink="">
      <xdr:nvSpPr>
        <xdr:cNvPr id="98" name="lvl3_button_show_primary_only">
          <a:extLst>
            <a:ext uri="{FF2B5EF4-FFF2-40B4-BE49-F238E27FC236}">
              <a16:creationId xmlns:a16="http://schemas.microsoft.com/office/drawing/2014/main" id="{00000000-0008-0000-0000-000062000000}"/>
            </a:ext>
          </a:extLst>
        </xdr:cNvPr>
        <xdr:cNvSpPr/>
      </xdr:nvSpPr>
      <xdr:spPr>
        <a:xfrm>
          <a:off x="7320114" y="6828847"/>
          <a:ext cx="1824759" cy="292173"/>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400" b="1" cap="none" spc="0">
              <a:ln w="0"/>
              <a:solidFill>
                <a:schemeClr val="bg1"/>
              </a:solidFill>
              <a:effectLst/>
              <a:latin typeface="+mn-lt"/>
              <a:ea typeface="+mn-ea"/>
              <a:cs typeface="+mn-cs"/>
            </a:rPr>
            <a:t>Hlavní kroky</a:t>
          </a:r>
        </a:p>
      </xdr:txBody>
    </xdr:sp>
    <xdr:clientData/>
  </xdr:twoCellAnchor>
  <xdr:twoCellAnchor>
    <xdr:from>
      <xdr:col>12</xdr:col>
      <xdr:colOff>170014</xdr:colOff>
      <xdr:row>35</xdr:row>
      <xdr:rowOff>129886</xdr:rowOff>
    </xdr:from>
    <xdr:to>
      <xdr:col>15</xdr:col>
      <xdr:colOff>186756</xdr:colOff>
      <xdr:row>37</xdr:row>
      <xdr:rowOff>41059</xdr:rowOff>
    </xdr:to>
    <xdr:sp macro="[0]!lvl3_button_show_secondary_Click" textlink="">
      <xdr:nvSpPr>
        <xdr:cNvPr id="99" name="lvl3_button_show_secondary">
          <a:extLst>
            <a:ext uri="{FF2B5EF4-FFF2-40B4-BE49-F238E27FC236}">
              <a16:creationId xmlns:a16="http://schemas.microsoft.com/office/drawing/2014/main" id="{00000000-0008-0000-0000-000063000000}"/>
            </a:ext>
          </a:extLst>
        </xdr:cNvPr>
        <xdr:cNvSpPr/>
      </xdr:nvSpPr>
      <xdr:spPr>
        <a:xfrm>
          <a:off x="9227423" y="6832022"/>
          <a:ext cx="1835151" cy="292173"/>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400" b="1" cap="none" spc="0">
              <a:ln w="0"/>
              <a:solidFill>
                <a:schemeClr val="bg1"/>
              </a:solidFill>
              <a:effectLst/>
            </a:rPr>
            <a:t>Vedlejší</a:t>
          </a:r>
          <a:r>
            <a:rPr lang="cs-CZ" sz="1400" b="1" cap="none" spc="0" baseline="0">
              <a:ln w="0"/>
              <a:solidFill>
                <a:schemeClr val="bg1"/>
              </a:solidFill>
              <a:effectLst/>
            </a:rPr>
            <a:t> kroky</a:t>
          </a:r>
          <a:endParaRPr lang="cs-CZ" sz="1400" b="1" cap="none" spc="0">
            <a:ln w="0"/>
            <a:solidFill>
              <a:schemeClr val="bg1"/>
            </a:solidFill>
            <a:effectLst/>
          </a:endParaRPr>
        </a:p>
      </xdr:txBody>
    </xdr:sp>
    <xdr:clientData/>
  </xdr:twoCellAnchor>
  <xdr:twoCellAnchor>
    <xdr:from>
      <xdr:col>6</xdr:col>
      <xdr:colOff>578485</xdr:colOff>
      <xdr:row>32</xdr:row>
      <xdr:rowOff>31637</xdr:rowOff>
    </xdr:from>
    <xdr:to>
      <xdr:col>9</xdr:col>
      <xdr:colOff>592217</xdr:colOff>
      <xdr:row>34</xdr:row>
      <xdr:rowOff>136413</xdr:rowOff>
    </xdr:to>
    <xdr:sp macro="" textlink="">
      <xdr:nvSpPr>
        <xdr:cNvPr id="102" name="LVL3_GENERIC_INDICATOR_PROCES">
          <a:extLst>
            <a:ext uri="{FF2B5EF4-FFF2-40B4-BE49-F238E27FC236}">
              <a16:creationId xmlns:a16="http://schemas.microsoft.com/office/drawing/2014/main" id="{00000000-0008-0000-0000-000066000000}"/>
            </a:ext>
          </a:extLst>
        </xdr:cNvPr>
        <xdr:cNvSpPr/>
      </xdr:nvSpPr>
      <xdr:spPr>
        <a:xfrm>
          <a:off x="5490664" y="6154851"/>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600" b="1" cap="none" spc="0">
              <a:ln w="0"/>
              <a:solidFill>
                <a:schemeClr val="bg1"/>
              </a:solidFill>
              <a:effectLst/>
            </a:rPr>
            <a:t>Zavážení FG linek</a:t>
          </a:r>
        </a:p>
      </xdr:txBody>
    </xdr:sp>
    <xdr:clientData/>
  </xdr:twoCellAnchor>
  <xdr:twoCellAnchor>
    <xdr:from>
      <xdr:col>13</xdr:col>
      <xdr:colOff>435605</xdr:colOff>
      <xdr:row>32</xdr:row>
      <xdr:rowOff>35719</xdr:rowOff>
    </xdr:from>
    <xdr:to>
      <xdr:col>16</xdr:col>
      <xdr:colOff>446407</xdr:colOff>
      <xdr:row>34</xdr:row>
      <xdr:rowOff>140495</xdr:rowOff>
    </xdr:to>
    <xdr:sp macro="" textlink="">
      <xdr:nvSpPr>
        <xdr:cNvPr id="106" name="LVL3_GENERIC_INDICATOR_BUILDING">
          <a:extLst>
            <a:ext uri="{FF2B5EF4-FFF2-40B4-BE49-F238E27FC236}">
              <a16:creationId xmlns:a16="http://schemas.microsoft.com/office/drawing/2014/main" id="{00000000-0008-0000-0000-00006A000000}"/>
            </a:ext>
          </a:extLst>
        </xdr:cNvPr>
        <xdr:cNvSpPr/>
      </xdr:nvSpPr>
      <xdr:spPr>
        <a:xfrm>
          <a:off x="10123891" y="6158933"/>
          <a:ext cx="1847766" cy="485776"/>
        </a:xfrm>
        <a:prstGeom prst="round2SameRect">
          <a:avLst/>
        </a:prstGeom>
        <a:gradFill flip="none" rotWithShape="1">
          <a:gsLst>
            <a:gs pos="79000">
              <a:srgbClr val="43741E"/>
            </a:gs>
            <a:gs pos="0">
              <a:srgbClr val="43741E"/>
            </a:gs>
            <a:gs pos="100000">
              <a:srgbClr val="43741E"/>
            </a:gs>
          </a:gsLst>
          <a:lin ang="16200000" scaled="0"/>
          <a:tileRec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600" b="1" cap="none" spc="0">
              <a:ln w="0"/>
              <a:solidFill>
                <a:schemeClr val="bg1"/>
              </a:solidFill>
              <a:effectLst>
                <a:outerShdw blurRad="38100" dist="19050" dir="2700000" algn="tl" rotWithShape="0">
                  <a:schemeClr val="dk1">
                    <a:alpha val="40000"/>
                  </a:schemeClr>
                </a:outerShdw>
              </a:effectLst>
              <a:latin typeface="+mn-lt"/>
              <a:ea typeface="+mn-ea"/>
              <a:cs typeface="+mn-cs"/>
            </a:rPr>
            <a:t>Budova B</a:t>
          </a:r>
          <a:endParaRPr lang="cs-CZ" sz="1600" b="1"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333208</xdr:colOff>
      <xdr:row>32</xdr:row>
      <xdr:rowOff>58890</xdr:rowOff>
    </xdr:from>
    <xdr:to>
      <xdr:col>6</xdr:col>
      <xdr:colOff>478711</xdr:colOff>
      <xdr:row>40</xdr:row>
      <xdr:rowOff>21436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1380958" y="6173940"/>
          <a:ext cx="3993603" cy="1486546"/>
          <a:chOff x="1380948" y="6178703"/>
          <a:chExt cx="3989822" cy="1486546"/>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380948" y="6178703"/>
            <a:ext cx="3989822" cy="1486546"/>
            <a:chOff x="1380948" y="6178703"/>
            <a:chExt cx="3989822" cy="1486546"/>
          </a:xfrm>
        </xdr:grpSpPr>
        <xdr:graphicFrame macro="">
          <xdr:nvGraphicFramePr>
            <xdr:cNvPr id="28" name="Graf 27">
              <a:extLst>
                <a:ext uri="{FF2B5EF4-FFF2-40B4-BE49-F238E27FC236}">
                  <a16:creationId xmlns:a16="http://schemas.microsoft.com/office/drawing/2014/main" id="{00000000-0008-0000-0000-00001C000000}"/>
                </a:ext>
              </a:extLst>
            </xdr:cNvPr>
            <xdr:cNvGraphicFramePr/>
          </xdr:nvGraphicFramePr>
          <xdr:xfrm>
            <a:off x="1580935" y="6531774"/>
            <a:ext cx="3777912" cy="1133475"/>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15" name="Obdélník 45">
              <a:extLst>
                <a:ext uri="{FF2B5EF4-FFF2-40B4-BE49-F238E27FC236}">
                  <a16:creationId xmlns:a16="http://schemas.microsoft.com/office/drawing/2014/main" id="{00000000-0008-0000-0000-000073000000}"/>
                </a:ext>
              </a:extLst>
            </xdr:cNvPr>
            <xdr:cNvSpPr/>
          </xdr:nvSpPr>
          <xdr:spPr>
            <a:xfrm rot="5400000">
              <a:off x="3334143" y="4457043"/>
              <a:ext cx="314968" cy="375828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 - </a:t>
              </a:r>
              <a:r>
                <a:rPr lang="cs-CZ" sz="2000" b="0"/>
                <a:t>Jak číst graf</a:t>
              </a:r>
            </a:p>
          </xdr:txBody>
        </xdr:sp>
        <xdr:sp macro="" textlink="">
          <xdr:nvSpPr>
            <xdr:cNvPr id="117" name="Rectangular Callout 116">
              <a:extLst>
                <a:ext uri="{FF2B5EF4-FFF2-40B4-BE49-F238E27FC236}">
                  <a16:creationId xmlns:a16="http://schemas.microsoft.com/office/drawing/2014/main" id="{00000000-0008-0000-0000-000075000000}"/>
                </a:ext>
              </a:extLst>
            </xdr:cNvPr>
            <xdr:cNvSpPr/>
          </xdr:nvSpPr>
          <xdr:spPr>
            <a:xfrm>
              <a:off x="2937024" y="6575462"/>
              <a:ext cx="465120" cy="152399"/>
            </a:xfrm>
            <a:prstGeom prst="wedgeRectCallout">
              <a:avLst>
                <a:gd name="adj1" fmla="val -4701"/>
                <a:gd name="adj2" fmla="val 130674"/>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 KPI</a:t>
              </a:r>
            </a:p>
          </xdr:txBody>
        </xdr:sp>
        <xdr:sp macro="" textlink="">
          <xdr:nvSpPr>
            <xdr:cNvPr id="118" name="Rectangular Callout 117">
              <a:extLst>
                <a:ext uri="{FF2B5EF4-FFF2-40B4-BE49-F238E27FC236}">
                  <a16:creationId xmlns:a16="http://schemas.microsoft.com/office/drawing/2014/main" id="{00000000-0008-0000-0000-000076000000}"/>
                </a:ext>
              </a:extLst>
            </xdr:cNvPr>
            <xdr:cNvSpPr/>
          </xdr:nvSpPr>
          <xdr:spPr>
            <a:xfrm>
              <a:off x="2524027" y="6954466"/>
              <a:ext cx="749887" cy="161924"/>
            </a:xfrm>
            <a:prstGeom prst="wedgeRectCallout">
              <a:avLst>
                <a:gd name="adj1" fmla="val -66347"/>
                <a:gd name="adj2" fmla="val 21645"/>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hodnota KPI</a:t>
              </a:r>
            </a:p>
          </xdr:txBody>
        </xdr:sp>
        <xdr:sp macro="" textlink="">
          <xdr:nvSpPr>
            <xdr:cNvPr id="119" name="Rectangular Callout 118">
              <a:extLst>
                <a:ext uri="{FF2B5EF4-FFF2-40B4-BE49-F238E27FC236}">
                  <a16:creationId xmlns:a16="http://schemas.microsoft.com/office/drawing/2014/main" id="{00000000-0008-0000-0000-000077000000}"/>
                </a:ext>
              </a:extLst>
            </xdr:cNvPr>
            <xdr:cNvSpPr/>
          </xdr:nvSpPr>
          <xdr:spPr>
            <a:xfrm>
              <a:off x="1380948" y="7252979"/>
              <a:ext cx="493597" cy="161924"/>
            </a:xfrm>
            <a:prstGeom prst="wedgeRectCallout">
              <a:avLst>
                <a:gd name="adj1" fmla="val 93258"/>
                <a:gd name="adj2" fmla="val 3067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grpSp>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3819338" y="6975738"/>
            <a:ext cx="1194618" cy="276225"/>
          </a:xfrm>
          <a:prstGeom prst="wedgeRectCallout">
            <a:avLst>
              <a:gd name="adj1" fmla="val -56669"/>
              <a:gd name="adj2" fmla="val -140976"/>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počet</a:t>
            </a:r>
            <a:r>
              <a:rPr lang="cs-CZ" sz="800" baseline="0">
                <a:solidFill>
                  <a:schemeClr val="tx1"/>
                </a:solidFill>
              </a:rPr>
              <a:t> úkolů na člověka</a:t>
            </a:r>
            <a:endParaRPr lang="cs-CZ" sz="800">
              <a:solidFill>
                <a:schemeClr val="tx1"/>
              </a:solidFill>
            </a:endParaRPr>
          </a:p>
        </xdr:txBody>
      </xdr:sp>
    </xdr:grpSp>
    <xdr:clientData/>
  </xdr:twoCellAnchor>
  <xdr:twoCellAnchor>
    <xdr:from>
      <xdr:col>10</xdr:col>
      <xdr:colOff>216483</xdr:colOff>
      <xdr:row>37</xdr:row>
      <xdr:rowOff>95250</xdr:rowOff>
    </xdr:from>
    <xdr:to>
      <xdr:col>11</xdr:col>
      <xdr:colOff>961166</xdr:colOff>
      <xdr:row>39</xdr:row>
      <xdr:rowOff>43296</xdr:rowOff>
    </xdr:to>
    <xdr:sp macro="" textlink="">
      <xdr:nvSpPr>
        <xdr:cNvPr id="25" name="shape_no_of_primary">
          <a:extLst>
            <a:ext uri="{FF2B5EF4-FFF2-40B4-BE49-F238E27FC236}">
              <a16:creationId xmlns:a16="http://schemas.microsoft.com/office/drawing/2014/main" id="{00000000-0008-0000-0000-000019000000}"/>
            </a:ext>
          </a:extLst>
        </xdr:cNvPr>
        <xdr:cNvSpPr/>
      </xdr:nvSpPr>
      <xdr:spPr>
        <a:xfrm>
          <a:off x="7559392" y="7178386"/>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136692</a:t>
          </a:r>
        </a:p>
      </xdr:txBody>
    </xdr:sp>
    <xdr:clientData/>
  </xdr:twoCellAnchor>
  <xdr:twoCellAnchor>
    <xdr:from>
      <xdr:col>12</xdr:col>
      <xdr:colOff>446815</xdr:colOff>
      <xdr:row>37</xdr:row>
      <xdr:rowOff>100446</xdr:rowOff>
    </xdr:from>
    <xdr:to>
      <xdr:col>14</xdr:col>
      <xdr:colOff>585361</xdr:colOff>
      <xdr:row>39</xdr:row>
      <xdr:rowOff>48492</xdr:rowOff>
    </xdr:to>
    <xdr:sp macro="" textlink="">
      <xdr:nvSpPr>
        <xdr:cNvPr id="128" name="shape_no_of_secondary">
          <a:extLst>
            <a:ext uri="{FF2B5EF4-FFF2-40B4-BE49-F238E27FC236}">
              <a16:creationId xmlns:a16="http://schemas.microsoft.com/office/drawing/2014/main" id="{00000000-0008-0000-0000-000080000000}"/>
            </a:ext>
          </a:extLst>
        </xdr:cNvPr>
        <xdr:cNvSpPr/>
      </xdr:nvSpPr>
      <xdr:spPr>
        <a:xfrm>
          <a:off x="9504224" y="7183582"/>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527</a:t>
          </a:r>
        </a:p>
      </xdr:txBody>
    </xdr:sp>
    <xdr:clientData/>
  </xdr:twoCellAnchor>
  <xdr:twoCellAnchor>
    <xdr:from>
      <xdr:col>1</xdr:col>
      <xdr:colOff>362755</xdr:colOff>
      <xdr:row>0</xdr:row>
      <xdr:rowOff>121444</xdr:rowOff>
    </xdr:from>
    <xdr:to>
      <xdr:col>5</xdr:col>
      <xdr:colOff>491458</xdr:colOff>
      <xdr:row>11</xdr:row>
      <xdr:rowOff>170152</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10505" y="121444"/>
          <a:ext cx="3167178" cy="2144208"/>
          <a:chOff x="2056077" y="133350"/>
          <a:chExt cx="3176743" cy="2144208"/>
        </a:xfrm>
        <a:solidFill>
          <a:schemeClr val="bg1">
            <a:lumMod val="65000"/>
          </a:schemeClr>
        </a:solidFill>
      </xdr:grpSpPr>
      <xdr:sp macro="" textlink="">
        <xdr:nvSpPr>
          <xdr:cNvPr id="183" name="Obdélník 182">
            <a:extLst>
              <a:ext uri="{FF2B5EF4-FFF2-40B4-BE49-F238E27FC236}">
                <a16:creationId xmlns:a16="http://schemas.microsoft.com/office/drawing/2014/main" id="{00000000-0008-0000-0000-0000B7000000}"/>
              </a:ext>
            </a:extLst>
          </xdr:cNvPr>
          <xdr:cNvSpPr/>
        </xdr:nvSpPr>
        <xdr:spPr>
          <a:xfrm>
            <a:off x="3978419" y="639258"/>
            <a:ext cx="1148292"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graphicFrame macro="">
        <xdr:nvGraphicFramePr>
          <xdr:cNvPr id="185" name="LVL1_Inbound_PPOT">
            <a:extLst>
              <a:ext uri="{FF2B5EF4-FFF2-40B4-BE49-F238E27FC236}">
                <a16:creationId xmlns:a16="http://schemas.microsoft.com/office/drawing/2014/main" id="{00000000-0008-0000-0000-0000B9000000}"/>
              </a:ext>
            </a:extLst>
          </xdr:cNvPr>
          <xdr:cNvGraphicFramePr>
            <a:graphicFrameLocks/>
          </xdr:cNvGraphicFramePr>
        </xdr:nvGraphicFramePr>
        <xdr:xfrm>
          <a:off x="3906115" y="611333"/>
          <a:ext cx="1319743" cy="571499"/>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86" name="LVL1_INBOUND_PPOT_BUTTON">
            <a:extLst>
              <a:ext uri="{FF2B5EF4-FFF2-40B4-BE49-F238E27FC236}">
                <a16:creationId xmlns:a16="http://schemas.microsoft.com/office/drawing/2014/main" id="{00000000-0008-0000-0000-0000BA000000}"/>
              </a:ext>
            </a:extLst>
          </xdr:cNvPr>
          <xdr:cNvSpPr/>
        </xdr:nvSpPr>
        <xdr:spPr>
          <a:xfrm>
            <a:off x="2058458" y="634712"/>
            <a:ext cx="1903942" cy="523875"/>
          </a:xfrm>
          <a:prstGeom prst="rect">
            <a:avLst/>
          </a:prstGeom>
          <a:grp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 1</a:t>
            </a:r>
          </a:p>
        </xdr:txBody>
      </xdr:sp>
      <xdr:sp macro="" textlink="">
        <xdr:nvSpPr>
          <xdr:cNvPr id="187" name="LVL1_INBOUND_PFLO">
            <a:extLst>
              <a:ext uri="{FF2B5EF4-FFF2-40B4-BE49-F238E27FC236}">
                <a16:creationId xmlns:a16="http://schemas.microsoft.com/office/drawing/2014/main" id="{00000000-0008-0000-0000-0000BB000000}"/>
              </a:ext>
            </a:extLst>
          </xdr:cNvPr>
          <xdr:cNvSpPr/>
        </xdr:nvSpPr>
        <xdr:spPr>
          <a:xfrm>
            <a:off x="2062788" y="1187161"/>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a:t>
            </a:r>
            <a:r>
              <a:rPr lang="cs-CZ" sz="1600" b="1" cap="none" spc="0" baseline="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2</a:t>
            </a:r>
            <a:endPar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sp macro="" textlink="">
        <xdr:nvSpPr>
          <xdr:cNvPr id="188" name="Obdélník 187">
            <a:extLst>
              <a:ext uri="{FF2B5EF4-FFF2-40B4-BE49-F238E27FC236}">
                <a16:creationId xmlns:a16="http://schemas.microsoft.com/office/drawing/2014/main" id="{00000000-0008-0000-0000-0000BC000000}"/>
              </a:ext>
            </a:extLst>
          </xdr:cNvPr>
          <xdr:cNvSpPr/>
        </xdr:nvSpPr>
        <xdr:spPr>
          <a:xfrm>
            <a:off x="2058458" y="1752600"/>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89" name="Graf 188">
            <a:extLst>
              <a:ext uri="{FF2B5EF4-FFF2-40B4-BE49-F238E27FC236}">
                <a16:creationId xmlns:a16="http://schemas.microsoft.com/office/drawing/2014/main" id="{00000000-0008-0000-0000-0000BD000000}"/>
              </a:ext>
            </a:extLst>
          </xdr:cNvPr>
          <xdr:cNvGraphicFramePr>
            <a:graphicFrameLocks/>
          </xdr:cNvGraphicFramePr>
        </xdr:nvGraphicFramePr>
        <xdr:xfrm>
          <a:off x="3913077" y="1161072"/>
          <a:ext cx="1319743" cy="571499"/>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90" name="Graf 189">
            <a:extLst>
              <a:ext uri="{FF2B5EF4-FFF2-40B4-BE49-F238E27FC236}">
                <a16:creationId xmlns:a16="http://schemas.microsoft.com/office/drawing/2014/main" id="{00000000-0008-0000-0000-0000BE000000}"/>
              </a:ext>
            </a:extLst>
          </xdr:cNvPr>
          <xdr:cNvGraphicFramePr>
            <a:graphicFrameLocks/>
          </xdr:cNvGraphicFramePr>
        </xdr:nvGraphicFramePr>
        <xdr:xfrm>
          <a:off x="3911363" y="1700928"/>
          <a:ext cx="1319743" cy="571499"/>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29" name="Obdélník se zakulacenými rohy na stejné straně 183">
            <a:extLst>
              <a:ext uri="{FF2B5EF4-FFF2-40B4-BE49-F238E27FC236}">
                <a16:creationId xmlns:a16="http://schemas.microsoft.com/office/drawing/2014/main" id="{00000000-0008-0000-0000-000081000000}"/>
              </a:ext>
            </a:extLst>
          </xdr:cNvPr>
          <xdr:cNvSpPr/>
        </xdr:nvSpPr>
        <xdr:spPr>
          <a:xfrm>
            <a:off x="2056077" y="133350"/>
            <a:ext cx="3061759"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2000" b="1" cap="none" spc="0">
                <a:ln w="0"/>
                <a:solidFill>
                  <a:schemeClr val="bg1"/>
                </a:solidFill>
                <a:effectLst/>
              </a:rPr>
              <a:t>Externí</a:t>
            </a:r>
            <a:r>
              <a:rPr lang="cs-CZ" sz="2000" b="1" cap="none" spc="0" baseline="0">
                <a:ln w="0"/>
                <a:solidFill>
                  <a:schemeClr val="bg1"/>
                </a:solidFill>
                <a:effectLst/>
              </a:rPr>
              <a:t> příjem</a:t>
            </a:r>
            <a:endParaRPr lang="cs-CZ" sz="2000" b="1" cap="none" spc="0">
              <a:ln w="0"/>
              <a:solidFill>
                <a:schemeClr val="bg1"/>
              </a:solidFill>
              <a:effectLst/>
            </a:endParaRPr>
          </a:p>
        </xdr:txBody>
      </xdr:sp>
    </xdr:grpSp>
    <xdr:clientData/>
  </xdr:twoCellAnchor>
  <xdr:twoCellAnchor>
    <xdr:from>
      <xdr:col>18</xdr:col>
      <xdr:colOff>500572</xdr:colOff>
      <xdr:row>32</xdr:row>
      <xdr:rowOff>37458</xdr:rowOff>
    </xdr:from>
    <xdr:to>
      <xdr:col>25</xdr:col>
      <xdr:colOff>3224</xdr:colOff>
      <xdr:row>33</xdr:row>
      <xdr:rowOff>161926</xdr:rowOff>
    </xdr:to>
    <xdr:sp macro="" textlink="">
      <xdr:nvSpPr>
        <xdr:cNvPr id="121" name="Obdélník 45">
          <a:extLst>
            <a:ext uri="{FF2B5EF4-FFF2-40B4-BE49-F238E27FC236}">
              <a16:creationId xmlns:a16="http://schemas.microsoft.com/office/drawing/2014/main" id="{00000000-0008-0000-0000-000079000000}"/>
            </a:ext>
          </a:extLst>
        </xdr:cNvPr>
        <xdr:cNvSpPr/>
      </xdr:nvSpPr>
      <xdr:spPr>
        <a:xfrm rot="5400000">
          <a:off x="14899836" y="4438163"/>
          <a:ext cx="314968" cy="375318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t>Doplňující data </a:t>
          </a:r>
          <a:r>
            <a:rPr lang="cs-CZ" sz="2000" b="0" baseline="0"/>
            <a:t>- </a:t>
          </a:r>
          <a:r>
            <a:rPr lang="cs-CZ" sz="2000" b="0"/>
            <a:t>Jak číst graf</a:t>
          </a:r>
        </a:p>
      </xdr:txBody>
    </xdr:sp>
    <xdr:clientData/>
  </xdr:twoCellAnchor>
  <xdr:twoCellAnchor>
    <xdr:from>
      <xdr:col>1</xdr:col>
      <xdr:colOff>381000</xdr:colOff>
      <xdr:row>51</xdr:row>
      <xdr:rowOff>17318</xdr:rowOff>
    </xdr:from>
    <xdr:to>
      <xdr:col>11</xdr:col>
      <xdr:colOff>749773</xdr:colOff>
      <xdr:row>57</xdr:row>
      <xdr:rowOff>184571</xdr:rowOff>
    </xdr:to>
    <xdr:graphicFrame macro="">
      <xdr:nvGraphicFramePr>
        <xdr:cNvPr id="73" name="chart_generic_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381000</xdr:colOff>
      <xdr:row>43</xdr:row>
      <xdr:rowOff>16520</xdr:rowOff>
    </xdr:from>
    <xdr:to>
      <xdr:col>11</xdr:col>
      <xdr:colOff>749773</xdr:colOff>
      <xdr:row>49</xdr:row>
      <xdr:rowOff>183061</xdr:rowOff>
    </xdr:to>
    <xdr:graphicFrame macro="">
      <xdr:nvGraphicFramePr>
        <xdr:cNvPr id="74" name="chart_generic_1">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381000</xdr:colOff>
      <xdr:row>92</xdr:row>
      <xdr:rowOff>40821</xdr:rowOff>
    </xdr:from>
    <xdr:to>
      <xdr:col>11</xdr:col>
      <xdr:colOff>749773</xdr:colOff>
      <xdr:row>99</xdr:row>
      <xdr:rowOff>10771</xdr:rowOff>
    </xdr:to>
    <xdr:graphicFrame macro="">
      <xdr:nvGraphicFramePr>
        <xdr:cNvPr id="75" name="chart_generic_7" hidden="1">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1078349</xdr:colOff>
      <xdr:row>75</xdr:row>
      <xdr:rowOff>40053</xdr:rowOff>
    </xdr:from>
    <xdr:to>
      <xdr:col>12</xdr:col>
      <xdr:colOff>301174</xdr:colOff>
      <xdr:row>82</xdr:row>
      <xdr:rowOff>177321</xdr:rowOff>
    </xdr:to>
    <xdr:grpSp>
      <xdr:nvGrpSpPr>
        <xdr:cNvPr id="76" name="generic_group_5" hidden="1">
          <a:extLst>
            <a:ext uri="{FF2B5EF4-FFF2-40B4-BE49-F238E27FC236}">
              <a16:creationId xmlns:a16="http://schemas.microsoft.com/office/drawing/2014/main" id="{00000000-0008-0000-0000-00004C000000}"/>
            </a:ext>
          </a:extLst>
        </xdr:cNvPr>
        <xdr:cNvGrpSpPr/>
      </xdr:nvGrpSpPr>
      <xdr:grpSpPr>
        <a:xfrm>
          <a:off x="9022199" y="14394228"/>
          <a:ext cx="327725" cy="1470768"/>
          <a:chOff x="6806976" y="190503"/>
          <a:chExt cx="323850" cy="1460898"/>
        </a:xfrm>
      </xdr:grpSpPr>
      <xdr:sp macro="" textlink="">
        <xdr:nvSpPr>
          <xdr:cNvPr id="77" name="generic_arrow_5" hidden="1">
            <a:extLst>
              <a:ext uri="{FF2B5EF4-FFF2-40B4-BE49-F238E27FC236}">
                <a16:creationId xmlns:a16="http://schemas.microsoft.com/office/drawing/2014/main" id="{00000000-0008-0000-0000-00004D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8" name="shape_generic_proces_step_5" hidden="1">
            <a:extLst>
              <a:ext uri="{FF2B5EF4-FFF2-40B4-BE49-F238E27FC236}">
                <a16:creationId xmlns:a16="http://schemas.microsoft.com/office/drawing/2014/main" id="{00000000-0008-0000-0000-00004E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PA lok. -&gt; VNA sloup</a:t>
            </a:r>
          </a:p>
        </xdr:txBody>
      </xdr:sp>
    </xdr:grpSp>
    <xdr:clientData/>
  </xdr:twoCellAnchor>
  <xdr:twoCellAnchor>
    <xdr:from>
      <xdr:col>11</xdr:col>
      <xdr:colOff>1080279</xdr:colOff>
      <xdr:row>67</xdr:row>
      <xdr:rowOff>32141</xdr:rowOff>
    </xdr:from>
    <xdr:to>
      <xdr:col>12</xdr:col>
      <xdr:colOff>303104</xdr:colOff>
      <xdr:row>74</xdr:row>
      <xdr:rowOff>159375</xdr:rowOff>
    </xdr:to>
    <xdr:grpSp>
      <xdr:nvGrpSpPr>
        <xdr:cNvPr id="79" name="generic_group_4" hidden="1">
          <a:extLst>
            <a:ext uri="{FF2B5EF4-FFF2-40B4-BE49-F238E27FC236}">
              <a16:creationId xmlns:a16="http://schemas.microsoft.com/office/drawing/2014/main" id="{00000000-0008-0000-0000-00004F000000}"/>
            </a:ext>
          </a:extLst>
        </xdr:cNvPr>
        <xdr:cNvGrpSpPr/>
      </xdr:nvGrpSpPr>
      <xdr:grpSpPr>
        <a:xfrm>
          <a:off x="9024129" y="12862316"/>
          <a:ext cx="327725" cy="1460734"/>
          <a:chOff x="6806976" y="190503"/>
          <a:chExt cx="323850" cy="1460898"/>
        </a:xfrm>
      </xdr:grpSpPr>
      <xdr:sp macro="" textlink="">
        <xdr:nvSpPr>
          <xdr:cNvPr id="80" name="generic_arrow_4" hidden="1">
            <a:extLst>
              <a:ext uri="{FF2B5EF4-FFF2-40B4-BE49-F238E27FC236}">
                <a16:creationId xmlns:a16="http://schemas.microsoft.com/office/drawing/2014/main" id="{00000000-0008-0000-0000-000050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1" name="shape_generic_proces_step_4" hidden="1">
            <a:extLst>
              <a:ext uri="{FF2B5EF4-FFF2-40B4-BE49-F238E27FC236}">
                <a16:creationId xmlns:a16="http://schemas.microsoft.com/office/drawing/2014/main" id="{00000000-0008-0000-0000-000051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1088079</xdr:colOff>
      <xdr:row>59</xdr:row>
      <xdr:rowOff>32848</xdr:rowOff>
    </xdr:from>
    <xdr:to>
      <xdr:col>12</xdr:col>
      <xdr:colOff>310904</xdr:colOff>
      <xdr:row>66</xdr:row>
      <xdr:rowOff>160082</xdr:rowOff>
    </xdr:to>
    <xdr:grpSp>
      <xdr:nvGrpSpPr>
        <xdr:cNvPr id="82" name="generic_group_3">
          <a:extLst>
            <a:ext uri="{FF2B5EF4-FFF2-40B4-BE49-F238E27FC236}">
              <a16:creationId xmlns:a16="http://schemas.microsoft.com/office/drawing/2014/main" id="{00000000-0008-0000-0000-000052000000}"/>
            </a:ext>
          </a:extLst>
        </xdr:cNvPr>
        <xdr:cNvGrpSpPr/>
      </xdr:nvGrpSpPr>
      <xdr:grpSpPr>
        <a:xfrm>
          <a:off x="9031929" y="11339023"/>
          <a:ext cx="327725" cy="1460734"/>
          <a:chOff x="6806976" y="190503"/>
          <a:chExt cx="323850" cy="1460898"/>
        </a:xfrm>
      </xdr:grpSpPr>
      <xdr:sp macro="" textlink="">
        <xdr:nvSpPr>
          <xdr:cNvPr id="83" name="generic_arrow_3">
            <a:extLst>
              <a:ext uri="{FF2B5EF4-FFF2-40B4-BE49-F238E27FC236}">
                <a16:creationId xmlns:a16="http://schemas.microsoft.com/office/drawing/2014/main" id="{00000000-0008-0000-0000-000053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4" name="shape_generic_proces_step_3">
            <a:extLst>
              <a:ext uri="{FF2B5EF4-FFF2-40B4-BE49-F238E27FC236}">
                <a16:creationId xmlns:a16="http://schemas.microsoft.com/office/drawing/2014/main" id="{00000000-0008-0000-0000-000054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1090901</xdr:colOff>
      <xdr:row>51</xdr:row>
      <xdr:rowOff>30746</xdr:rowOff>
    </xdr:from>
    <xdr:to>
      <xdr:col>12</xdr:col>
      <xdr:colOff>313726</xdr:colOff>
      <xdr:row>58</xdr:row>
      <xdr:rowOff>157980</xdr:rowOff>
    </xdr:to>
    <xdr:grpSp>
      <xdr:nvGrpSpPr>
        <xdr:cNvPr id="85" name="generic_group_2">
          <a:extLst>
            <a:ext uri="{FF2B5EF4-FFF2-40B4-BE49-F238E27FC236}">
              <a16:creationId xmlns:a16="http://schemas.microsoft.com/office/drawing/2014/main" id="{00000000-0008-0000-0000-000055000000}"/>
            </a:ext>
          </a:extLst>
        </xdr:cNvPr>
        <xdr:cNvGrpSpPr/>
      </xdr:nvGrpSpPr>
      <xdr:grpSpPr>
        <a:xfrm>
          <a:off x="9034751" y="9812921"/>
          <a:ext cx="327725" cy="1460734"/>
          <a:chOff x="6806976" y="190503"/>
          <a:chExt cx="323850" cy="1460898"/>
        </a:xfrm>
      </xdr:grpSpPr>
      <xdr:sp macro="" textlink="">
        <xdr:nvSpPr>
          <xdr:cNvPr id="86" name="generic_arrow_2">
            <a:extLst>
              <a:ext uri="{FF2B5EF4-FFF2-40B4-BE49-F238E27FC236}">
                <a16:creationId xmlns:a16="http://schemas.microsoft.com/office/drawing/2014/main" id="{00000000-0008-0000-0000-000056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7" name="shape_generic_proces_step_2">
            <a:extLst>
              <a:ext uri="{FF2B5EF4-FFF2-40B4-BE49-F238E27FC236}">
                <a16:creationId xmlns:a16="http://schemas.microsoft.com/office/drawing/2014/main" id="{00000000-0008-0000-0000-000057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sloup-&gt;TA zem</a:t>
            </a:r>
          </a:p>
        </xdr:txBody>
      </xdr:sp>
    </xdr:grpSp>
    <xdr:clientData/>
  </xdr:twoCellAnchor>
  <xdr:twoCellAnchor>
    <xdr:from>
      <xdr:col>12</xdr:col>
      <xdr:colOff>1795</xdr:colOff>
      <xdr:row>43</xdr:row>
      <xdr:rowOff>39654</xdr:rowOff>
    </xdr:from>
    <xdr:to>
      <xdr:col>12</xdr:col>
      <xdr:colOff>327887</xdr:colOff>
      <xdr:row>50</xdr:row>
      <xdr:rowOff>167590</xdr:rowOff>
    </xdr:to>
    <xdr:grpSp>
      <xdr:nvGrpSpPr>
        <xdr:cNvPr id="22" name="generic_group_1">
          <a:extLst>
            <a:ext uri="{FF2B5EF4-FFF2-40B4-BE49-F238E27FC236}">
              <a16:creationId xmlns:a16="http://schemas.microsoft.com/office/drawing/2014/main" id="{00000000-0008-0000-0000-000016000000}"/>
            </a:ext>
          </a:extLst>
        </xdr:cNvPr>
        <xdr:cNvGrpSpPr/>
      </xdr:nvGrpSpPr>
      <xdr:grpSpPr>
        <a:xfrm>
          <a:off x="9050545" y="8297829"/>
          <a:ext cx="326092" cy="1461436"/>
          <a:chOff x="9033736" y="8298389"/>
          <a:chExt cx="326092" cy="1461436"/>
        </a:xfrm>
      </xdr:grpSpPr>
      <xdr:sp macro="" textlink="">
        <xdr:nvSpPr>
          <xdr:cNvPr id="89" name="generic_arrow_1">
            <a:extLst>
              <a:ext uri="{FF2B5EF4-FFF2-40B4-BE49-F238E27FC236}">
                <a16:creationId xmlns:a16="http://schemas.microsoft.com/office/drawing/2014/main" id="{00000000-0008-0000-0000-000059000000}"/>
              </a:ext>
            </a:extLst>
          </xdr:cNvPr>
          <xdr:cNvSpPr/>
        </xdr:nvSpPr>
        <xdr:spPr>
          <a:xfrm rot="5400000">
            <a:off x="9017485" y="9447456"/>
            <a:ext cx="346600" cy="2781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0" name="shape_generic_proces_step_1">
            <a:extLst>
              <a:ext uri="{FF2B5EF4-FFF2-40B4-BE49-F238E27FC236}">
                <a16:creationId xmlns:a16="http://schemas.microsoft.com/office/drawing/2014/main" id="{00000000-0008-0000-0000-00005A000000}"/>
              </a:ext>
            </a:extLst>
          </xdr:cNvPr>
          <xdr:cNvSpPr/>
        </xdr:nvSpPr>
        <xdr:spPr>
          <a:xfrm rot="5400000">
            <a:off x="8596485" y="8735640"/>
            <a:ext cx="1200593" cy="32609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regál-&gt;VNA sloup</a:t>
            </a:r>
          </a:p>
        </xdr:txBody>
      </xdr:sp>
    </xdr:grpSp>
    <xdr:clientData/>
  </xdr:twoCellAnchor>
  <xdr:twoCellAnchor>
    <xdr:from>
      <xdr:col>1</xdr:col>
      <xdr:colOff>381000</xdr:colOff>
      <xdr:row>59</xdr:row>
      <xdr:rowOff>30136</xdr:rowOff>
    </xdr:from>
    <xdr:to>
      <xdr:col>11</xdr:col>
      <xdr:colOff>749773</xdr:colOff>
      <xdr:row>66</xdr:row>
      <xdr:rowOff>6889</xdr:rowOff>
    </xdr:to>
    <xdr:graphicFrame macro="">
      <xdr:nvGraphicFramePr>
        <xdr:cNvPr id="91" name="chart_generic_3">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381000</xdr:colOff>
      <xdr:row>67</xdr:row>
      <xdr:rowOff>35406</xdr:rowOff>
    </xdr:from>
    <xdr:to>
      <xdr:col>11</xdr:col>
      <xdr:colOff>749773</xdr:colOff>
      <xdr:row>74</xdr:row>
      <xdr:rowOff>12159</xdr:rowOff>
    </xdr:to>
    <xdr:graphicFrame macro="">
      <xdr:nvGraphicFramePr>
        <xdr:cNvPr id="92" name="chart_generic_4" hidden="1">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381000</xdr:colOff>
      <xdr:row>75</xdr:row>
      <xdr:rowOff>65352</xdr:rowOff>
    </xdr:from>
    <xdr:to>
      <xdr:col>11</xdr:col>
      <xdr:colOff>749773</xdr:colOff>
      <xdr:row>82</xdr:row>
      <xdr:rowOff>42105</xdr:rowOff>
    </xdr:to>
    <xdr:graphicFrame macro="">
      <xdr:nvGraphicFramePr>
        <xdr:cNvPr id="93" name="chart_generic_5" hidden="1">
          <a:extLst>
            <a:ext uri="{FF2B5EF4-FFF2-40B4-BE49-F238E27FC236}">
              <a16:creationId xmlns:a16="http://schemas.microsoft.com/office/drawing/2014/main" id="{00000000-0008-0000-00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381000</xdr:colOff>
      <xdr:row>84</xdr:row>
      <xdr:rowOff>40820</xdr:rowOff>
    </xdr:from>
    <xdr:to>
      <xdr:col>11</xdr:col>
      <xdr:colOff>749773</xdr:colOff>
      <xdr:row>91</xdr:row>
      <xdr:rowOff>28355</xdr:rowOff>
    </xdr:to>
    <xdr:graphicFrame macro="">
      <xdr:nvGraphicFramePr>
        <xdr:cNvPr id="94" name="chart_generic_6" hidden="1">
          <a:extLst>
            <a:ext uri="{FF2B5EF4-FFF2-40B4-BE49-F238E27FC236}">
              <a16:creationId xmlns:a16="http://schemas.microsoft.com/office/drawing/2014/main" id="{00000000-0008-0000-00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1098876</xdr:colOff>
      <xdr:row>84</xdr:row>
      <xdr:rowOff>14681</xdr:rowOff>
    </xdr:from>
    <xdr:to>
      <xdr:col>12</xdr:col>
      <xdr:colOff>321701</xdr:colOff>
      <xdr:row>91</xdr:row>
      <xdr:rowOff>154491</xdr:rowOff>
    </xdr:to>
    <xdr:grpSp>
      <xdr:nvGrpSpPr>
        <xdr:cNvPr id="26" name="generic_group_6" hidden="1">
          <a:extLst>
            <a:ext uri="{FF2B5EF4-FFF2-40B4-BE49-F238E27FC236}">
              <a16:creationId xmlns:a16="http://schemas.microsoft.com/office/drawing/2014/main" id="{00000000-0008-0000-0000-00001A000000}"/>
            </a:ext>
          </a:extLst>
        </xdr:cNvPr>
        <xdr:cNvGrpSpPr/>
      </xdr:nvGrpSpPr>
      <xdr:grpSpPr>
        <a:xfrm>
          <a:off x="9042726" y="15902381"/>
          <a:ext cx="327725" cy="1473310"/>
          <a:chOff x="9021435" y="15904622"/>
          <a:chExt cx="332207" cy="1473310"/>
        </a:xfrm>
      </xdr:grpSpPr>
      <xdr:sp macro="" textlink="">
        <xdr:nvSpPr>
          <xdr:cNvPr id="96" name="generic_arrow_6" hidden="1">
            <a:extLst>
              <a:ext uri="{FF2B5EF4-FFF2-40B4-BE49-F238E27FC236}">
                <a16:creationId xmlns:a16="http://schemas.microsoft.com/office/drawing/2014/main" id="{00000000-0008-0000-0000-000060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7" name="shape_generic_proces_step_6" hidden="1">
            <a:extLst>
              <a:ext uri="{FF2B5EF4-FFF2-40B4-BE49-F238E27FC236}">
                <a16:creationId xmlns:a16="http://schemas.microsoft.com/office/drawing/2014/main" id="{00000000-0008-0000-0000-000061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 -&gt; VNA Rack</a:t>
            </a:r>
          </a:p>
        </xdr:txBody>
      </xdr:sp>
    </xdr:grpSp>
    <xdr:clientData/>
  </xdr:twoCellAnchor>
  <xdr:twoCellAnchor>
    <xdr:from>
      <xdr:col>1</xdr:col>
      <xdr:colOff>380843</xdr:colOff>
      <xdr:row>40</xdr:row>
      <xdr:rowOff>162359</xdr:rowOff>
    </xdr:from>
    <xdr:to>
      <xdr:col>11</xdr:col>
      <xdr:colOff>716992</xdr:colOff>
      <xdr:row>42</xdr:row>
      <xdr:rowOff>43269</xdr:rowOff>
    </xdr:to>
    <xdr:sp macro="" textlink="">
      <xdr:nvSpPr>
        <xdr:cNvPr id="133" name="Obdélník 45">
          <a:extLst>
            <a:ext uri="{FF2B5EF4-FFF2-40B4-BE49-F238E27FC236}">
              <a16:creationId xmlns:a16="http://schemas.microsoft.com/office/drawing/2014/main" id="{00000000-0008-0000-0000-000085000000}"/>
            </a:ext>
          </a:extLst>
        </xdr:cNvPr>
        <xdr:cNvSpPr/>
      </xdr:nvSpPr>
      <xdr:spPr>
        <a:xfrm rot="5400000">
          <a:off x="4928731" y="4309435"/>
          <a:ext cx="261910" cy="726218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a:t>
          </a:r>
        </a:p>
      </xdr:txBody>
    </xdr:sp>
    <xdr:clientData/>
  </xdr:twoCellAnchor>
  <xdr:twoCellAnchor>
    <xdr:from>
      <xdr:col>13</xdr:col>
      <xdr:colOff>102178</xdr:colOff>
      <xdr:row>40</xdr:row>
      <xdr:rowOff>142666</xdr:rowOff>
    </xdr:from>
    <xdr:to>
      <xdr:col>25</xdr:col>
      <xdr:colOff>8556</xdr:colOff>
      <xdr:row>42</xdr:row>
      <xdr:rowOff>23576</xdr:rowOff>
    </xdr:to>
    <xdr:sp macro="" textlink="">
      <xdr:nvSpPr>
        <xdr:cNvPr id="134" name="Obdélník 45">
          <a:extLst>
            <a:ext uri="{FF2B5EF4-FFF2-40B4-BE49-F238E27FC236}">
              <a16:creationId xmlns:a16="http://schemas.microsoft.com/office/drawing/2014/main" id="{00000000-0008-0000-0000-000086000000}"/>
            </a:ext>
          </a:extLst>
        </xdr:cNvPr>
        <xdr:cNvSpPr/>
      </xdr:nvSpPr>
      <xdr:spPr>
        <a:xfrm rot="5400000">
          <a:off x="13286627" y="4293717"/>
          <a:ext cx="261910" cy="725423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solidFill>
                <a:schemeClr val="lt1"/>
              </a:solidFill>
              <a:effectLst/>
              <a:latin typeface="+mn-lt"/>
              <a:ea typeface="+mn-ea"/>
              <a:cs typeface="+mn-cs"/>
            </a:rPr>
            <a:t>Doplňující data</a:t>
          </a:r>
          <a:endParaRPr lang="cs-CZ" sz="2000" b="1"/>
        </a:p>
      </xdr:txBody>
    </xdr:sp>
    <xdr:clientData/>
  </xdr:twoCellAnchor>
  <xdr:twoCellAnchor>
    <xdr:from>
      <xdr:col>19</xdr:col>
      <xdr:colOff>96492</xdr:colOff>
      <xdr:row>42</xdr:row>
      <xdr:rowOff>59809</xdr:rowOff>
    </xdr:from>
    <xdr:to>
      <xdr:col>21</xdr:col>
      <xdr:colOff>450770</xdr:colOff>
      <xdr:row>43</xdr:row>
      <xdr:rowOff>24214</xdr:rowOff>
    </xdr:to>
    <xdr:sp macro="[0]!lvl3_button_add_data_generic_1_3_Click" textlink="">
      <xdr:nvSpPr>
        <xdr:cNvPr id="145" name="lvl3_button_add_data_generic_1_3">
          <a:extLst>
            <a:ext uri="{FF2B5EF4-FFF2-40B4-BE49-F238E27FC236}">
              <a16:creationId xmlns:a16="http://schemas.microsoft.com/office/drawing/2014/main" id="{00000000-0008-0000-0000-000091000000}"/>
            </a:ext>
          </a:extLst>
        </xdr:cNvPr>
        <xdr:cNvSpPr/>
      </xdr:nvSpPr>
      <xdr:spPr>
        <a:xfrm>
          <a:off x="13458706" y="8088023"/>
          <a:ext cx="1578921" cy="209334"/>
        </a:xfrm>
        <a:prstGeom prst="round2SameRect">
          <a:avLst/>
        </a:prstGeom>
        <a:ln>
          <a:noFill/>
        </a:ln>
        <a:effectLst>
          <a:outerShdw blurRad="40005" dist="12700" dir="5400000" algn="ctr">
            <a:srgbClr val="000000">
              <a:alpha val="35000"/>
            </a:srgbClr>
          </a:outerShdw>
          <a:reflection endPos="0" dist="5080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42</xdr:row>
      <xdr:rowOff>62120</xdr:rowOff>
    </xdr:from>
    <xdr:to>
      <xdr:col>15</xdr:col>
      <xdr:colOff>541177</xdr:colOff>
      <xdr:row>43</xdr:row>
      <xdr:rowOff>26525</xdr:rowOff>
    </xdr:to>
    <xdr:sp macro="[0]!lvl3_button_add_data_generic_1_1_Click" textlink="">
      <xdr:nvSpPr>
        <xdr:cNvPr id="146" name="lvl3_button_add_data_generic_1_1">
          <a:extLst>
            <a:ext uri="{FF2B5EF4-FFF2-40B4-BE49-F238E27FC236}">
              <a16:creationId xmlns:a16="http://schemas.microsoft.com/office/drawing/2014/main" id="{00000000-0008-0000-0000-000092000000}"/>
            </a:ext>
          </a:extLst>
        </xdr:cNvPr>
        <xdr:cNvSpPr/>
      </xdr:nvSpPr>
      <xdr:spPr>
        <a:xfrm>
          <a:off x="9783535" y="809033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42</xdr:row>
      <xdr:rowOff>69238</xdr:rowOff>
    </xdr:from>
    <xdr:to>
      <xdr:col>19</xdr:col>
      <xdr:colOff>32748</xdr:colOff>
      <xdr:row>43</xdr:row>
      <xdr:rowOff>33643</xdr:rowOff>
    </xdr:to>
    <xdr:sp macro="[0]!lvl3_button_add_data_generic_1_2_Click" textlink="">
      <xdr:nvSpPr>
        <xdr:cNvPr id="142" name="lvl3_button_add_data_generic_1_2">
          <a:extLst>
            <a:ext uri="{FF2B5EF4-FFF2-40B4-BE49-F238E27FC236}">
              <a16:creationId xmlns:a16="http://schemas.microsoft.com/office/drawing/2014/main" id="{00000000-0008-0000-0000-00008E000000}"/>
            </a:ext>
          </a:extLst>
        </xdr:cNvPr>
        <xdr:cNvSpPr/>
      </xdr:nvSpPr>
      <xdr:spPr>
        <a:xfrm>
          <a:off x="11506419" y="809745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94704</xdr:colOff>
      <xdr:row>49</xdr:row>
      <xdr:rowOff>176684</xdr:rowOff>
    </xdr:from>
    <xdr:to>
      <xdr:col>21</xdr:col>
      <xdr:colOff>448982</xdr:colOff>
      <xdr:row>51</xdr:row>
      <xdr:rowOff>5884</xdr:rowOff>
    </xdr:to>
    <xdr:sp macro="[0]!lvl3_button_add_data_generic_2_3_Click" textlink="">
      <xdr:nvSpPr>
        <xdr:cNvPr id="143" name="lvl3_button_add_data_generic_2_3">
          <a:extLst>
            <a:ext uri="{FF2B5EF4-FFF2-40B4-BE49-F238E27FC236}">
              <a16:creationId xmlns:a16="http://schemas.microsoft.com/office/drawing/2014/main" id="{00000000-0008-0000-0000-00008F000000}"/>
            </a:ext>
          </a:extLst>
        </xdr:cNvPr>
        <xdr:cNvSpPr/>
      </xdr:nvSpPr>
      <xdr:spPr>
        <a:xfrm>
          <a:off x="13456918" y="9592827"/>
          <a:ext cx="1578921" cy="210200"/>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49</xdr:row>
      <xdr:rowOff>161679</xdr:rowOff>
    </xdr:from>
    <xdr:to>
      <xdr:col>15</xdr:col>
      <xdr:colOff>541177</xdr:colOff>
      <xdr:row>50</xdr:row>
      <xdr:rowOff>181379</xdr:rowOff>
    </xdr:to>
    <xdr:sp macro="[0]!lvl3_button_add_data_generic_2_1_Click" textlink="">
      <xdr:nvSpPr>
        <xdr:cNvPr id="147" name="lvl3_button_add_data_generic_2_1">
          <a:extLst>
            <a:ext uri="{FF2B5EF4-FFF2-40B4-BE49-F238E27FC236}">
              <a16:creationId xmlns:a16="http://schemas.microsoft.com/office/drawing/2014/main" id="{00000000-0008-0000-0000-000093000000}"/>
            </a:ext>
          </a:extLst>
        </xdr:cNvPr>
        <xdr:cNvSpPr/>
      </xdr:nvSpPr>
      <xdr:spPr>
        <a:xfrm>
          <a:off x="9783535" y="9577822"/>
          <a:ext cx="1670571" cy="210200"/>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600420</xdr:colOff>
      <xdr:row>49</xdr:row>
      <xdr:rowOff>168797</xdr:rowOff>
    </xdr:from>
    <xdr:to>
      <xdr:col>19</xdr:col>
      <xdr:colOff>39679</xdr:colOff>
      <xdr:row>50</xdr:row>
      <xdr:rowOff>188497</xdr:rowOff>
    </xdr:to>
    <xdr:sp macro="[0]!lvl3_button_add_data_generic_2_2_Click" textlink="">
      <xdr:nvSpPr>
        <xdr:cNvPr id="148" name="lvl3_button_add_data_generic_2_2">
          <a:extLst>
            <a:ext uri="{FF2B5EF4-FFF2-40B4-BE49-F238E27FC236}">
              <a16:creationId xmlns:a16="http://schemas.microsoft.com/office/drawing/2014/main" id="{00000000-0008-0000-0000-000094000000}"/>
            </a:ext>
          </a:extLst>
        </xdr:cNvPr>
        <xdr:cNvSpPr/>
      </xdr:nvSpPr>
      <xdr:spPr>
        <a:xfrm>
          <a:off x="11513349" y="9584940"/>
          <a:ext cx="1888544" cy="210200"/>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Zpoždění ve zpracování</a:t>
          </a:r>
        </a:p>
      </xdr:txBody>
    </xdr:sp>
    <xdr:clientData/>
  </xdr:twoCellAnchor>
  <xdr:twoCellAnchor>
    <xdr:from>
      <xdr:col>19</xdr:col>
      <xdr:colOff>94705</xdr:colOff>
      <xdr:row>58</xdr:row>
      <xdr:rowOff>32649</xdr:rowOff>
    </xdr:from>
    <xdr:to>
      <xdr:col>21</xdr:col>
      <xdr:colOff>448983</xdr:colOff>
      <xdr:row>59</xdr:row>
      <xdr:rowOff>51483</xdr:rowOff>
    </xdr:to>
    <xdr:sp macro="[0]!lvl3_button_add_data_generic_3_3_Click" textlink="">
      <xdr:nvSpPr>
        <xdr:cNvPr id="151" name="lvl3_button_add_data_generic_3_3">
          <a:extLst>
            <a:ext uri="{FF2B5EF4-FFF2-40B4-BE49-F238E27FC236}">
              <a16:creationId xmlns:a16="http://schemas.microsoft.com/office/drawing/2014/main" id="{00000000-0008-0000-0000-000097000000}"/>
            </a:ext>
          </a:extLst>
        </xdr:cNvPr>
        <xdr:cNvSpPr/>
      </xdr:nvSpPr>
      <xdr:spPr>
        <a:xfrm>
          <a:off x="13456919" y="11163292"/>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58</xdr:row>
      <xdr:rowOff>34960</xdr:rowOff>
    </xdr:from>
    <xdr:to>
      <xdr:col>15</xdr:col>
      <xdr:colOff>541177</xdr:colOff>
      <xdr:row>59</xdr:row>
      <xdr:rowOff>53794</xdr:rowOff>
    </xdr:to>
    <xdr:sp macro="[0]!lvl3_button_add_data_generic_3_1_Click" textlink="">
      <xdr:nvSpPr>
        <xdr:cNvPr id="152" name="lvl3_button_add_data_generic_3_1">
          <a:extLst>
            <a:ext uri="{FF2B5EF4-FFF2-40B4-BE49-F238E27FC236}">
              <a16:creationId xmlns:a16="http://schemas.microsoft.com/office/drawing/2014/main" id="{00000000-0008-0000-0000-000098000000}"/>
            </a:ext>
          </a:extLst>
        </xdr:cNvPr>
        <xdr:cNvSpPr/>
      </xdr:nvSpPr>
      <xdr:spPr>
        <a:xfrm>
          <a:off x="9783535" y="11165603"/>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591703</xdr:colOff>
      <xdr:row>58</xdr:row>
      <xdr:rowOff>42078</xdr:rowOff>
    </xdr:from>
    <xdr:to>
      <xdr:col>19</xdr:col>
      <xdr:colOff>30961</xdr:colOff>
      <xdr:row>59</xdr:row>
      <xdr:rowOff>60912</xdr:rowOff>
    </xdr:to>
    <xdr:sp macro="[0]!lvl3_button_add_data_generic_3_2_Click" textlink="">
      <xdr:nvSpPr>
        <xdr:cNvPr id="153" name="lvl3_button_add_data_generic_3_2">
          <a:extLst>
            <a:ext uri="{FF2B5EF4-FFF2-40B4-BE49-F238E27FC236}">
              <a16:creationId xmlns:a16="http://schemas.microsoft.com/office/drawing/2014/main" id="{00000000-0008-0000-0000-000099000000}"/>
            </a:ext>
          </a:extLst>
        </xdr:cNvPr>
        <xdr:cNvSpPr/>
      </xdr:nvSpPr>
      <xdr:spPr>
        <a:xfrm>
          <a:off x="11504632" y="11172721"/>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16</xdr:col>
      <xdr:colOff>502233</xdr:colOff>
      <xdr:row>36</xdr:row>
      <xdr:rowOff>138546</xdr:rowOff>
    </xdr:from>
    <xdr:to>
      <xdr:col>18</xdr:col>
      <xdr:colOff>481562</xdr:colOff>
      <xdr:row>37</xdr:row>
      <xdr:rowOff>157404</xdr:rowOff>
    </xdr:to>
    <xdr:sp macro="[0]!BUTTON_LEGEND_WHOLE_AREA_Click" textlink="">
      <xdr:nvSpPr>
        <xdr:cNvPr id="154" name="BUTTON_LEGEND_WHOLE_AREA">
          <a:extLst>
            <a:ext uri="{FF2B5EF4-FFF2-40B4-BE49-F238E27FC236}">
              <a16:creationId xmlns:a16="http://schemas.microsoft.com/office/drawing/2014/main" id="{00000000-0008-0000-0000-00009A000000}"/>
            </a:ext>
          </a:extLst>
        </xdr:cNvPr>
        <xdr:cNvSpPr/>
      </xdr:nvSpPr>
      <xdr:spPr>
        <a:xfrm>
          <a:off x="11984188" y="7031182"/>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Úkoly za celou oblast</a:t>
          </a:r>
        </a:p>
      </xdr:txBody>
    </xdr:sp>
    <xdr:clientData/>
  </xdr:twoCellAnchor>
  <xdr:twoCellAnchor>
    <xdr:from>
      <xdr:col>16</xdr:col>
      <xdr:colOff>502233</xdr:colOff>
      <xdr:row>34</xdr:row>
      <xdr:rowOff>2311</xdr:rowOff>
    </xdr:from>
    <xdr:to>
      <xdr:col>18</xdr:col>
      <xdr:colOff>481562</xdr:colOff>
      <xdr:row>35</xdr:row>
      <xdr:rowOff>21169</xdr:rowOff>
    </xdr:to>
    <xdr:sp macro="[0]!BUTTON_LEGEND_PROG_VS_TOT_Click" textlink="">
      <xdr:nvSpPr>
        <xdr:cNvPr id="155" name="BUTTON_LEGEND_PROG_VS_TOT">
          <a:extLst>
            <a:ext uri="{FF2B5EF4-FFF2-40B4-BE49-F238E27FC236}">
              <a16:creationId xmlns:a16="http://schemas.microsoft.com/office/drawing/2014/main" id="{00000000-0008-0000-0000-00009B000000}"/>
            </a:ext>
          </a:extLst>
        </xdr:cNvPr>
        <xdr:cNvSpPr/>
      </xdr:nvSpPr>
      <xdr:spPr>
        <a:xfrm>
          <a:off x="11984188" y="6513947"/>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800" b="1" cap="none" spc="0">
              <a:ln w="0"/>
              <a:solidFill>
                <a:schemeClr val="bg1"/>
              </a:solidFill>
              <a:effectLst/>
            </a:rPr>
            <a:t>Zadané vs Zpracované</a:t>
          </a:r>
        </a:p>
      </xdr:txBody>
    </xdr:sp>
    <xdr:clientData/>
  </xdr:twoCellAnchor>
  <xdr:twoCellAnchor>
    <xdr:from>
      <xdr:col>16</xdr:col>
      <xdr:colOff>507431</xdr:colOff>
      <xdr:row>35</xdr:row>
      <xdr:rowOff>61384</xdr:rowOff>
    </xdr:from>
    <xdr:to>
      <xdr:col>18</xdr:col>
      <xdr:colOff>484916</xdr:colOff>
      <xdr:row>36</xdr:row>
      <xdr:rowOff>80242</xdr:rowOff>
    </xdr:to>
    <xdr:sp macro="[0]!BUTTON_LEGEND_DUE_IN_PROG_Click" textlink="">
      <xdr:nvSpPr>
        <xdr:cNvPr id="156" name="BUTTON_LEGEND_DUE_IN_PROG">
          <a:extLst>
            <a:ext uri="{FF2B5EF4-FFF2-40B4-BE49-F238E27FC236}">
              <a16:creationId xmlns:a16="http://schemas.microsoft.com/office/drawing/2014/main" id="{00000000-0008-0000-0000-00009C000000}"/>
            </a:ext>
          </a:extLst>
        </xdr:cNvPr>
        <xdr:cNvSpPr/>
      </xdr:nvSpPr>
      <xdr:spPr>
        <a:xfrm>
          <a:off x="11989386" y="6763520"/>
          <a:ext cx="1189757" cy="209358"/>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Zpoždění ve zpracování</a:t>
          </a:r>
        </a:p>
      </xdr:txBody>
    </xdr:sp>
    <xdr:clientData/>
  </xdr:twoCellAnchor>
  <xdr:twoCellAnchor>
    <xdr:from>
      <xdr:col>1</xdr:col>
      <xdr:colOff>370659</xdr:colOff>
      <xdr:row>13</xdr:row>
      <xdr:rowOff>104775</xdr:rowOff>
    </xdr:from>
    <xdr:to>
      <xdr:col>7</xdr:col>
      <xdr:colOff>211138</xdr:colOff>
      <xdr:row>28</xdr:row>
      <xdr:rowOff>55275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418409" y="2590800"/>
          <a:ext cx="4298179" cy="2808000"/>
          <a:chOff x="1427068" y="2598593"/>
          <a:chExt cx="4308570" cy="2808000"/>
        </a:xfrm>
      </xdr:grpSpPr>
      <xdr:graphicFrame macro="">
        <xdr:nvGraphicFramePr>
          <xdr:cNvPr id="14" name="LVL2_BUILDING_A">
            <a:extLst>
              <a:ext uri="{FF2B5EF4-FFF2-40B4-BE49-F238E27FC236}">
                <a16:creationId xmlns:a16="http://schemas.microsoft.com/office/drawing/2014/main" id="{00000000-0008-0000-0000-00000E000000}"/>
              </a:ext>
            </a:extLst>
          </xdr:cNvPr>
          <xdr:cNvGraphicFramePr>
            <a:graphicFrameLocks/>
          </xdr:cNvGraphicFramePr>
        </xdr:nvGraphicFramePr>
        <xdr:xfrm>
          <a:off x="1427068" y="2598593"/>
          <a:ext cx="4308570" cy="2808000"/>
        </xdr:xfrm>
        <a:graphic>
          <a:graphicData uri="http://schemas.openxmlformats.org/drawingml/2006/chart">
            <c:chart xmlns:c="http://schemas.openxmlformats.org/drawingml/2006/chart" xmlns:r="http://schemas.openxmlformats.org/officeDocument/2006/relationships" r:id="rId25"/>
          </a:graphicData>
        </a:graphic>
      </xdr:graphicFrame>
      <xdr:sp macro="[0]!LVL2_A_BUTTON_Click" textlink="">
        <xdr:nvSpPr>
          <xdr:cNvPr id="139" name="LVL2_GENERIC_A_BUTTON">
            <a:extLst>
              <a:ext uri="{FF2B5EF4-FFF2-40B4-BE49-F238E27FC236}">
                <a16:creationId xmlns:a16="http://schemas.microsoft.com/office/drawing/2014/main" id="{00000000-0008-0000-0000-00008B000000}"/>
              </a:ext>
            </a:extLst>
          </xdr:cNvPr>
          <xdr:cNvSpPr/>
        </xdr:nvSpPr>
        <xdr:spPr>
          <a:xfrm>
            <a:off x="2500578" y="4555952"/>
            <a:ext cx="2027437"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10</xdr:col>
      <xdr:colOff>462640</xdr:colOff>
      <xdr:row>32</xdr:row>
      <xdr:rowOff>27215</xdr:rowOff>
    </xdr:from>
    <xdr:to>
      <xdr:col>12</xdr:col>
      <xdr:colOff>598836</xdr:colOff>
      <xdr:row>34</xdr:row>
      <xdr:rowOff>131991</xdr:rowOff>
    </xdr:to>
    <xdr:sp macro="" textlink="">
      <xdr:nvSpPr>
        <xdr:cNvPr id="140" name="LVL3_GENERIC_INDICATOR_KPI">
          <a:extLst>
            <a:ext uri="{FF2B5EF4-FFF2-40B4-BE49-F238E27FC236}">
              <a16:creationId xmlns:a16="http://schemas.microsoft.com/office/drawing/2014/main" id="{00000000-0008-0000-0000-00008C000000}"/>
            </a:ext>
          </a:extLst>
        </xdr:cNvPr>
        <xdr:cNvSpPr/>
      </xdr:nvSpPr>
      <xdr:spPr>
        <a:xfrm>
          <a:off x="7824104" y="6150429"/>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Palety dodané včas</a:t>
          </a:r>
        </a:p>
      </xdr:txBody>
    </xdr:sp>
    <xdr:clientData/>
  </xdr:twoCellAnchor>
  <xdr:twoCellAnchor>
    <xdr:from>
      <xdr:col>13</xdr:col>
      <xdr:colOff>73623</xdr:colOff>
      <xdr:row>32</xdr:row>
      <xdr:rowOff>114649</xdr:rowOff>
    </xdr:from>
    <xdr:to>
      <xdr:col>13</xdr:col>
      <xdr:colOff>350831</xdr:colOff>
      <xdr:row>34</xdr:row>
      <xdr:rowOff>83065</xdr:rowOff>
    </xdr:to>
    <xdr:sp macro="" textlink="">
      <xdr:nvSpPr>
        <xdr:cNvPr id="144" name="Šipka doprava 37">
          <a:extLst>
            <a:ext uri="{FF2B5EF4-FFF2-40B4-BE49-F238E27FC236}">
              <a16:creationId xmlns:a16="http://schemas.microsoft.com/office/drawing/2014/main" id="{00000000-0008-0000-0000-000090000000}"/>
            </a:ext>
          </a:extLst>
        </xdr:cNvPr>
        <xdr:cNvSpPr/>
      </xdr:nvSpPr>
      <xdr:spPr>
        <a:xfrm>
          <a:off x="9761909" y="6237863"/>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10</xdr:col>
      <xdr:colOff>108858</xdr:colOff>
      <xdr:row>32</xdr:row>
      <xdr:rowOff>108857</xdr:rowOff>
    </xdr:from>
    <xdr:to>
      <xdr:col>10</xdr:col>
      <xdr:colOff>386066</xdr:colOff>
      <xdr:row>34</xdr:row>
      <xdr:rowOff>77273</xdr:rowOff>
    </xdr:to>
    <xdr:sp macro="" textlink="">
      <xdr:nvSpPr>
        <xdr:cNvPr id="157" name="Šipka doprava 37">
          <a:extLst>
            <a:ext uri="{FF2B5EF4-FFF2-40B4-BE49-F238E27FC236}">
              <a16:creationId xmlns:a16="http://schemas.microsoft.com/office/drawing/2014/main" id="{00000000-0008-0000-0000-00009D000000}"/>
            </a:ext>
          </a:extLst>
        </xdr:cNvPr>
        <xdr:cNvSpPr/>
      </xdr:nvSpPr>
      <xdr:spPr>
        <a:xfrm>
          <a:off x="7470322" y="6232071"/>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19</xdr:col>
      <xdr:colOff>96492</xdr:colOff>
      <xdr:row>66</xdr:row>
      <xdr:rowOff>0</xdr:rowOff>
    </xdr:from>
    <xdr:to>
      <xdr:col>21</xdr:col>
      <xdr:colOff>450770</xdr:colOff>
      <xdr:row>67</xdr:row>
      <xdr:rowOff>18834</xdr:rowOff>
    </xdr:to>
    <xdr:sp macro="[0]!lvl3_button_add_data_generic_4_3_Click" textlink="">
      <xdr:nvSpPr>
        <xdr:cNvPr id="150" name="lvl3_button_add_data_generic_4_3" hidden="1">
          <a:extLst>
            <a:ext uri="{FF2B5EF4-FFF2-40B4-BE49-F238E27FC236}">
              <a16:creationId xmlns:a16="http://schemas.microsoft.com/office/drawing/2014/main" id="{00000000-0008-0000-0000-000096000000}"/>
            </a:ext>
          </a:extLst>
        </xdr:cNvPr>
        <xdr:cNvSpPr/>
      </xdr:nvSpPr>
      <xdr:spPr>
        <a:xfrm>
          <a:off x="13458706" y="12654643"/>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66</xdr:row>
      <xdr:rowOff>2311</xdr:rowOff>
    </xdr:from>
    <xdr:to>
      <xdr:col>15</xdr:col>
      <xdr:colOff>541177</xdr:colOff>
      <xdr:row>67</xdr:row>
      <xdr:rowOff>21145</xdr:rowOff>
    </xdr:to>
    <xdr:sp macro="[0]!lvl3_button_add_data_generic_4_1_Click" textlink="">
      <xdr:nvSpPr>
        <xdr:cNvPr id="160" name="lvl3_button_add_data_generic_4_1" hidden="1">
          <a:extLst>
            <a:ext uri="{FF2B5EF4-FFF2-40B4-BE49-F238E27FC236}">
              <a16:creationId xmlns:a16="http://schemas.microsoft.com/office/drawing/2014/main" id="{00000000-0008-0000-0000-0000A0000000}"/>
            </a:ext>
          </a:extLst>
        </xdr:cNvPr>
        <xdr:cNvSpPr/>
      </xdr:nvSpPr>
      <xdr:spPr>
        <a:xfrm>
          <a:off x="9783535" y="1265695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66</xdr:row>
      <xdr:rowOff>9429</xdr:rowOff>
    </xdr:from>
    <xdr:to>
      <xdr:col>19</xdr:col>
      <xdr:colOff>32748</xdr:colOff>
      <xdr:row>67</xdr:row>
      <xdr:rowOff>28263</xdr:rowOff>
    </xdr:to>
    <xdr:sp macro="[0]!lvl3_button_add_data_generic_4_2_Click" textlink="">
      <xdr:nvSpPr>
        <xdr:cNvPr id="161" name="lvl3_button_add_data_generic_4_2" hidden="1">
          <a:extLst>
            <a:ext uri="{FF2B5EF4-FFF2-40B4-BE49-F238E27FC236}">
              <a16:creationId xmlns:a16="http://schemas.microsoft.com/office/drawing/2014/main" id="{00000000-0008-0000-0000-0000A1000000}"/>
            </a:ext>
          </a:extLst>
        </xdr:cNvPr>
        <xdr:cNvSpPr/>
      </xdr:nvSpPr>
      <xdr:spPr>
        <a:xfrm>
          <a:off x="11506419" y="1266407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74</xdr:row>
      <xdr:rowOff>13607</xdr:rowOff>
    </xdr:from>
    <xdr:to>
      <xdr:col>21</xdr:col>
      <xdr:colOff>450770</xdr:colOff>
      <xdr:row>75</xdr:row>
      <xdr:rowOff>32441</xdr:rowOff>
    </xdr:to>
    <xdr:sp macro="[0]!lvl3_button_add_data_generic_5_3_Click" textlink="">
      <xdr:nvSpPr>
        <xdr:cNvPr id="163" name="lvl3_button_add_data_generic_5_3" hidden="1">
          <a:extLst>
            <a:ext uri="{FF2B5EF4-FFF2-40B4-BE49-F238E27FC236}">
              <a16:creationId xmlns:a16="http://schemas.microsoft.com/office/drawing/2014/main" id="{00000000-0008-0000-0000-0000A3000000}"/>
            </a:ext>
          </a:extLst>
        </xdr:cNvPr>
        <xdr:cNvSpPr/>
      </xdr:nvSpPr>
      <xdr:spPr>
        <a:xfrm>
          <a:off x="13458706" y="14192250"/>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74</xdr:row>
      <xdr:rowOff>15918</xdr:rowOff>
    </xdr:from>
    <xdr:to>
      <xdr:col>15</xdr:col>
      <xdr:colOff>541177</xdr:colOff>
      <xdr:row>75</xdr:row>
      <xdr:rowOff>34752</xdr:rowOff>
    </xdr:to>
    <xdr:sp macro="[0]!lvl3_button_add_data_generic_5_1_Click" textlink="">
      <xdr:nvSpPr>
        <xdr:cNvPr id="164" name="lvl3_button_add_data_generic_5_1" hidden="1">
          <a:extLst>
            <a:ext uri="{FF2B5EF4-FFF2-40B4-BE49-F238E27FC236}">
              <a16:creationId xmlns:a16="http://schemas.microsoft.com/office/drawing/2014/main" id="{00000000-0008-0000-0000-0000A4000000}"/>
            </a:ext>
          </a:extLst>
        </xdr:cNvPr>
        <xdr:cNvSpPr/>
      </xdr:nvSpPr>
      <xdr:spPr>
        <a:xfrm>
          <a:off x="9783535" y="14194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74</xdr:row>
      <xdr:rowOff>23036</xdr:rowOff>
    </xdr:from>
    <xdr:to>
      <xdr:col>19</xdr:col>
      <xdr:colOff>32748</xdr:colOff>
      <xdr:row>75</xdr:row>
      <xdr:rowOff>41870</xdr:rowOff>
    </xdr:to>
    <xdr:sp macro="[0]!lvl3_button_add_data_generic_5_2_Click" textlink="">
      <xdr:nvSpPr>
        <xdr:cNvPr id="165" name="lvl3_button_add_data_generic_5_2" hidden="1">
          <a:extLst>
            <a:ext uri="{FF2B5EF4-FFF2-40B4-BE49-F238E27FC236}">
              <a16:creationId xmlns:a16="http://schemas.microsoft.com/office/drawing/2014/main" id="{00000000-0008-0000-0000-0000A5000000}"/>
            </a:ext>
          </a:extLst>
        </xdr:cNvPr>
        <xdr:cNvSpPr/>
      </xdr:nvSpPr>
      <xdr:spPr>
        <a:xfrm>
          <a:off x="11506419" y="14201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82</xdr:row>
      <xdr:rowOff>40821</xdr:rowOff>
    </xdr:from>
    <xdr:to>
      <xdr:col>21</xdr:col>
      <xdr:colOff>450770</xdr:colOff>
      <xdr:row>84</xdr:row>
      <xdr:rowOff>46048</xdr:rowOff>
    </xdr:to>
    <xdr:sp macro="[0]!lvl3_button_add_data_generic_6_3_Click" textlink="">
      <xdr:nvSpPr>
        <xdr:cNvPr id="167" name="lvl3_button_add_data_generic_6_3" hidden="1">
          <a:extLst>
            <a:ext uri="{FF2B5EF4-FFF2-40B4-BE49-F238E27FC236}">
              <a16:creationId xmlns:a16="http://schemas.microsoft.com/office/drawing/2014/main" id="{00000000-0008-0000-0000-0000A7000000}"/>
            </a:ext>
          </a:extLst>
        </xdr:cNvPr>
        <xdr:cNvSpPr/>
      </xdr:nvSpPr>
      <xdr:spPr>
        <a:xfrm>
          <a:off x="13458706" y="15743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82</xdr:row>
      <xdr:rowOff>43132</xdr:rowOff>
    </xdr:from>
    <xdr:to>
      <xdr:col>15</xdr:col>
      <xdr:colOff>541177</xdr:colOff>
      <xdr:row>84</xdr:row>
      <xdr:rowOff>48359</xdr:rowOff>
    </xdr:to>
    <xdr:sp macro="[0]!lvl3_button_add_data_generic_6_1_Click" textlink="">
      <xdr:nvSpPr>
        <xdr:cNvPr id="168" name="lvl3_button_add_data_generic_6_1" hidden="1">
          <a:extLst>
            <a:ext uri="{FF2B5EF4-FFF2-40B4-BE49-F238E27FC236}">
              <a16:creationId xmlns:a16="http://schemas.microsoft.com/office/drawing/2014/main" id="{00000000-0008-0000-0000-0000A8000000}"/>
            </a:ext>
          </a:extLst>
        </xdr:cNvPr>
        <xdr:cNvSpPr/>
      </xdr:nvSpPr>
      <xdr:spPr>
        <a:xfrm>
          <a:off x="9783535" y="15745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82</xdr:row>
      <xdr:rowOff>50250</xdr:rowOff>
    </xdr:from>
    <xdr:to>
      <xdr:col>19</xdr:col>
      <xdr:colOff>32748</xdr:colOff>
      <xdr:row>84</xdr:row>
      <xdr:rowOff>55477</xdr:rowOff>
    </xdr:to>
    <xdr:sp macro="[0]!lvl3_button_add_data_generic_6_2_Click" textlink="">
      <xdr:nvSpPr>
        <xdr:cNvPr id="169" name="lvl3_button_add_data_generic_6_2" hidden="1">
          <a:extLst>
            <a:ext uri="{FF2B5EF4-FFF2-40B4-BE49-F238E27FC236}">
              <a16:creationId xmlns:a16="http://schemas.microsoft.com/office/drawing/2014/main" id="{00000000-0008-0000-0000-0000A9000000}"/>
            </a:ext>
          </a:extLst>
        </xdr:cNvPr>
        <xdr:cNvSpPr/>
      </xdr:nvSpPr>
      <xdr:spPr>
        <a:xfrm>
          <a:off x="11506419" y="15752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91</xdr:row>
      <xdr:rowOff>27214</xdr:rowOff>
    </xdr:from>
    <xdr:to>
      <xdr:col>21</xdr:col>
      <xdr:colOff>465154</xdr:colOff>
      <xdr:row>92</xdr:row>
      <xdr:rowOff>46048</xdr:rowOff>
    </xdr:to>
    <xdr:sp macro="[0]!lvl3_button_add_data_generic_7_3_Click" textlink="">
      <xdr:nvSpPr>
        <xdr:cNvPr id="171" name="lvl3_button_add_data_generic_7_3" hidden="1">
          <a:extLst>
            <a:ext uri="{FF2B5EF4-FFF2-40B4-BE49-F238E27FC236}">
              <a16:creationId xmlns:a16="http://schemas.microsoft.com/office/drawing/2014/main" id="{00000000-0008-0000-0000-0000AB000000}"/>
            </a:ext>
          </a:extLst>
        </xdr:cNvPr>
        <xdr:cNvSpPr/>
      </xdr:nvSpPr>
      <xdr:spPr>
        <a:xfrm>
          <a:off x="13473090" y="17267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91</xdr:row>
      <xdr:rowOff>2311</xdr:rowOff>
    </xdr:from>
    <xdr:to>
      <xdr:col>15</xdr:col>
      <xdr:colOff>555561</xdr:colOff>
      <xdr:row>92</xdr:row>
      <xdr:rowOff>21145</xdr:rowOff>
    </xdr:to>
    <xdr:sp macro="[0]!lvl3_button_add_data_generic_7_1_Click" textlink="">
      <xdr:nvSpPr>
        <xdr:cNvPr id="172" name="lvl3_button_add_data_generic_7_1" hidden="1">
          <a:extLst>
            <a:ext uri="{FF2B5EF4-FFF2-40B4-BE49-F238E27FC236}">
              <a16:creationId xmlns:a16="http://schemas.microsoft.com/office/drawing/2014/main" id="{00000000-0008-0000-0000-0000AC000000}"/>
            </a:ext>
          </a:extLst>
        </xdr:cNvPr>
        <xdr:cNvSpPr/>
      </xdr:nvSpPr>
      <xdr:spPr>
        <a:xfrm>
          <a:off x="9797919" y="17242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91</xdr:row>
      <xdr:rowOff>9429</xdr:rowOff>
    </xdr:from>
    <xdr:to>
      <xdr:col>19</xdr:col>
      <xdr:colOff>47132</xdr:colOff>
      <xdr:row>92</xdr:row>
      <xdr:rowOff>28263</xdr:rowOff>
    </xdr:to>
    <xdr:sp macro="[0]!lvl3_button_add_data_generic_7_2_Click" textlink="">
      <xdr:nvSpPr>
        <xdr:cNvPr id="173" name="lvl3_button_add_data_generic_7_2" hidden="1">
          <a:extLst>
            <a:ext uri="{FF2B5EF4-FFF2-40B4-BE49-F238E27FC236}">
              <a16:creationId xmlns:a16="http://schemas.microsoft.com/office/drawing/2014/main" id="{00000000-0008-0000-0000-0000AD000000}"/>
            </a:ext>
          </a:extLst>
        </xdr:cNvPr>
        <xdr:cNvSpPr/>
      </xdr:nvSpPr>
      <xdr:spPr>
        <a:xfrm>
          <a:off x="11520803" y="17249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99</xdr:row>
      <xdr:rowOff>27214</xdr:rowOff>
    </xdr:from>
    <xdr:to>
      <xdr:col>21</xdr:col>
      <xdr:colOff>465154</xdr:colOff>
      <xdr:row>100</xdr:row>
      <xdr:rowOff>46048</xdr:rowOff>
    </xdr:to>
    <xdr:sp macro="[0]!lvl3_button_add_data_generic_8_3_Click" textlink="">
      <xdr:nvSpPr>
        <xdr:cNvPr id="177" name="lvl3_button_add_data_generic_8_3" hidden="1">
          <a:extLst>
            <a:ext uri="{FF2B5EF4-FFF2-40B4-BE49-F238E27FC236}">
              <a16:creationId xmlns:a16="http://schemas.microsoft.com/office/drawing/2014/main" id="{00000000-0008-0000-0000-0000B1000000}"/>
            </a:ext>
          </a:extLst>
        </xdr:cNvPr>
        <xdr:cNvSpPr/>
      </xdr:nvSpPr>
      <xdr:spPr>
        <a:xfrm>
          <a:off x="13473090" y="18791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99</xdr:row>
      <xdr:rowOff>29525</xdr:rowOff>
    </xdr:from>
    <xdr:to>
      <xdr:col>15</xdr:col>
      <xdr:colOff>555561</xdr:colOff>
      <xdr:row>100</xdr:row>
      <xdr:rowOff>48359</xdr:rowOff>
    </xdr:to>
    <xdr:sp macro="[0]!lvl3_button_add_data_generic_8_1_Click" textlink="">
      <xdr:nvSpPr>
        <xdr:cNvPr id="184" name="lvl3_button_add_data_generic_8_1" hidden="1">
          <a:extLst>
            <a:ext uri="{FF2B5EF4-FFF2-40B4-BE49-F238E27FC236}">
              <a16:creationId xmlns:a16="http://schemas.microsoft.com/office/drawing/2014/main" id="{00000000-0008-0000-0000-0000B8000000}"/>
            </a:ext>
          </a:extLst>
        </xdr:cNvPr>
        <xdr:cNvSpPr/>
      </xdr:nvSpPr>
      <xdr:spPr>
        <a:xfrm>
          <a:off x="9797919" y="18793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99</xdr:row>
      <xdr:rowOff>36643</xdr:rowOff>
    </xdr:from>
    <xdr:to>
      <xdr:col>19</xdr:col>
      <xdr:colOff>47132</xdr:colOff>
      <xdr:row>100</xdr:row>
      <xdr:rowOff>55477</xdr:rowOff>
    </xdr:to>
    <xdr:sp macro="[0]!lvl3_button_add_data_generic_8_2_Click" textlink="">
      <xdr:nvSpPr>
        <xdr:cNvPr id="207" name="lvl3_button_add_data_generic_8_2" hidden="1">
          <a:extLst>
            <a:ext uri="{FF2B5EF4-FFF2-40B4-BE49-F238E27FC236}">
              <a16:creationId xmlns:a16="http://schemas.microsoft.com/office/drawing/2014/main" id="{00000000-0008-0000-0000-0000CF000000}"/>
            </a:ext>
          </a:extLst>
        </xdr:cNvPr>
        <xdr:cNvSpPr/>
      </xdr:nvSpPr>
      <xdr:spPr>
        <a:xfrm>
          <a:off x="11520803" y="18800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107</xdr:row>
      <xdr:rowOff>27214</xdr:rowOff>
    </xdr:from>
    <xdr:to>
      <xdr:col>21</xdr:col>
      <xdr:colOff>465154</xdr:colOff>
      <xdr:row>108</xdr:row>
      <xdr:rowOff>46048</xdr:rowOff>
    </xdr:to>
    <xdr:sp macro="[0]!lvl3_button_add_data_generic_9_3_Click" textlink="">
      <xdr:nvSpPr>
        <xdr:cNvPr id="211" name="lvl3_button_add_data_generic_9_3" hidden="1">
          <a:extLst>
            <a:ext uri="{FF2B5EF4-FFF2-40B4-BE49-F238E27FC236}">
              <a16:creationId xmlns:a16="http://schemas.microsoft.com/office/drawing/2014/main" id="{00000000-0008-0000-0000-0000D3000000}"/>
            </a:ext>
          </a:extLst>
        </xdr:cNvPr>
        <xdr:cNvSpPr/>
      </xdr:nvSpPr>
      <xdr:spPr>
        <a:xfrm>
          <a:off x="13473090" y="20315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107</xdr:row>
      <xdr:rowOff>29525</xdr:rowOff>
    </xdr:from>
    <xdr:to>
      <xdr:col>15</xdr:col>
      <xdr:colOff>555561</xdr:colOff>
      <xdr:row>108</xdr:row>
      <xdr:rowOff>48359</xdr:rowOff>
    </xdr:to>
    <xdr:sp macro="[0]!lvl3_button_add_data_generic_9_1_Click" textlink="">
      <xdr:nvSpPr>
        <xdr:cNvPr id="212" name="lvl3_button_add_data_generic_9_1" hidden="1">
          <a:extLst>
            <a:ext uri="{FF2B5EF4-FFF2-40B4-BE49-F238E27FC236}">
              <a16:creationId xmlns:a16="http://schemas.microsoft.com/office/drawing/2014/main" id="{00000000-0008-0000-0000-0000D4000000}"/>
            </a:ext>
          </a:extLst>
        </xdr:cNvPr>
        <xdr:cNvSpPr/>
      </xdr:nvSpPr>
      <xdr:spPr>
        <a:xfrm>
          <a:off x="9797919" y="20317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107</xdr:row>
      <xdr:rowOff>36643</xdr:rowOff>
    </xdr:from>
    <xdr:to>
      <xdr:col>19</xdr:col>
      <xdr:colOff>47132</xdr:colOff>
      <xdr:row>108</xdr:row>
      <xdr:rowOff>55477</xdr:rowOff>
    </xdr:to>
    <xdr:sp macro="[0]!lvl3_button_add_data_generic_9_2_Click" textlink="">
      <xdr:nvSpPr>
        <xdr:cNvPr id="213" name="lvl3_button_add_data_generic_9_2" hidden="1">
          <a:extLst>
            <a:ext uri="{FF2B5EF4-FFF2-40B4-BE49-F238E27FC236}">
              <a16:creationId xmlns:a16="http://schemas.microsoft.com/office/drawing/2014/main" id="{00000000-0008-0000-0000-0000D5000000}"/>
            </a:ext>
          </a:extLst>
        </xdr:cNvPr>
        <xdr:cNvSpPr/>
      </xdr:nvSpPr>
      <xdr:spPr>
        <a:xfrm>
          <a:off x="11520803" y="20324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115</xdr:row>
      <xdr:rowOff>54429</xdr:rowOff>
    </xdr:from>
    <xdr:to>
      <xdr:col>21</xdr:col>
      <xdr:colOff>465154</xdr:colOff>
      <xdr:row>116</xdr:row>
      <xdr:rowOff>73263</xdr:rowOff>
    </xdr:to>
    <xdr:sp macro="[0]!lvl3_button_add_data_generic_0_3_Click" textlink="">
      <xdr:nvSpPr>
        <xdr:cNvPr id="217" name="lvl3_button_add_data_generic_0_3" hidden="1">
          <a:extLst>
            <a:ext uri="{FF2B5EF4-FFF2-40B4-BE49-F238E27FC236}">
              <a16:creationId xmlns:a16="http://schemas.microsoft.com/office/drawing/2014/main" id="{00000000-0008-0000-0000-0000D9000000}"/>
            </a:ext>
          </a:extLst>
        </xdr:cNvPr>
        <xdr:cNvSpPr/>
      </xdr:nvSpPr>
      <xdr:spPr>
        <a:xfrm>
          <a:off x="13473090" y="21866679"/>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115</xdr:row>
      <xdr:rowOff>56740</xdr:rowOff>
    </xdr:from>
    <xdr:to>
      <xdr:col>15</xdr:col>
      <xdr:colOff>555561</xdr:colOff>
      <xdr:row>116</xdr:row>
      <xdr:rowOff>75574</xdr:rowOff>
    </xdr:to>
    <xdr:sp macro="[0]!lvl3_button_add_data_generic_0_1_Click" textlink="">
      <xdr:nvSpPr>
        <xdr:cNvPr id="218" name="lvl3_button_add_data_generic_0_1" hidden="1">
          <a:extLst>
            <a:ext uri="{FF2B5EF4-FFF2-40B4-BE49-F238E27FC236}">
              <a16:creationId xmlns:a16="http://schemas.microsoft.com/office/drawing/2014/main" id="{00000000-0008-0000-0000-0000DA000000}"/>
            </a:ext>
          </a:extLst>
        </xdr:cNvPr>
        <xdr:cNvSpPr/>
      </xdr:nvSpPr>
      <xdr:spPr>
        <a:xfrm>
          <a:off x="9797919" y="21868990"/>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115</xdr:row>
      <xdr:rowOff>63858</xdr:rowOff>
    </xdr:from>
    <xdr:to>
      <xdr:col>19</xdr:col>
      <xdr:colOff>47132</xdr:colOff>
      <xdr:row>116</xdr:row>
      <xdr:rowOff>82692</xdr:rowOff>
    </xdr:to>
    <xdr:sp macro="[0]!lvl3_button_add_data_generic_0_2_Click" textlink="">
      <xdr:nvSpPr>
        <xdr:cNvPr id="227" name="lvl3_button_add_data_generic_0_2" hidden="1">
          <a:extLst>
            <a:ext uri="{FF2B5EF4-FFF2-40B4-BE49-F238E27FC236}">
              <a16:creationId xmlns:a16="http://schemas.microsoft.com/office/drawing/2014/main" id="{00000000-0008-0000-0000-0000E3000000}"/>
            </a:ext>
          </a:extLst>
        </xdr:cNvPr>
        <xdr:cNvSpPr/>
      </xdr:nvSpPr>
      <xdr:spPr>
        <a:xfrm>
          <a:off x="11520803" y="21876108"/>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12</xdr:col>
      <xdr:colOff>0</xdr:colOff>
      <xdr:row>100</xdr:row>
      <xdr:rowOff>81643</xdr:rowOff>
    </xdr:from>
    <xdr:to>
      <xdr:col>12</xdr:col>
      <xdr:colOff>325003</xdr:colOff>
      <xdr:row>108</xdr:row>
      <xdr:rowOff>96958</xdr:rowOff>
    </xdr:to>
    <xdr:grpSp>
      <xdr:nvGrpSpPr>
        <xdr:cNvPr id="174" name="generic_group_8" hidden="1">
          <a:extLst>
            <a:ext uri="{FF2B5EF4-FFF2-40B4-BE49-F238E27FC236}">
              <a16:creationId xmlns:a16="http://schemas.microsoft.com/office/drawing/2014/main" id="{00000000-0008-0000-0000-0000AE000000}"/>
            </a:ext>
          </a:extLst>
        </xdr:cNvPr>
        <xdr:cNvGrpSpPr/>
      </xdr:nvGrpSpPr>
      <xdr:grpSpPr>
        <a:xfrm>
          <a:off x="9048750" y="19017343"/>
          <a:ext cx="325003" cy="1539315"/>
          <a:chOff x="9072079" y="17473602"/>
          <a:chExt cx="325003" cy="1539315"/>
        </a:xfrm>
      </xdr:grpSpPr>
      <xdr:sp macro="" textlink="">
        <xdr:nvSpPr>
          <xdr:cNvPr id="176" name="generic_arrow_8" hidden="1">
            <a:extLst>
              <a:ext uri="{FF2B5EF4-FFF2-40B4-BE49-F238E27FC236}">
                <a16:creationId xmlns:a16="http://schemas.microsoft.com/office/drawing/2014/main" id="{00000000-0008-0000-0000-0000B0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08" name="shape_generic_proces_step_8" hidden="1">
            <a:extLst>
              <a:ext uri="{FF2B5EF4-FFF2-40B4-BE49-F238E27FC236}">
                <a16:creationId xmlns:a16="http://schemas.microsoft.com/office/drawing/2014/main" id="{00000000-0008-0000-0000-0000D0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12</xdr:col>
      <xdr:colOff>13607</xdr:colOff>
      <xdr:row>108</xdr:row>
      <xdr:rowOff>95250</xdr:rowOff>
    </xdr:from>
    <xdr:to>
      <xdr:col>12</xdr:col>
      <xdr:colOff>338610</xdr:colOff>
      <xdr:row>116</xdr:row>
      <xdr:rowOff>110565</xdr:rowOff>
    </xdr:to>
    <xdr:grpSp>
      <xdr:nvGrpSpPr>
        <xdr:cNvPr id="210" name="generic_group_9" hidden="1">
          <a:extLst>
            <a:ext uri="{FF2B5EF4-FFF2-40B4-BE49-F238E27FC236}">
              <a16:creationId xmlns:a16="http://schemas.microsoft.com/office/drawing/2014/main" id="{00000000-0008-0000-0000-0000D2000000}"/>
            </a:ext>
          </a:extLst>
        </xdr:cNvPr>
        <xdr:cNvGrpSpPr/>
      </xdr:nvGrpSpPr>
      <xdr:grpSpPr>
        <a:xfrm>
          <a:off x="9062357" y="20554950"/>
          <a:ext cx="325003" cy="1539315"/>
          <a:chOff x="9072079" y="17473602"/>
          <a:chExt cx="325003" cy="1539315"/>
        </a:xfrm>
      </xdr:grpSpPr>
      <xdr:sp macro="" textlink="">
        <xdr:nvSpPr>
          <xdr:cNvPr id="214" name="generic_arrow_9" hidden="1">
            <a:extLst>
              <a:ext uri="{FF2B5EF4-FFF2-40B4-BE49-F238E27FC236}">
                <a16:creationId xmlns:a16="http://schemas.microsoft.com/office/drawing/2014/main" id="{00000000-0008-0000-0000-0000D6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16" name="shape_generic_proces_step_9" hidden="1">
            <a:extLst>
              <a:ext uri="{FF2B5EF4-FFF2-40B4-BE49-F238E27FC236}">
                <a16:creationId xmlns:a16="http://schemas.microsoft.com/office/drawing/2014/main" id="{00000000-0008-0000-0000-0000D8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xdr:col>
      <xdr:colOff>381000</xdr:colOff>
      <xdr:row>100</xdr:row>
      <xdr:rowOff>13606</xdr:rowOff>
    </xdr:from>
    <xdr:to>
      <xdr:col>11</xdr:col>
      <xdr:colOff>749773</xdr:colOff>
      <xdr:row>106</xdr:row>
      <xdr:rowOff>174056</xdr:rowOff>
    </xdr:to>
    <xdr:graphicFrame macro="">
      <xdr:nvGraphicFramePr>
        <xdr:cNvPr id="231" name="chart_generic_8" hidden="1">
          <a:extLst>
            <a:ext uri="{FF2B5EF4-FFF2-40B4-BE49-F238E27FC236}">
              <a16:creationId xmlns:a16="http://schemas.microsoft.com/office/drawing/2014/main" id="{00000000-0008-0000-00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381000</xdr:colOff>
      <xdr:row>108</xdr:row>
      <xdr:rowOff>77796</xdr:rowOff>
    </xdr:from>
    <xdr:to>
      <xdr:col>11</xdr:col>
      <xdr:colOff>749773</xdr:colOff>
      <xdr:row>115</xdr:row>
      <xdr:rowOff>47746</xdr:rowOff>
    </xdr:to>
    <xdr:graphicFrame macro="">
      <xdr:nvGraphicFramePr>
        <xdr:cNvPr id="232" name="chart_generic_9" hidden="1">
          <a:extLst>
            <a:ext uri="{FF2B5EF4-FFF2-40B4-BE49-F238E27FC236}">
              <a16:creationId xmlns:a16="http://schemas.microsoft.com/office/drawing/2014/main" id="{00000000-0008-0000-0000-0000E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381000</xdr:colOff>
      <xdr:row>116</xdr:row>
      <xdr:rowOff>84127</xdr:rowOff>
    </xdr:from>
    <xdr:to>
      <xdr:col>11</xdr:col>
      <xdr:colOff>749773</xdr:colOff>
      <xdr:row>123</xdr:row>
      <xdr:rowOff>54077</xdr:rowOff>
    </xdr:to>
    <xdr:graphicFrame macro="">
      <xdr:nvGraphicFramePr>
        <xdr:cNvPr id="233" name="chart_generic_10" hidden="1">
          <a:extLst>
            <a:ext uri="{FF2B5EF4-FFF2-40B4-BE49-F238E27FC236}">
              <a16:creationId xmlns:a16="http://schemas.microsoft.com/office/drawing/2014/main" id="{00000000-0008-0000-00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15</xdr:col>
      <xdr:colOff>125696</xdr:colOff>
      <xdr:row>44</xdr:row>
      <xdr:rowOff>37876</xdr:rowOff>
    </xdr:from>
    <xdr:to>
      <xdr:col>17</xdr:col>
      <xdr:colOff>402335</xdr:colOff>
      <xdr:row>48</xdr:row>
      <xdr:rowOff>161701</xdr:rowOff>
    </xdr:to>
    <xdr:sp macro="" textlink="">
      <xdr:nvSpPr>
        <xdr:cNvPr id="234" name="shape_tooltip" hidden="1">
          <a:extLst>
            <a:ext uri="{FF2B5EF4-FFF2-40B4-BE49-F238E27FC236}">
              <a16:creationId xmlns:a16="http://schemas.microsoft.com/office/drawing/2014/main" id="{00000000-0008-0000-0000-0000EA000000}"/>
            </a:ext>
          </a:extLst>
        </xdr:cNvPr>
        <xdr:cNvSpPr/>
      </xdr:nvSpPr>
      <xdr:spPr>
        <a:xfrm>
          <a:off x="11003246" y="8486551"/>
          <a:ext cx="1495839" cy="885825"/>
        </a:xfrm>
        <a:prstGeom prst="wedgeRoundRectCallout">
          <a:avLst>
            <a:gd name="adj1" fmla="val -20833"/>
            <a:gd name="adj2" fmla="val 61424"/>
            <a:gd name="adj3" fmla="val 16667"/>
          </a:avLst>
        </a:prstGeom>
        <a:solidFill>
          <a:schemeClr val="accent1">
            <a:alpha val="43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cs-CZ" sz="1100"/>
        </a:p>
      </xdr:txBody>
    </xdr:sp>
    <xdr:clientData/>
  </xdr:twoCellAnchor>
  <xdr:twoCellAnchor>
    <xdr:from>
      <xdr:col>12</xdr:col>
      <xdr:colOff>22412</xdr:colOff>
      <xdr:row>116</xdr:row>
      <xdr:rowOff>136072</xdr:rowOff>
    </xdr:from>
    <xdr:to>
      <xdr:col>12</xdr:col>
      <xdr:colOff>371828</xdr:colOff>
      <xdr:row>124</xdr:row>
      <xdr:rowOff>187561</xdr:rowOff>
    </xdr:to>
    <xdr:grpSp>
      <xdr:nvGrpSpPr>
        <xdr:cNvPr id="24" name="generic_group_10" hidden="1">
          <a:extLst>
            <a:ext uri="{FF2B5EF4-FFF2-40B4-BE49-F238E27FC236}">
              <a16:creationId xmlns:a16="http://schemas.microsoft.com/office/drawing/2014/main" id="{00000000-0008-0000-0000-000018000000}"/>
            </a:ext>
          </a:extLst>
        </xdr:cNvPr>
        <xdr:cNvGrpSpPr/>
      </xdr:nvGrpSpPr>
      <xdr:grpSpPr>
        <a:xfrm>
          <a:off x="9071162" y="22119772"/>
          <a:ext cx="349416" cy="1575489"/>
          <a:chOff x="9054353" y="22122013"/>
          <a:chExt cx="349416" cy="1575489"/>
        </a:xfrm>
      </xdr:grpSpPr>
      <xdr:sp macro="" textlink="">
        <xdr:nvSpPr>
          <xdr:cNvPr id="230" name="shape_generic_proces_step_10" hidden="1">
            <a:extLst>
              <a:ext uri="{FF2B5EF4-FFF2-40B4-BE49-F238E27FC236}">
                <a16:creationId xmlns:a16="http://schemas.microsoft.com/office/drawing/2014/main" id="{00000000-0008-0000-0000-0000E6000000}"/>
              </a:ext>
            </a:extLst>
          </xdr:cNvPr>
          <xdr:cNvSpPr/>
        </xdr:nvSpPr>
        <xdr:spPr>
          <a:xfrm rot="5400000">
            <a:off x="8579360" y="22601809"/>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sp macro="" textlink="">
        <xdr:nvSpPr>
          <xdr:cNvPr id="228" name="generic_arrow_10" hidden="1">
            <a:extLst>
              <a:ext uri="{FF2B5EF4-FFF2-40B4-BE49-F238E27FC236}">
                <a16:creationId xmlns:a16="http://schemas.microsoft.com/office/drawing/2014/main" id="{00000000-0008-0000-0000-0000E4000000}"/>
              </a:ext>
            </a:extLst>
          </xdr:cNvPr>
          <xdr:cNvSpPr/>
        </xdr:nvSpPr>
        <xdr:spPr>
          <a:xfrm rot="5400000">
            <a:off x="9090457" y="23384190"/>
            <a:ext cx="277208" cy="349416"/>
          </a:xfrm>
          <a:prstGeom prs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13</xdr:col>
      <xdr:colOff>392906</xdr:colOff>
      <xdr:row>13</xdr:row>
      <xdr:rowOff>128588</xdr:rowOff>
    </xdr:from>
    <xdr:to>
      <xdr:col>15</xdr:col>
      <xdr:colOff>440485</xdr:colOff>
      <xdr:row>15</xdr:row>
      <xdr:rowOff>59532</xdr:rowOff>
    </xdr:to>
    <xdr:sp macro="" textlink="data.chart!$J$6">
      <xdr:nvSpPr>
        <xdr:cNvPr id="229" name="TextBox 7">
          <a:extLst>
            <a:ext uri="{FF2B5EF4-FFF2-40B4-BE49-F238E27FC236}">
              <a16:creationId xmlns:a16="http://schemas.microsoft.com/office/drawing/2014/main" id="{00000000-0008-0000-0000-0000E5000000}"/>
            </a:ext>
          </a:extLst>
        </xdr:cNvPr>
        <xdr:cNvSpPr txBox="1"/>
      </xdr:nvSpPr>
      <xdr:spPr>
        <a:xfrm>
          <a:off x="10036969" y="2616994"/>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7A760C68-C413-4460-ADBB-6C4DE20EAA44}" type="TxLink">
            <a:rPr lang="en-US" sz="1400" b="1" i="0" u="none" strike="noStrike">
              <a:solidFill>
                <a:srgbClr val="000000"/>
              </a:solidFill>
              <a:latin typeface="Calibri"/>
            </a:rPr>
            <a:pPr/>
            <a:t>Skutečnost: 90%</a:t>
          </a:fld>
          <a:endParaRPr lang="cs-CZ" sz="1400" b="1"/>
        </a:p>
      </xdr:txBody>
    </xdr:sp>
    <xdr:clientData/>
  </xdr:twoCellAnchor>
  <xdr:twoCellAnchor>
    <xdr:from>
      <xdr:col>17</xdr:col>
      <xdr:colOff>569759</xdr:colOff>
      <xdr:row>13</xdr:row>
      <xdr:rowOff>104776</xdr:rowOff>
    </xdr:from>
    <xdr:to>
      <xdr:col>24</xdr:col>
      <xdr:colOff>601027</xdr:colOff>
      <xdr:row>28</xdr:row>
      <xdr:rowOff>55276</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2666509" y="2590801"/>
          <a:ext cx="4298468" cy="2808000"/>
          <a:chOff x="11856892" y="5438775"/>
          <a:chExt cx="4281799" cy="2808000"/>
        </a:xfrm>
      </xdr:grpSpPr>
      <xdr:graphicFrame macro="">
        <xdr:nvGraphicFramePr>
          <xdr:cNvPr id="239" name="Graf 238">
            <a:extLst>
              <a:ext uri="{FF2B5EF4-FFF2-40B4-BE49-F238E27FC236}">
                <a16:creationId xmlns:a16="http://schemas.microsoft.com/office/drawing/2014/main" id="{00000000-0008-0000-0000-0000EF000000}"/>
              </a:ext>
            </a:extLst>
          </xdr:cNvPr>
          <xdr:cNvGraphicFramePr>
            <a:graphicFrameLocks/>
          </xdr:cNvGraphicFramePr>
        </xdr:nvGraphicFramePr>
        <xdr:xfrm>
          <a:off x="11856892" y="5438775"/>
          <a:ext cx="4281799" cy="2808000"/>
        </xdr:xfrm>
        <a:graphic>
          <a:graphicData uri="http://schemas.openxmlformats.org/drawingml/2006/chart">
            <c:chart xmlns:c="http://schemas.openxmlformats.org/drawingml/2006/chart" xmlns:r="http://schemas.openxmlformats.org/officeDocument/2006/relationships" r:id="rId29"/>
          </a:graphicData>
        </a:graphic>
      </xdr:graphicFrame>
      <xdr:sp macro="[0]!LVL2_C_BUTTON_Click" textlink="">
        <xdr:nvSpPr>
          <xdr:cNvPr id="19" name="LVL2_GENERIC_C_BUTTON">
            <a:extLst>
              <a:ext uri="{FF2B5EF4-FFF2-40B4-BE49-F238E27FC236}">
                <a16:creationId xmlns:a16="http://schemas.microsoft.com/office/drawing/2014/main" id="{00000000-0008-0000-0000-000013000000}"/>
              </a:ext>
            </a:extLst>
          </xdr:cNvPr>
          <xdr:cNvSpPr/>
        </xdr:nvSpPr>
        <xdr:spPr>
          <a:xfrm>
            <a:off x="12925830" y="7375973"/>
            <a:ext cx="2004761"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sp macro="" textlink="data.chart!$J$7">
        <xdr:nvSpPr>
          <xdr:cNvPr id="237" name="TextBox 7">
            <a:extLst>
              <a:ext uri="{FF2B5EF4-FFF2-40B4-BE49-F238E27FC236}">
                <a16:creationId xmlns:a16="http://schemas.microsoft.com/office/drawing/2014/main" id="{00000000-0008-0000-0000-0000ED000000}"/>
              </a:ext>
            </a:extLst>
          </xdr:cNvPr>
          <xdr:cNvSpPr txBox="1"/>
        </xdr:nvSpPr>
        <xdr:spPr>
          <a:xfrm>
            <a:off x="14704219" y="5462586"/>
            <a:ext cx="1404940" cy="37147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21CFF649-9743-480D-911A-5AA49DA180CB}" type="TxLink">
              <a:rPr lang="en-US" sz="1400" b="1" i="0" u="none" strike="noStrike">
                <a:solidFill>
                  <a:srgbClr val="000000"/>
                </a:solidFill>
                <a:latin typeface="Calibri"/>
              </a:rPr>
              <a:pPr algn="ctr"/>
              <a:t>Skutečnost: 83%</a:t>
            </a:fld>
            <a:endParaRPr lang="cs-CZ" sz="1800" b="1"/>
          </a:p>
        </xdr:txBody>
      </xdr:sp>
    </xdr:grpSp>
    <xdr:clientData/>
  </xdr:twoCellAnchor>
  <xdr:twoCellAnchor>
    <xdr:from>
      <xdr:col>5</xdr:col>
      <xdr:colOff>333374</xdr:colOff>
      <xdr:row>13</xdr:row>
      <xdr:rowOff>130969</xdr:rowOff>
    </xdr:from>
    <xdr:to>
      <xdr:col>7</xdr:col>
      <xdr:colOff>178546</xdr:colOff>
      <xdr:row>15</xdr:row>
      <xdr:rowOff>61913</xdr:rowOff>
    </xdr:to>
    <xdr:sp macro="" textlink="data.chart!$J$5">
      <xdr:nvSpPr>
        <xdr:cNvPr id="243" name="TextBox 7">
          <a:extLst>
            <a:ext uri="{FF2B5EF4-FFF2-40B4-BE49-F238E27FC236}">
              <a16:creationId xmlns:a16="http://schemas.microsoft.com/office/drawing/2014/main" id="{00000000-0008-0000-0000-0000F3000000}"/>
            </a:ext>
          </a:extLst>
        </xdr:cNvPr>
        <xdr:cNvSpPr txBox="1"/>
      </xdr:nvSpPr>
      <xdr:spPr>
        <a:xfrm>
          <a:off x="4417218" y="2619375"/>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60ABA96B-98CB-4B63-8151-171A8DBDE0AB}" type="TxLink">
            <a:rPr lang="en-US" sz="1400" b="1" i="0" u="none" strike="noStrike">
              <a:solidFill>
                <a:srgbClr val="000000"/>
              </a:solidFill>
              <a:latin typeface="Calibri"/>
            </a:rPr>
            <a:pPr/>
            <a:t>Skutečnost: 89%</a:t>
          </a:fld>
          <a:endParaRPr lang="cs-CZ" sz="1800" b="1"/>
        </a:p>
      </xdr:txBody>
    </xdr:sp>
    <xdr:clientData/>
  </xdr:twoCellAnchor>
  <xdr:twoCellAnchor>
    <xdr:from>
      <xdr:col>12</xdr:col>
      <xdr:colOff>1</xdr:colOff>
      <xdr:row>92</xdr:row>
      <xdr:rowOff>47625</xdr:rowOff>
    </xdr:from>
    <xdr:to>
      <xdr:col>12</xdr:col>
      <xdr:colOff>330107</xdr:colOff>
      <xdr:row>99</xdr:row>
      <xdr:rowOff>187435</xdr:rowOff>
    </xdr:to>
    <xdr:grpSp>
      <xdr:nvGrpSpPr>
        <xdr:cNvPr id="244" name="generic_group_7" hidden="1">
          <a:extLst>
            <a:ext uri="{FF2B5EF4-FFF2-40B4-BE49-F238E27FC236}">
              <a16:creationId xmlns:a16="http://schemas.microsoft.com/office/drawing/2014/main" id="{00000000-0008-0000-0000-0000F4000000}"/>
            </a:ext>
          </a:extLst>
        </xdr:cNvPr>
        <xdr:cNvGrpSpPr/>
      </xdr:nvGrpSpPr>
      <xdr:grpSpPr>
        <a:xfrm>
          <a:off x="9048751" y="17459325"/>
          <a:ext cx="330106" cy="1473310"/>
          <a:chOff x="9021435" y="15904622"/>
          <a:chExt cx="332207" cy="1473310"/>
        </a:xfrm>
      </xdr:grpSpPr>
      <xdr:sp macro="" textlink="">
        <xdr:nvSpPr>
          <xdr:cNvPr id="245" name="generic_arrow_6" hidden="1">
            <a:extLst>
              <a:ext uri="{FF2B5EF4-FFF2-40B4-BE49-F238E27FC236}">
                <a16:creationId xmlns:a16="http://schemas.microsoft.com/office/drawing/2014/main" id="{00000000-0008-0000-0000-0000F5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46" name="shape_generic_proces_step_7" hidden="1">
            <a:extLst>
              <a:ext uri="{FF2B5EF4-FFF2-40B4-BE49-F238E27FC236}">
                <a16:creationId xmlns:a16="http://schemas.microsoft.com/office/drawing/2014/main" id="{00000000-0008-0000-0000-0000F6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regál -&gt; Linka</a:t>
            </a: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21" name="LEGEND_GROUP_WHOLE_AREA">
          <a:extLst>
            <a:ext uri="{FF2B5EF4-FFF2-40B4-BE49-F238E27FC236}">
              <a16:creationId xmlns:a16="http://schemas.microsoft.com/office/drawing/2014/main" id="{00000000-0008-0000-0000-000015000000}"/>
            </a:ext>
          </a:extLst>
        </xdr:cNvPr>
        <xdr:cNvGrpSpPr/>
      </xdr:nvGrpSpPr>
      <xdr:grpSpPr>
        <a:xfrm>
          <a:off x="13200885" y="6506632"/>
          <a:ext cx="3785868" cy="1134000"/>
          <a:chOff x="16978312" y="6511395"/>
          <a:chExt cx="3769200" cy="1134000"/>
        </a:xfrm>
      </xdr:grpSpPr>
      <xdr:graphicFrame macro="">
        <xdr:nvGraphicFramePr>
          <xdr:cNvPr id="241" name="Graf 29">
            <a:extLst>
              <a:ext uri="{FF2B5EF4-FFF2-40B4-BE49-F238E27FC236}">
                <a16:creationId xmlns:a16="http://schemas.microsoft.com/office/drawing/2014/main" id="{00000000-0008-0000-0000-0000F1000000}"/>
              </a:ext>
            </a:extLst>
          </xdr:cNvPr>
          <xdr:cNvGraphicFramePr>
            <a:graphicFrameLocks/>
          </xdr:cNvGraphicFramePr>
        </xdr:nvGraphicFramePr>
        <xdr:xfrm>
          <a:off x="16978312" y="6511395"/>
          <a:ext cx="3769200" cy="1134000"/>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247" name="Rectangular Callout 246">
            <a:extLst>
              <a:ext uri="{FF2B5EF4-FFF2-40B4-BE49-F238E27FC236}">
                <a16:creationId xmlns:a16="http://schemas.microsoft.com/office/drawing/2014/main" id="{00000000-0008-0000-0000-0000F7000000}"/>
              </a:ext>
            </a:extLst>
          </xdr:cNvPr>
          <xdr:cNvSpPr/>
        </xdr:nvSpPr>
        <xdr:spPr>
          <a:xfrm>
            <a:off x="17799844" y="6750845"/>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52" name="Rectangular Callout 251">
            <a:extLst>
              <a:ext uri="{FF2B5EF4-FFF2-40B4-BE49-F238E27FC236}">
                <a16:creationId xmlns:a16="http://schemas.microsoft.com/office/drawing/2014/main" id="{00000000-0008-0000-0000-0000FC000000}"/>
              </a:ext>
            </a:extLst>
          </xdr:cNvPr>
          <xdr:cNvSpPr/>
        </xdr:nvSpPr>
        <xdr:spPr>
          <a:xfrm>
            <a:off x="19180969" y="7429501"/>
            <a:ext cx="1089386" cy="132773"/>
          </a:xfrm>
          <a:prstGeom prst="wedgeRectCallout">
            <a:avLst>
              <a:gd name="adj1" fmla="val -40617"/>
              <a:gd name="adj2" fmla="val -13590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 </a:t>
            </a:r>
          </a:p>
        </xdr:txBody>
      </xdr:sp>
      <xdr:sp macro="" textlink="">
        <xdr:nvSpPr>
          <xdr:cNvPr id="253" name="Rectangular Callout 252">
            <a:extLst>
              <a:ext uri="{FF2B5EF4-FFF2-40B4-BE49-F238E27FC236}">
                <a16:creationId xmlns:a16="http://schemas.microsoft.com/office/drawing/2014/main" id="{00000000-0008-0000-0000-0000FD000000}"/>
              </a:ext>
            </a:extLst>
          </xdr:cNvPr>
          <xdr:cNvSpPr/>
        </xdr:nvSpPr>
        <xdr:spPr>
          <a:xfrm>
            <a:off x="19204781" y="6727032"/>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Zatížení oblasti</a:t>
            </a:r>
          </a:p>
        </xdr:txBody>
      </xdr:sp>
      <xdr:sp macro="" textlink="">
        <xdr:nvSpPr>
          <xdr:cNvPr id="254" name="Rectangular Callout 253">
            <a:extLst>
              <a:ext uri="{FF2B5EF4-FFF2-40B4-BE49-F238E27FC236}">
                <a16:creationId xmlns:a16="http://schemas.microsoft.com/office/drawing/2014/main" id="{00000000-0008-0000-0000-0000FE000000}"/>
              </a:ext>
            </a:extLst>
          </xdr:cNvPr>
          <xdr:cNvSpPr/>
        </xdr:nvSpPr>
        <xdr:spPr>
          <a:xfrm>
            <a:off x="18526125" y="7131845"/>
            <a:ext cx="1089386" cy="132773"/>
          </a:xfrm>
          <a:prstGeom prst="wedgeRectCallout">
            <a:avLst>
              <a:gd name="adj1" fmla="val -8922"/>
              <a:gd name="adj2" fmla="val -109000"/>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a:t>
            </a:r>
            <a:r>
              <a:rPr lang="cs-CZ" sz="800" baseline="0">
                <a:solidFill>
                  <a:schemeClr val="tx1"/>
                </a:solidFill>
              </a:rPr>
              <a:t> zatíženosti oblsti</a:t>
            </a:r>
            <a:endParaRPr lang="cs-CZ" sz="800">
              <a:solidFill>
                <a:schemeClr val="tx1"/>
              </a:solidFill>
            </a:endParaRP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16" name="LEGEND_GROUP_PROG_VS_TOT">
          <a:extLst>
            <a:ext uri="{FF2B5EF4-FFF2-40B4-BE49-F238E27FC236}">
              <a16:creationId xmlns:a16="http://schemas.microsoft.com/office/drawing/2014/main" id="{00000000-0008-0000-0000-000010000000}"/>
            </a:ext>
          </a:extLst>
        </xdr:cNvPr>
        <xdr:cNvGrpSpPr/>
      </xdr:nvGrpSpPr>
      <xdr:grpSpPr>
        <a:xfrm>
          <a:off x="13200885" y="6506632"/>
          <a:ext cx="3785868" cy="1134000"/>
          <a:chOff x="20800218" y="6511395"/>
          <a:chExt cx="3769200" cy="1134000"/>
        </a:xfrm>
      </xdr:grpSpPr>
      <xdr:graphicFrame macro="">
        <xdr:nvGraphicFramePr>
          <xdr:cNvPr id="242" name="Graf 29">
            <a:extLst>
              <a:ext uri="{FF2B5EF4-FFF2-40B4-BE49-F238E27FC236}">
                <a16:creationId xmlns:a16="http://schemas.microsoft.com/office/drawing/2014/main" id="{00000000-0008-0000-0000-0000F2000000}"/>
              </a:ext>
            </a:extLst>
          </xdr:cNvPr>
          <xdr:cNvGraphicFramePr>
            <a:graphicFrameLocks/>
          </xdr:cNvGraphicFramePr>
        </xdr:nvGraphicFramePr>
        <xdr:xfrm>
          <a:off x="20800218" y="6511395"/>
          <a:ext cx="3769200" cy="1134000"/>
        </xdr:xfrm>
        <a:graphic>
          <a:graphicData uri="http://schemas.openxmlformats.org/drawingml/2006/chart">
            <c:chart xmlns:c="http://schemas.openxmlformats.org/drawingml/2006/chart" xmlns:r="http://schemas.openxmlformats.org/officeDocument/2006/relationships" r:id="rId31"/>
          </a:graphicData>
        </a:graphic>
      </xdr:graphicFrame>
      <xdr:sp macro="" textlink="">
        <xdr:nvSpPr>
          <xdr:cNvPr id="248" name="Rectangular Callout 247">
            <a:extLst>
              <a:ext uri="{FF2B5EF4-FFF2-40B4-BE49-F238E27FC236}">
                <a16:creationId xmlns:a16="http://schemas.microsoft.com/office/drawing/2014/main" id="{00000000-0008-0000-0000-0000F8000000}"/>
              </a:ext>
            </a:extLst>
          </xdr:cNvPr>
          <xdr:cNvSpPr/>
        </xdr:nvSpPr>
        <xdr:spPr>
          <a:xfrm>
            <a:off x="21419344" y="6727032"/>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49" name="Rectangular Callout 248">
            <a:extLst>
              <a:ext uri="{FF2B5EF4-FFF2-40B4-BE49-F238E27FC236}">
                <a16:creationId xmlns:a16="http://schemas.microsoft.com/office/drawing/2014/main" id="{00000000-0008-0000-0000-0000F9000000}"/>
              </a:ext>
            </a:extLst>
          </xdr:cNvPr>
          <xdr:cNvSpPr/>
        </xdr:nvSpPr>
        <xdr:spPr>
          <a:xfrm>
            <a:off x="22240875" y="7417594"/>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Zadané úkoly</a:t>
            </a:r>
          </a:p>
        </xdr:txBody>
      </xdr:sp>
      <xdr:sp macro="" textlink="">
        <xdr:nvSpPr>
          <xdr:cNvPr id="251" name="Rectangular Callout 250">
            <a:extLst>
              <a:ext uri="{FF2B5EF4-FFF2-40B4-BE49-F238E27FC236}">
                <a16:creationId xmlns:a16="http://schemas.microsoft.com/office/drawing/2014/main" id="{00000000-0008-0000-0000-0000FB000000}"/>
              </a:ext>
            </a:extLst>
          </xdr:cNvPr>
          <xdr:cNvSpPr/>
        </xdr:nvSpPr>
        <xdr:spPr>
          <a:xfrm>
            <a:off x="22026562" y="688181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a:t>
            </a:r>
          </a:p>
        </xdr:txBody>
      </xdr:sp>
    </xdr:grpSp>
    <xdr:clientData/>
  </xdr:twoCellAnchor>
  <xdr:twoCellAnchor>
    <xdr:from>
      <xdr:col>18</xdr:col>
      <xdr:colOff>494535</xdr:colOff>
      <xdr:row>34</xdr:row>
      <xdr:rowOff>10582</xdr:rowOff>
    </xdr:from>
    <xdr:to>
      <xdr:col>25</xdr:col>
      <xdr:colOff>14198</xdr:colOff>
      <xdr:row>40</xdr:row>
      <xdr:rowOff>1582</xdr:rowOff>
    </xdr:to>
    <xdr:grpSp>
      <xdr:nvGrpSpPr>
        <xdr:cNvPr id="2" name="LEGEND_GROUP_DUE_IN_PROG">
          <a:extLst>
            <a:ext uri="{FF2B5EF4-FFF2-40B4-BE49-F238E27FC236}">
              <a16:creationId xmlns:a16="http://schemas.microsoft.com/office/drawing/2014/main" id="{00000000-0008-0000-0000-000002000000}"/>
            </a:ext>
          </a:extLst>
        </xdr:cNvPr>
        <xdr:cNvGrpSpPr/>
      </xdr:nvGrpSpPr>
      <xdr:grpSpPr>
        <a:xfrm>
          <a:off x="13200885" y="6506632"/>
          <a:ext cx="3786863" cy="1134000"/>
          <a:chOff x="13174691" y="6511395"/>
          <a:chExt cx="3770195" cy="1134000"/>
        </a:xfrm>
      </xdr:grpSpPr>
      <xdr:graphicFrame macro="">
        <xdr:nvGraphicFramePr>
          <xdr:cNvPr id="136" name="Graf 29">
            <a:extLst>
              <a:ext uri="{FF2B5EF4-FFF2-40B4-BE49-F238E27FC236}">
                <a16:creationId xmlns:a16="http://schemas.microsoft.com/office/drawing/2014/main" id="{00000000-0008-0000-0000-000088000000}"/>
              </a:ext>
            </a:extLst>
          </xdr:cNvPr>
          <xdr:cNvGraphicFramePr>
            <a:graphicFrameLocks/>
          </xdr:cNvGraphicFramePr>
        </xdr:nvGraphicFramePr>
        <xdr:xfrm>
          <a:off x="13174691" y="6511395"/>
          <a:ext cx="3770195" cy="1134000"/>
        </xdr:xfrm>
        <a:graphic>
          <a:graphicData uri="http://schemas.openxmlformats.org/drawingml/2006/chart">
            <c:chart xmlns:c="http://schemas.openxmlformats.org/drawingml/2006/chart" xmlns:r="http://schemas.openxmlformats.org/officeDocument/2006/relationships" r:id="rId32"/>
          </a:graphicData>
        </a:graphic>
      </xdr:graphicFrame>
      <xdr:sp macro="" textlink="">
        <xdr:nvSpPr>
          <xdr:cNvPr id="123" name="Rectangular Callout 122">
            <a:extLst>
              <a:ext uri="{FF2B5EF4-FFF2-40B4-BE49-F238E27FC236}">
                <a16:creationId xmlns:a16="http://schemas.microsoft.com/office/drawing/2014/main" id="{00000000-0008-0000-0000-00007B000000}"/>
              </a:ext>
            </a:extLst>
          </xdr:cNvPr>
          <xdr:cNvSpPr/>
        </xdr:nvSpPr>
        <xdr:spPr>
          <a:xfrm>
            <a:off x="14869508" y="672306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Zpracované úkoly </a:t>
            </a:r>
            <a:r>
              <a:rPr lang="en-US" sz="800">
                <a:solidFill>
                  <a:sysClr val="windowText" lastClr="000000"/>
                </a:solidFill>
              </a:rPr>
              <a:t>(%)</a:t>
            </a:r>
            <a:endParaRPr lang="cs-CZ" sz="800">
              <a:solidFill>
                <a:sysClr val="windowText" lastClr="000000"/>
              </a:solidFill>
            </a:endParaRPr>
          </a:p>
        </xdr:txBody>
      </xdr:sp>
      <xdr:sp macro="" textlink="">
        <xdr:nvSpPr>
          <xdr:cNvPr id="125" name="Rectangular Callout 124">
            <a:extLst>
              <a:ext uri="{FF2B5EF4-FFF2-40B4-BE49-F238E27FC236}">
                <a16:creationId xmlns:a16="http://schemas.microsoft.com/office/drawing/2014/main" id="{00000000-0008-0000-0000-00007D000000}"/>
              </a:ext>
            </a:extLst>
          </xdr:cNvPr>
          <xdr:cNvSpPr/>
        </xdr:nvSpPr>
        <xdr:spPr>
          <a:xfrm>
            <a:off x="14120049" y="6726238"/>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Hodina</a:t>
            </a:r>
          </a:p>
        </xdr:txBody>
      </xdr:sp>
      <xdr:sp macro="" textlink="">
        <xdr:nvSpPr>
          <xdr:cNvPr id="137" name="Rectangular Callout 136">
            <a:extLst>
              <a:ext uri="{FF2B5EF4-FFF2-40B4-BE49-F238E27FC236}">
                <a16:creationId xmlns:a16="http://schemas.microsoft.com/office/drawing/2014/main" id="{00000000-0008-0000-0000-000089000000}"/>
              </a:ext>
            </a:extLst>
          </xdr:cNvPr>
          <xdr:cNvSpPr/>
        </xdr:nvSpPr>
        <xdr:spPr>
          <a:xfrm>
            <a:off x="14570748" y="7417858"/>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Zadané úkoly</a:t>
            </a:r>
          </a:p>
        </xdr:txBody>
      </xdr:sp>
    </xdr:grpSp>
    <xdr:clientData/>
  </xdr:twoCellAnchor>
  <xdr:twoCellAnchor>
    <xdr:from>
      <xdr:col>13</xdr:col>
      <xdr:colOff>95249</xdr:colOff>
      <xdr:row>59</xdr:row>
      <xdr:rowOff>30136</xdr:rowOff>
    </xdr:from>
    <xdr:to>
      <xdr:col>25</xdr:col>
      <xdr:colOff>33483</xdr:colOff>
      <xdr:row>66</xdr:row>
      <xdr:rowOff>5435</xdr:rowOff>
    </xdr:to>
    <xdr:graphicFrame macro="">
      <xdr:nvGraphicFramePr>
        <xdr:cNvPr id="111" name="chart_generic_add_data3">
          <a:extLst>
            <a:ext uri="{FF2B5EF4-FFF2-40B4-BE49-F238E27FC236}">
              <a16:creationId xmlns:a16="http://schemas.microsoft.com/office/drawing/2014/main" id="{00000000-0008-0000-00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0</xdr:col>
      <xdr:colOff>1</xdr:colOff>
      <xdr:row>0</xdr:row>
      <xdr:rowOff>128351</xdr:rowOff>
    </xdr:from>
    <xdr:to>
      <xdr:col>1</xdr:col>
      <xdr:colOff>331011</xdr:colOff>
      <xdr:row>8</xdr:row>
      <xdr:rowOff>33777</xdr:rowOff>
    </xdr:to>
    <mc:AlternateContent xmlns:mc="http://schemas.openxmlformats.org/markup-compatibility/2006" xmlns:a14="http://schemas.microsoft.com/office/drawing/2010/main">
      <mc:Choice Requires="a14">
        <xdr:graphicFrame macro="">
          <xdr:nvGraphicFramePr>
            <xdr:cNvPr id="235" name="Datum D/N">
              <a:extLst>
                <a:ext uri="{FF2B5EF4-FFF2-40B4-BE49-F238E27FC236}">
                  <a16:creationId xmlns:a16="http://schemas.microsoft.com/office/drawing/2014/main" id="{821D8383-942B-469A-BCE6-F6079B4D7E84}"/>
                </a:ext>
              </a:extLst>
            </xdr:cNvPr>
            <xdr:cNvGraphicFramePr/>
          </xdr:nvGraphicFramePr>
          <xdr:xfrm>
            <a:off x="0" y="0"/>
            <a:ext cx="0" cy="0"/>
          </xdr:xfrm>
          <a:graphic>
            <a:graphicData uri="http://schemas.microsoft.com/office/drawing/2010/slicer">
              <sle:slicer xmlns:sle="http://schemas.microsoft.com/office/drawing/2010/slicer" name="Datum D/N"/>
            </a:graphicData>
          </a:graphic>
        </xdr:graphicFrame>
      </mc:Choice>
      <mc:Fallback xmlns="">
        <xdr:sp macro="" textlink="">
          <xdr:nvSpPr>
            <xdr:cNvPr id="0" name=""/>
            <xdr:cNvSpPr>
              <a:spLocks noTextEdit="1"/>
            </xdr:cNvSpPr>
          </xdr:nvSpPr>
          <xdr:spPr>
            <a:xfrm>
              <a:off x="1" y="128351"/>
              <a:ext cx="1432127" cy="1364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37154</xdr:rowOff>
    </xdr:from>
    <xdr:to>
      <xdr:col>1</xdr:col>
      <xdr:colOff>331011</xdr:colOff>
      <xdr:row>129</xdr:row>
      <xdr:rowOff>148617</xdr:rowOff>
    </xdr:to>
    <mc:AlternateContent xmlns:mc="http://schemas.openxmlformats.org/markup-compatibility/2006" xmlns:a14="http://schemas.microsoft.com/office/drawing/2010/main">
      <mc:Choice Requires="a14">
        <xdr:graphicFrame macro="">
          <xdr:nvGraphicFramePr>
            <xdr:cNvPr id="236" name="Směna">
              <a:extLst>
                <a:ext uri="{FF2B5EF4-FFF2-40B4-BE49-F238E27FC236}">
                  <a16:creationId xmlns:a16="http://schemas.microsoft.com/office/drawing/2014/main" id="{1297C817-47FE-4144-90C2-653658DB6404}"/>
                </a:ext>
              </a:extLst>
            </xdr:cNvPr>
            <xdr:cNvGraphicFramePr/>
          </xdr:nvGraphicFramePr>
          <xdr:xfrm>
            <a:off x="0" y="0"/>
            <a:ext cx="0" cy="0"/>
          </xdr:xfrm>
          <a:graphic>
            <a:graphicData uri="http://schemas.microsoft.com/office/drawing/2010/slicer">
              <sle:slicer xmlns:sle="http://schemas.microsoft.com/office/drawing/2010/slicer" name="Směna"/>
            </a:graphicData>
          </a:graphic>
        </xdr:graphicFrame>
      </mc:Choice>
      <mc:Fallback xmlns="">
        <xdr:sp macro="" textlink="">
          <xdr:nvSpPr>
            <xdr:cNvPr id="0" name=""/>
            <xdr:cNvSpPr>
              <a:spLocks noTextEdit="1"/>
            </xdr:cNvSpPr>
          </xdr:nvSpPr>
          <xdr:spPr>
            <a:xfrm>
              <a:off x="0" y="1496303"/>
              <a:ext cx="1432128" cy="139497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86592</xdr:colOff>
      <xdr:row>51</xdr:row>
      <xdr:rowOff>17318</xdr:rowOff>
    </xdr:from>
    <xdr:to>
      <xdr:col>25</xdr:col>
      <xdr:colOff>24826</xdr:colOff>
      <xdr:row>57</xdr:row>
      <xdr:rowOff>181118</xdr:rowOff>
    </xdr:to>
    <xdr:graphicFrame macro="">
      <xdr:nvGraphicFramePr>
        <xdr:cNvPr id="268" name="chart_generic_add_data2">
          <a:extLst>
            <a:ext uri="{FF2B5EF4-FFF2-40B4-BE49-F238E27FC236}">
              <a16:creationId xmlns:a16="http://schemas.microsoft.com/office/drawing/2014/main" id="{00000000-0008-0000-00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95249</xdr:colOff>
      <xdr:row>67</xdr:row>
      <xdr:rowOff>35406</xdr:rowOff>
    </xdr:from>
    <xdr:to>
      <xdr:col>25</xdr:col>
      <xdr:colOff>33483</xdr:colOff>
      <xdr:row>74</xdr:row>
      <xdr:rowOff>8706</xdr:rowOff>
    </xdr:to>
    <xdr:graphicFrame macro="">
      <xdr:nvGraphicFramePr>
        <xdr:cNvPr id="112" name="chart_generic_add_data4">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95249</xdr:colOff>
      <xdr:row>75</xdr:row>
      <xdr:rowOff>65352</xdr:rowOff>
    </xdr:from>
    <xdr:to>
      <xdr:col>25</xdr:col>
      <xdr:colOff>33483</xdr:colOff>
      <xdr:row>82</xdr:row>
      <xdr:rowOff>38652</xdr:rowOff>
    </xdr:to>
    <xdr:graphicFrame macro="">
      <xdr:nvGraphicFramePr>
        <xdr:cNvPr id="113" name="chart_generic_add_data5">
          <a:extLst>
            <a:ext uri="{FF2B5EF4-FFF2-40B4-BE49-F238E27FC236}">
              <a16:creationId xmlns:a16="http://schemas.microsoft.com/office/drawing/2014/main" id="{00000000-0008-0000-00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13</xdr:col>
      <xdr:colOff>86591</xdr:colOff>
      <xdr:row>84</xdr:row>
      <xdr:rowOff>40820</xdr:rowOff>
    </xdr:from>
    <xdr:to>
      <xdr:col>25</xdr:col>
      <xdr:colOff>24825</xdr:colOff>
      <xdr:row>91</xdr:row>
      <xdr:rowOff>15407</xdr:rowOff>
    </xdr:to>
    <xdr:graphicFrame macro="">
      <xdr:nvGraphicFramePr>
        <xdr:cNvPr id="270" name="chart_generic_add_data6">
          <a:extLst>
            <a:ext uri="{FF2B5EF4-FFF2-40B4-BE49-F238E27FC236}">
              <a16:creationId xmlns:a16="http://schemas.microsoft.com/office/drawing/2014/main" id="{00000000-0008-0000-00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95249</xdr:colOff>
      <xdr:row>92</xdr:row>
      <xdr:rowOff>40821</xdr:rowOff>
    </xdr:from>
    <xdr:to>
      <xdr:col>25</xdr:col>
      <xdr:colOff>33483</xdr:colOff>
      <xdr:row>99</xdr:row>
      <xdr:rowOff>15408</xdr:rowOff>
    </xdr:to>
    <xdr:graphicFrame macro="">
      <xdr:nvGraphicFramePr>
        <xdr:cNvPr id="131" name="chart_generic_add_data7">
          <a:extLst>
            <a:ext uri="{FF2B5EF4-FFF2-40B4-BE49-F238E27FC236}">
              <a16:creationId xmlns:a16="http://schemas.microsoft.com/office/drawing/2014/main" id="{00000000-0008-0000-00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13</xdr:col>
      <xdr:colOff>95249</xdr:colOff>
      <xdr:row>100</xdr:row>
      <xdr:rowOff>13606</xdr:rowOff>
    </xdr:from>
    <xdr:to>
      <xdr:col>25</xdr:col>
      <xdr:colOff>33483</xdr:colOff>
      <xdr:row>106</xdr:row>
      <xdr:rowOff>178693</xdr:rowOff>
    </xdr:to>
    <xdr:graphicFrame macro="">
      <xdr:nvGraphicFramePr>
        <xdr:cNvPr id="175" name="chart_generic_add_data8">
          <a:extLst>
            <a:ext uri="{FF2B5EF4-FFF2-40B4-BE49-F238E27FC236}">
              <a16:creationId xmlns:a16="http://schemas.microsoft.com/office/drawing/2014/main" id="{00000000-0008-0000-00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95249</xdr:colOff>
      <xdr:row>108</xdr:row>
      <xdr:rowOff>77796</xdr:rowOff>
    </xdr:from>
    <xdr:to>
      <xdr:col>25</xdr:col>
      <xdr:colOff>33483</xdr:colOff>
      <xdr:row>115</xdr:row>
      <xdr:rowOff>52383</xdr:rowOff>
    </xdr:to>
    <xdr:graphicFrame macro="">
      <xdr:nvGraphicFramePr>
        <xdr:cNvPr id="209" name="chart_generic_add_data9">
          <a:extLst>
            <a:ext uri="{FF2B5EF4-FFF2-40B4-BE49-F238E27FC236}">
              <a16:creationId xmlns:a16="http://schemas.microsoft.com/office/drawing/2014/main" id="{00000000-0008-0000-00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xdr:col>
      <xdr:colOff>95249</xdr:colOff>
      <xdr:row>116</xdr:row>
      <xdr:rowOff>84127</xdr:rowOff>
    </xdr:from>
    <xdr:to>
      <xdr:col>25</xdr:col>
      <xdr:colOff>33483</xdr:colOff>
      <xdr:row>123</xdr:row>
      <xdr:rowOff>58714</xdr:rowOff>
    </xdr:to>
    <xdr:graphicFrame macro="">
      <xdr:nvGraphicFramePr>
        <xdr:cNvPr id="215" name="chart_generic_add_data10">
          <a:extLst>
            <a:ext uri="{FF2B5EF4-FFF2-40B4-BE49-F238E27FC236}">
              <a16:creationId xmlns:a16="http://schemas.microsoft.com/office/drawing/2014/main" id="{00000000-0008-0000-00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xdr:col>
      <xdr:colOff>95249</xdr:colOff>
      <xdr:row>43</xdr:row>
      <xdr:rowOff>16520</xdr:rowOff>
    </xdr:from>
    <xdr:to>
      <xdr:col>25</xdr:col>
      <xdr:colOff>33483</xdr:colOff>
      <xdr:row>49</xdr:row>
      <xdr:rowOff>181607</xdr:rowOff>
    </xdr:to>
    <xdr:graphicFrame macro="">
      <xdr:nvGraphicFramePr>
        <xdr:cNvPr id="132" name="chart_generic_add_data1">
          <a:extLst>
            <a:ext uri="{FF2B5EF4-FFF2-40B4-BE49-F238E27FC236}">
              <a16:creationId xmlns:a16="http://schemas.microsoft.com/office/drawing/2014/main" id="{00000000-0008-0000-00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57" name="chart_generic_add_data11">
          <a:extLst>
            <a:ext uri="{FF2B5EF4-FFF2-40B4-BE49-F238E27FC236}">
              <a16:creationId xmlns:a16="http://schemas.microsoft.com/office/drawing/2014/main" id="{00000000-0008-0000-0000-00000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56" name="chart_generic_add_data12">
          <a:extLst>
            <a:ext uri="{FF2B5EF4-FFF2-40B4-BE49-F238E27FC236}">
              <a16:creationId xmlns:a16="http://schemas.microsoft.com/office/drawing/2014/main" id="{00000000-0008-0000-0000-00000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58" name="chart_generic_add_data13">
          <a:extLst>
            <a:ext uri="{FF2B5EF4-FFF2-40B4-BE49-F238E27FC236}">
              <a16:creationId xmlns:a16="http://schemas.microsoft.com/office/drawing/2014/main" id="{00000000-0008-0000-00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59" name="chart_generic_add_data14" hidden="1">
          <a:extLst>
            <a:ext uri="{FF2B5EF4-FFF2-40B4-BE49-F238E27FC236}">
              <a16:creationId xmlns:a16="http://schemas.microsoft.com/office/drawing/2014/main" id="{00000000-0008-0000-00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60" name="chart_generic_add_data15" hidden="1">
          <a:extLst>
            <a:ext uri="{FF2B5EF4-FFF2-40B4-BE49-F238E27FC236}">
              <a16:creationId xmlns:a16="http://schemas.microsoft.com/office/drawing/2014/main" id="{00000000-0008-0000-00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61" name="chart_generic_add_data16" hidden="1">
          <a:extLst>
            <a:ext uri="{FF2B5EF4-FFF2-40B4-BE49-F238E27FC236}">
              <a16:creationId xmlns:a16="http://schemas.microsoft.com/office/drawing/2014/main" id="{00000000-0008-0000-00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62" name="chart_generic_add_data17" hidden="1">
          <a:extLst>
            <a:ext uri="{FF2B5EF4-FFF2-40B4-BE49-F238E27FC236}">
              <a16:creationId xmlns:a16="http://schemas.microsoft.com/office/drawing/2014/main" id="{00000000-0008-0000-0000-00000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63" name="chart_generic_add_data18" hidden="1">
          <a:extLst>
            <a:ext uri="{FF2B5EF4-FFF2-40B4-BE49-F238E27FC236}">
              <a16:creationId xmlns:a16="http://schemas.microsoft.com/office/drawing/2014/main" id="{00000000-0008-0000-00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64" name="chart_generic_add_data19" hidden="1">
          <a:extLst>
            <a:ext uri="{FF2B5EF4-FFF2-40B4-BE49-F238E27FC236}">
              <a16:creationId xmlns:a16="http://schemas.microsoft.com/office/drawing/2014/main" id="{00000000-0008-0000-00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13</xdr:col>
      <xdr:colOff>95249</xdr:colOff>
      <xdr:row>116</xdr:row>
      <xdr:rowOff>84126</xdr:rowOff>
    </xdr:from>
    <xdr:to>
      <xdr:col>25</xdr:col>
      <xdr:colOff>32412</xdr:colOff>
      <xdr:row>123</xdr:row>
      <xdr:rowOff>57426</xdr:rowOff>
    </xdr:to>
    <xdr:graphicFrame macro="">
      <xdr:nvGraphicFramePr>
        <xdr:cNvPr id="265" name="chart_generic_add_data20" hidden="1">
          <a:extLst>
            <a:ext uri="{FF2B5EF4-FFF2-40B4-BE49-F238E27FC236}">
              <a16:creationId xmlns:a16="http://schemas.microsoft.com/office/drawing/2014/main" id="{00000000-0008-0000-0000-00000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66" name="chart_generic_add_data21">
          <a:extLst>
            <a:ext uri="{FF2B5EF4-FFF2-40B4-BE49-F238E27FC236}">
              <a16:creationId xmlns:a16="http://schemas.microsoft.com/office/drawing/2014/main" id="{00000000-0008-0000-00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67" name="chart_generic_add_data22">
          <a:extLst>
            <a:ext uri="{FF2B5EF4-FFF2-40B4-BE49-F238E27FC236}">
              <a16:creationId xmlns:a16="http://schemas.microsoft.com/office/drawing/2014/main" id="{00000000-0008-0000-00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69" name="chart_generic_add_data23">
          <a:extLst>
            <a:ext uri="{FF2B5EF4-FFF2-40B4-BE49-F238E27FC236}">
              <a16:creationId xmlns:a16="http://schemas.microsoft.com/office/drawing/2014/main" id="{00000000-0008-0000-00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71" name="chart_generic_add_data24" hidden="1">
          <a:extLst>
            <a:ext uri="{FF2B5EF4-FFF2-40B4-BE49-F238E27FC236}">
              <a16:creationId xmlns:a16="http://schemas.microsoft.com/office/drawing/2014/main" id="{00000000-0008-0000-00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72" name="chart_generic_add_data25" hidden="1">
          <a:extLst>
            <a:ext uri="{FF2B5EF4-FFF2-40B4-BE49-F238E27FC236}">
              <a16:creationId xmlns:a16="http://schemas.microsoft.com/office/drawing/2014/main" id="{00000000-0008-0000-0000-00001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73" name="chart_generic_add_data26" hidden="1">
          <a:extLst>
            <a:ext uri="{FF2B5EF4-FFF2-40B4-BE49-F238E27FC236}">
              <a16:creationId xmlns:a16="http://schemas.microsoft.com/office/drawing/2014/main" id="{00000000-0008-0000-00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74" name="chart_generic_add_data27" hidden="1">
          <a:extLst>
            <a:ext uri="{FF2B5EF4-FFF2-40B4-BE49-F238E27FC236}">
              <a16:creationId xmlns:a16="http://schemas.microsoft.com/office/drawing/2014/main" id="{00000000-0008-0000-0000-00001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75" name="chart_generic_add_data28" hidden="1">
          <a:extLst>
            <a:ext uri="{FF2B5EF4-FFF2-40B4-BE49-F238E27FC236}">
              <a16:creationId xmlns:a16="http://schemas.microsoft.com/office/drawing/2014/main" id="{00000000-0008-0000-00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76" name="chart_generic_add_data29" hidden="1">
          <a:extLst>
            <a:ext uri="{FF2B5EF4-FFF2-40B4-BE49-F238E27FC236}">
              <a16:creationId xmlns:a16="http://schemas.microsoft.com/office/drawing/2014/main" id="{00000000-0008-0000-0000-00001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95249</xdr:colOff>
      <xdr:row>116</xdr:row>
      <xdr:rowOff>84127</xdr:rowOff>
    </xdr:from>
    <xdr:to>
      <xdr:col>25</xdr:col>
      <xdr:colOff>32412</xdr:colOff>
      <xdr:row>123</xdr:row>
      <xdr:rowOff>57427</xdr:rowOff>
    </xdr:to>
    <xdr:graphicFrame macro="">
      <xdr:nvGraphicFramePr>
        <xdr:cNvPr id="277" name="chart_generic_add_data30" hidden="1">
          <a:extLst>
            <a:ext uri="{FF2B5EF4-FFF2-40B4-BE49-F238E27FC236}">
              <a16:creationId xmlns:a16="http://schemas.microsoft.com/office/drawing/2014/main" id="{00000000-0008-0000-0000-00001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4</xdr:col>
      <xdr:colOff>222925</xdr:colOff>
      <xdr:row>3</xdr:row>
      <xdr:rowOff>30399</xdr:rowOff>
    </xdr:from>
    <xdr:to>
      <xdr:col>5</xdr:col>
      <xdr:colOff>491378</xdr:colOff>
      <xdr:row>6</xdr:row>
      <xdr:rowOff>30260</xdr:rowOff>
    </xdr:to>
    <xdr:graphicFrame macro="">
      <xdr:nvGraphicFramePr>
        <xdr:cNvPr id="240" name="Graf 188">
          <a:extLst>
            <a:ext uri="{FF2B5EF4-FFF2-40B4-BE49-F238E27FC236}">
              <a16:creationId xmlns:a16="http://schemas.microsoft.com/office/drawing/2014/main" id="{11FA1C5C-F71B-48F8-8B2B-EBCA19895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editAs="absolute">
    <xdr:from>
      <xdr:col>0</xdr:col>
      <xdr:colOff>0</xdr:colOff>
      <xdr:row>129</xdr:row>
      <xdr:rowOff>142875</xdr:rowOff>
    </xdr:from>
    <xdr:to>
      <xdr:col>1</xdr:col>
      <xdr:colOff>323850</xdr:colOff>
      <xdr:row>147</xdr:row>
      <xdr:rowOff>171450</xdr:rowOff>
    </xdr:to>
    <mc:AlternateContent xmlns:mc="http://schemas.openxmlformats.org/markup-compatibility/2006" xmlns:a14="http://schemas.microsoft.com/office/drawing/2010/main">
      <mc:Choice Requires="a14">
        <xdr:graphicFrame macro="">
          <xdr:nvGraphicFramePr>
            <xdr:cNvPr id="255" name="Čas">
              <a:extLst>
                <a:ext uri="{FF2B5EF4-FFF2-40B4-BE49-F238E27FC236}">
                  <a16:creationId xmlns:a16="http://schemas.microsoft.com/office/drawing/2014/main" id="{C0B28465-3DAC-44E6-A0C8-54A1985F7A07}"/>
                </a:ext>
              </a:extLst>
            </xdr:cNvPr>
            <xdr:cNvGraphicFramePr/>
          </xdr:nvGraphicFramePr>
          <xdr:xfrm>
            <a:off x="0" y="0"/>
            <a:ext cx="0" cy="0"/>
          </xdr:xfrm>
          <a:graphic>
            <a:graphicData uri="http://schemas.microsoft.com/office/drawing/2010/slicer">
              <sle:slicer xmlns:sle="http://schemas.microsoft.com/office/drawing/2010/slicer" name="Čas"/>
            </a:graphicData>
          </a:graphic>
        </xdr:graphicFrame>
      </mc:Choice>
      <mc:Fallback xmlns="">
        <xdr:sp macro="" textlink="">
          <xdr:nvSpPr>
            <xdr:cNvPr id="0" name=""/>
            <xdr:cNvSpPr>
              <a:spLocks noTextEdit="1"/>
            </xdr:cNvSpPr>
          </xdr:nvSpPr>
          <xdr:spPr>
            <a:xfrm>
              <a:off x="0" y="3009900"/>
              <a:ext cx="1371600" cy="3457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07A54887-C89D-4CD3-A15B-C0A5E4DB60DD}"/>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3.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4460F89-F4C5-48E7-99C7-6E92DCC23DF3}"/>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4.xml><?xml version="1.0" encoding="utf-8"?>
<c:userShapes xmlns:c="http://schemas.openxmlformats.org/drawingml/2006/chart">
  <cdr:relSizeAnchor xmlns:cdr="http://schemas.openxmlformats.org/drawingml/2006/chartDrawing">
    <cdr:from>
      <cdr:x>0.32839</cdr:x>
      <cdr:y>0.27747</cdr:y>
    </cdr:from>
    <cdr:to>
      <cdr:x>0.6716</cdr:x>
      <cdr:y>0.76777</cdr:y>
    </cdr:to>
    <cdr:sp macro="" textlink="#REF!">
      <cdr:nvSpPr>
        <cdr:cNvPr id="2" name="Obdélník 1"/>
        <cdr:cNvSpPr/>
      </cdr:nvSpPr>
      <cdr:spPr>
        <a:xfrm xmlns:a="http://schemas.openxmlformats.org/drawingml/2006/main">
          <a:off x="4332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81B04795-0943-4A41-AFC8-E6D032D217AB}"/>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5.xml><?xml version="1.0" encoding="utf-8"?>
<c:userShapes xmlns:c="http://schemas.openxmlformats.org/drawingml/2006/chart">
  <cdr:relSizeAnchor xmlns:cdr="http://schemas.openxmlformats.org/drawingml/2006/chartDrawing">
    <cdr:from>
      <cdr:x>0.33691</cdr:x>
      <cdr:y>0.27747</cdr:y>
    </cdr:from>
    <cdr:to>
      <cdr:x>0.66309</cdr:x>
      <cdr:y>0.74039</cdr:y>
    </cdr:to>
    <cdr:sp macro="" textlink="data.chart!J10">
      <cdr:nvSpPr>
        <cdr:cNvPr id="2" name="Obdélník 1"/>
        <cdr:cNvSpPr/>
      </cdr:nvSpPr>
      <cdr:spPr>
        <a:xfrm xmlns:a="http://schemas.openxmlformats.org/drawingml/2006/main">
          <a:off x="442593" y="158574"/>
          <a:ext cx="428515" cy="264560"/>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F627ECDC-774B-4E9E-A944-ED1AA7FA928D}" type="TxLink">
            <a:rPr lang="en-US" sz="1100" b="0" i="0" u="none" strike="noStrike"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latin typeface="Calibri"/>
            </a:rPr>
            <a:pPr algn="ctr"/>
            <a:t>87%</a:t>
          </a:fld>
          <a:endParaRPr lang="cs-CZ" sz="16600" b="1"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cdr:x>
      <cdr:y>0</cdr:y>
    </cdr:from>
    <cdr:to>
      <cdr:x>0.37681</cdr:x>
      <cdr:y>0.74999</cdr:y>
    </cdr:to>
    <cdr:sp macro="" textlink="data.chart!K10">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CAFD805-F0E1-46AD-A4CF-661E9121AB34}" type="TxLink">
            <a:rPr lang="en-US" sz="1000" b="1" i="0" u="none" strike="noStrike">
              <a:solidFill>
                <a:schemeClr val="bg1"/>
              </a:solidFill>
              <a:latin typeface="Calibri"/>
            </a:rPr>
            <a:pPr/>
            <a:t>Cíl: 80%</a:t>
          </a:fld>
          <a:endParaRPr lang="cs-CZ" sz="8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10C7FC2-790B-49CB-8BEB-0DD3D6232F0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7.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0D6F30B-4AFD-4A6D-BF9C-54EB2EBC62A4}"/>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8.xml><?xml version="1.0" encoding="utf-8"?>
<c:userShapes xmlns:c="http://schemas.openxmlformats.org/drawingml/2006/chart">
  <cdr:relSizeAnchor xmlns:cdr="http://schemas.openxmlformats.org/drawingml/2006/chartDrawing">
    <cdr:from>
      <cdr:x>0.32748</cdr:x>
      <cdr:y>0.27747</cdr:y>
    </cdr:from>
    <cdr:to>
      <cdr:x>0.67252</cdr:x>
      <cdr:y>0.76777</cdr:y>
    </cdr:to>
    <cdr:sp macro="" textlink="#REF!">
      <cdr:nvSpPr>
        <cdr:cNvPr id="2" name="Obdélník 1"/>
        <cdr:cNvSpPr/>
      </cdr:nvSpPr>
      <cdr:spPr>
        <a:xfrm xmlns:a="http://schemas.openxmlformats.org/drawingml/2006/main">
          <a:off x="4297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B81A5CD-2711-4B23-A787-7F6005D1BB9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9.xml><?xml version="1.0" encoding="utf-8"?>
<c:userShapes xmlns:c="http://schemas.openxmlformats.org/drawingml/2006/chart">
  <cdr:relSizeAnchor xmlns:cdr="http://schemas.openxmlformats.org/drawingml/2006/chartDrawing">
    <cdr:from>
      <cdr:x>0.32665</cdr:x>
      <cdr:y>0.27747</cdr:y>
    </cdr:from>
    <cdr:to>
      <cdr:x>0.67335</cdr:x>
      <cdr:y>0.76777</cdr:y>
    </cdr:to>
    <cdr:sp macro="" textlink="#REF!">
      <cdr:nvSpPr>
        <cdr:cNvPr id="2" name="Obdélník 1"/>
        <cdr:cNvSpPr/>
      </cdr:nvSpPr>
      <cdr:spPr>
        <a:xfrm xmlns:a="http://schemas.openxmlformats.org/drawingml/2006/main">
          <a:off x="42663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A9DD593-A103-4308-BC99-CAFCA200401F}"/>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0.xml><?xml version="1.0" encoding="utf-8"?>
<c:userShapes xmlns:c="http://schemas.openxmlformats.org/drawingml/2006/chart">
  <cdr:relSizeAnchor xmlns:cdr="http://schemas.openxmlformats.org/drawingml/2006/chartDrawing">
    <cdr:from>
      <cdr:x>0.32803</cdr:x>
      <cdr:y>0.27747</cdr:y>
    </cdr:from>
    <cdr:to>
      <cdr:x>0.67197</cdr:x>
      <cdr:y>0.76777</cdr:y>
    </cdr:to>
    <cdr:sp macro="" textlink="#REF!">
      <cdr:nvSpPr>
        <cdr:cNvPr id="2" name="Obdélník 1"/>
        <cdr:cNvSpPr/>
      </cdr:nvSpPr>
      <cdr:spPr>
        <a:xfrm xmlns:a="http://schemas.openxmlformats.org/drawingml/2006/main">
          <a:off x="4318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CC9F42D-511F-4F85-A449-28E3A4F20B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1.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626DECC5-E1FA-4E69-BA15-815BAD587A39}"/>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2.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DE668522-B929-428E-A358-B9B6023EFE8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3.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43C3BD56-9985-496C-B348-E6A95405612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4.xml><?xml version="1.0" encoding="utf-8"?>
<c:userShapes xmlns:c="http://schemas.openxmlformats.org/drawingml/2006/chart">
  <cdr:relSizeAnchor xmlns:cdr="http://schemas.openxmlformats.org/drawingml/2006/chartDrawing">
    <cdr:from>
      <cdr:x>0.01139</cdr:x>
      <cdr:y>0.00848</cdr:y>
    </cdr:from>
    <cdr:to>
      <cdr:x>0.16161</cdr:x>
      <cdr:y>0.1027</cdr:y>
    </cdr:to>
    <cdr:sp macro="" textlink="data.chart!$K$6">
      <cdr:nvSpPr>
        <cdr:cNvPr id="2" name="TextBox 140"/>
        <cdr:cNvSpPr txBox="1"/>
      </cdr:nvSpPr>
      <cdr:spPr>
        <a:xfrm xmlns:a="http://schemas.openxmlformats.org/drawingml/2006/main">
          <a:off x="48824" y="23812"/>
          <a:ext cx="643765"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149FB48A-5FD1-4004-AB8C-94EF4D5D6A50}" type="TxLink">
            <a:rPr lang="en-US" sz="1400" b="1" i="0" u="none" strike="noStrike">
              <a:solidFill>
                <a:srgbClr val="000000"/>
              </a:solidFill>
              <a:latin typeface="Calibri"/>
            </a:rPr>
            <a:pPr/>
            <a:t>Cíl: 80%</a:t>
          </a:fld>
          <a:endParaRPr lang="cs-CZ" sz="1400" b="1"/>
        </a:p>
      </cdr:txBody>
    </cdr:sp>
  </cdr:relSizeAnchor>
</c:userShapes>
</file>

<file path=xl/drawings/drawing15.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6.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2AFA41D-F9C2-4102-A749-C623443671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7.xml><?xml version="1.0" encoding="utf-8"?>
<c:userShapes xmlns:c="http://schemas.openxmlformats.org/drawingml/2006/chart">
  <cdr:relSizeAnchor xmlns:cdr="http://schemas.openxmlformats.org/drawingml/2006/chartDrawing">
    <cdr:from>
      <cdr:x>0.01387</cdr:x>
      <cdr:y>0.00848</cdr:y>
    </cdr:from>
    <cdr:to>
      <cdr:x>0.16409</cdr:x>
      <cdr:y>0.1027</cdr:y>
    </cdr:to>
    <cdr:sp macro="" textlink="data.chart!$K$5">
      <cdr:nvSpPr>
        <cdr:cNvPr id="2" name="TextBox 7"/>
        <cdr:cNvSpPr txBox="1"/>
      </cdr:nvSpPr>
      <cdr:spPr>
        <a:xfrm xmlns:a="http://schemas.openxmlformats.org/drawingml/2006/main">
          <a:off x="59530" y="23812"/>
          <a:ext cx="644957"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CF3B1E65-94C5-460E-80FB-818883ECD7FB}" type="TxLink">
            <a:rPr lang="en-US" sz="1400" b="1" i="0" u="none" strike="noStrike">
              <a:solidFill>
                <a:srgbClr val="000000"/>
              </a:solidFill>
              <a:latin typeface="Calibri"/>
            </a:rPr>
            <a:pPr/>
            <a:t>Cíl: 80%</a:t>
          </a:fld>
          <a:endParaRPr lang="cs-CZ" sz="1400" b="1"/>
        </a:p>
      </cdr:txBody>
    </cdr:sp>
  </cdr:relSizeAnchor>
</c:userShapes>
</file>

<file path=xl/drawings/drawing18.xml><?xml version="1.0" encoding="utf-8"?>
<c:userShapes xmlns:c="http://schemas.openxmlformats.org/drawingml/2006/chart">
  <cdr:relSizeAnchor xmlns:cdr="http://schemas.openxmlformats.org/drawingml/2006/chartDrawing">
    <cdr:from>
      <cdr:x>0.01257</cdr:x>
      <cdr:y>0.00848</cdr:y>
    </cdr:from>
    <cdr:to>
      <cdr:x>0.14894</cdr:x>
      <cdr:y>0.08653</cdr:y>
    </cdr:to>
    <cdr:sp macro="" textlink="data.chart!$K$7">
      <cdr:nvSpPr>
        <cdr:cNvPr id="2" name="TextBox 134"/>
        <cdr:cNvSpPr txBox="1"/>
      </cdr:nvSpPr>
      <cdr:spPr>
        <a:xfrm xmlns:a="http://schemas.openxmlformats.org/drawingml/2006/main">
          <a:off x="54032" y="23812"/>
          <a:ext cx="586186" cy="21916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3B5CF542-8DBA-4DBE-B842-051624355BE1}" type="TxLink">
            <a:rPr lang="en-US" sz="1400" b="1" i="0" u="none" strike="noStrike">
              <a:solidFill>
                <a:srgbClr val="000000"/>
              </a:solidFill>
              <a:latin typeface="Calibri"/>
            </a:rPr>
            <a:pPr/>
            <a:t>Cíl: 80%</a:t>
          </a:fld>
          <a:endParaRPr lang="cs-CZ" sz="1400" b="1"/>
        </a:p>
      </cdr:txBody>
    </cdr:sp>
  </cdr:relSizeAnchor>
</c:userShapes>
</file>

<file path=xl/drawings/drawing19.xml><?xml version="1.0" encoding="utf-8"?>
<c:userShapes xmlns:c="http://schemas.openxmlformats.org/drawingml/2006/chart">
  <cdr:relSizeAnchor xmlns:cdr="http://schemas.openxmlformats.org/drawingml/2006/chartDrawing">
    <cdr:from>
      <cdr:x>0.32798</cdr:x>
      <cdr:y>0.27747</cdr:y>
    </cdr:from>
    <cdr:to>
      <cdr:x>0.67201</cdr:x>
      <cdr:y>0.76789</cdr:y>
    </cdr:to>
    <cdr:sp macro="" textlink="#REF!">
      <cdr:nvSpPr>
        <cdr:cNvPr id="2" name="Obdélník 1"/>
        <cdr:cNvSpPr/>
      </cdr:nvSpPr>
      <cdr:spPr>
        <a:xfrm xmlns:a="http://schemas.openxmlformats.org/drawingml/2006/main">
          <a:off x="431687" y="158536"/>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erformance%20tool%201.3_3_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4.617689120372" createdVersion="5" refreshedVersion="6" minRefreshableVersion="3" recordCount="13" xr:uid="{00000000-000A-0000-FFFF-FFFF1A000000}">
  <cacheSource type="worksheet">
    <worksheetSource ref="I1:M14" sheet="legend_chart" r:id="rId2"/>
  </cacheSource>
  <cacheFields count="5">
    <cacheField name="Datum" numFmtId="14">
      <sharedItems containsSemiMixedTypes="0" containsNonDate="0" containsDate="1" containsString="0" minDate="2017-08-14T00:00:00" maxDate="2017-08-15T00:00:00" count="1">
        <d v="2017-08-14T00:00:00"/>
      </sharedItems>
    </cacheField>
    <cacheField name="Hodina" numFmtId="0">
      <sharedItems containsSemiMixedTypes="0" containsString="0" containsNumber="1" containsInteger="1" minValue="7" maxValue="19" count="13">
        <n v="7"/>
        <n v="8"/>
        <n v="9"/>
        <n v="10"/>
        <n v="11"/>
        <n v="12"/>
        <n v="13"/>
        <n v="14"/>
        <n v="15"/>
        <n v="16"/>
        <n v="17"/>
        <n v="18"/>
        <n v="19"/>
      </sharedItems>
    </cacheField>
    <cacheField name="KPI Budova A" numFmtId="9">
      <sharedItems containsSemiMixedTypes="0" containsString="0" containsNumber="1" minValue="0.5" maxValue="0.95"/>
    </cacheField>
    <cacheField name="Target" numFmtId="9">
      <sharedItems containsSemiMixedTypes="0" containsString="0" containsNumber="1" minValue="0.88" maxValue="0.88"/>
    </cacheField>
    <cacheField name="Úkol/Lidi" numFmtId="9">
      <sharedItems containsSemiMixedTypes="0" containsString="0" containsNumber="1" minValue="0.25" maxValue="1.110000000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4.618076736115" createdVersion="6" refreshedVersion="6" minRefreshableVersion="3" recordCount="1" xr:uid="{812A7E0E-1D0B-4EC5-83B1-505D7842B5DF}">
  <cacheSource type="external" connectionId="1"/>
  <cacheFields count="12">
    <cacheField name="Datum" numFmtId="0">
      <sharedItems count="1">
        <s v="(blank)"/>
      </sharedItems>
    </cacheField>
    <cacheField name="Hodina" numFmtId="0">
      <sharedItems count="1">
        <s v="(blank)"/>
      </sharedItems>
    </cacheField>
    <cacheField name="Směna" numFmtId="0">
      <sharedItems count="1">
        <s v="(blank)"/>
      </sharedItems>
    </cacheField>
    <cacheField name="Proces" numFmtId="0">
      <sharedItems count="1">
        <s v="(blank)"/>
      </sharedItems>
    </cacheField>
    <cacheField name="Krok Procesu" numFmtId="0">
      <sharedItems count="1">
        <s v="(blank)"/>
      </sharedItems>
    </cacheField>
    <cacheField name="Area" numFmtId="0">
      <sharedItems count="1">
        <s v="(blank)"/>
      </sharedItems>
    </cacheField>
    <cacheField name="Budova" numFmtId="0">
      <sharedItems count="1">
        <s v="(blank)"/>
      </sharedItems>
    </cacheField>
    <cacheField name="Process status" numFmtId="0">
      <sharedItems count="1">
        <s v="(blank)"/>
      </sharedItems>
    </cacheField>
    <cacheField name="Time status" numFmtId="0">
      <sharedItems count="1">
        <s v="(blank)"/>
      </sharedItems>
    </cacheField>
    <cacheField name="Task status" numFmtId="0">
      <sharedItems count="1">
        <s v="(blank)"/>
      </sharedItems>
    </cacheField>
    <cacheField name="Hodnota" numFmtId="0">
      <sharedItems count="1">
        <s v="(blank)"/>
      </sharedItems>
    </cacheField>
    <cacheField name="Datum D/N" numFmtId="0">
      <sharedItems count="1">
        <s v="(blan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4.618191319445" createdVersion="6" refreshedVersion="6" minRefreshableVersion="3" recordCount="583" xr:uid="{3970ED71-D28A-4C70-A10F-330068F6AD2E}">
  <cacheSource type="external" connectionId="2"/>
  <cacheFields count="13">
    <cacheField name="Datum" numFmtId="0">
      <sharedItems count="12">
        <s v="(blank)"/>
        <s v="27.11.17"/>
        <s v="28.11.17"/>
        <s v="02.12.17" u="1"/>
        <s v="04.12.17" u="1"/>
        <s v="22.10.2017" u="1"/>
        <s v="30.11.17" u="1"/>
        <s v="01.12.17" u="1"/>
        <s v="03.12.17" u="1"/>
        <s v="27.11.2017" u="1"/>
        <s v="05.12.17" u="1"/>
        <s v="29.11.17" u="1"/>
      </sharedItems>
    </cacheField>
    <cacheField name="Čas" numFmtId="0">
      <sharedItems count="79">
        <s v="(blank)"/>
        <s v="08:20"/>
        <s v="08:50"/>
        <s v="09:20"/>
        <s v="09:50"/>
        <s v="10:20"/>
        <s v="10:50"/>
        <s v="11:20"/>
        <s v="11:50"/>
        <s v="12:20"/>
        <s v="12:50"/>
        <s v="13:20"/>
        <s v="13:50"/>
        <s v="14:20"/>
        <s v="14:50"/>
        <s v="15:20"/>
        <s v="15:50"/>
        <s v="16:20"/>
        <s v="16:50"/>
        <s v="17:20"/>
        <s v="17:50"/>
        <s v="18:20"/>
        <s v="18:50"/>
        <s v="19:20"/>
        <s v="19:50"/>
        <s v="20:20"/>
        <s v="20:50"/>
        <s v="21:20"/>
        <s v="21:50"/>
        <s v="22:20"/>
        <s v="22:50"/>
        <s v="23:20"/>
        <s v="23:50"/>
        <s v="00:20"/>
        <s v="00:50"/>
        <s v="01:20"/>
        <s v="01:50"/>
        <s v="02:20"/>
        <s v="02:50"/>
        <s v="03:20"/>
        <s v="03:50"/>
        <s v="04:20"/>
        <s v="04:50"/>
        <s v="05:20"/>
        <s v="05:50"/>
        <s v="06:20"/>
        <s v="06:50"/>
        <s v="07:20"/>
        <s v="07:50"/>
        <s v="11:50:00" u="1"/>
        <s v="13:50:00" u="1"/>
        <s v="15:50:00" u="1"/>
        <s v="17:50:00" u="1"/>
        <s v="19:50:00" u="1"/>
        <s v="20:20:00" u="1"/>
        <s v="11:20:00" u="1"/>
        <s v="13:20:00" u="1"/>
        <s v="15:20:00" u="1"/>
        <s v="8:20:00" u="1"/>
        <s v="17:20:00" u="1"/>
        <s v="21:50:00" u="1"/>
        <s v="19:20:00" u="1"/>
        <s v="23:50:00" u="1"/>
        <s v="8:50:00" u="1"/>
        <s v="10:50:00" u="1"/>
        <s v="12:50:00" u="1"/>
        <s v="14:50:00" u="1"/>
        <s v="16:50:00" u="1"/>
        <s v="18:50:00" u="1"/>
        <s v="21:20:00" u="1"/>
        <s v="23:20:00" u="1"/>
        <s v="10:20:00" u="1"/>
        <s v="9:20:00" u="1"/>
        <s v="12:20:00" u="1"/>
        <s v="14:20:00" u="1"/>
        <s v="9:50:00" u="1"/>
        <s v="16:20:00" u="1"/>
        <s v="20:50:00" u="1"/>
        <s v="18:20:00" u="1"/>
      </sharedItems>
    </cacheField>
    <cacheField name="Směna" numFmtId="0">
      <sharedItems count="5">
        <s v="(blank)"/>
        <s v="Brown"/>
        <s v="Purple"/>
        <s v="White" u="1"/>
        <s v="Grey" u="1"/>
      </sharedItems>
    </cacheField>
    <cacheField name="Proces" numFmtId="0">
      <sharedItems count="2">
        <s v="(blank)"/>
        <s v="SUPPLY-FG"/>
      </sharedItems>
    </cacheField>
    <cacheField name="Krok Procesu" numFmtId="0">
      <sharedItems count="8">
        <s v="(blank)"/>
        <s v="VNA_RACK&gt;VNA_BULK"/>
        <s v="VNA_BULK&gt;TA_BULK"/>
        <s v="TA_BULK&gt;PROD_LINE_IN"/>
        <s v="START&gt;END"/>
        <s v="VNA_BULK&gt;HBW_CONVEYOR_IN"/>
        <s v="HBW_CONVEYOR_IN&gt;TA_BULK"/>
        <s v="HBW_CONVEYOR_IN&gt;" u="1"/>
      </sharedItems>
    </cacheField>
    <cacheField name="KPI" numFmtId="0">
      <sharedItems count="2">
        <s v="(blank)"/>
        <s v="Supply-Autopick-FG-PDOT"/>
      </sharedItems>
    </cacheField>
    <cacheField name="Cíl %" numFmtId="0">
      <sharedItems containsString="0" containsBlank="1" containsNumber="1" minValue="0.8" maxValue="0.8" count="2">
        <m/>
        <n v="0.8"/>
      </sharedItems>
    </cacheField>
    <cacheField name="Skutečnost %" numFmtId="0">
      <sharedItems containsString="0" containsBlank="1" containsNumber="1" minValue="0" maxValue="1"/>
    </cacheField>
    <cacheField name="Cíl Úkol/Člověk" numFmtId="0">
      <sharedItems containsString="0" containsBlank="1" containsNumber="1" containsInteger="1" minValue="0" maxValue="0" count="2">
        <m/>
        <n v="0"/>
      </sharedItems>
    </cacheField>
    <cacheField name="Skutečnost Úkol/Člověk" numFmtId="0">
      <sharedItems containsString="0" containsBlank="1" containsNumber="1" containsInteger="1" minValue="0" maxValue="0" count="2">
        <m/>
        <n v="0"/>
      </sharedItems>
    </cacheField>
    <cacheField name="Počet úkolů" numFmtId="0">
      <sharedItems containsString="0" containsBlank="1" containsNumber="1" containsInteger="1" minValue="1" maxValue="168"/>
    </cacheField>
    <cacheField name="Budova" numFmtId="0">
      <sharedItems containsBlank="1" count="5">
        <s v="(blank)"/>
        <s v="C"/>
        <s v="A"/>
        <s v="B"/>
        <m u="1"/>
      </sharedItems>
    </cacheField>
    <cacheField name="Datum D/N" numFmtId="0">
      <sharedItems count="20">
        <s v="(blank)"/>
        <s v="27.11.2017-D"/>
        <s v="27.11.2017-N"/>
        <s v="28.11.2017-D"/>
        <s v="4.12.2017-D" u="1"/>
        <s v="4.12.2017-N" u="1"/>
        <s v="2.12.2017-D" u="1"/>
        <s v="2.12.2017-N" u="1"/>
        <s v="5.12.2017-D" u="1"/>
        <s v="28.11.2017-N" u="1"/>
        <s v="22.10.2017-N" u="1"/>
        <s v="5.12.2017-N" u="1"/>
        <s v="3.12.2017-D" u="1"/>
        <s v="30.11.2017-D" u="1"/>
        <s v="30.11.2017-N" u="1"/>
        <s v="3.12.2017-N" u="1"/>
        <s v="1.12.2017-D" u="1"/>
        <s v="1.12.2017-N" u="1"/>
        <s v="29.11.2017-D" u="1"/>
        <s v="29.11.2017-N" u="1"/>
      </sharedItems>
    </cacheField>
  </cacheFields>
  <extLst>
    <ext xmlns:x14="http://schemas.microsoft.com/office/spreadsheetml/2009/9/main" uri="{725AE2AE-9491-48be-B2B4-4EB974FC3084}">
      <x14:pivotCacheDefinition pivotCacheId="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0.9"/>
    <n v="0.88"/>
    <n v="0.9"/>
  </r>
  <r>
    <x v="0"/>
    <x v="1"/>
    <n v="0.9"/>
    <n v="0.88"/>
    <n v="0.9"/>
  </r>
  <r>
    <x v="0"/>
    <x v="2"/>
    <n v="0.91"/>
    <n v="0.88"/>
    <n v="0.92"/>
  </r>
  <r>
    <x v="0"/>
    <x v="3"/>
    <n v="0.88"/>
    <n v="0.88"/>
    <n v="0.89"/>
  </r>
  <r>
    <x v="0"/>
    <x v="4"/>
    <n v="0.5"/>
    <n v="0.88"/>
    <n v="0.25"/>
  </r>
  <r>
    <x v="0"/>
    <x v="5"/>
    <n v="0.7"/>
    <n v="0.88"/>
    <n v="0.81"/>
  </r>
  <r>
    <x v="0"/>
    <x v="6"/>
    <n v="0.9"/>
    <n v="0.88"/>
    <n v="1"/>
  </r>
  <r>
    <x v="0"/>
    <x v="7"/>
    <n v="0.92"/>
    <n v="0.88"/>
    <n v="1.1100000000000001"/>
  </r>
  <r>
    <x v="0"/>
    <x v="8"/>
    <n v="0.89"/>
    <n v="0.88"/>
    <n v="0.9"/>
  </r>
  <r>
    <x v="0"/>
    <x v="9"/>
    <n v="0.9"/>
    <n v="0.88"/>
    <n v="0.93"/>
  </r>
  <r>
    <x v="0"/>
    <x v="10"/>
    <n v="0.91"/>
    <n v="0.88"/>
    <n v="0.92"/>
  </r>
  <r>
    <x v="0"/>
    <x v="11"/>
    <n v="0.91"/>
    <n v="0.88"/>
    <n v="0.92"/>
  </r>
  <r>
    <x v="0"/>
    <x v="12"/>
    <n v="0.95"/>
    <n v="0.88"/>
    <n v="0.8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x v="0"/>
    <x v="0"/>
    <x v="0"/>
    <x v="0"/>
    <x v="0"/>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3">
  <r>
    <x v="0"/>
    <x v="0"/>
    <x v="0"/>
    <x v="0"/>
    <x v="0"/>
    <x v="0"/>
    <x v="0"/>
    <m/>
    <x v="0"/>
    <x v="0"/>
    <m/>
    <x v="0"/>
    <x v="0"/>
  </r>
  <r>
    <x v="1"/>
    <x v="1"/>
    <x v="1"/>
    <x v="1"/>
    <x v="1"/>
    <x v="1"/>
    <x v="1"/>
    <n v="1"/>
    <x v="1"/>
    <x v="1"/>
    <n v="16"/>
    <x v="1"/>
    <x v="1"/>
  </r>
  <r>
    <x v="1"/>
    <x v="1"/>
    <x v="1"/>
    <x v="1"/>
    <x v="2"/>
    <x v="1"/>
    <x v="1"/>
    <n v="1"/>
    <x v="1"/>
    <x v="1"/>
    <n v="16"/>
    <x v="1"/>
    <x v="1"/>
  </r>
  <r>
    <x v="1"/>
    <x v="1"/>
    <x v="1"/>
    <x v="1"/>
    <x v="3"/>
    <x v="1"/>
    <x v="1"/>
    <n v="1"/>
    <x v="1"/>
    <x v="1"/>
    <n v="12"/>
    <x v="1"/>
    <x v="1"/>
  </r>
  <r>
    <x v="1"/>
    <x v="1"/>
    <x v="1"/>
    <x v="1"/>
    <x v="1"/>
    <x v="1"/>
    <x v="1"/>
    <n v="1"/>
    <x v="1"/>
    <x v="1"/>
    <n v="12"/>
    <x v="2"/>
    <x v="1"/>
  </r>
  <r>
    <x v="1"/>
    <x v="1"/>
    <x v="1"/>
    <x v="1"/>
    <x v="2"/>
    <x v="1"/>
    <x v="1"/>
    <n v="1"/>
    <x v="1"/>
    <x v="1"/>
    <n v="12"/>
    <x v="2"/>
    <x v="1"/>
  </r>
  <r>
    <x v="1"/>
    <x v="1"/>
    <x v="1"/>
    <x v="1"/>
    <x v="3"/>
    <x v="1"/>
    <x v="1"/>
    <n v="1"/>
    <x v="1"/>
    <x v="1"/>
    <n v="4"/>
    <x v="2"/>
    <x v="1"/>
  </r>
  <r>
    <x v="1"/>
    <x v="1"/>
    <x v="1"/>
    <x v="1"/>
    <x v="4"/>
    <x v="1"/>
    <x v="1"/>
    <n v="1"/>
    <x v="1"/>
    <x v="1"/>
    <n v="16"/>
    <x v="1"/>
    <x v="1"/>
  </r>
  <r>
    <x v="1"/>
    <x v="1"/>
    <x v="1"/>
    <x v="1"/>
    <x v="4"/>
    <x v="1"/>
    <x v="1"/>
    <n v="1"/>
    <x v="1"/>
    <x v="1"/>
    <n v="12"/>
    <x v="2"/>
    <x v="1"/>
  </r>
  <r>
    <x v="1"/>
    <x v="2"/>
    <x v="1"/>
    <x v="1"/>
    <x v="3"/>
    <x v="1"/>
    <x v="1"/>
    <n v="1"/>
    <x v="1"/>
    <x v="1"/>
    <n v="18"/>
    <x v="1"/>
    <x v="1"/>
  </r>
  <r>
    <x v="1"/>
    <x v="2"/>
    <x v="1"/>
    <x v="1"/>
    <x v="2"/>
    <x v="1"/>
    <x v="1"/>
    <n v="1"/>
    <x v="1"/>
    <x v="1"/>
    <n v="17"/>
    <x v="2"/>
    <x v="1"/>
  </r>
  <r>
    <x v="1"/>
    <x v="2"/>
    <x v="1"/>
    <x v="1"/>
    <x v="1"/>
    <x v="1"/>
    <x v="1"/>
    <n v="1"/>
    <x v="1"/>
    <x v="1"/>
    <n v="10"/>
    <x v="2"/>
    <x v="1"/>
  </r>
  <r>
    <x v="1"/>
    <x v="2"/>
    <x v="1"/>
    <x v="1"/>
    <x v="1"/>
    <x v="1"/>
    <x v="1"/>
    <n v="1"/>
    <x v="1"/>
    <x v="1"/>
    <n v="98"/>
    <x v="1"/>
    <x v="1"/>
  </r>
  <r>
    <x v="1"/>
    <x v="2"/>
    <x v="1"/>
    <x v="1"/>
    <x v="2"/>
    <x v="1"/>
    <x v="1"/>
    <n v="1"/>
    <x v="1"/>
    <x v="1"/>
    <n v="42"/>
    <x v="1"/>
    <x v="1"/>
  </r>
  <r>
    <x v="1"/>
    <x v="2"/>
    <x v="1"/>
    <x v="1"/>
    <x v="3"/>
    <x v="1"/>
    <x v="1"/>
    <n v="1"/>
    <x v="1"/>
    <x v="1"/>
    <n v="15"/>
    <x v="2"/>
    <x v="1"/>
  </r>
  <r>
    <x v="1"/>
    <x v="2"/>
    <x v="1"/>
    <x v="1"/>
    <x v="4"/>
    <x v="1"/>
    <x v="1"/>
    <n v="1"/>
    <x v="1"/>
    <x v="1"/>
    <n v="102"/>
    <x v="1"/>
    <x v="1"/>
  </r>
  <r>
    <x v="1"/>
    <x v="2"/>
    <x v="1"/>
    <x v="1"/>
    <x v="4"/>
    <x v="1"/>
    <x v="1"/>
    <n v="1"/>
    <x v="1"/>
    <x v="1"/>
    <n v="18"/>
    <x v="2"/>
    <x v="1"/>
  </r>
  <r>
    <x v="1"/>
    <x v="3"/>
    <x v="1"/>
    <x v="1"/>
    <x v="1"/>
    <x v="1"/>
    <x v="1"/>
    <n v="0.25"/>
    <x v="1"/>
    <x v="1"/>
    <n v="40"/>
    <x v="1"/>
    <x v="1"/>
  </r>
  <r>
    <x v="1"/>
    <x v="3"/>
    <x v="1"/>
    <x v="1"/>
    <x v="2"/>
    <x v="1"/>
    <x v="1"/>
    <n v="1"/>
    <x v="1"/>
    <x v="1"/>
    <n v="70"/>
    <x v="1"/>
    <x v="1"/>
  </r>
  <r>
    <x v="1"/>
    <x v="3"/>
    <x v="1"/>
    <x v="1"/>
    <x v="3"/>
    <x v="1"/>
    <x v="1"/>
    <n v="1"/>
    <x v="1"/>
    <x v="1"/>
    <n v="76"/>
    <x v="1"/>
    <x v="1"/>
  </r>
  <r>
    <x v="1"/>
    <x v="3"/>
    <x v="1"/>
    <x v="1"/>
    <x v="1"/>
    <x v="1"/>
    <x v="1"/>
    <n v="1"/>
    <x v="1"/>
    <x v="1"/>
    <n v="48"/>
    <x v="2"/>
    <x v="1"/>
  </r>
  <r>
    <x v="1"/>
    <x v="3"/>
    <x v="1"/>
    <x v="1"/>
    <x v="2"/>
    <x v="1"/>
    <x v="1"/>
    <n v="1"/>
    <x v="1"/>
    <x v="1"/>
    <n v="36"/>
    <x v="2"/>
    <x v="1"/>
  </r>
  <r>
    <x v="1"/>
    <x v="3"/>
    <x v="1"/>
    <x v="1"/>
    <x v="3"/>
    <x v="1"/>
    <x v="1"/>
    <n v="1"/>
    <x v="1"/>
    <x v="1"/>
    <n v="34"/>
    <x v="2"/>
    <x v="1"/>
  </r>
  <r>
    <x v="1"/>
    <x v="3"/>
    <x v="1"/>
    <x v="1"/>
    <x v="1"/>
    <x v="1"/>
    <x v="1"/>
    <n v="1"/>
    <x v="1"/>
    <x v="1"/>
    <n v="148"/>
    <x v="3"/>
    <x v="1"/>
  </r>
  <r>
    <x v="1"/>
    <x v="3"/>
    <x v="1"/>
    <x v="1"/>
    <x v="2"/>
    <x v="1"/>
    <x v="1"/>
    <n v="1"/>
    <x v="1"/>
    <x v="1"/>
    <n v="106"/>
    <x v="3"/>
    <x v="1"/>
  </r>
  <r>
    <x v="1"/>
    <x v="3"/>
    <x v="1"/>
    <x v="1"/>
    <x v="3"/>
    <x v="1"/>
    <x v="1"/>
    <n v="1"/>
    <x v="1"/>
    <x v="1"/>
    <n v="50"/>
    <x v="3"/>
    <x v="1"/>
  </r>
  <r>
    <x v="1"/>
    <x v="3"/>
    <x v="1"/>
    <x v="1"/>
    <x v="5"/>
    <x v="1"/>
    <x v="1"/>
    <n v="1"/>
    <x v="1"/>
    <x v="1"/>
    <n v="8"/>
    <x v="1"/>
    <x v="1"/>
  </r>
  <r>
    <x v="1"/>
    <x v="3"/>
    <x v="1"/>
    <x v="1"/>
    <x v="6"/>
    <x v="1"/>
    <x v="1"/>
    <n v="1"/>
    <x v="1"/>
    <x v="1"/>
    <n v="8"/>
    <x v="2"/>
    <x v="1"/>
  </r>
  <r>
    <x v="1"/>
    <x v="3"/>
    <x v="1"/>
    <x v="1"/>
    <x v="5"/>
    <x v="1"/>
    <x v="1"/>
    <n v="1"/>
    <x v="1"/>
    <x v="1"/>
    <n v="12"/>
    <x v="2"/>
    <x v="1"/>
  </r>
  <r>
    <x v="1"/>
    <x v="3"/>
    <x v="1"/>
    <x v="1"/>
    <x v="6"/>
    <x v="1"/>
    <x v="1"/>
    <n v="1"/>
    <x v="1"/>
    <x v="1"/>
    <n v="12"/>
    <x v="3"/>
    <x v="1"/>
  </r>
  <r>
    <x v="1"/>
    <x v="3"/>
    <x v="1"/>
    <x v="1"/>
    <x v="4"/>
    <x v="1"/>
    <x v="1"/>
    <n v="1"/>
    <x v="1"/>
    <x v="1"/>
    <n v="76"/>
    <x v="1"/>
    <x v="1"/>
  </r>
  <r>
    <x v="1"/>
    <x v="3"/>
    <x v="1"/>
    <x v="1"/>
    <x v="4"/>
    <x v="1"/>
    <x v="1"/>
    <n v="1"/>
    <x v="1"/>
    <x v="1"/>
    <n v="44"/>
    <x v="2"/>
    <x v="1"/>
  </r>
  <r>
    <x v="1"/>
    <x v="3"/>
    <x v="1"/>
    <x v="1"/>
    <x v="4"/>
    <x v="1"/>
    <x v="1"/>
    <n v="1"/>
    <x v="1"/>
    <x v="1"/>
    <n v="160"/>
    <x v="3"/>
    <x v="1"/>
  </r>
  <r>
    <x v="1"/>
    <x v="4"/>
    <x v="1"/>
    <x v="1"/>
    <x v="2"/>
    <x v="1"/>
    <x v="1"/>
    <n v="1"/>
    <x v="1"/>
    <x v="1"/>
    <n v="6"/>
    <x v="2"/>
    <x v="1"/>
  </r>
  <r>
    <x v="1"/>
    <x v="4"/>
    <x v="1"/>
    <x v="1"/>
    <x v="3"/>
    <x v="1"/>
    <x v="1"/>
    <n v="1"/>
    <x v="1"/>
    <x v="1"/>
    <n v="6"/>
    <x v="2"/>
    <x v="1"/>
  </r>
  <r>
    <x v="1"/>
    <x v="4"/>
    <x v="1"/>
    <x v="1"/>
    <x v="3"/>
    <x v="1"/>
    <x v="1"/>
    <n v="1"/>
    <x v="1"/>
    <x v="1"/>
    <n v="28"/>
    <x v="1"/>
    <x v="1"/>
  </r>
  <r>
    <x v="1"/>
    <x v="4"/>
    <x v="1"/>
    <x v="1"/>
    <x v="3"/>
    <x v="1"/>
    <x v="1"/>
    <n v="1"/>
    <x v="1"/>
    <x v="1"/>
    <n v="50"/>
    <x v="3"/>
    <x v="1"/>
  </r>
  <r>
    <x v="1"/>
    <x v="4"/>
    <x v="1"/>
    <x v="1"/>
    <x v="2"/>
    <x v="1"/>
    <x v="1"/>
    <n v="1"/>
    <x v="1"/>
    <x v="1"/>
    <n v="96"/>
    <x v="3"/>
    <x v="1"/>
  </r>
  <r>
    <x v="1"/>
    <x v="4"/>
    <x v="1"/>
    <x v="1"/>
    <x v="1"/>
    <x v="1"/>
    <x v="1"/>
    <n v="2.4390243902439025E-2"/>
    <x v="1"/>
    <x v="1"/>
    <n v="82"/>
    <x v="3"/>
    <x v="1"/>
  </r>
  <r>
    <x v="1"/>
    <x v="4"/>
    <x v="1"/>
    <x v="1"/>
    <x v="1"/>
    <x v="1"/>
    <x v="1"/>
    <n v="1"/>
    <x v="1"/>
    <x v="1"/>
    <n v="34"/>
    <x v="1"/>
    <x v="1"/>
  </r>
  <r>
    <x v="1"/>
    <x v="4"/>
    <x v="1"/>
    <x v="1"/>
    <x v="2"/>
    <x v="1"/>
    <x v="1"/>
    <n v="1"/>
    <x v="1"/>
    <x v="1"/>
    <n v="14"/>
    <x v="1"/>
    <x v="1"/>
  </r>
  <r>
    <x v="1"/>
    <x v="4"/>
    <x v="1"/>
    <x v="1"/>
    <x v="6"/>
    <x v="1"/>
    <x v="1"/>
    <n v="1"/>
    <x v="1"/>
    <x v="1"/>
    <n v="12"/>
    <x v="3"/>
    <x v="1"/>
  </r>
  <r>
    <x v="1"/>
    <x v="4"/>
    <x v="1"/>
    <x v="1"/>
    <x v="6"/>
    <x v="1"/>
    <x v="1"/>
    <n v="1"/>
    <x v="1"/>
    <x v="1"/>
    <n v="4"/>
    <x v="2"/>
    <x v="1"/>
  </r>
  <r>
    <x v="1"/>
    <x v="4"/>
    <x v="1"/>
    <x v="1"/>
    <x v="4"/>
    <x v="1"/>
    <x v="1"/>
    <n v="1"/>
    <x v="1"/>
    <x v="1"/>
    <n v="10"/>
    <x v="2"/>
    <x v="1"/>
  </r>
  <r>
    <x v="1"/>
    <x v="4"/>
    <x v="1"/>
    <x v="1"/>
    <x v="4"/>
    <x v="1"/>
    <x v="1"/>
    <n v="1"/>
    <x v="1"/>
    <x v="1"/>
    <n v="58"/>
    <x v="1"/>
    <x v="1"/>
  </r>
  <r>
    <x v="1"/>
    <x v="4"/>
    <x v="1"/>
    <x v="1"/>
    <x v="4"/>
    <x v="1"/>
    <x v="1"/>
    <n v="0.75"/>
    <x v="1"/>
    <x v="1"/>
    <n v="168"/>
    <x v="3"/>
    <x v="1"/>
  </r>
  <r>
    <x v="1"/>
    <x v="5"/>
    <x v="1"/>
    <x v="1"/>
    <x v="1"/>
    <x v="1"/>
    <x v="1"/>
    <n v="1"/>
    <x v="1"/>
    <x v="1"/>
    <n v="8"/>
    <x v="2"/>
    <x v="1"/>
  </r>
  <r>
    <x v="1"/>
    <x v="5"/>
    <x v="1"/>
    <x v="1"/>
    <x v="2"/>
    <x v="1"/>
    <x v="1"/>
    <n v="1"/>
    <x v="1"/>
    <x v="1"/>
    <n v="6"/>
    <x v="2"/>
    <x v="1"/>
  </r>
  <r>
    <x v="1"/>
    <x v="5"/>
    <x v="1"/>
    <x v="1"/>
    <x v="3"/>
    <x v="1"/>
    <x v="1"/>
    <n v="1"/>
    <x v="1"/>
    <x v="1"/>
    <n v="6"/>
    <x v="2"/>
    <x v="1"/>
  </r>
  <r>
    <x v="1"/>
    <x v="5"/>
    <x v="1"/>
    <x v="1"/>
    <x v="1"/>
    <x v="1"/>
    <x v="1"/>
    <n v="1"/>
    <x v="1"/>
    <x v="1"/>
    <n v="10"/>
    <x v="3"/>
    <x v="1"/>
  </r>
  <r>
    <x v="1"/>
    <x v="5"/>
    <x v="1"/>
    <x v="1"/>
    <x v="2"/>
    <x v="1"/>
    <x v="1"/>
    <n v="1"/>
    <x v="1"/>
    <x v="1"/>
    <n v="10"/>
    <x v="3"/>
    <x v="1"/>
  </r>
  <r>
    <x v="1"/>
    <x v="5"/>
    <x v="1"/>
    <x v="1"/>
    <x v="3"/>
    <x v="1"/>
    <x v="1"/>
    <n v="1"/>
    <x v="1"/>
    <x v="1"/>
    <n v="7"/>
    <x v="3"/>
    <x v="1"/>
  </r>
  <r>
    <x v="1"/>
    <x v="5"/>
    <x v="1"/>
    <x v="1"/>
    <x v="5"/>
    <x v="1"/>
    <x v="1"/>
    <n v="1"/>
    <x v="1"/>
    <x v="1"/>
    <n v="2"/>
    <x v="2"/>
    <x v="1"/>
  </r>
  <r>
    <x v="1"/>
    <x v="5"/>
    <x v="1"/>
    <x v="1"/>
    <x v="6"/>
    <x v="1"/>
    <x v="1"/>
    <n v="1"/>
    <x v="1"/>
    <x v="1"/>
    <n v="2"/>
    <x v="3"/>
    <x v="1"/>
  </r>
  <r>
    <x v="1"/>
    <x v="5"/>
    <x v="1"/>
    <x v="1"/>
    <x v="4"/>
    <x v="1"/>
    <x v="1"/>
    <n v="1"/>
    <x v="1"/>
    <x v="1"/>
    <n v="6"/>
    <x v="2"/>
    <x v="1"/>
  </r>
  <r>
    <x v="1"/>
    <x v="5"/>
    <x v="1"/>
    <x v="1"/>
    <x v="4"/>
    <x v="1"/>
    <x v="1"/>
    <n v="1"/>
    <x v="1"/>
    <x v="1"/>
    <n v="12"/>
    <x v="3"/>
    <x v="1"/>
  </r>
  <r>
    <x v="1"/>
    <x v="6"/>
    <x v="1"/>
    <x v="1"/>
    <x v="3"/>
    <x v="1"/>
    <x v="1"/>
    <n v="1"/>
    <x v="1"/>
    <x v="1"/>
    <n v="10"/>
    <x v="3"/>
    <x v="1"/>
  </r>
  <r>
    <x v="1"/>
    <x v="6"/>
    <x v="1"/>
    <x v="1"/>
    <x v="6"/>
    <x v="1"/>
    <x v="1"/>
    <n v="1"/>
    <x v="1"/>
    <x v="1"/>
    <n v="2"/>
    <x v="3"/>
    <x v="1"/>
  </r>
  <r>
    <x v="1"/>
    <x v="6"/>
    <x v="1"/>
    <x v="1"/>
    <x v="2"/>
    <x v="1"/>
    <x v="1"/>
    <n v="1"/>
    <x v="1"/>
    <x v="1"/>
    <n v="3"/>
    <x v="3"/>
    <x v="1"/>
  </r>
  <r>
    <x v="1"/>
    <x v="6"/>
    <x v="1"/>
    <x v="1"/>
    <x v="1"/>
    <x v="1"/>
    <x v="1"/>
    <n v="1"/>
    <x v="1"/>
    <x v="1"/>
    <n v="52"/>
    <x v="2"/>
    <x v="1"/>
  </r>
  <r>
    <x v="1"/>
    <x v="6"/>
    <x v="1"/>
    <x v="1"/>
    <x v="1"/>
    <x v="1"/>
    <x v="1"/>
    <n v="1"/>
    <x v="1"/>
    <x v="1"/>
    <n v="17"/>
    <x v="1"/>
    <x v="1"/>
  </r>
  <r>
    <x v="1"/>
    <x v="6"/>
    <x v="1"/>
    <x v="1"/>
    <x v="5"/>
    <x v="1"/>
    <x v="1"/>
    <n v="1"/>
    <x v="1"/>
    <x v="1"/>
    <n v="2"/>
    <x v="1"/>
    <x v="1"/>
  </r>
  <r>
    <x v="1"/>
    <x v="6"/>
    <x v="1"/>
    <x v="1"/>
    <x v="4"/>
    <x v="1"/>
    <x v="1"/>
    <n v="1"/>
    <x v="1"/>
    <x v="1"/>
    <n v="12"/>
    <x v="3"/>
    <x v="1"/>
  </r>
  <r>
    <x v="1"/>
    <x v="6"/>
    <x v="1"/>
    <x v="1"/>
    <x v="4"/>
    <x v="1"/>
    <x v="1"/>
    <n v="1"/>
    <x v="1"/>
    <x v="1"/>
    <n v="52"/>
    <x v="2"/>
    <x v="1"/>
  </r>
  <r>
    <x v="1"/>
    <x v="6"/>
    <x v="1"/>
    <x v="1"/>
    <x v="4"/>
    <x v="1"/>
    <x v="1"/>
    <n v="1"/>
    <x v="1"/>
    <x v="1"/>
    <n v="17"/>
    <x v="1"/>
    <x v="1"/>
  </r>
  <r>
    <x v="1"/>
    <x v="6"/>
    <x v="1"/>
    <x v="1"/>
    <x v="2"/>
    <x v="1"/>
    <x v="1"/>
    <n v="1"/>
    <x v="1"/>
    <x v="1"/>
    <n v="16"/>
    <x v="2"/>
    <x v="1"/>
  </r>
  <r>
    <x v="1"/>
    <x v="6"/>
    <x v="1"/>
    <x v="1"/>
    <x v="3"/>
    <x v="1"/>
    <x v="1"/>
    <n v="1"/>
    <x v="1"/>
    <x v="1"/>
    <n v="10"/>
    <x v="2"/>
    <x v="1"/>
  </r>
  <r>
    <x v="1"/>
    <x v="6"/>
    <x v="1"/>
    <x v="1"/>
    <x v="2"/>
    <x v="1"/>
    <x v="1"/>
    <n v="1"/>
    <x v="1"/>
    <x v="1"/>
    <n v="15"/>
    <x v="1"/>
    <x v="1"/>
  </r>
  <r>
    <x v="1"/>
    <x v="6"/>
    <x v="1"/>
    <x v="1"/>
    <x v="3"/>
    <x v="1"/>
    <x v="1"/>
    <n v="1"/>
    <x v="1"/>
    <x v="1"/>
    <n v="2"/>
    <x v="1"/>
    <x v="1"/>
  </r>
  <r>
    <x v="1"/>
    <x v="6"/>
    <x v="1"/>
    <x v="1"/>
    <x v="6"/>
    <x v="1"/>
    <x v="1"/>
    <n v="1"/>
    <x v="1"/>
    <x v="1"/>
    <n v="1"/>
    <x v="2"/>
    <x v="1"/>
  </r>
  <r>
    <x v="1"/>
    <x v="7"/>
    <x v="1"/>
    <x v="1"/>
    <x v="3"/>
    <x v="1"/>
    <x v="1"/>
    <n v="1"/>
    <x v="1"/>
    <x v="1"/>
    <n v="9"/>
    <x v="3"/>
    <x v="1"/>
  </r>
  <r>
    <x v="1"/>
    <x v="7"/>
    <x v="1"/>
    <x v="1"/>
    <x v="6"/>
    <x v="1"/>
    <x v="1"/>
    <n v="0"/>
    <x v="1"/>
    <x v="1"/>
    <n v="2"/>
    <x v="3"/>
    <x v="1"/>
  </r>
  <r>
    <x v="1"/>
    <x v="7"/>
    <x v="1"/>
    <x v="1"/>
    <x v="1"/>
    <x v="1"/>
    <x v="1"/>
    <n v="0.10810810810810811"/>
    <x v="1"/>
    <x v="1"/>
    <n v="37"/>
    <x v="2"/>
    <x v="1"/>
  </r>
  <r>
    <x v="1"/>
    <x v="7"/>
    <x v="1"/>
    <x v="1"/>
    <x v="2"/>
    <x v="1"/>
    <x v="1"/>
    <n v="1"/>
    <x v="1"/>
    <x v="1"/>
    <n v="38"/>
    <x v="2"/>
    <x v="1"/>
  </r>
  <r>
    <x v="1"/>
    <x v="7"/>
    <x v="1"/>
    <x v="1"/>
    <x v="3"/>
    <x v="1"/>
    <x v="1"/>
    <n v="1"/>
    <x v="1"/>
    <x v="1"/>
    <n v="26"/>
    <x v="2"/>
    <x v="1"/>
  </r>
  <r>
    <x v="1"/>
    <x v="7"/>
    <x v="1"/>
    <x v="1"/>
    <x v="1"/>
    <x v="1"/>
    <x v="1"/>
    <n v="0.84482758620689657"/>
    <x v="1"/>
    <x v="1"/>
    <n v="58"/>
    <x v="1"/>
    <x v="1"/>
  </r>
  <r>
    <x v="1"/>
    <x v="7"/>
    <x v="1"/>
    <x v="1"/>
    <x v="2"/>
    <x v="1"/>
    <x v="1"/>
    <n v="1"/>
    <x v="1"/>
    <x v="1"/>
    <n v="71"/>
    <x v="1"/>
    <x v="1"/>
  </r>
  <r>
    <x v="1"/>
    <x v="7"/>
    <x v="1"/>
    <x v="1"/>
    <x v="3"/>
    <x v="1"/>
    <x v="1"/>
    <n v="1"/>
    <x v="1"/>
    <x v="1"/>
    <n v="53"/>
    <x v="1"/>
    <x v="1"/>
  </r>
  <r>
    <x v="1"/>
    <x v="7"/>
    <x v="1"/>
    <x v="1"/>
    <x v="1"/>
    <x v="1"/>
    <x v="1"/>
    <n v="1"/>
    <x v="1"/>
    <x v="1"/>
    <n v="36"/>
    <x v="3"/>
    <x v="1"/>
  </r>
  <r>
    <x v="1"/>
    <x v="7"/>
    <x v="1"/>
    <x v="1"/>
    <x v="2"/>
    <x v="1"/>
    <x v="1"/>
    <n v="1"/>
    <x v="1"/>
    <x v="1"/>
    <n v="33"/>
    <x v="3"/>
    <x v="1"/>
  </r>
  <r>
    <x v="1"/>
    <x v="7"/>
    <x v="1"/>
    <x v="1"/>
    <x v="6"/>
    <x v="1"/>
    <x v="1"/>
    <n v="1"/>
    <x v="1"/>
    <x v="1"/>
    <n v="2"/>
    <x v="2"/>
    <x v="1"/>
  </r>
  <r>
    <x v="1"/>
    <x v="7"/>
    <x v="1"/>
    <x v="1"/>
    <x v="5"/>
    <x v="1"/>
    <x v="1"/>
    <n v="1"/>
    <x v="1"/>
    <x v="1"/>
    <n v="1"/>
    <x v="1"/>
    <x v="1"/>
  </r>
  <r>
    <x v="1"/>
    <x v="7"/>
    <x v="1"/>
    <x v="1"/>
    <x v="5"/>
    <x v="1"/>
    <x v="1"/>
    <n v="1"/>
    <x v="1"/>
    <x v="1"/>
    <n v="1"/>
    <x v="2"/>
    <x v="1"/>
  </r>
  <r>
    <x v="1"/>
    <x v="7"/>
    <x v="1"/>
    <x v="1"/>
    <x v="4"/>
    <x v="1"/>
    <x v="1"/>
    <n v="0.97619047619047616"/>
    <x v="1"/>
    <x v="1"/>
    <n v="42"/>
    <x v="2"/>
    <x v="1"/>
  </r>
  <r>
    <x v="1"/>
    <x v="7"/>
    <x v="1"/>
    <x v="1"/>
    <x v="4"/>
    <x v="1"/>
    <x v="1"/>
    <n v="1"/>
    <x v="1"/>
    <x v="1"/>
    <n v="41"/>
    <x v="3"/>
    <x v="1"/>
  </r>
  <r>
    <x v="1"/>
    <x v="7"/>
    <x v="1"/>
    <x v="1"/>
    <x v="4"/>
    <x v="1"/>
    <x v="1"/>
    <n v="1"/>
    <x v="1"/>
    <x v="1"/>
    <n v="71"/>
    <x v="1"/>
    <x v="1"/>
  </r>
  <r>
    <x v="1"/>
    <x v="8"/>
    <x v="1"/>
    <x v="1"/>
    <x v="1"/>
    <x v="1"/>
    <x v="1"/>
    <n v="0.2"/>
    <x v="1"/>
    <x v="1"/>
    <n v="5"/>
    <x v="2"/>
    <x v="1"/>
  </r>
  <r>
    <x v="1"/>
    <x v="8"/>
    <x v="1"/>
    <x v="1"/>
    <x v="2"/>
    <x v="1"/>
    <x v="1"/>
    <n v="0.2"/>
    <x v="1"/>
    <x v="1"/>
    <n v="15"/>
    <x v="2"/>
    <x v="1"/>
  </r>
  <r>
    <x v="1"/>
    <x v="8"/>
    <x v="1"/>
    <x v="1"/>
    <x v="3"/>
    <x v="1"/>
    <x v="1"/>
    <n v="1"/>
    <x v="1"/>
    <x v="1"/>
    <n v="17"/>
    <x v="2"/>
    <x v="1"/>
  </r>
  <r>
    <x v="1"/>
    <x v="8"/>
    <x v="1"/>
    <x v="1"/>
    <x v="3"/>
    <x v="1"/>
    <x v="1"/>
    <n v="1"/>
    <x v="1"/>
    <x v="1"/>
    <n v="44"/>
    <x v="1"/>
    <x v="1"/>
  </r>
  <r>
    <x v="1"/>
    <x v="8"/>
    <x v="1"/>
    <x v="1"/>
    <x v="2"/>
    <x v="1"/>
    <x v="1"/>
    <n v="0.72093023255813948"/>
    <x v="1"/>
    <x v="1"/>
    <n v="43"/>
    <x v="1"/>
    <x v="1"/>
  </r>
  <r>
    <x v="1"/>
    <x v="8"/>
    <x v="1"/>
    <x v="1"/>
    <x v="1"/>
    <x v="1"/>
    <x v="1"/>
    <n v="0.04"/>
    <x v="1"/>
    <x v="1"/>
    <n v="25"/>
    <x v="1"/>
    <x v="1"/>
  </r>
  <r>
    <x v="1"/>
    <x v="8"/>
    <x v="1"/>
    <x v="1"/>
    <x v="1"/>
    <x v="1"/>
    <x v="1"/>
    <n v="1"/>
    <x v="1"/>
    <x v="1"/>
    <n v="4"/>
    <x v="3"/>
    <x v="1"/>
  </r>
  <r>
    <x v="1"/>
    <x v="8"/>
    <x v="1"/>
    <x v="1"/>
    <x v="2"/>
    <x v="1"/>
    <x v="1"/>
    <n v="1"/>
    <x v="1"/>
    <x v="1"/>
    <n v="33"/>
    <x v="3"/>
    <x v="1"/>
  </r>
  <r>
    <x v="1"/>
    <x v="8"/>
    <x v="1"/>
    <x v="1"/>
    <x v="3"/>
    <x v="1"/>
    <x v="1"/>
    <n v="1"/>
    <x v="1"/>
    <x v="1"/>
    <n v="8"/>
    <x v="3"/>
    <x v="1"/>
  </r>
  <r>
    <x v="1"/>
    <x v="8"/>
    <x v="1"/>
    <x v="1"/>
    <x v="5"/>
    <x v="1"/>
    <x v="1"/>
    <n v="1"/>
    <x v="1"/>
    <x v="1"/>
    <n v="2"/>
    <x v="2"/>
    <x v="1"/>
  </r>
  <r>
    <x v="1"/>
    <x v="8"/>
    <x v="1"/>
    <x v="1"/>
    <x v="6"/>
    <x v="1"/>
    <x v="1"/>
    <n v="1"/>
    <x v="1"/>
    <x v="1"/>
    <n v="1"/>
    <x v="3"/>
    <x v="1"/>
  </r>
  <r>
    <x v="1"/>
    <x v="8"/>
    <x v="1"/>
    <x v="1"/>
    <x v="4"/>
    <x v="1"/>
    <x v="1"/>
    <n v="1"/>
    <x v="1"/>
    <x v="1"/>
    <n v="18"/>
    <x v="2"/>
    <x v="1"/>
  </r>
  <r>
    <x v="1"/>
    <x v="8"/>
    <x v="1"/>
    <x v="1"/>
    <x v="4"/>
    <x v="1"/>
    <x v="1"/>
    <n v="0.94117647058823528"/>
    <x v="1"/>
    <x v="1"/>
    <n v="68"/>
    <x v="1"/>
    <x v="1"/>
  </r>
  <r>
    <x v="1"/>
    <x v="8"/>
    <x v="1"/>
    <x v="1"/>
    <x v="4"/>
    <x v="1"/>
    <x v="1"/>
    <n v="1"/>
    <x v="1"/>
    <x v="1"/>
    <n v="34"/>
    <x v="3"/>
    <x v="1"/>
  </r>
  <r>
    <x v="1"/>
    <x v="9"/>
    <x v="1"/>
    <x v="1"/>
    <x v="2"/>
    <x v="1"/>
    <x v="1"/>
    <n v="0"/>
    <x v="1"/>
    <x v="1"/>
    <n v="24"/>
    <x v="1"/>
    <x v="1"/>
  </r>
  <r>
    <x v="1"/>
    <x v="9"/>
    <x v="1"/>
    <x v="1"/>
    <x v="3"/>
    <x v="1"/>
    <x v="1"/>
    <n v="1"/>
    <x v="1"/>
    <x v="1"/>
    <n v="24"/>
    <x v="1"/>
    <x v="1"/>
  </r>
  <r>
    <x v="1"/>
    <x v="9"/>
    <x v="1"/>
    <x v="1"/>
    <x v="2"/>
    <x v="1"/>
    <x v="1"/>
    <n v="0.32432432432432434"/>
    <x v="1"/>
    <x v="1"/>
    <n v="37"/>
    <x v="3"/>
    <x v="1"/>
  </r>
  <r>
    <x v="1"/>
    <x v="9"/>
    <x v="1"/>
    <x v="1"/>
    <x v="3"/>
    <x v="1"/>
    <x v="1"/>
    <n v="1"/>
    <x v="1"/>
    <x v="1"/>
    <n v="21"/>
    <x v="3"/>
    <x v="1"/>
  </r>
  <r>
    <x v="1"/>
    <x v="9"/>
    <x v="1"/>
    <x v="1"/>
    <x v="1"/>
    <x v="1"/>
    <x v="1"/>
    <n v="1"/>
    <x v="1"/>
    <x v="1"/>
    <n v="12"/>
    <x v="3"/>
    <x v="1"/>
  </r>
  <r>
    <x v="1"/>
    <x v="9"/>
    <x v="1"/>
    <x v="1"/>
    <x v="3"/>
    <x v="1"/>
    <x v="1"/>
    <n v="0"/>
    <x v="1"/>
    <x v="1"/>
    <n v="9"/>
    <x v="2"/>
    <x v="1"/>
  </r>
  <r>
    <x v="1"/>
    <x v="9"/>
    <x v="1"/>
    <x v="1"/>
    <x v="5"/>
    <x v="1"/>
    <x v="1"/>
    <n v="1"/>
    <x v="1"/>
    <x v="1"/>
    <n v="1"/>
    <x v="2"/>
    <x v="1"/>
  </r>
  <r>
    <x v="1"/>
    <x v="9"/>
    <x v="1"/>
    <x v="1"/>
    <x v="6"/>
    <x v="1"/>
    <x v="1"/>
    <n v="1"/>
    <x v="1"/>
    <x v="1"/>
    <n v="1"/>
    <x v="3"/>
    <x v="1"/>
  </r>
  <r>
    <x v="1"/>
    <x v="9"/>
    <x v="1"/>
    <x v="1"/>
    <x v="4"/>
    <x v="1"/>
    <x v="1"/>
    <n v="0.81818181818181823"/>
    <x v="1"/>
    <x v="1"/>
    <n v="33"/>
    <x v="3"/>
    <x v="1"/>
  </r>
  <r>
    <x v="1"/>
    <x v="9"/>
    <x v="1"/>
    <x v="1"/>
    <x v="4"/>
    <x v="1"/>
    <x v="1"/>
    <n v="0.77272727272727271"/>
    <x v="1"/>
    <x v="1"/>
    <n v="22"/>
    <x v="1"/>
    <x v="1"/>
  </r>
  <r>
    <x v="1"/>
    <x v="9"/>
    <x v="1"/>
    <x v="1"/>
    <x v="4"/>
    <x v="1"/>
    <x v="1"/>
    <n v="0"/>
    <x v="1"/>
    <x v="1"/>
    <n v="9"/>
    <x v="2"/>
    <x v="1"/>
  </r>
  <r>
    <x v="1"/>
    <x v="10"/>
    <x v="1"/>
    <x v="1"/>
    <x v="2"/>
    <x v="1"/>
    <x v="1"/>
    <n v="0.23809523809523808"/>
    <x v="1"/>
    <x v="1"/>
    <n v="21"/>
    <x v="1"/>
    <x v="1"/>
  </r>
  <r>
    <x v="1"/>
    <x v="10"/>
    <x v="1"/>
    <x v="1"/>
    <x v="3"/>
    <x v="1"/>
    <x v="1"/>
    <n v="0.44117647058823528"/>
    <x v="1"/>
    <x v="1"/>
    <n v="34"/>
    <x v="1"/>
    <x v="1"/>
  </r>
  <r>
    <x v="1"/>
    <x v="10"/>
    <x v="1"/>
    <x v="1"/>
    <x v="2"/>
    <x v="1"/>
    <x v="1"/>
    <n v="0.60606060606060608"/>
    <x v="1"/>
    <x v="1"/>
    <n v="33"/>
    <x v="3"/>
    <x v="1"/>
  </r>
  <r>
    <x v="1"/>
    <x v="10"/>
    <x v="1"/>
    <x v="1"/>
    <x v="3"/>
    <x v="1"/>
    <x v="1"/>
    <n v="0.70454545454545459"/>
    <x v="1"/>
    <x v="1"/>
    <n v="44"/>
    <x v="3"/>
    <x v="1"/>
  </r>
  <r>
    <x v="1"/>
    <x v="10"/>
    <x v="1"/>
    <x v="1"/>
    <x v="1"/>
    <x v="1"/>
    <x v="1"/>
    <n v="1"/>
    <x v="1"/>
    <x v="1"/>
    <n v="5"/>
    <x v="1"/>
    <x v="1"/>
  </r>
  <r>
    <x v="1"/>
    <x v="10"/>
    <x v="1"/>
    <x v="1"/>
    <x v="3"/>
    <x v="1"/>
    <x v="1"/>
    <n v="0"/>
    <x v="1"/>
    <x v="1"/>
    <n v="9"/>
    <x v="2"/>
    <x v="1"/>
  </r>
  <r>
    <x v="1"/>
    <x v="10"/>
    <x v="1"/>
    <x v="1"/>
    <x v="6"/>
    <x v="1"/>
    <x v="1"/>
    <n v="0.66666666666666663"/>
    <x v="1"/>
    <x v="1"/>
    <n v="3"/>
    <x v="3"/>
    <x v="1"/>
  </r>
  <r>
    <x v="1"/>
    <x v="10"/>
    <x v="1"/>
    <x v="1"/>
    <x v="1"/>
    <x v="1"/>
    <x v="1"/>
    <n v="0.375"/>
    <x v="1"/>
    <x v="1"/>
    <n v="16"/>
    <x v="3"/>
    <x v="1"/>
  </r>
  <r>
    <x v="1"/>
    <x v="10"/>
    <x v="1"/>
    <x v="1"/>
    <x v="1"/>
    <x v="1"/>
    <x v="1"/>
    <n v="1"/>
    <x v="1"/>
    <x v="1"/>
    <n v="3"/>
    <x v="2"/>
    <x v="1"/>
  </r>
  <r>
    <x v="1"/>
    <x v="10"/>
    <x v="1"/>
    <x v="1"/>
    <x v="5"/>
    <x v="1"/>
    <x v="1"/>
    <n v="1"/>
    <x v="1"/>
    <x v="1"/>
    <n v="2"/>
    <x v="2"/>
    <x v="1"/>
  </r>
  <r>
    <x v="1"/>
    <x v="10"/>
    <x v="1"/>
    <x v="1"/>
    <x v="4"/>
    <x v="1"/>
    <x v="1"/>
    <n v="0.45714285714285713"/>
    <x v="1"/>
    <x v="1"/>
    <n v="35"/>
    <x v="1"/>
    <x v="1"/>
  </r>
  <r>
    <x v="1"/>
    <x v="10"/>
    <x v="1"/>
    <x v="1"/>
    <x v="4"/>
    <x v="1"/>
    <x v="1"/>
    <n v="0.80851063829787229"/>
    <x v="1"/>
    <x v="1"/>
    <n v="47"/>
    <x v="3"/>
    <x v="1"/>
  </r>
  <r>
    <x v="1"/>
    <x v="10"/>
    <x v="1"/>
    <x v="1"/>
    <x v="4"/>
    <x v="1"/>
    <x v="1"/>
    <n v="0.1"/>
    <x v="1"/>
    <x v="1"/>
    <n v="10"/>
    <x v="2"/>
    <x v="1"/>
  </r>
  <r>
    <x v="1"/>
    <x v="10"/>
    <x v="1"/>
    <x v="1"/>
    <x v="2"/>
    <x v="1"/>
    <x v="1"/>
    <n v="1"/>
    <x v="1"/>
    <x v="1"/>
    <n v="1"/>
    <x v="2"/>
    <x v="1"/>
  </r>
  <r>
    <x v="1"/>
    <x v="11"/>
    <x v="1"/>
    <x v="1"/>
    <x v="3"/>
    <x v="1"/>
    <x v="1"/>
    <n v="0"/>
    <x v="1"/>
    <x v="1"/>
    <n v="12"/>
    <x v="1"/>
    <x v="1"/>
  </r>
  <r>
    <x v="1"/>
    <x v="11"/>
    <x v="1"/>
    <x v="1"/>
    <x v="3"/>
    <x v="1"/>
    <x v="1"/>
    <n v="0.61538461538461542"/>
    <x v="1"/>
    <x v="1"/>
    <n v="13"/>
    <x v="3"/>
    <x v="1"/>
  </r>
  <r>
    <x v="1"/>
    <x v="11"/>
    <x v="1"/>
    <x v="1"/>
    <x v="2"/>
    <x v="1"/>
    <x v="1"/>
    <n v="0"/>
    <x v="1"/>
    <x v="1"/>
    <n v="1"/>
    <x v="1"/>
    <x v="1"/>
  </r>
  <r>
    <x v="1"/>
    <x v="11"/>
    <x v="1"/>
    <x v="1"/>
    <x v="2"/>
    <x v="1"/>
    <x v="1"/>
    <n v="0.66666666666666663"/>
    <x v="1"/>
    <x v="1"/>
    <n v="6"/>
    <x v="3"/>
    <x v="1"/>
  </r>
  <r>
    <x v="1"/>
    <x v="11"/>
    <x v="1"/>
    <x v="1"/>
    <x v="6"/>
    <x v="1"/>
    <x v="1"/>
    <n v="1"/>
    <x v="1"/>
    <x v="1"/>
    <n v="1"/>
    <x v="3"/>
    <x v="1"/>
  </r>
  <r>
    <x v="1"/>
    <x v="11"/>
    <x v="1"/>
    <x v="1"/>
    <x v="1"/>
    <x v="1"/>
    <x v="1"/>
    <n v="1"/>
    <x v="1"/>
    <x v="1"/>
    <n v="4"/>
    <x v="3"/>
    <x v="1"/>
  </r>
  <r>
    <x v="1"/>
    <x v="11"/>
    <x v="1"/>
    <x v="1"/>
    <x v="1"/>
    <x v="1"/>
    <x v="1"/>
    <n v="1"/>
    <x v="1"/>
    <x v="1"/>
    <n v="3"/>
    <x v="2"/>
    <x v="1"/>
  </r>
  <r>
    <x v="1"/>
    <x v="11"/>
    <x v="1"/>
    <x v="1"/>
    <x v="2"/>
    <x v="1"/>
    <x v="1"/>
    <n v="1"/>
    <x v="1"/>
    <x v="1"/>
    <n v="4"/>
    <x v="2"/>
    <x v="1"/>
  </r>
  <r>
    <x v="1"/>
    <x v="11"/>
    <x v="1"/>
    <x v="1"/>
    <x v="3"/>
    <x v="1"/>
    <x v="1"/>
    <n v="1"/>
    <x v="1"/>
    <x v="1"/>
    <n v="4"/>
    <x v="2"/>
    <x v="1"/>
  </r>
  <r>
    <x v="1"/>
    <x v="11"/>
    <x v="1"/>
    <x v="1"/>
    <x v="4"/>
    <x v="1"/>
    <x v="1"/>
    <n v="0.66666666666666663"/>
    <x v="1"/>
    <x v="1"/>
    <n v="15"/>
    <x v="3"/>
    <x v="1"/>
  </r>
  <r>
    <x v="1"/>
    <x v="11"/>
    <x v="1"/>
    <x v="1"/>
    <x v="4"/>
    <x v="1"/>
    <x v="1"/>
    <n v="0"/>
    <x v="1"/>
    <x v="1"/>
    <n v="12"/>
    <x v="1"/>
    <x v="1"/>
  </r>
  <r>
    <x v="1"/>
    <x v="11"/>
    <x v="1"/>
    <x v="1"/>
    <x v="4"/>
    <x v="1"/>
    <x v="1"/>
    <n v="1"/>
    <x v="1"/>
    <x v="1"/>
    <n v="4"/>
    <x v="2"/>
    <x v="1"/>
  </r>
  <r>
    <x v="1"/>
    <x v="12"/>
    <x v="1"/>
    <x v="1"/>
    <x v="2"/>
    <x v="1"/>
    <x v="1"/>
    <n v="1"/>
    <x v="1"/>
    <x v="1"/>
    <n v="26"/>
    <x v="3"/>
    <x v="1"/>
  </r>
  <r>
    <x v="1"/>
    <x v="12"/>
    <x v="1"/>
    <x v="1"/>
    <x v="3"/>
    <x v="1"/>
    <x v="1"/>
    <n v="1"/>
    <x v="1"/>
    <x v="1"/>
    <n v="23"/>
    <x v="3"/>
    <x v="1"/>
  </r>
  <r>
    <x v="1"/>
    <x v="12"/>
    <x v="1"/>
    <x v="1"/>
    <x v="1"/>
    <x v="1"/>
    <x v="1"/>
    <n v="1"/>
    <x v="1"/>
    <x v="1"/>
    <n v="13"/>
    <x v="1"/>
    <x v="1"/>
  </r>
  <r>
    <x v="1"/>
    <x v="12"/>
    <x v="1"/>
    <x v="1"/>
    <x v="2"/>
    <x v="1"/>
    <x v="1"/>
    <n v="1"/>
    <x v="1"/>
    <x v="1"/>
    <n v="13"/>
    <x v="1"/>
    <x v="1"/>
  </r>
  <r>
    <x v="1"/>
    <x v="12"/>
    <x v="1"/>
    <x v="1"/>
    <x v="3"/>
    <x v="1"/>
    <x v="1"/>
    <n v="1"/>
    <x v="1"/>
    <x v="1"/>
    <n v="10"/>
    <x v="1"/>
    <x v="1"/>
  </r>
  <r>
    <x v="1"/>
    <x v="12"/>
    <x v="1"/>
    <x v="1"/>
    <x v="1"/>
    <x v="1"/>
    <x v="1"/>
    <n v="1"/>
    <x v="1"/>
    <x v="1"/>
    <n v="24"/>
    <x v="3"/>
    <x v="1"/>
  </r>
  <r>
    <x v="1"/>
    <x v="12"/>
    <x v="1"/>
    <x v="1"/>
    <x v="1"/>
    <x v="1"/>
    <x v="1"/>
    <n v="1"/>
    <x v="1"/>
    <x v="1"/>
    <n v="30"/>
    <x v="2"/>
    <x v="1"/>
  </r>
  <r>
    <x v="1"/>
    <x v="12"/>
    <x v="1"/>
    <x v="1"/>
    <x v="2"/>
    <x v="1"/>
    <x v="1"/>
    <n v="1"/>
    <x v="1"/>
    <x v="1"/>
    <n v="20"/>
    <x v="2"/>
    <x v="1"/>
  </r>
  <r>
    <x v="1"/>
    <x v="12"/>
    <x v="1"/>
    <x v="1"/>
    <x v="4"/>
    <x v="1"/>
    <x v="1"/>
    <n v="1"/>
    <x v="1"/>
    <x v="1"/>
    <n v="29"/>
    <x v="3"/>
    <x v="1"/>
  </r>
  <r>
    <x v="1"/>
    <x v="12"/>
    <x v="1"/>
    <x v="1"/>
    <x v="4"/>
    <x v="1"/>
    <x v="1"/>
    <n v="1"/>
    <x v="1"/>
    <x v="1"/>
    <n v="13"/>
    <x v="1"/>
    <x v="1"/>
  </r>
  <r>
    <x v="1"/>
    <x v="12"/>
    <x v="1"/>
    <x v="1"/>
    <x v="4"/>
    <x v="1"/>
    <x v="1"/>
    <n v="1"/>
    <x v="1"/>
    <x v="1"/>
    <n v="27"/>
    <x v="2"/>
    <x v="1"/>
  </r>
  <r>
    <x v="1"/>
    <x v="12"/>
    <x v="1"/>
    <x v="1"/>
    <x v="3"/>
    <x v="1"/>
    <x v="1"/>
    <n v="1"/>
    <x v="1"/>
    <x v="1"/>
    <n v="16"/>
    <x v="2"/>
    <x v="1"/>
  </r>
  <r>
    <x v="1"/>
    <x v="12"/>
    <x v="1"/>
    <x v="1"/>
    <x v="5"/>
    <x v="1"/>
    <x v="1"/>
    <n v="1"/>
    <x v="1"/>
    <x v="1"/>
    <n v="6"/>
    <x v="2"/>
    <x v="1"/>
  </r>
  <r>
    <x v="1"/>
    <x v="12"/>
    <x v="1"/>
    <x v="1"/>
    <x v="6"/>
    <x v="1"/>
    <x v="1"/>
    <n v="1"/>
    <x v="1"/>
    <x v="1"/>
    <n v="3"/>
    <x v="3"/>
    <x v="1"/>
  </r>
  <r>
    <x v="1"/>
    <x v="13"/>
    <x v="1"/>
    <x v="1"/>
    <x v="1"/>
    <x v="1"/>
    <x v="1"/>
    <n v="0.5"/>
    <x v="1"/>
    <x v="1"/>
    <n v="6"/>
    <x v="2"/>
    <x v="1"/>
  </r>
  <r>
    <x v="1"/>
    <x v="13"/>
    <x v="1"/>
    <x v="1"/>
    <x v="3"/>
    <x v="1"/>
    <x v="1"/>
    <n v="1"/>
    <x v="1"/>
    <x v="1"/>
    <n v="34"/>
    <x v="3"/>
    <x v="1"/>
  </r>
  <r>
    <x v="1"/>
    <x v="13"/>
    <x v="1"/>
    <x v="1"/>
    <x v="2"/>
    <x v="1"/>
    <x v="1"/>
    <n v="1"/>
    <x v="1"/>
    <x v="1"/>
    <n v="8"/>
    <x v="2"/>
    <x v="1"/>
  </r>
  <r>
    <x v="1"/>
    <x v="13"/>
    <x v="1"/>
    <x v="1"/>
    <x v="3"/>
    <x v="1"/>
    <x v="1"/>
    <n v="1"/>
    <x v="1"/>
    <x v="1"/>
    <n v="7"/>
    <x v="2"/>
    <x v="1"/>
  </r>
  <r>
    <x v="1"/>
    <x v="13"/>
    <x v="1"/>
    <x v="1"/>
    <x v="2"/>
    <x v="1"/>
    <x v="1"/>
    <n v="1"/>
    <x v="1"/>
    <x v="1"/>
    <n v="35"/>
    <x v="1"/>
    <x v="1"/>
  </r>
  <r>
    <x v="1"/>
    <x v="13"/>
    <x v="1"/>
    <x v="1"/>
    <x v="3"/>
    <x v="1"/>
    <x v="1"/>
    <n v="1"/>
    <x v="1"/>
    <x v="1"/>
    <n v="26"/>
    <x v="1"/>
    <x v="1"/>
  </r>
  <r>
    <x v="1"/>
    <x v="13"/>
    <x v="1"/>
    <x v="1"/>
    <x v="1"/>
    <x v="1"/>
    <x v="1"/>
    <n v="0.95833333333333337"/>
    <x v="1"/>
    <x v="1"/>
    <n v="24"/>
    <x v="3"/>
    <x v="1"/>
  </r>
  <r>
    <x v="1"/>
    <x v="13"/>
    <x v="1"/>
    <x v="1"/>
    <x v="2"/>
    <x v="1"/>
    <x v="1"/>
    <n v="1"/>
    <x v="1"/>
    <x v="1"/>
    <n v="27"/>
    <x v="3"/>
    <x v="1"/>
  </r>
  <r>
    <x v="1"/>
    <x v="13"/>
    <x v="1"/>
    <x v="1"/>
    <x v="1"/>
    <x v="1"/>
    <x v="1"/>
    <n v="1"/>
    <x v="1"/>
    <x v="1"/>
    <n v="32"/>
    <x v="1"/>
    <x v="1"/>
  </r>
  <r>
    <x v="1"/>
    <x v="13"/>
    <x v="1"/>
    <x v="1"/>
    <x v="6"/>
    <x v="1"/>
    <x v="1"/>
    <n v="1"/>
    <x v="1"/>
    <x v="1"/>
    <n v="7"/>
    <x v="3"/>
    <x v="1"/>
  </r>
  <r>
    <x v="1"/>
    <x v="13"/>
    <x v="1"/>
    <x v="1"/>
    <x v="5"/>
    <x v="1"/>
    <x v="1"/>
    <n v="0.8"/>
    <x v="1"/>
    <x v="1"/>
    <n v="5"/>
    <x v="2"/>
    <x v="1"/>
  </r>
  <r>
    <x v="1"/>
    <x v="13"/>
    <x v="1"/>
    <x v="1"/>
    <x v="4"/>
    <x v="1"/>
    <x v="1"/>
    <n v="1"/>
    <x v="1"/>
    <x v="1"/>
    <n v="43"/>
    <x v="3"/>
    <x v="1"/>
  </r>
  <r>
    <x v="1"/>
    <x v="13"/>
    <x v="1"/>
    <x v="1"/>
    <x v="4"/>
    <x v="1"/>
    <x v="1"/>
    <n v="0.88888888888888884"/>
    <x v="1"/>
    <x v="1"/>
    <n v="9"/>
    <x v="2"/>
    <x v="1"/>
  </r>
  <r>
    <x v="1"/>
    <x v="13"/>
    <x v="1"/>
    <x v="1"/>
    <x v="4"/>
    <x v="1"/>
    <x v="1"/>
    <n v="1"/>
    <x v="1"/>
    <x v="1"/>
    <n v="35"/>
    <x v="1"/>
    <x v="1"/>
  </r>
  <r>
    <x v="1"/>
    <x v="14"/>
    <x v="1"/>
    <x v="1"/>
    <x v="2"/>
    <x v="1"/>
    <x v="1"/>
    <n v="0.93333333333333335"/>
    <x v="1"/>
    <x v="1"/>
    <n v="15"/>
    <x v="1"/>
    <x v="1"/>
  </r>
  <r>
    <x v="1"/>
    <x v="14"/>
    <x v="1"/>
    <x v="1"/>
    <x v="3"/>
    <x v="1"/>
    <x v="1"/>
    <n v="1"/>
    <x v="1"/>
    <x v="1"/>
    <n v="14"/>
    <x v="1"/>
    <x v="1"/>
  </r>
  <r>
    <x v="1"/>
    <x v="14"/>
    <x v="1"/>
    <x v="1"/>
    <x v="1"/>
    <x v="1"/>
    <x v="1"/>
    <n v="0.2857142857142857"/>
    <x v="1"/>
    <x v="1"/>
    <n v="7"/>
    <x v="1"/>
    <x v="1"/>
  </r>
  <r>
    <x v="1"/>
    <x v="14"/>
    <x v="1"/>
    <x v="1"/>
    <x v="2"/>
    <x v="1"/>
    <x v="1"/>
    <n v="1"/>
    <x v="1"/>
    <x v="1"/>
    <n v="5"/>
    <x v="3"/>
    <x v="1"/>
  </r>
  <r>
    <x v="1"/>
    <x v="14"/>
    <x v="1"/>
    <x v="1"/>
    <x v="3"/>
    <x v="1"/>
    <x v="1"/>
    <n v="1"/>
    <x v="1"/>
    <x v="1"/>
    <n v="15"/>
    <x v="3"/>
    <x v="1"/>
  </r>
  <r>
    <x v="1"/>
    <x v="14"/>
    <x v="1"/>
    <x v="1"/>
    <x v="2"/>
    <x v="1"/>
    <x v="1"/>
    <n v="0"/>
    <x v="1"/>
    <x v="1"/>
    <n v="1"/>
    <x v="2"/>
    <x v="1"/>
  </r>
  <r>
    <x v="1"/>
    <x v="14"/>
    <x v="1"/>
    <x v="1"/>
    <x v="6"/>
    <x v="1"/>
    <x v="1"/>
    <n v="0"/>
    <x v="1"/>
    <x v="1"/>
    <n v="5"/>
    <x v="3"/>
    <x v="1"/>
  </r>
  <r>
    <x v="1"/>
    <x v="14"/>
    <x v="1"/>
    <x v="1"/>
    <x v="5"/>
    <x v="1"/>
    <x v="1"/>
    <n v="0"/>
    <x v="1"/>
    <x v="1"/>
    <n v="1"/>
    <x v="2"/>
    <x v="1"/>
  </r>
  <r>
    <x v="1"/>
    <x v="14"/>
    <x v="1"/>
    <x v="1"/>
    <x v="4"/>
    <x v="1"/>
    <x v="1"/>
    <n v="1"/>
    <x v="1"/>
    <x v="1"/>
    <n v="16"/>
    <x v="1"/>
    <x v="1"/>
  </r>
  <r>
    <x v="1"/>
    <x v="14"/>
    <x v="1"/>
    <x v="1"/>
    <x v="4"/>
    <x v="1"/>
    <x v="1"/>
    <n v="1"/>
    <x v="1"/>
    <x v="1"/>
    <n v="19"/>
    <x v="3"/>
    <x v="1"/>
  </r>
  <r>
    <x v="1"/>
    <x v="14"/>
    <x v="1"/>
    <x v="1"/>
    <x v="4"/>
    <x v="1"/>
    <x v="1"/>
    <n v="0.5"/>
    <x v="1"/>
    <x v="1"/>
    <n v="2"/>
    <x v="2"/>
    <x v="1"/>
  </r>
  <r>
    <x v="1"/>
    <x v="14"/>
    <x v="1"/>
    <x v="1"/>
    <x v="3"/>
    <x v="1"/>
    <x v="1"/>
    <n v="1"/>
    <x v="1"/>
    <x v="1"/>
    <n v="1"/>
    <x v="2"/>
    <x v="1"/>
  </r>
  <r>
    <x v="1"/>
    <x v="15"/>
    <x v="1"/>
    <x v="1"/>
    <x v="6"/>
    <x v="1"/>
    <x v="1"/>
    <n v="0"/>
    <x v="1"/>
    <x v="1"/>
    <n v="4"/>
    <x v="3"/>
    <x v="1"/>
  </r>
  <r>
    <x v="1"/>
    <x v="15"/>
    <x v="1"/>
    <x v="1"/>
    <x v="3"/>
    <x v="1"/>
    <x v="1"/>
    <n v="0.9642857142857143"/>
    <x v="1"/>
    <x v="1"/>
    <n v="28"/>
    <x v="3"/>
    <x v="1"/>
  </r>
  <r>
    <x v="1"/>
    <x v="15"/>
    <x v="1"/>
    <x v="1"/>
    <x v="2"/>
    <x v="1"/>
    <x v="1"/>
    <n v="0.95454545454545459"/>
    <x v="1"/>
    <x v="1"/>
    <n v="22"/>
    <x v="3"/>
    <x v="1"/>
  </r>
  <r>
    <x v="1"/>
    <x v="15"/>
    <x v="1"/>
    <x v="1"/>
    <x v="2"/>
    <x v="1"/>
    <x v="1"/>
    <n v="0.967741935483871"/>
    <x v="1"/>
    <x v="1"/>
    <n v="31"/>
    <x v="1"/>
    <x v="1"/>
  </r>
  <r>
    <x v="1"/>
    <x v="15"/>
    <x v="1"/>
    <x v="1"/>
    <x v="3"/>
    <x v="1"/>
    <x v="1"/>
    <n v="0.96551724137931039"/>
    <x v="1"/>
    <x v="1"/>
    <n v="29"/>
    <x v="1"/>
    <x v="1"/>
  </r>
  <r>
    <x v="1"/>
    <x v="15"/>
    <x v="1"/>
    <x v="1"/>
    <x v="1"/>
    <x v="1"/>
    <x v="1"/>
    <n v="0.90322580645161288"/>
    <x v="1"/>
    <x v="1"/>
    <n v="31"/>
    <x v="1"/>
    <x v="1"/>
  </r>
  <r>
    <x v="1"/>
    <x v="15"/>
    <x v="1"/>
    <x v="1"/>
    <x v="1"/>
    <x v="1"/>
    <x v="1"/>
    <n v="1"/>
    <x v="1"/>
    <x v="1"/>
    <n v="21"/>
    <x v="3"/>
    <x v="1"/>
  </r>
  <r>
    <x v="1"/>
    <x v="15"/>
    <x v="1"/>
    <x v="1"/>
    <x v="4"/>
    <x v="1"/>
    <x v="1"/>
    <n v="0.94117647058823528"/>
    <x v="1"/>
    <x v="1"/>
    <n v="34"/>
    <x v="1"/>
    <x v="1"/>
  </r>
  <r>
    <x v="1"/>
    <x v="15"/>
    <x v="1"/>
    <x v="1"/>
    <x v="4"/>
    <x v="1"/>
    <x v="1"/>
    <n v="0.96666666666666667"/>
    <x v="1"/>
    <x v="1"/>
    <n v="30"/>
    <x v="3"/>
    <x v="1"/>
  </r>
  <r>
    <x v="1"/>
    <x v="16"/>
    <x v="1"/>
    <x v="1"/>
    <x v="2"/>
    <x v="1"/>
    <x v="1"/>
    <n v="1"/>
    <x v="1"/>
    <x v="1"/>
    <n v="47"/>
    <x v="1"/>
    <x v="1"/>
  </r>
  <r>
    <x v="1"/>
    <x v="16"/>
    <x v="1"/>
    <x v="1"/>
    <x v="3"/>
    <x v="1"/>
    <x v="1"/>
    <n v="0.96875"/>
    <x v="1"/>
    <x v="1"/>
    <n v="32"/>
    <x v="1"/>
    <x v="1"/>
  </r>
  <r>
    <x v="1"/>
    <x v="16"/>
    <x v="1"/>
    <x v="1"/>
    <x v="3"/>
    <x v="1"/>
    <x v="1"/>
    <n v="1"/>
    <x v="1"/>
    <x v="1"/>
    <n v="15"/>
    <x v="3"/>
    <x v="1"/>
  </r>
  <r>
    <x v="1"/>
    <x v="16"/>
    <x v="1"/>
    <x v="1"/>
    <x v="2"/>
    <x v="1"/>
    <x v="1"/>
    <n v="1"/>
    <x v="1"/>
    <x v="1"/>
    <n v="27"/>
    <x v="3"/>
    <x v="1"/>
  </r>
  <r>
    <x v="1"/>
    <x v="16"/>
    <x v="1"/>
    <x v="1"/>
    <x v="1"/>
    <x v="1"/>
    <x v="1"/>
    <n v="0.91935483870967738"/>
    <x v="1"/>
    <x v="1"/>
    <n v="62"/>
    <x v="1"/>
    <x v="1"/>
  </r>
  <r>
    <x v="1"/>
    <x v="16"/>
    <x v="1"/>
    <x v="1"/>
    <x v="1"/>
    <x v="1"/>
    <x v="1"/>
    <n v="1"/>
    <x v="1"/>
    <x v="1"/>
    <n v="27"/>
    <x v="3"/>
    <x v="1"/>
  </r>
  <r>
    <x v="1"/>
    <x v="16"/>
    <x v="1"/>
    <x v="1"/>
    <x v="1"/>
    <x v="1"/>
    <x v="1"/>
    <n v="1"/>
    <x v="1"/>
    <x v="1"/>
    <n v="18"/>
    <x v="2"/>
    <x v="1"/>
  </r>
  <r>
    <x v="1"/>
    <x v="16"/>
    <x v="1"/>
    <x v="1"/>
    <x v="2"/>
    <x v="1"/>
    <x v="1"/>
    <n v="1"/>
    <x v="1"/>
    <x v="1"/>
    <n v="18"/>
    <x v="2"/>
    <x v="1"/>
  </r>
  <r>
    <x v="1"/>
    <x v="16"/>
    <x v="1"/>
    <x v="1"/>
    <x v="4"/>
    <x v="1"/>
    <x v="1"/>
    <n v="0.97014925373134331"/>
    <x v="1"/>
    <x v="1"/>
    <n v="67"/>
    <x v="1"/>
    <x v="1"/>
  </r>
  <r>
    <x v="1"/>
    <x v="16"/>
    <x v="1"/>
    <x v="1"/>
    <x v="4"/>
    <x v="1"/>
    <x v="1"/>
    <n v="1"/>
    <x v="1"/>
    <x v="1"/>
    <n v="31"/>
    <x v="3"/>
    <x v="1"/>
  </r>
  <r>
    <x v="1"/>
    <x v="16"/>
    <x v="1"/>
    <x v="1"/>
    <x v="4"/>
    <x v="1"/>
    <x v="1"/>
    <n v="1"/>
    <x v="1"/>
    <x v="1"/>
    <n v="18"/>
    <x v="2"/>
    <x v="1"/>
  </r>
  <r>
    <x v="1"/>
    <x v="16"/>
    <x v="1"/>
    <x v="1"/>
    <x v="3"/>
    <x v="1"/>
    <x v="1"/>
    <n v="1"/>
    <x v="1"/>
    <x v="1"/>
    <n v="18"/>
    <x v="2"/>
    <x v="1"/>
  </r>
  <r>
    <x v="1"/>
    <x v="17"/>
    <x v="1"/>
    <x v="1"/>
    <x v="1"/>
    <x v="1"/>
    <x v="1"/>
    <n v="0"/>
    <x v="1"/>
    <x v="1"/>
    <n v="19"/>
    <x v="1"/>
    <x v="1"/>
  </r>
  <r>
    <x v="1"/>
    <x v="17"/>
    <x v="1"/>
    <x v="1"/>
    <x v="2"/>
    <x v="1"/>
    <x v="1"/>
    <n v="0.97142857142857142"/>
    <x v="1"/>
    <x v="1"/>
    <n v="35"/>
    <x v="1"/>
    <x v="1"/>
  </r>
  <r>
    <x v="1"/>
    <x v="17"/>
    <x v="1"/>
    <x v="1"/>
    <x v="2"/>
    <x v="1"/>
    <x v="1"/>
    <n v="1"/>
    <x v="1"/>
    <x v="1"/>
    <n v="26"/>
    <x v="3"/>
    <x v="1"/>
  </r>
  <r>
    <x v="1"/>
    <x v="17"/>
    <x v="1"/>
    <x v="1"/>
    <x v="1"/>
    <x v="1"/>
    <x v="1"/>
    <n v="0.8571428571428571"/>
    <x v="1"/>
    <x v="1"/>
    <n v="14"/>
    <x v="3"/>
    <x v="1"/>
  </r>
  <r>
    <x v="1"/>
    <x v="17"/>
    <x v="1"/>
    <x v="1"/>
    <x v="3"/>
    <x v="1"/>
    <x v="1"/>
    <n v="1"/>
    <x v="1"/>
    <x v="1"/>
    <n v="26"/>
    <x v="3"/>
    <x v="1"/>
  </r>
  <r>
    <x v="1"/>
    <x v="17"/>
    <x v="1"/>
    <x v="1"/>
    <x v="3"/>
    <x v="1"/>
    <x v="1"/>
    <n v="0.96969696969696972"/>
    <x v="1"/>
    <x v="1"/>
    <n v="33"/>
    <x v="1"/>
    <x v="1"/>
  </r>
  <r>
    <x v="1"/>
    <x v="17"/>
    <x v="1"/>
    <x v="1"/>
    <x v="1"/>
    <x v="1"/>
    <x v="1"/>
    <n v="1"/>
    <x v="1"/>
    <x v="1"/>
    <n v="6"/>
    <x v="2"/>
    <x v="1"/>
  </r>
  <r>
    <x v="1"/>
    <x v="17"/>
    <x v="1"/>
    <x v="1"/>
    <x v="5"/>
    <x v="1"/>
    <x v="1"/>
    <n v="1"/>
    <x v="1"/>
    <x v="1"/>
    <n v="6"/>
    <x v="2"/>
    <x v="1"/>
  </r>
  <r>
    <x v="1"/>
    <x v="17"/>
    <x v="1"/>
    <x v="1"/>
    <x v="4"/>
    <x v="1"/>
    <x v="1"/>
    <n v="1"/>
    <x v="1"/>
    <x v="1"/>
    <n v="30"/>
    <x v="3"/>
    <x v="1"/>
  </r>
  <r>
    <x v="1"/>
    <x v="17"/>
    <x v="1"/>
    <x v="1"/>
    <x v="4"/>
    <x v="1"/>
    <x v="1"/>
    <n v="0.97222222222222221"/>
    <x v="1"/>
    <x v="1"/>
    <n v="36"/>
    <x v="1"/>
    <x v="1"/>
  </r>
  <r>
    <x v="1"/>
    <x v="17"/>
    <x v="1"/>
    <x v="1"/>
    <x v="4"/>
    <x v="1"/>
    <x v="1"/>
    <n v="1"/>
    <x v="1"/>
    <x v="1"/>
    <n v="6"/>
    <x v="2"/>
    <x v="1"/>
  </r>
  <r>
    <x v="1"/>
    <x v="18"/>
    <x v="1"/>
    <x v="1"/>
    <x v="2"/>
    <x v="1"/>
    <x v="1"/>
    <n v="1"/>
    <x v="1"/>
    <x v="1"/>
    <n v="31"/>
    <x v="3"/>
    <x v="1"/>
  </r>
  <r>
    <x v="1"/>
    <x v="18"/>
    <x v="1"/>
    <x v="1"/>
    <x v="3"/>
    <x v="1"/>
    <x v="1"/>
    <n v="1"/>
    <x v="1"/>
    <x v="1"/>
    <n v="37"/>
    <x v="3"/>
    <x v="1"/>
  </r>
  <r>
    <x v="1"/>
    <x v="18"/>
    <x v="1"/>
    <x v="1"/>
    <x v="1"/>
    <x v="1"/>
    <x v="1"/>
    <n v="0.83333333333333337"/>
    <x v="1"/>
    <x v="1"/>
    <n v="30"/>
    <x v="3"/>
    <x v="1"/>
  </r>
  <r>
    <x v="1"/>
    <x v="18"/>
    <x v="1"/>
    <x v="1"/>
    <x v="3"/>
    <x v="1"/>
    <x v="1"/>
    <n v="0.90909090909090906"/>
    <x v="1"/>
    <x v="1"/>
    <n v="11"/>
    <x v="1"/>
    <x v="1"/>
  </r>
  <r>
    <x v="1"/>
    <x v="18"/>
    <x v="1"/>
    <x v="1"/>
    <x v="2"/>
    <x v="1"/>
    <x v="1"/>
    <n v="0.8125"/>
    <x v="1"/>
    <x v="1"/>
    <n v="16"/>
    <x v="1"/>
    <x v="1"/>
  </r>
  <r>
    <x v="1"/>
    <x v="18"/>
    <x v="1"/>
    <x v="1"/>
    <x v="5"/>
    <x v="1"/>
    <x v="1"/>
    <n v="0.7142857142857143"/>
    <x v="1"/>
    <x v="1"/>
    <n v="7"/>
    <x v="2"/>
    <x v="1"/>
  </r>
  <r>
    <x v="1"/>
    <x v="18"/>
    <x v="1"/>
    <x v="1"/>
    <x v="6"/>
    <x v="1"/>
    <x v="1"/>
    <n v="1"/>
    <x v="1"/>
    <x v="1"/>
    <n v="7"/>
    <x v="3"/>
    <x v="1"/>
  </r>
  <r>
    <x v="1"/>
    <x v="18"/>
    <x v="1"/>
    <x v="1"/>
    <x v="1"/>
    <x v="1"/>
    <x v="1"/>
    <n v="0"/>
    <x v="1"/>
    <x v="1"/>
    <n v="1"/>
    <x v="2"/>
    <x v="1"/>
  </r>
  <r>
    <x v="1"/>
    <x v="18"/>
    <x v="1"/>
    <x v="1"/>
    <x v="1"/>
    <x v="1"/>
    <x v="1"/>
    <n v="1"/>
    <x v="1"/>
    <x v="1"/>
    <n v="13"/>
    <x v="1"/>
    <x v="1"/>
  </r>
  <r>
    <x v="1"/>
    <x v="18"/>
    <x v="1"/>
    <x v="1"/>
    <x v="4"/>
    <x v="1"/>
    <x v="1"/>
    <n v="1"/>
    <x v="1"/>
    <x v="1"/>
    <n v="47"/>
    <x v="3"/>
    <x v="1"/>
  </r>
  <r>
    <x v="1"/>
    <x v="18"/>
    <x v="1"/>
    <x v="1"/>
    <x v="4"/>
    <x v="1"/>
    <x v="1"/>
    <n v="0.94444444444444442"/>
    <x v="1"/>
    <x v="1"/>
    <n v="18"/>
    <x v="1"/>
    <x v="1"/>
  </r>
  <r>
    <x v="1"/>
    <x v="18"/>
    <x v="1"/>
    <x v="1"/>
    <x v="4"/>
    <x v="1"/>
    <x v="1"/>
    <n v="1"/>
    <x v="1"/>
    <x v="1"/>
    <n v="3"/>
    <x v="2"/>
    <x v="1"/>
  </r>
  <r>
    <x v="1"/>
    <x v="19"/>
    <x v="1"/>
    <x v="1"/>
    <x v="6"/>
    <x v="1"/>
    <x v="1"/>
    <n v="0"/>
    <x v="1"/>
    <x v="1"/>
    <n v="4"/>
    <x v="3"/>
    <x v="1"/>
  </r>
  <r>
    <x v="1"/>
    <x v="19"/>
    <x v="1"/>
    <x v="1"/>
    <x v="1"/>
    <x v="1"/>
    <x v="1"/>
    <n v="0.97499999999999998"/>
    <x v="1"/>
    <x v="1"/>
    <n v="40"/>
    <x v="3"/>
    <x v="1"/>
  </r>
  <r>
    <x v="1"/>
    <x v="19"/>
    <x v="1"/>
    <x v="1"/>
    <x v="3"/>
    <x v="1"/>
    <x v="1"/>
    <n v="0.98333333333333328"/>
    <x v="1"/>
    <x v="1"/>
    <n v="60"/>
    <x v="3"/>
    <x v="1"/>
  </r>
  <r>
    <x v="1"/>
    <x v="19"/>
    <x v="1"/>
    <x v="1"/>
    <x v="2"/>
    <x v="1"/>
    <x v="1"/>
    <n v="1"/>
    <x v="1"/>
    <x v="1"/>
    <n v="19"/>
    <x v="1"/>
    <x v="1"/>
  </r>
  <r>
    <x v="1"/>
    <x v="19"/>
    <x v="1"/>
    <x v="1"/>
    <x v="3"/>
    <x v="1"/>
    <x v="1"/>
    <n v="0.94117647058823528"/>
    <x v="1"/>
    <x v="1"/>
    <n v="17"/>
    <x v="1"/>
    <x v="1"/>
  </r>
  <r>
    <x v="1"/>
    <x v="19"/>
    <x v="1"/>
    <x v="1"/>
    <x v="1"/>
    <x v="1"/>
    <x v="1"/>
    <n v="1"/>
    <x v="1"/>
    <x v="1"/>
    <n v="14"/>
    <x v="1"/>
    <x v="1"/>
  </r>
  <r>
    <x v="1"/>
    <x v="19"/>
    <x v="1"/>
    <x v="1"/>
    <x v="2"/>
    <x v="1"/>
    <x v="1"/>
    <n v="1"/>
    <x v="1"/>
    <x v="1"/>
    <n v="47"/>
    <x v="3"/>
    <x v="1"/>
  </r>
  <r>
    <x v="1"/>
    <x v="19"/>
    <x v="1"/>
    <x v="1"/>
    <x v="1"/>
    <x v="1"/>
    <x v="1"/>
    <n v="1"/>
    <x v="1"/>
    <x v="1"/>
    <n v="17"/>
    <x v="2"/>
    <x v="1"/>
  </r>
  <r>
    <x v="1"/>
    <x v="19"/>
    <x v="1"/>
    <x v="1"/>
    <x v="2"/>
    <x v="1"/>
    <x v="1"/>
    <n v="1"/>
    <x v="1"/>
    <x v="1"/>
    <n v="11"/>
    <x v="2"/>
    <x v="1"/>
  </r>
  <r>
    <x v="1"/>
    <x v="19"/>
    <x v="1"/>
    <x v="1"/>
    <x v="3"/>
    <x v="1"/>
    <x v="1"/>
    <n v="1"/>
    <x v="1"/>
    <x v="1"/>
    <n v="10"/>
    <x v="2"/>
    <x v="1"/>
  </r>
  <r>
    <x v="1"/>
    <x v="19"/>
    <x v="1"/>
    <x v="1"/>
    <x v="5"/>
    <x v="1"/>
    <x v="1"/>
    <n v="1"/>
    <x v="1"/>
    <x v="1"/>
    <n v="2"/>
    <x v="1"/>
    <x v="1"/>
  </r>
  <r>
    <x v="1"/>
    <x v="19"/>
    <x v="1"/>
    <x v="1"/>
    <x v="4"/>
    <x v="1"/>
    <x v="1"/>
    <n v="0.98461538461538467"/>
    <x v="1"/>
    <x v="1"/>
    <n v="65"/>
    <x v="3"/>
    <x v="1"/>
  </r>
  <r>
    <x v="1"/>
    <x v="19"/>
    <x v="1"/>
    <x v="1"/>
    <x v="4"/>
    <x v="1"/>
    <x v="1"/>
    <n v="0.95652173913043481"/>
    <x v="1"/>
    <x v="1"/>
    <n v="23"/>
    <x v="1"/>
    <x v="1"/>
  </r>
  <r>
    <x v="1"/>
    <x v="19"/>
    <x v="1"/>
    <x v="1"/>
    <x v="4"/>
    <x v="1"/>
    <x v="1"/>
    <n v="1"/>
    <x v="1"/>
    <x v="1"/>
    <n v="17"/>
    <x v="2"/>
    <x v="1"/>
  </r>
  <r>
    <x v="1"/>
    <x v="20"/>
    <x v="1"/>
    <x v="1"/>
    <x v="2"/>
    <x v="1"/>
    <x v="1"/>
    <n v="1"/>
    <x v="1"/>
    <x v="1"/>
    <n v="19"/>
    <x v="2"/>
    <x v="1"/>
  </r>
  <r>
    <x v="1"/>
    <x v="20"/>
    <x v="1"/>
    <x v="1"/>
    <x v="3"/>
    <x v="1"/>
    <x v="1"/>
    <n v="1"/>
    <x v="1"/>
    <x v="1"/>
    <n v="18"/>
    <x v="2"/>
    <x v="1"/>
  </r>
  <r>
    <x v="1"/>
    <x v="20"/>
    <x v="1"/>
    <x v="1"/>
    <x v="1"/>
    <x v="1"/>
    <x v="1"/>
    <n v="0.94444444444444442"/>
    <x v="1"/>
    <x v="1"/>
    <n v="18"/>
    <x v="2"/>
    <x v="1"/>
  </r>
  <r>
    <x v="1"/>
    <x v="20"/>
    <x v="1"/>
    <x v="1"/>
    <x v="3"/>
    <x v="1"/>
    <x v="1"/>
    <n v="0.97435897435897434"/>
    <x v="1"/>
    <x v="1"/>
    <n v="39"/>
    <x v="3"/>
    <x v="1"/>
  </r>
  <r>
    <x v="1"/>
    <x v="20"/>
    <x v="1"/>
    <x v="1"/>
    <x v="2"/>
    <x v="1"/>
    <x v="1"/>
    <n v="0.75"/>
    <x v="1"/>
    <x v="1"/>
    <n v="4"/>
    <x v="1"/>
    <x v="1"/>
  </r>
  <r>
    <x v="1"/>
    <x v="20"/>
    <x v="1"/>
    <x v="1"/>
    <x v="3"/>
    <x v="1"/>
    <x v="1"/>
    <n v="0.8571428571428571"/>
    <x v="1"/>
    <x v="1"/>
    <n v="7"/>
    <x v="1"/>
    <x v="1"/>
  </r>
  <r>
    <x v="1"/>
    <x v="20"/>
    <x v="1"/>
    <x v="1"/>
    <x v="1"/>
    <x v="1"/>
    <x v="1"/>
    <n v="0.96969696969696972"/>
    <x v="1"/>
    <x v="1"/>
    <n v="33"/>
    <x v="3"/>
    <x v="1"/>
  </r>
  <r>
    <x v="1"/>
    <x v="20"/>
    <x v="1"/>
    <x v="1"/>
    <x v="2"/>
    <x v="1"/>
    <x v="1"/>
    <n v="1"/>
    <x v="1"/>
    <x v="1"/>
    <n v="35"/>
    <x v="3"/>
    <x v="1"/>
  </r>
  <r>
    <x v="1"/>
    <x v="20"/>
    <x v="1"/>
    <x v="1"/>
    <x v="1"/>
    <x v="1"/>
    <x v="1"/>
    <n v="1"/>
    <x v="1"/>
    <x v="1"/>
    <n v="3"/>
    <x v="1"/>
    <x v="1"/>
  </r>
  <r>
    <x v="1"/>
    <x v="20"/>
    <x v="1"/>
    <x v="1"/>
    <x v="5"/>
    <x v="1"/>
    <x v="1"/>
    <n v="1"/>
    <x v="1"/>
    <x v="1"/>
    <n v="5"/>
    <x v="1"/>
    <x v="1"/>
  </r>
  <r>
    <x v="1"/>
    <x v="20"/>
    <x v="1"/>
    <x v="1"/>
    <x v="4"/>
    <x v="1"/>
    <x v="1"/>
    <n v="1"/>
    <x v="1"/>
    <x v="1"/>
    <n v="19"/>
    <x v="2"/>
    <x v="1"/>
  </r>
  <r>
    <x v="1"/>
    <x v="20"/>
    <x v="1"/>
    <x v="1"/>
    <x v="4"/>
    <x v="1"/>
    <x v="1"/>
    <n v="0.98275862068965514"/>
    <x v="1"/>
    <x v="1"/>
    <n v="58"/>
    <x v="3"/>
    <x v="1"/>
  </r>
  <r>
    <x v="1"/>
    <x v="20"/>
    <x v="1"/>
    <x v="1"/>
    <x v="4"/>
    <x v="1"/>
    <x v="1"/>
    <n v="0.91666666666666663"/>
    <x v="1"/>
    <x v="1"/>
    <n v="12"/>
    <x v="1"/>
    <x v="1"/>
  </r>
  <r>
    <x v="1"/>
    <x v="20"/>
    <x v="1"/>
    <x v="1"/>
    <x v="6"/>
    <x v="1"/>
    <x v="1"/>
    <n v="1"/>
    <x v="1"/>
    <x v="1"/>
    <n v="5"/>
    <x v="2"/>
    <x v="1"/>
  </r>
  <r>
    <x v="1"/>
    <x v="21"/>
    <x v="1"/>
    <x v="1"/>
    <x v="3"/>
    <x v="1"/>
    <x v="1"/>
    <n v="1"/>
    <x v="1"/>
    <x v="1"/>
    <n v="44"/>
    <x v="1"/>
    <x v="2"/>
  </r>
  <r>
    <x v="1"/>
    <x v="21"/>
    <x v="1"/>
    <x v="1"/>
    <x v="3"/>
    <x v="1"/>
    <x v="1"/>
    <n v="0.96875"/>
    <x v="1"/>
    <x v="1"/>
    <n v="32"/>
    <x v="3"/>
    <x v="2"/>
  </r>
  <r>
    <x v="1"/>
    <x v="21"/>
    <x v="1"/>
    <x v="1"/>
    <x v="2"/>
    <x v="1"/>
    <x v="1"/>
    <n v="0.83333333333333337"/>
    <x v="1"/>
    <x v="1"/>
    <n v="24"/>
    <x v="3"/>
    <x v="2"/>
  </r>
  <r>
    <x v="1"/>
    <x v="21"/>
    <x v="1"/>
    <x v="1"/>
    <x v="1"/>
    <x v="1"/>
    <x v="1"/>
    <n v="0.83333333333333337"/>
    <x v="1"/>
    <x v="1"/>
    <n v="6"/>
    <x v="3"/>
    <x v="2"/>
  </r>
  <r>
    <x v="1"/>
    <x v="21"/>
    <x v="1"/>
    <x v="1"/>
    <x v="2"/>
    <x v="1"/>
    <x v="1"/>
    <n v="1"/>
    <x v="1"/>
    <x v="1"/>
    <n v="6"/>
    <x v="2"/>
    <x v="2"/>
  </r>
  <r>
    <x v="1"/>
    <x v="21"/>
    <x v="1"/>
    <x v="1"/>
    <x v="3"/>
    <x v="1"/>
    <x v="1"/>
    <n v="1"/>
    <x v="1"/>
    <x v="1"/>
    <n v="6"/>
    <x v="2"/>
    <x v="2"/>
  </r>
  <r>
    <x v="1"/>
    <x v="21"/>
    <x v="1"/>
    <x v="1"/>
    <x v="1"/>
    <x v="1"/>
    <x v="1"/>
    <n v="1"/>
    <x v="1"/>
    <x v="1"/>
    <n v="5"/>
    <x v="2"/>
    <x v="2"/>
  </r>
  <r>
    <x v="1"/>
    <x v="21"/>
    <x v="1"/>
    <x v="1"/>
    <x v="1"/>
    <x v="1"/>
    <x v="1"/>
    <n v="1"/>
    <x v="1"/>
    <x v="1"/>
    <n v="90"/>
    <x v="1"/>
    <x v="2"/>
  </r>
  <r>
    <x v="1"/>
    <x v="21"/>
    <x v="1"/>
    <x v="1"/>
    <x v="2"/>
    <x v="1"/>
    <x v="1"/>
    <n v="1"/>
    <x v="1"/>
    <x v="1"/>
    <n v="54"/>
    <x v="1"/>
    <x v="2"/>
  </r>
  <r>
    <x v="1"/>
    <x v="21"/>
    <x v="1"/>
    <x v="1"/>
    <x v="6"/>
    <x v="1"/>
    <x v="1"/>
    <n v="0"/>
    <x v="1"/>
    <x v="1"/>
    <n v="5"/>
    <x v="2"/>
    <x v="2"/>
  </r>
  <r>
    <x v="1"/>
    <x v="21"/>
    <x v="1"/>
    <x v="1"/>
    <x v="4"/>
    <x v="1"/>
    <x v="1"/>
    <n v="0.54545454545454541"/>
    <x v="1"/>
    <x v="1"/>
    <n v="11"/>
    <x v="2"/>
    <x v="2"/>
  </r>
  <r>
    <x v="1"/>
    <x v="21"/>
    <x v="1"/>
    <x v="1"/>
    <x v="4"/>
    <x v="1"/>
    <x v="1"/>
    <n v="0.97058823529411764"/>
    <x v="1"/>
    <x v="1"/>
    <n v="34"/>
    <x v="3"/>
    <x v="2"/>
  </r>
  <r>
    <x v="1"/>
    <x v="21"/>
    <x v="1"/>
    <x v="1"/>
    <x v="4"/>
    <x v="1"/>
    <x v="1"/>
    <n v="1"/>
    <x v="1"/>
    <x v="1"/>
    <n v="91"/>
    <x v="1"/>
    <x v="2"/>
  </r>
  <r>
    <x v="1"/>
    <x v="22"/>
    <x v="1"/>
    <x v="1"/>
    <x v="2"/>
    <x v="1"/>
    <x v="1"/>
    <n v="1"/>
    <x v="1"/>
    <x v="1"/>
    <n v="30"/>
    <x v="1"/>
    <x v="2"/>
  </r>
  <r>
    <x v="1"/>
    <x v="22"/>
    <x v="1"/>
    <x v="1"/>
    <x v="3"/>
    <x v="1"/>
    <x v="1"/>
    <n v="1"/>
    <x v="1"/>
    <x v="1"/>
    <n v="29"/>
    <x v="1"/>
    <x v="2"/>
  </r>
  <r>
    <x v="1"/>
    <x v="22"/>
    <x v="1"/>
    <x v="1"/>
    <x v="6"/>
    <x v="1"/>
    <x v="1"/>
    <n v="0"/>
    <x v="1"/>
    <x v="1"/>
    <n v="5"/>
    <x v="2"/>
    <x v="2"/>
  </r>
  <r>
    <x v="1"/>
    <x v="22"/>
    <x v="1"/>
    <x v="1"/>
    <x v="3"/>
    <x v="1"/>
    <x v="1"/>
    <n v="0.4"/>
    <x v="1"/>
    <x v="1"/>
    <n v="5"/>
    <x v="2"/>
    <x v="2"/>
  </r>
  <r>
    <x v="1"/>
    <x v="22"/>
    <x v="1"/>
    <x v="1"/>
    <x v="3"/>
    <x v="1"/>
    <x v="1"/>
    <n v="1"/>
    <x v="1"/>
    <x v="1"/>
    <n v="14"/>
    <x v="3"/>
    <x v="2"/>
  </r>
  <r>
    <x v="1"/>
    <x v="22"/>
    <x v="1"/>
    <x v="1"/>
    <x v="2"/>
    <x v="1"/>
    <x v="1"/>
    <n v="0"/>
    <x v="1"/>
    <x v="1"/>
    <n v="2"/>
    <x v="3"/>
    <x v="2"/>
  </r>
  <r>
    <x v="1"/>
    <x v="22"/>
    <x v="1"/>
    <x v="1"/>
    <x v="1"/>
    <x v="1"/>
    <x v="1"/>
    <n v="0.24"/>
    <x v="1"/>
    <x v="1"/>
    <n v="50"/>
    <x v="1"/>
    <x v="2"/>
  </r>
  <r>
    <x v="1"/>
    <x v="22"/>
    <x v="1"/>
    <x v="1"/>
    <x v="4"/>
    <x v="1"/>
    <x v="1"/>
    <n v="0.66666666666666663"/>
    <x v="1"/>
    <x v="1"/>
    <n v="75"/>
    <x v="1"/>
    <x v="2"/>
  </r>
  <r>
    <x v="1"/>
    <x v="22"/>
    <x v="1"/>
    <x v="1"/>
    <x v="4"/>
    <x v="1"/>
    <x v="1"/>
    <n v="0.4"/>
    <x v="1"/>
    <x v="1"/>
    <n v="5"/>
    <x v="2"/>
    <x v="2"/>
  </r>
  <r>
    <x v="1"/>
    <x v="22"/>
    <x v="1"/>
    <x v="1"/>
    <x v="4"/>
    <x v="1"/>
    <x v="1"/>
    <n v="1"/>
    <x v="1"/>
    <x v="1"/>
    <n v="14"/>
    <x v="3"/>
    <x v="2"/>
  </r>
  <r>
    <x v="1"/>
    <x v="23"/>
    <x v="2"/>
    <x v="1"/>
    <x v="3"/>
    <x v="1"/>
    <x v="1"/>
    <n v="1"/>
    <x v="1"/>
    <x v="1"/>
    <n v="4"/>
    <x v="3"/>
    <x v="2"/>
  </r>
  <r>
    <x v="1"/>
    <x v="23"/>
    <x v="2"/>
    <x v="1"/>
    <x v="1"/>
    <x v="1"/>
    <x v="1"/>
    <n v="0"/>
    <x v="1"/>
    <x v="1"/>
    <n v="31"/>
    <x v="1"/>
    <x v="2"/>
  </r>
  <r>
    <x v="1"/>
    <x v="23"/>
    <x v="2"/>
    <x v="1"/>
    <x v="3"/>
    <x v="1"/>
    <x v="1"/>
    <n v="1"/>
    <x v="1"/>
    <x v="1"/>
    <n v="58"/>
    <x v="1"/>
    <x v="2"/>
  </r>
  <r>
    <x v="1"/>
    <x v="23"/>
    <x v="2"/>
    <x v="1"/>
    <x v="2"/>
    <x v="1"/>
    <x v="1"/>
    <n v="0.21739130434782608"/>
    <x v="1"/>
    <x v="1"/>
    <n v="46"/>
    <x v="1"/>
    <x v="2"/>
  </r>
  <r>
    <x v="1"/>
    <x v="23"/>
    <x v="2"/>
    <x v="1"/>
    <x v="3"/>
    <x v="1"/>
    <x v="1"/>
    <n v="0.8571428571428571"/>
    <x v="1"/>
    <x v="1"/>
    <n v="7"/>
    <x v="2"/>
    <x v="2"/>
  </r>
  <r>
    <x v="1"/>
    <x v="23"/>
    <x v="2"/>
    <x v="1"/>
    <x v="1"/>
    <x v="1"/>
    <x v="1"/>
    <n v="1"/>
    <x v="1"/>
    <x v="1"/>
    <n v="2"/>
    <x v="3"/>
    <x v="2"/>
  </r>
  <r>
    <x v="1"/>
    <x v="23"/>
    <x v="2"/>
    <x v="1"/>
    <x v="2"/>
    <x v="1"/>
    <x v="1"/>
    <n v="1"/>
    <x v="1"/>
    <x v="1"/>
    <n v="2"/>
    <x v="3"/>
    <x v="2"/>
  </r>
  <r>
    <x v="1"/>
    <x v="23"/>
    <x v="2"/>
    <x v="1"/>
    <x v="1"/>
    <x v="1"/>
    <x v="1"/>
    <n v="1"/>
    <x v="1"/>
    <x v="1"/>
    <n v="6"/>
    <x v="2"/>
    <x v="2"/>
  </r>
  <r>
    <x v="1"/>
    <x v="23"/>
    <x v="2"/>
    <x v="1"/>
    <x v="2"/>
    <x v="1"/>
    <x v="1"/>
    <n v="1"/>
    <x v="1"/>
    <x v="1"/>
    <n v="6"/>
    <x v="2"/>
    <x v="2"/>
  </r>
  <r>
    <x v="1"/>
    <x v="23"/>
    <x v="2"/>
    <x v="1"/>
    <x v="4"/>
    <x v="1"/>
    <x v="1"/>
    <n v="1"/>
    <x v="1"/>
    <x v="1"/>
    <n v="4"/>
    <x v="3"/>
    <x v="2"/>
  </r>
  <r>
    <x v="1"/>
    <x v="23"/>
    <x v="2"/>
    <x v="1"/>
    <x v="4"/>
    <x v="1"/>
    <x v="1"/>
    <n v="0.87878787878787878"/>
    <x v="1"/>
    <x v="1"/>
    <n v="66"/>
    <x v="1"/>
    <x v="2"/>
  </r>
  <r>
    <x v="1"/>
    <x v="23"/>
    <x v="2"/>
    <x v="1"/>
    <x v="4"/>
    <x v="1"/>
    <x v="1"/>
    <n v="0.8571428571428571"/>
    <x v="1"/>
    <x v="1"/>
    <n v="7"/>
    <x v="2"/>
    <x v="2"/>
  </r>
  <r>
    <x v="1"/>
    <x v="24"/>
    <x v="2"/>
    <x v="1"/>
    <x v="3"/>
    <x v="1"/>
    <x v="1"/>
    <n v="0.46"/>
    <x v="1"/>
    <x v="1"/>
    <n v="50"/>
    <x v="1"/>
    <x v="2"/>
  </r>
  <r>
    <x v="1"/>
    <x v="24"/>
    <x v="2"/>
    <x v="1"/>
    <x v="2"/>
    <x v="1"/>
    <x v="1"/>
    <n v="0.57894736842105265"/>
    <x v="1"/>
    <x v="1"/>
    <n v="19"/>
    <x v="1"/>
    <x v="2"/>
  </r>
  <r>
    <x v="1"/>
    <x v="24"/>
    <x v="2"/>
    <x v="1"/>
    <x v="1"/>
    <x v="1"/>
    <x v="1"/>
    <n v="1"/>
    <x v="1"/>
    <x v="1"/>
    <n v="8"/>
    <x v="3"/>
    <x v="2"/>
  </r>
  <r>
    <x v="1"/>
    <x v="24"/>
    <x v="2"/>
    <x v="1"/>
    <x v="2"/>
    <x v="1"/>
    <x v="1"/>
    <n v="1"/>
    <x v="1"/>
    <x v="1"/>
    <n v="8"/>
    <x v="3"/>
    <x v="2"/>
  </r>
  <r>
    <x v="1"/>
    <x v="24"/>
    <x v="2"/>
    <x v="1"/>
    <x v="3"/>
    <x v="1"/>
    <x v="1"/>
    <n v="1"/>
    <x v="1"/>
    <x v="1"/>
    <n v="8"/>
    <x v="3"/>
    <x v="2"/>
  </r>
  <r>
    <x v="1"/>
    <x v="24"/>
    <x v="2"/>
    <x v="1"/>
    <x v="1"/>
    <x v="1"/>
    <x v="1"/>
    <n v="1"/>
    <x v="1"/>
    <x v="1"/>
    <n v="10"/>
    <x v="1"/>
    <x v="2"/>
  </r>
  <r>
    <x v="1"/>
    <x v="24"/>
    <x v="2"/>
    <x v="1"/>
    <x v="1"/>
    <x v="1"/>
    <x v="1"/>
    <n v="1"/>
    <x v="1"/>
    <x v="1"/>
    <n v="6"/>
    <x v="2"/>
    <x v="2"/>
  </r>
  <r>
    <x v="1"/>
    <x v="24"/>
    <x v="2"/>
    <x v="1"/>
    <x v="5"/>
    <x v="1"/>
    <x v="1"/>
    <n v="1"/>
    <x v="1"/>
    <x v="1"/>
    <n v="6"/>
    <x v="2"/>
    <x v="2"/>
  </r>
  <r>
    <x v="1"/>
    <x v="24"/>
    <x v="2"/>
    <x v="1"/>
    <x v="4"/>
    <x v="1"/>
    <x v="1"/>
    <n v="0.48148148148148145"/>
    <x v="1"/>
    <x v="1"/>
    <n v="54"/>
    <x v="1"/>
    <x v="2"/>
  </r>
  <r>
    <x v="1"/>
    <x v="24"/>
    <x v="2"/>
    <x v="1"/>
    <x v="4"/>
    <x v="1"/>
    <x v="1"/>
    <n v="1"/>
    <x v="1"/>
    <x v="1"/>
    <n v="8"/>
    <x v="3"/>
    <x v="2"/>
  </r>
  <r>
    <x v="1"/>
    <x v="24"/>
    <x v="2"/>
    <x v="1"/>
    <x v="4"/>
    <x v="1"/>
    <x v="1"/>
    <n v="1"/>
    <x v="1"/>
    <x v="1"/>
    <n v="6"/>
    <x v="2"/>
    <x v="2"/>
  </r>
  <r>
    <x v="1"/>
    <x v="24"/>
    <x v="2"/>
    <x v="1"/>
    <x v="6"/>
    <x v="1"/>
    <x v="1"/>
    <n v="1"/>
    <x v="1"/>
    <x v="1"/>
    <n v="6"/>
    <x v="3"/>
    <x v="2"/>
  </r>
  <r>
    <x v="1"/>
    <x v="25"/>
    <x v="2"/>
    <x v="1"/>
    <x v="2"/>
    <x v="1"/>
    <x v="1"/>
    <n v="0.8"/>
    <x v="1"/>
    <x v="1"/>
    <n v="15"/>
    <x v="1"/>
    <x v="2"/>
  </r>
  <r>
    <x v="1"/>
    <x v="25"/>
    <x v="2"/>
    <x v="1"/>
    <x v="3"/>
    <x v="1"/>
    <x v="1"/>
    <n v="0.17241379310344829"/>
    <x v="1"/>
    <x v="1"/>
    <n v="29"/>
    <x v="1"/>
    <x v="2"/>
  </r>
  <r>
    <x v="1"/>
    <x v="25"/>
    <x v="2"/>
    <x v="1"/>
    <x v="1"/>
    <x v="1"/>
    <x v="1"/>
    <n v="0.92307692307692313"/>
    <x v="1"/>
    <x v="1"/>
    <n v="13"/>
    <x v="1"/>
    <x v="2"/>
  </r>
  <r>
    <x v="1"/>
    <x v="25"/>
    <x v="2"/>
    <x v="1"/>
    <x v="1"/>
    <x v="1"/>
    <x v="1"/>
    <n v="0.625"/>
    <x v="1"/>
    <x v="1"/>
    <n v="16"/>
    <x v="2"/>
    <x v="2"/>
  </r>
  <r>
    <x v="1"/>
    <x v="25"/>
    <x v="2"/>
    <x v="1"/>
    <x v="2"/>
    <x v="1"/>
    <x v="1"/>
    <n v="1"/>
    <x v="1"/>
    <x v="1"/>
    <n v="15"/>
    <x v="2"/>
    <x v="2"/>
  </r>
  <r>
    <x v="1"/>
    <x v="25"/>
    <x v="2"/>
    <x v="1"/>
    <x v="3"/>
    <x v="1"/>
    <x v="1"/>
    <n v="1"/>
    <x v="1"/>
    <x v="1"/>
    <n v="11"/>
    <x v="2"/>
    <x v="2"/>
  </r>
  <r>
    <x v="1"/>
    <x v="25"/>
    <x v="2"/>
    <x v="1"/>
    <x v="6"/>
    <x v="1"/>
    <x v="1"/>
    <n v="1"/>
    <x v="1"/>
    <x v="1"/>
    <n v="7"/>
    <x v="3"/>
    <x v="2"/>
  </r>
  <r>
    <x v="1"/>
    <x v="25"/>
    <x v="2"/>
    <x v="1"/>
    <x v="3"/>
    <x v="1"/>
    <x v="1"/>
    <n v="1"/>
    <x v="1"/>
    <x v="1"/>
    <n v="15"/>
    <x v="3"/>
    <x v="2"/>
  </r>
  <r>
    <x v="1"/>
    <x v="25"/>
    <x v="2"/>
    <x v="1"/>
    <x v="1"/>
    <x v="1"/>
    <x v="1"/>
    <n v="1"/>
    <x v="1"/>
    <x v="1"/>
    <n v="9"/>
    <x v="3"/>
    <x v="2"/>
  </r>
  <r>
    <x v="1"/>
    <x v="25"/>
    <x v="2"/>
    <x v="1"/>
    <x v="2"/>
    <x v="1"/>
    <x v="1"/>
    <n v="1"/>
    <x v="1"/>
    <x v="1"/>
    <n v="9"/>
    <x v="3"/>
    <x v="2"/>
  </r>
  <r>
    <x v="1"/>
    <x v="25"/>
    <x v="2"/>
    <x v="1"/>
    <x v="5"/>
    <x v="1"/>
    <x v="1"/>
    <n v="1"/>
    <x v="1"/>
    <x v="1"/>
    <n v="1"/>
    <x v="2"/>
    <x v="2"/>
  </r>
  <r>
    <x v="1"/>
    <x v="25"/>
    <x v="2"/>
    <x v="1"/>
    <x v="4"/>
    <x v="1"/>
    <x v="1"/>
    <n v="0.36842105263157893"/>
    <x v="1"/>
    <x v="1"/>
    <n v="38"/>
    <x v="1"/>
    <x v="2"/>
  </r>
  <r>
    <x v="1"/>
    <x v="25"/>
    <x v="2"/>
    <x v="1"/>
    <x v="4"/>
    <x v="1"/>
    <x v="1"/>
    <n v="1"/>
    <x v="1"/>
    <x v="1"/>
    <n v="15"/>
    <x v="2"/>
    <x v="2"/>
  </r>
  <r>
    <x v="1"/>
    <x v="25"/>
    <x v="2"/>
    <x v="1"/>
    <x v="4"/>
    <x v="1"/>
    <x v="1"/>
    <n v="1"/>
    <x v="1"/>
    <x v="1"/>
    <n v="16"/>
    <x v="3"/>
    <x v="2"/>
  </r>
  <r>
    <x v="1"/>
    <x v="26"/>
    <x v="2"/>
    <x v="1"/>
    <x v="2"/>
    <x v="1"/>
    <x v="1"/>
    <n v="0.86363636363636365"/>
    <x v="1"/>
    <x v="1"/>
    <n v="22"/>
    <x v="1"/>
    <x v="2"/>
  </r>
  <r>
    <x v="1"/>
    <x v="26"/>
    <x v="2"/>
    <x v="1"/>
    <x v="3"/>
    <x v="1"/>
    <x v="1"/>
    <n v="1"/>
    <x v="1"/>
    <x v="1"/>
    <n v="35"/>
    <x v="3"/>
    <x v="2"/>
  </r>
  <r>
    <x v="1"/>
    <x v="26"/>
    <x v="2"/>
    <x v="1"/>
    <x v="3"/>
    <x v="1"/>
    <x v="1"/>
    <n v="0.3235294117647059"/>
    <x v="1"/>
    <x v="1"/>
    <n v="34"/>
    <x v="1"/>
    <x v="2"/>
  </r>
  <r>
    <x v="1"/>
    <x v="26"/>
    <x v="2"/>
    <x v="1"/>
    <x v="2"/>
    <x v="1"/>
    <x v="1"/>
    <n v="0.75"/>
    <x v="1"/>
    <x v="1"/>
    <n v="8"/>
    <x v="2"/>
    <x v="2"/>
  </r>
  <r>
    <x v="1"/>
    <x v="26"/>
    <x v="2"/>
    <x v="1"/>
    <x v="1"/>
    <x v="1"/>
    <x v="1"/>
    <n v="0.5"/>
    <x v="1"/>
    <x v="1"/>
    <n v="12"/>
    <x v="1"/>
    <x v="2"/>
  </r>
  <r>
    <x v="1"/>
    <x v="26"/>
    <x v="2"/>
    <x v="1"/>
    <x v="6"/>
    <x v="1"/>
    <x v="1"/>
    <n v="1"/>
    <x v="1"/>
    <x v="1"/>
    <n v="1"/>
    <x v="3"/>
    <x v="2"/>
  </r>
  <r>
    <x v="1"/>
    <x v="26"/>
    <x v="2"/>
    <x v="1"/>
    <x v="1"/>
    <x v="1"/>
    <x v="1"/>
    <n v="1"/>
    <x v="1"/>
    <x v="1"/>
    <n v="73"/>
    <x v="3"/>
    <x v="2"/>
  </r>
  <r>
    <x v="1"/>
    <x v="26"/>
    <x v="2"/>
    <x v="1"/>
    <x v="2"/>
    <x v="1"/>
    <x v="1"/>
    <n v="1"/>
    <x v="1"/>
    <x v="1"/>
    <n v="49"/>
    <x v="3"/>
    <x v="2"/>
  </r>
  <r>
    <x v="1"/>
    <x v="26"/>
    <x v="2"/>
    <x v="1"/>
    <x v="1"/>
    <x v="1"/>
    <x v="1"/>
    <n v="1"/>
    <x v="1"/>
    <x v="1"/>
    <n v="4"/>
    <x v="2"/>
    <x v="2"/>
  </r>
  <r>
    <x v="1"/>
    <x v="26"/>
    <x v="2"/>
    <x v="1"/>
    <x v="4"/>
    <x v="1"/>
    <x v="1"/>
    <n v="1"/>
    <x v="1"/>
    <x v="1"/>
    <n v="84"/>
    <x v="3"/>
    <x v="2"/>
  </r>
  <r>
    <x v="1"/>
    <x v="26"/>
    <x v="2"/>
    <x v="1"/>
    <x v="4"/>
    <x v="1"/>
    <x v="1"/>
    <n v="0.44186046511627908"/>
    <x v="1"/>
    <x v="1"/>
    <n v="43"/>
    <x v="1"/>
    <x v="2"/>
  </r>
  <r>
    <x v="1"/>
    <x v="26"/>
    <x v="2"/>
    <x v="1"/>
    <x v="4"/>
    <x v="1"/>
    <x v="1"/>
    <n v="1"/>
    <x v="1"/>
    <x v="1"/>
    <n v="8"/>
    <x v="2"/>
    <x v="2"/>
  </r>
  <r>
    <x v="1"/>
    <x v="26"/>
    <x v="2"/>
    <x v="1"/>
    <x v="3"/>
    <x v="1"/>
    <x v="1"/>
    <n v="1"/>
    <x v="1"/>
    <x v="1"/>
    <n v="8"/>
    <x v="2"/>
    <x v="2"/>
  </r>
  <r>
    <x v="1"/>
    <x v="27"/>
    <x v="2"/>
    <x v="1"/>
    <x v="3"/>
    <x v="1"/>
    <x v="1"/>
    <n v="0.82352941176470584"/>
    <x v="1"/>
    <x v="1"/>
    <n v="17"/>
    <x v="1"/>
    <x v="2"/>
  </r>
  <r>
    <x v="1"/>
    <x v="27"/>
    <x v="2"/>
    <x v="1"/>
    <x v="2"/>
    <x v="1"/>
    <x v="1"/>
    <n v="0.6470588235294118"/>
    <x v="1"/>
    <x v="1"/>
    <n v="17"/>
    <x v="1"/>
    <x v="2"/>
  </r>
  <r>
    <x v="1"/>
    <x v="27"/>
    <x v="2"/>
    <x v="1"/>
    <x v="1"/>
    <x v="1"/>
    <x v="1"/>
    <n v="0.6333333333333333"/>
    <x v="1"/>
    <x v="1"/>
    <n v="60"/>
    <x v="3"/>
    <x v="2"/>
  </r>
  <r>
    <x v="1"/>
    <x v="27"/>
    <x v="2"/>
    <x v="1"/>
    <x v="2"/>
    <x v="1"/>
    <x v="1"/>
    <n v="1"/>
    <x v="1"/>
    <x v="1"/>
    <n v="85"/>
    <x v="3"/>
    <x v="2"/>
  </r>
  <r>
    <x v="1"/>
    <x v="27"/>
    <x v="2"/>
    <x v="1"/>
    <x v="3"/>
    <x v="1"/>
    <x v="1"/>
    <n v="1"/>
    <x v="1"/>
    <x v="1"/>
    <n v="78"/>
    <x v="3"/>
    <x v="2"/>
  </r>
  <r>
    <x v="1"/>
    <x v="27"/>
    <x v="2"/>
    <x v="1"/>
    <x v="1"/>
    <x v="1"/>
    <x v="1"/>
    <n v="1"/>
    <x v="1"/>
    <x v="1"/>
    <n v="8"/>
    <x v="1"/>
    <x v="2"/>
  </r>
  <r>
    <x v="1"/>
    <x v="27"/>
    <x v="2"/>
    <x v="1"/>
    <x v="1"/>
    <x v="1"/>
    <x v="1"/>
    <n v="1"/>
    <x v="1"/>
    <x v="1"/>
    <n v="1"/>
    <x v="2"/>
    <x v="2"/>
  </r>
  <r>
    <x v="1"/>
    <x v="27"/>
    <x v="2"/>
    <x v="1"/>
    <x v="2"/>
    <x v="1"/>
    <x v="1"/>
    <n v="1"/>
    <x v="1"/>
    <x v="1"/>
    <n v="1"/>
    <x v="2"/>
    <x v="2"/>
  </r>
  <r>
    <x v="1"/>
    <x v="27"/>
    <x v="2"/>
    <x v="1"/>
    <x v="4"/>
    <x v="1"/>
    <x v="1"/>
    <n v="1"/>
    <x v="1"/>
    <x v="1"/>
    <n v="105"/>
    <x v="3"/>
    <x v="2"/>
  </r>
  <r>
    <x v="1"/>
    <x v="27"/>
    <x v="2"/>
    <x v="1"/>
    <x v="4"/>
    <x v="1"/>
    <x v="1"/>
    <n v="0.85"/>
    <x v="1"/>
    <x v="1"/>
    <n v="20"/>
    <x v="1"/>
    <x v="2"/>
  </r>
  <r>
    <x v="1"/>
    <x v="27"/>
    <x v="2"/>
    <x v="1"/>
    <x v="4"/>
    <x v="1"/>
    <x v="1"/>
    <n v="1"/>
    <x v="1"/>
    <x v="1"/>
    <n v="1"/>
    <x v="2"/>
    <x v="2"/>
  </r>
  <r>
    <x v="1"/>
    <x v="28"/>
    <x v="2"/>
    <x v="1"/>
    <x v="2"/>
    <x v="1"/>
    <x v="1"/>
    <n v="1"/>
    <x v="1"/>
    <x v="1"/>
    <n v="18"/>
    <x v="1"/>
    <x v="2"/>
  </r>
  <r>
    <x v="1"/>
    <x v="28"/>
    <x v="2"/>
    <x v="1"/>
    <x v="3"/>
    <x v="1"/>
    <x v="1"/>
    <n v="1"/>
    <x v="1"/>
    <x v="1"/>
    <n v="16"/>
    <x v="1"/>
    <x v="2"/>
  </r>
  <r>
    <x v="1"/>
    <x v="28"/>
    <x v="2"/>
    <x v="1"/>
    <x v="3"/>
    <x v="1"/>
    <x v="1"/>
    <n v="0.88405797101449279"/>
    <x v="1"/>
    <x v="1"/>
    <n v="69"/>
    <x v="3"/>
    <x v="2"/>
  </r>
  <r>
    <x v="1"/>
    <x v="28"/>
    <x v="2"/>
    <x v="1"/>
    <x v="2"/>
    <x v="1"/>
    <x v="1"/>
    <n v="0.66666666666666663"/>
    <x v="1"/>
    <x v="1"/>
    <n v="36"/>
    <x v="3"/>
    <x v="2"/>
  </r>
  <r>
    <x v="1"/>
    <x v="28"/>
    <x v="2"/>
    <x v="1"/>
    <x v="1"/>
    <x v="1"/>
    <x v="1"/>
    <n v="1"/>
    <x v="1"/>
    <x v="1"/>
    <n v="15"/>
    <x v="1"/>
    <x v="2"/>
  </r>
  <r>
    <x v="1"/>
    <x v="28"/>
    <x v="2"/>
    <x v="1"/>
    <x v="1"/>
    <x v="1"/>
    <x v="1"/>
    <n v="0.22222222222222221"/>
    <x v="1"/>
    <x v="1"/>
    <n v="9"/>
    <x v="3"/>
    <x v="2"/>
  </r>
  <r>
    <x v="1"/>
    <x v="28"/>
    <x v="2"/>
    <x v="1"/>
    <x v="2"/>
    <x v="1"/>
    <x v="1"/>
    <n v="1"/>
    <x v="1"/>
    <x v="1"/>
    <n v="1"/>
    <x v="2"/>
    <x v="2"/>
  </r>
  <r>
    <x v="1"/>
    <x v="28"/>
    <x v="2"/>
    <x v="1"/>
    <x v="1"/>
    <x v="1"/>
    <x v="1"/>
    <n v="1"/>
    <x v="1"/>
    <x v="1"/>
    <n v="1"/>
    <x v="2"/>
    <x v="2"/>
  </r>
  <r>
    <x v="1"/>
    <x v="28"/>
    <x v="2"/>
    <x v="1"/>
    <x v="5"/>
    <x v="1"/>
    <x v="1"/>
    <n v="1"/>
    <x v="1"/>
    <x v="1"/>
    <n v="1"/>
    <x v="2"/>
    <x v="2"/>
  </r>
  <r>
    <x v="1"/>
    <x v="28"/>
    <x v="2"/>
    <x v="1"/>
    <x v="6"/>
    <x v="1"/>
    <x v="1"/>
    <n v="1"/>
    <x v="1"/>
    <x v="1"/>
    <n v="1"/>
    <x v="1"/>
    <x v="2"/>
  </r>
  <r>
    <x v="1"/>
    <x v="28"/>
    <x v="2"/>
    <x v="1"/>
    <x v="4"/>
    <x v="1"/>
    <x v="1"/>
    <n v="1"/>
    <x v="1"/>
    <x v="1"/>
    <n v="20"/>
    <x v="1"/>
    <x v="2"/>
  </r>
  <r>
    <x v="1"/>
    <x v="28"/>
    <x v="2"/>
    <x v="1"/>
    <x v="4"/>
    <x v="1"/>
    <x v="1"/>
    <n v="0.80519480519480524"/>
    <x v="1"/>
    <x v="1"/>
    <n v="77"/>
    <x v="3"/>
    <x v="2"/>
  </r>
  <r>
    <x v="1"/>
    <x v="28"/>
    <x v="2"/>
    <x v="1"/>
    <x v="4"/>
    <x v="1"/>
    <x v="1"/>
    <n v="1"/>
    <x v="1"/>
    <x v="1"/>
    <n v="1"/>
    <x v="2"/>
    <x v="2"/>
  </r>
  <r>
    <x v="1"/>
    <x v="28"/>
    <x v="2"/>
    <x v="1"/>
    <x v="3"/>
    <x v="1"/>
    <x v="1"/>
    <n v="1"/>
    <x v="1"/>
    <x v="1"/>
    <n v="1"/>
    <x v="2"/>
    <x v="2"/>
  </r>
  <r>
    <x v="1"/>
    <x v="29"/>
    <x v="2"/>
    <x v="1"/>
    <x v="3"/>
    <x v="1"/>
    <x v="1"/>
    <n v="0.37209302325581395"/>
    <x v="1"/>
    <x v="1"/>
    <n v="43"/>
    <x v="3"/>
    <x v="2"/>
  </r>
  <r>
    <x v="1"/>
    <x v="29"/>
    <x v="2"/>
    <x v="1"/>
    <x v="2"/>
    <x v="1"/>
    <x v="1"/>
    <n v="0.36363636363636365"/>
    <x v="1"/>
    <x v="1"/>
    <n v="11"/>
    <x v="3"/>
    <x v="2"/>
  </r>
  <r>
    <x v="1"/>
    <x v="29"/>
    <x v="2"/>
    <x v="1"/>
    <x v="2"/>
    <x v="1"/>
    <x v="1"/>
    <n v="1"/>
    <x v="1"/>
    <x v="1"/>
    <n v="13"/>
    <x v="1"/>
    <x v="2"/>
  </r>
  <r>
    <x v="1"/>
    <x v="29"/>
    <x v="2"/>
    <x v="1"/>
    <x v="3"/>
    <x v="1"/>
    <x v="1"/>
    <n v="1"/>
    <x v="1"/>
    <x v="1"/>
    <n v="14"/>
    <x v="1"/>
    <x v="2"/>
  </r>
  <r>
    <x v="1"/>
    <x v="29"/>
    <x v="2"/>
    <x v="1"/>
    <x v="1"/>
    <x v="1"/>
    <x v="1"/>
    <n v="1"/>
    <x v="1"/>
    <x v="1"/>
    <n v="3"/>
    <x v="3"/>
    <x v="2"/>
  </r>
  <r>
    <x v="1"/>
    <x v="29"/>
    <x v="2"/>
    <x v="1"/>
    <x v="1"/>
    <x v="1"/>
    <x v="1"/>
    <n v="1"/>
    <x v="1"/>
    <x v="1"/>
    <n v="9"/>
    <x v="1"/>
    <x v="2"/>
  </r>
  <r>
    <x v="1"/>
    <x v="29"/>
    <x v="2"/>
    <x v="1"/>
    <x v="3"/>
    <x v="1"/>
    <x v="1"/>
    <n v="1"/>
    <x v="1"/>
    <x v="1"/>
    <n v="1"/>
    <x v="2"/>
    <x v="2"/>
  </r>
  <r>
    <x v="1"/>
    <x v="29"/>
    <x v="2"/>
    <x v="1"/>
    <x v="4"/>
    <x v="1"/>
    <x v="1"/>
    <n v="0.35555555555555557"/>
    <x v="1"/>
    <x v="1"/>
    <n v="45"/>
    <x v="3"/>
    <x v="2"/>
  </r>
  <r>
    <x v="1"/>
    <x v="29"/>
    <x v="2"/>
    <x v="1"/>
    <x v="4"/>
    <x v="1"/>
    <x v="1"/>
    <n v="1"/>
    <x v="1"/>
    <x v="1"/>
    <n v="14"/>
    <x v="1"/>
    <x v="2"/>
  </r>
  <r>
    <x v="1"/>
    <x v="29"/>
    <x v="2"/>
    <x v="1"/>
    <x v="4"/>
    <x v="1"/>
    <x v="1"/>
    <n v="1"/>
    <x v="1"/>
    <x v="1"/>
    <n v="1"/>
    <x v="2"/>
    <x v="2"/>
  </r>
  <r>
    <x v="1"/>
    <x v="30"/>
    <x v="2"/>
    <x v="1"/>
    <x v="3"/>
    <x v="1"/>
    <x v="1"/>
    <n v="0.2"/>
    <x v="1"/>
    <x v="1"/>
    <n v="30"/>
    <x v="3"/>
    <x v="2"/>
  </r>
  <r>
    <x v="1"/>
    <x v="30"/>
    <x v="2"/>
    <x v="1"/>
    <x v="1"/>
    <x v="1"/>
    <x v="1"/>
    <n v="1"/>
    <x v="1"/>
    <x v="1"/>
    <n v="20"/>
    <x v="2"/>
    <x v="2"/>
  </r>
  <r>
    <x v="1"/>
    <x v="30"/>
    <x v="2"/>
    <x v="1"/>
    <x v="2"/>
    <x v="1"/>
    <x v="1"/>
    <n v="1"/>
    <x v="1"/>
    <x v="1"/>
    <n v="16"/>
    <x v="2"/>
    <x v="2"/>
  </r>
  <r>
    <x v="1"/>
    <x v="30"/>
    <x v="2"/>
    <x v="1"/>
    <x v="3"/>
    <x v="1"/>
    <x v="1"/>
    <n v="1"/>
    <x v="1"/>
    <x v="1"/>
    <n v="5"/>
    <x v="2"/>
    <x v="2"/>
  </r>
  <r>
    <x v="1"/>
    <x v="30"/>
    <x v="2"/>
    <x v="1"/>
    <x v="2"/>
    <x v="1"/>
    <x v="1"/>
    <n v="0.66666666666666663"/>
    <x v="1"/>
    <x v="1"/>
    <n v="9"/>
    <x v="3"/>
    <x v="2"/>
  </r>
  <r>
    <x v="1"/>
    <x v="30"/>
    <x v="2"/>
    <x v="1"/>
    <x v="3"/>
    <x v="1"/>
    <x v="1"/>
    <n v="1"/>
    <x v="1"/>
    <x v="1"/>
    <n v="5"/>
    <x v="1"/>
    <x v="2"/>
  </r>
  <r>
    <x v="1"/>
    <x v="30"/>
    <x v="2"/>
    <x v="1"/>
    <x v="1"/>
    <x v="1"/>
    <x v="1"/>
    <n v="1"/>
    <x v="1"/>
    <x v="1"/>
    <n v="6"/>
    <x v="3"/>
    <x v="2"/>
  </r>
  <r>
    <x v="1"/>
    <x v="30"/>
    <x v="2"/>
    <x v="1"/>
    <x v="1"/>
    <x v="1"/>
    <x v="1"/>
    <n v="1"/>
    <x v="1"/>
    <x v="1"/>
    <n v="19"/>
    <x v="1"/>
    <x v="2"/>
  </r>
  <r>
    <x v="1"/>
    <x v="30"/>
    <x v="2"/>
    <x v="1"/>
    <x v="2"/>
    <x v="1"/>
    <x v="1"/>
    <n v="1"/>
    <x v="1"/>
    <x v="1"/>
    <n v="12"/>
    <x v="1"/>
    <x v="2"/>
  </r>
  <r>
    <x v="1"/>
    <x v="30"/>
    <x v="2"/>
    <x v="1"/>
    <x v="4"/>
    <x v="1"/>
    <x v="1"/>
    <n v="1"/>
    <x v="1"/>
    <x v="1"/>
    <n v="21"/>
    <x v="2"/>
    <x v="2"/>
  </r>
  <r>
    <x v="1"/>
    <x v="30"/>
    <x v="2"/>
    <x v="1"/>
    <x v="4"/>
    <x v="1"/>
    <x v="1"/>
    <n v="0.2"/>
    <x v="1"/>
    <x v="1"/>
    <n v="30"/>
    <x v="3"/>
    <x v="2"/>
  </r>
  <r>
    <x v="1"/>
    <x v="30"/>
    <x v="2"/>
    <x v="1"/>
    <x v="4"/>
    <x v="1"/>
    <x v="1"/>
    <n v="1"/>
    <x v="1"/>
    <x v="1"/>
    <n v="20"/>
    <x v="1"/>
    <x v="2"/>
  </r>
  <r>
    <x v="1"/>
    <x v="31"/>
    <x v="2"/>
    <x v="1"/>
    <x v="3"/>
    <x v="1"/>
    <x v="1"/>
    <n v="0.4838709677419355"/>
    <x v="1"/>
    <x v="1"/>
    <n v="31"/>
    <x v="3"/>
    <x v="2"/>
  </r>
  <r>
    <x v="1"/>
    <x v="31"/>
    <x v="2"/>
    <x v="1"/>
    <x v="2"/>
    <x v="1"/>
    <x v="1"/>
    <n v="0.96666666666666667"/>
    <x v="1"/>
    <x v="1"/>
    <n v="30"/>
    <x v="3"/>
    <x v="2"/>
  </r>
  <r>
    <x v="1"/>
    <x v="31"/>
    <x v="2"/>
    <x v="1"/>
    <x v="1"/>
    <x v="1"/>
    <x v="1"/>
    <n v="0.77419354838709675"/>
    <x v="1"/>
    <x v="1"/>
    <n v="31"/>
    <x v="1"/>
    <x v="2"/>
  </r>
  <r>
    <x v="1"/>
    <x v="31"/>
    <x v="2"/>
    <x v="1"/>
    <x v="1"/>
    <x v="1"/>
    <x v="1"/>
    <n v="0.75"/>
    <x v="1"/>
    <x v="1"/>
    <n v="16"/>
    <x v="2"/>
    <x v="2"/>
  </r>
  <r>
    <x v="1"/>
    <x v="31"/>
    <x v="2"/>
    <x v="1"/>
    <x v="2"/>
    <x v="1"/>
    <x v="1"/>
    <n v="1"/>
    <x v="1"/>
    <x v="1"/>
    <n v="29"/>
    <x v="2"/>
    <x v="2"/>
  </r>
  <r>
    <x v="1"/>
    <x v="31"/>
    <x v="2"/>
    <x v="1"/>
    <x v="3"/>
    <x v="1"/>
    <x v="1"/>
    <n v="1"/>
    <x v="1"/>
    <x v="1"/>
    <n v="22"/>
    <x v="2"/>
    <x v="2"/>
  </r>
  <r>
    <x v="1"/>
    <x v="31"/>
    <x v="2"/>
    <x v="1"/>
    <x v="2"/>
    <x v="1"/>
    <x v="1"/>
    <n v="1"/>
    <x v="1"/>
    <x v="1"/>
    <n v="35"/>
    <x v="1"/>
    <x v="2"/>
  </r>
  <r>
    <x v="1"/>
    <x v="31"/>
    <x v="2"/>
    <x v="1"/>
    <x v="3"/>
    <x v="1"/>
    <x v="1"/>
    <n v="1"/>
    <x v="1"/>
    <x v="1"/>
    <n v="32"/>
    <x v="1"/>
    <x v="2"/>
  </r>
  <r>
    <x v="1"/>
    <x v="31"/>
    <x v="2"/>
    <x v="1"/>
    <x v="1"/>
    <x v="1"/>
    <x v="1"/>
    <n v="1"/>
    <x v="1"/>
    <x v="1"/>
    <n v="29"/>
    <x v="3"/>
    <x v="2"/>
  </r>
  <r>
    <x v="1"/>
    <x v="31"/>
    <x v="2"/>
    <x v="1"/>
    <x v="4"/>
    <x v="1"/>
    <x v="1"/>
    <n v="1"/>
    <x v="1"/>
    <x v="1"/>
    <n v="30"/>
    <x v="2"/>
    <x v="2"/>
  </r>
  <r>
    <x v="1"/>
    <x v="31"/>
    <x v="2"/>
    <x v="1"/>
    <x v="4"/>
    <x v="1"/>
    <x v="1"/>
    <n v="0.68085106382978722"/>
    <x v="1"/>
    <x v="1"/>
    <n v="47"/>
    <x v="3"/>
    <x v="2"/>
  </r>
  <r>
    <x v="1"/>
    <x v="31"/>
    <x v="2"/>
    <x v="1"/>
    <x v="4"/>
    <x v="1"/>
    <x v="1"/>
    <n v="1"/>
    <x v="1"/>
    <x v="1"/>
    <n v="39"/>
    <x v="1"/>
    <x v="2"/>
  </r>
  <r>
    <x v="1"/>
    <x v="32"/>
    <x v="2"/>
    <x v="1"/>
    <x v="3"/>
    <x v="1"/>
    <x v="1"/>
    <n v="0.76"/>
    <x v="1"/>
    <x v="1"/>
    <n v="25"/>
    <x v="3"/>
    <x v="2"/>
  </r>
  <r>
    <x v="1"/>
    <x v="32"/>
    <x v="2"/>
    <x v="1"/>
    <x v="3"/>
    <x v="1"/>
    <x v="1"/>
    <n v="1"/>
    <x v="1"/>
    <x v="1"/>
    <n v="32"/>
    <x v="1"/>
    <x v="2"/>
  </r>
  <r>
    <x v="1"/>
    <x v="32"/>
    <x v="2"/>
    <x v="1"/>
    <x v="1"/>
    <x v="1"/>
    <x v="1"/>
    <n v="1"/>
    <x v="1"/>
    <x v="1"/>
    <n v="1"/>
    <x v="3"/>
    <x v="2"/>
  </r>
  <r>
    <x v="1"/>
    <x v="32"/>
    <x v="2"/>
    <x v="1"/>
    <x v="2"/>
    <x v="1"/>
    <x v="1"/>
    <n v="1"/>
    <x v="1"/>
    <x v="1"/>
    <n v="18"/>
    <x v="3"/>
    <x v="2"/>
  </r>
  <r>
    <x v="1"/>
    <x v="32"/>
    <x v="2"/>
    <x v="1"/>
    <x v="2"/>
    <x v="1"/>
    <x v="1"/>
    <n v="0.73913043478260865"/>
    <x v="1"/>
    <x v="1"/>
    <n v="23"/>
    <x v="2"/>
    <x v="2"/>
  </r>
  <r>
    <x v="1"/>
    <x v="32"/>
    <x v="2"/>
    <x v="1"/>
    <x v="3"/>
    <x v="1"/>
    <x v="1"/>
    <n v="1"/>
    <x v="1"/>
    <x v="1"/>
    <n v="18"/>
    <x v="2"/>
    <x v="2"/>
  </r>
  <r>
    <x v="1"/>
    <x v="32"/>
    <x v="2"/>
    <x v="1"/>
    <x v="2"/>
    <x v="1"/>
    <x v="1"/>
    <n v="1"/>
    <x v="1"/>
    <x v="1"/>
    <n v="17"/>
    <x v="1"/>
    <x v="2"/>
  </r>
  <r>
    <x v="1"/>
    <x v="32"/>
    <x v="2"/>
    <x v="1"/>
    <x v="1"/>
    <x v="1"/>
    <x v="1"/>
    <n v="0.76470588235294112"/>
    <x v="1"/>
    <x v="1"/>
    <n v="17"/>
    <x v="1"/>
    <x v="2"/>
  </r>
  <r>
    <x v="1"/>
    <x v="32"/>
    <x v="2"/>
    <x v="1"/>
    <x v="1"/>
    <x v="1"/>
    <x v="1"/>
    <n v="1"/>
    <x v="1"/>
    <x v="1"/>
    <n v="15"/>
    <x v="2"/>
    <x v="2"/>
  </r>
  <r>
    <x v="1"/>
    <x v="32"/>
    <x v="2"/>
    <x v="1"/>
    <x v="4"/>
    <x v="1"/>
    <x v="1"/>
    <n v="0.91666666666666663"/>
    <x v="1"/>
    <x v="1"/>
    <n v="36"/>
    <x v="1"/>
    <x v="2"/>
  </r>
  <r>
    <x v="1"/>
    <x v="32"/>
    <x v="2"/>
    <x v="1"/>
    <x v="4"/>
    <x v="1"/>
    <x v="1"/>
    <n v="0.8"/>
    <x v="1"/>
    <x v="1"/>
    <n v="25"/>
    <x v="3"/>
    <x v="2"/>
  </r>
  <r>
    <x v="1"/>
    <x v="32"/>
    <x v="2"/>
    <x v="1"/>
    <x v="4"/>
    <x v="1"/>
    <x v="1"/>
    <n v="1"/>
    <x v="1"/>
    <x v="1"/>
    <n v="24"/>
    <x v="2"/>
    <x v="2"/>
  </r>
  <r>
    <x v="2"/>
    <x v="33"/>
    <x v="2"/>
    <x v="1"/>
    <x v="1"/>
    <x v="1"/>
    <x v="1"/>
    <n v="0.5714285714285714"/>
    <x v="1"/>
    <x v="1"/>
    <n v="7"/>
    <x v="1"/>
    <x v="2"/>
  </r>
  <r>
    <x v="2"/>
    <x v="33"/>
    <x v="2"/>
    <x v="1"/>
    <x v="2"/>
    <x v="1"/>
    <x v="1"/>
    <n v="0.83333333333333337"/>
    <x v="1"/>
    <x v="1"/>
    <n v="6"/>
    <x v="3"/>
    <x v="2"/>
  </r>
  <r>
    <x v="2"/>
    <x v="33"/>
    <x v="2"/>
    <x v="1"/>
    <x v="2"/>
    <x v="1"/>
    <x v="1"/>
    <n v="1"/>
    <x v="1"/>
    <x v="1"/>
    <n v="6"/>
    <x v="2"/>
    <x v="2"/>
  </r>
  <r>
    <x v="2"/>
    <x v="33"/>
    <x v="2"/>
    <x v="1"/>
    <x v="3"/>
    <x v="1"/>
    <x v="1"/>
    <n v="0.61538461538461542"/>
    <x v="1"/>
    <x v="1"/>
    <n v="13"/>
    <x v="3"/>
    <x v="2"/>
  </r>
  <r>
    <x v="2"/>
    <x v="33"/>
    <x v="2"/>
    <x v="1"/>
    <x v="3"/>
    <x v="1"/>
    <x v="1"/>
    <n v="1"/>
    <x v="1"/>
    <x v="1"/>
    <n v="8"/>
    <x v="1"/>
    <x v="2"/>
  </r>
  <r>
    <x v="2"/>
    <x v="33"/>
    <x v="2"/>
    <x v="1"/>
    <x v="3"/>
    <x v="1"/>
    <x v="1"/>
    <n v="1"/>
    <x v="1"/>
    <x v="1"/>
    <n v="7"/>
    <x v="2"/>
    <x v="2"/>
  </r>
  <r>
    <x v="2"/>
    <x v="33"/>
    <x v="2"/>
    <x v="1"/>
    <x v="1"/>
    <x v="1"/>
    <x v="1"/>
    <n v="1"/>
    <x v="1"/>
    <x v="1"/>
    <n v="5"/>
    <x v="3"/>
    <x v="2"/>
  </r>
  <r>
    <x v="2"/>
    <x v="33"/>
    <x v="2"/>
    <x v="1"/>
    <x v="2"/>
    <x v="1"/>
    <x v="1"/>
    <n v="0.5"/>
    <x v="1"/>
    <x v="1"/>
    <n v="8"/>
    <x v="1"/>
    <x v="2"/>
  </r>
  <r>
    <x v="2"/>
    <x v="33"/>
    <x v="2"/>
    <x v="1"/>
    <x v="4"/>
    <x v="1"/>
    <x v="1"/>
    <n v="0.61538461538461542"/>
    <x v="1"/>
    <x v="1"/>
    <n v="13"/>
    <x v="3"/>
    <x v="2"/>
  </r>
  <r>
    <x v="2"/>
    <x v="33"/>
    <x v="2"/>
    <x v="1"/>
    <x v="4"/>
    <x v="1"/>
    <x v="1"/>
    <n v="0.66666666666666663"/>
    <x v="1"/>
    <x v="1"/>
    <n v="12"/>
    <x v="1"/>
    <x v="2"/>
  </r>
  <r>
    <x v="2"/>
    <x v="33"/>
    <x v="2"/>
    <x v="1"/>
    <x v="4"/>
    <x v="1"/>
    <x v="1"/>
    <n v="1"/>
    <x v="1"/>
    <x v="1"/>
    <n v="7"/>
    <x v="2"/>
    <x v="2"/>
  </r>
  <r>
    <x v="2"/>
    <x v="34"/>
    <x v="2"/>
    <x v="1"/>
    <x v="2"/>
    <x v="1"/>
    <x v="1"/>
    <n v="0.76470588235294112"/>
    <x v="1"/>
    <x v="1"/>
    <n v="17"/>
    <x v="1"/>
    <x v="2"/>
  </r>
  <r>
    <x v="2"/>
    <x v="34"/>
    <x v="2"/>
    <x v="1"/>
    <x v="3"/>
    <x v="1"/>
    <x v="1"/>
    <n v="0.93333333333333335"/>
    <x v="1"/>
    <x v="1"/>
    <n v="15"/>
    <x v="1"/>
    <x v="2"/>
  </r>
  <r>
    <x v="2"/>
    <x v="34"/>
    <x v="2"/>
    <x v="1"/>
    <x v="1"/>
    <x v="1"/>
    <x v="1"/>
    <n v="1"/>
    <x v="1"/>
    <x v="1"/>
    <n v="64"/>
    <x v="3"/>
    <x v="2"/>
  </r>
  <r>
    <x v="2"/>
    <x v="34"/>
    <x v="2"/>
    <x v="1"/>
    <x v="2"/>
    <x v="1"/>
    <x v="1"/>
    <n v="1"/>
    <x v="1"/>
    <x v="1"/>
    <n v="41"/>
    <x v="3"/>
    <x v="2"/>
  </r>
  <r>
    <x v="2"/>
    <x v="34"/>
    <x v="2"/>
    <x v="1"/>
    <x v="3"/>
    <x v="1"/>
    <x v="1"/>
    <n v="0.83870967741935487"/>
    <x v="1"/>
    <x v="1"/>
    <n v="31"/>
    <x v="3"/>
    <x v="2"/>
  </r>
  <r>
    <x v="2"/>
    <x v="34"/>
    <x v="2"/>
    <x v="1"/>
    <x v="3"/>
    <x v="1"/>
    <x v="1"/>
    <n v="1"/>
    <x v="1"/>
    <x v="1"/>
    <n v="1"/>
    <x v="2"/>
    <x v="2"/>
  </r>
  <r>
    <x v="2"/>
    <x v="34"/>
    <x v="2"/>
    <x v="1"/>
    <x v="1"/>
    <x v="1"/>
    <x v="1"/>
    <n v="1"/>
    <x v="1"/>
    <x v="1"/>
    <n v="28"/>
    <x v="1"/>
    <x v="2"/>
  </r>
  <r>
    <x v="2"/>
    <x v="34"/>
    <x v="2"/>
    <x v="1"/>
    <x v="1"/>
    <x v="1"/>
    <x v="1"/>
    <n v="1"/>
    <x v="1"/>
    <x v="1"/>
    <n v="5"/>
    <x v="2"/>
    <x v="2"/>
  </r>
  <r>
    <x v="2"/>
    <x v="34"/>
    <x v="2"/>
    <x v="1"/>
    <x v="5"/>
    <x v="1"/>
    <x v="1"/>
    <n v="1"/>
    <x v="1"/>
    <x v="1"/>
    <n v="5"/>
    <x v="2"/>
    <x v="2"/>
  </r>
  <r>
    <x v="2"/>
    <x v="34"/>
    <x v="2"/>
    <x v="1"/>
    <x v="4"/>
    <x v="1"/>
    <x v="1"/>
    <n v="0.96875"/>
    <x v="1"/>
    <x v="1"/>
    <n v="32"/>
    <x v="1"/>
    <x v="2"/>
  </r>
  <r>
    <x v="2"/>
    <x v="34"/>
    <x v="2"/>
    <x v="1"/>
    <x v="4"/>
    <x v="1"/>
    <x v="1"/>
    <n v="0.92753623188405798"/>
    <x v="1"/>
    <x v="1"/>
    <n v="69"/>
    <x v="3"/>
    <x v="2"/>
  </r>
  <r>
    <x v="2"/>
    <x v="34"/>
    <x v="2"/>
    <x v="1"/>
    <x v="4"/>
    <x v="1"/>
    <x v="1"/>
    <n v="1"/>
    <x v="1"/>
    <x v="1"/>
    <n v="6"/>
    <x v="2"/>
    <x v="2"/>
  </r>
  <r>
    <x v="2"/>
    <x v="34"/>
    <x v="2"/>
    <x v="1"/>
    <x v="6"/>
    <x v="1"/>
    <x v="1"/>
    <n v="1"/>
    <x v="1"/>
    <x v="1"/>
    <n v="1"/>
    <x v="1"/>
    <x v="2"/>
  </r>
  <r>
    <x v="2"/>
    <x v="35"/>
    <x v="2"/>
    <x v="1"/>
    <x v="3"/>
    <x v="1"/>
    <x v="1"/>
    <n v="0.92647058823529416"/>
    <x v="1"/>
    <x v="1"/>
    <n v="68"/>
    <x v="3"/>
    <x v="2"/>
  </r>
  <r>
    <x v="2"/>
    <x v="35"/>
    <x v="2"/>
    <x v="1"/>
    <x v="1"/>
    <x v="1"/>
    <x v="1"/>
    <n v="0.56603773584905659"/>
    <x v="1"/>
    <x v="1"/>
    <n v="53"/>
    <x v="3"/>
    <x v="2"/>
  </r>
  <r>
    <x v="2"/>
    <x v="35"/>
    <x v="2"/>
    <x v="1"/>
    <x v="1"/>
    <x v="1"/>
    <x v="1"/>
    <n v="0.48275862068965519"/>
    <x v="1"/>
    <x v="1"/>
    <n v="29"/>
    <x v="1"/>
    <x v="2"/>
  </r>
  <r>
    <x v="2"/>
    <x v="35"/>
    <x v="2"/>
    <x v="1"/>
    <x v="5"/>
    <x v="1"/>
    <x v="1"/>
    <n v="0.75"/>
    <x v="1"/>
    <x v="1"/>
    <n v="4"/>
    <x v="2"/>
    <x v="2"/>
  </r>
  <r>
    <x v="2"/>
    <x v="35"/>
    <x v="2"/>
    <x v="1"/>
    <x v="2"/>
    <x v="1"/>
    <x v="1"/>
    <n v="1"/>
    <x v="1"/>
    <x v="1"/>
    <n v="67"/>
    <x v="3"/>
    <x v="2"/>
  </r>
  <r>
    <x v="2"/>
    <x v="35"/>
    <x v="2"/>
    <x v="1"/>
    <x v="3"/>
    <x v="1"/>
    <x v="1"/>
    <n v="1"/>
    <x v="1"/>
    <x v="1"/>
    <n v="25"/>
    <x v="1"/>
    <x v="2"/>
  </r>
  <r>
    <x v="2"/>
    <x v="35"/>
    <x v="2"/>
    <x v="1"/>
    <x v="2"/>
    <x v="1"/>
    <x v="1"/>
    <n v="1"/>
    <x v="1"/>
    <x v="1"/>
    <n v="30"/>
    <x v="1"/>
    <x v="2"/>
  </r>
  <r>
    <x v="2"/>
    <x v="35"/>
    <x v="2"/>
    <x v="1"/>
    <x v="6"/>
    <x v="1"/>
    <x v="1"/>
    <n v="1"/>
    <x v="1"/>
    <x v="1"/>
    <n v="5"/>
    <x v="1"/>
    <x v="2"/>
  </r>
  <r>
    <x v="2"/>
    <x v="35"/>
    <x v="2"/>
    <x v="1"/>
    <x v="3"/>
    <x v="1"/>
    <x v="1"/>
    <n v="1"/>
    <x v="1"/>
    <x v="1"/>
    <n v="1"/>
    <x v="2"/>
    <x v="2"/>
  </r>
  <r>
    <x v="2"/>
    <x v="35"/>
    <x v="2"/>
    <x v="1"/>
    <x v="1"/>
    <x v="1"/>
    <x v="1"/>
    <n v="1"/>
    <x v="1"/>
    <x v="1"/>
    <n v="4"/>
    <x v="2"/>
    <x v="2"/>
  </r>
  <r>
    <x v="2"/>
    <x v="35"/>
    <x v="2"/>
    <x v="1"/>
    <x v="4"/>
    <x v="1"/>
    <x v="1"/>
    <n v="0.96250000000000002"/>
    <x v="1"/>
    <x v="1"/>
    <n v="80"/>
    <x v="3"/>
    <x v="2"/>
  </r>
  <r>
    <x v="2"/>
    <x v="35"/>
    <x v="2"/>
    <x v="1"/>
    <x v="4"/>
    <x v="1"/>
    <x v="1"/>
    <n v="1"/>
    <x v="1"/>
    <x v="1"/>
    <n v="39"/>
    <x v="1"/>
    <x v="2"/>
  </r>
  <r>
    <x v="2"/>
    <x v="35"/>
    <x v="2"/>
    <x v="1"/>
    <x v="4"/>
    <x v="1"/>
    <x v="1"/>
    <n v="1"/>
    <x v="1"/>
    <x v="1"/>
    <n v="5"/>
    <x v="2"/>
    <x v="2"/>
  </r>
  <r>
    <x v="2"/>
    <x v="36"/>
    <x v="2"/>
    <x v="1"/>
    <x v="3"/>
    <x v="1"/>
    <x v="1"/>
    <n v="0.90566037735849059"/>
    <x v="1"/>
    <x v="1"/>
    <n v="53"/>
    <x v="3"/>
    <x v="2"/>
  </r>
  <r>
    <x v="2"/>
    <x v="36"/>
    <x v="2"/>
    <x v="1"/>
    <x v="1"/>
    <x v="1"/>
    <x v="1"/>
    <n v="0.25"/>
    <x v="1"/>
    <x v="1"/>
    <n v="4"/>
    <x v="3"/>
    <x v="2"/>
  </r>
  <r>
    <x v="2"/>
    <x v="36"/>
    <x v="2"/>
    <x v="1"/>
    <x v="1"/>
    <x v="1"/>
    <x v="1"/>
    <n v="0"/>
    <x v="1"/>
    <x v="1"/>
    <n v="3"/>
    <x v="1"/>
    <x v="2"/>
  </r>
  <r>
    <x v="2"/>
    <x v="36"/>
    <x v="2"/>
    <x v="1"/>
    <x v="3"/>
    <x v="1"/>
    <x v="1"/>
    <n v="1"/>
    <x v="1"/>
    <x v="1"/>
    <n v="21"/>
    <x v="1"/>
    <x v="2"/>
  </r>
  <r>
    <x v="2"/>
    <x v="36"/>
    <x v="2"/>
    <x v="1"/>
    <x v="2"/>
    <x v="1"/>
    <x v="1"/>
    <n v="0.5"/>
    <x v="1"/>
    <x v="1"/>
    <n v="18"/>
    <x v="3"/>
    <x v="2"/>
  </r>
  <r>
    <x v="2"/>
    <x v="36"/>
    <x v="2"/>
    <x v="1"/>
    <x v="2"/>
    <x v="1"/>
    <x v="1"/>
    <n v="0.42857142857142855"/>
    <x v="1"/>
    <x v="1"/>
    <n v="14"/>
    <x v="1"/>
    <x v="2"/>
  </r>
  <r>
    <x v="2"/>
    <x v="36"/>
    <x v="2"/>
    <x v="1"/>
    <x v="3"/>
    <x v="1"/>
    <x v="1"/>
    <n v="0.83333333333333337"/>
    <x v="1"/>
    <x v="1"/>
    <n v="6"/>
    <x v="2"/>
    <x v="2"/>
  </r>
  <r>
    <x v="2"/>
    <x v="36"/>
    <x v="2"/>
    <x v="1"/>
    <x v="6"/>
    <x v="1"/>
    <x v="1"/>
    <n v="0"/>
    <x v="1"/>
    <x v="1"/>
    <n v="3"/>
    <x v="1"/>
    <x v="2"/>
  </r>
  <r>
    <x v="2"/>
    <x v="36"/>
    <x v="2"/>
    <x v="1"/>
    <x v="1"/>
    <x v="1"/>
    <x v="1"/>
    <n v="1"/>
    <x v="1"/>
    <x v="1"/>
    <n v="6"/>
    <x v="2"/>
    <x v="2"/>
  </r>
  <r>
    <x v="2"/>
    <x v="36"/>
    <x v="2"/>
    <x v="1"/>
    <x v="2"/>
    <x v="1"/>
    <x v="1"/>
    <n v="1"/>
    <x v="1"/>
    <x v="1"/>
    <n v="5"/>
    <x v="2"/>
    <x v="2"/>
  </r>
  <r>
    <x v="2"/>
    <x v="36"/>
    <x v="2"/>
    <x v="1"/>
    <x v="4"/>
    <x v="1"/>
    <x v="1"/>
    <n v="0.82758620689655171"/>
    <x v="1"/>
    <x v="1"/>
    <n v="58"/>
    <x v="3"/>
    <x v="2"/>
  </r>
  <r>
    <x v="2"/>
    <x v="36"/>
    <x v="2"/>
    <x v="1"/>
    <x v="4"/>
    <x v="1"/>
    <x v="1"/>
    <n v="1"/>
    <x v="1"/>
    <x v="1"/>
    <n v="21"/>
    <x v="1"/>
    <x v="2"/>
  </r>
  <r>
    <x v="2"/>
    <x v="36"/>
    <x v="2"/>
    <x v="1"/>
    <x v="4"/>
    <x v="1"/>
    <x v="1"/>
    <n v="0.8571428571428571"/>
    <x v="1"/>
    <x v="1"/>
    <n v="7"/>
    <x v="2"/>
    <x v="2"/>
  </r>
  <r>
    <x v="2"/>
    <x v="36"/>
    <x v="2"/>
    <x v="1"/>
    <x v="5"/>
    <x v="1"/>
    <x v="1"/>
    <n v="1"/>
    <x v="1"/>
    <x v="1"/>
    <n v="1"/>
    <x v="2"/>
    <x v="2"/>
  </r>
  <r>
    <x v="2"/>
    <x v="36"/>
    <x v="2"/>
    <x v="1"/>
    <x v="6"/>
    <x v="1"/>
    <x v="1"/>
    <n v="1"/>
    <x v="1"/>
    <x v="1"/>
    <n v="1"/>
    <x v="3"/>
    <x v="2"/>
  </r>
  <r>
    <x v="2"/>
    <x v="37"/>
    <x v="2"/>
    <x v="1"/>
    <x v="3"/>
    <x v="1"/>
    <x v="1"/>
    <n v="0.15384615384615385"/>
    <x v="1"/>
    <x v="1"/>
    <n v="26"/>
    <x v="3"/>
    <x v="2"/>
  </r>
  <r>
    <x v="2"/>
    <x v="37"/>
    <x v="2"/>
    <x v="1"/>
    <x v="2"/>
    <x v="1"/>
    <x v="1"/>
    <n v="0.16666666666666666"/>
    <x v="1"/>
    <x v="1"/>
    <n v="6"/>
    <x v="3"/>
    <x v="2"/>
  </r>
  <r>
    <x v="2"/>
    <x v="37"/>
    <x v="2"/>
    <x v="1"/>
    <x v="1"/>
    <x v="1"/>
    <x v="1"/>
    <n v="1"/>
    <x v="1"/>
    <x v="1"/>
    <n v="1"/>
    <x v="3"/>
    <x v="2"/>
  </r>
  <r>
    <x v="2"/>
    <x v="37"/>
    <x v="2"/>
    <x v="1"/>
    <x v="1"/>
    <x v="1"/>
    <x v="1"/>
    <n v="1"/>
    <x v="1"/>
    <x v="1"/>
    <n v="12"/>
    <x v="2"/>
    <x v="2"/>
  </r>
  <r>
    <x v="2"/>
    <x v="37"/>
    <x v="2"/>
    <x v="1"/>
    <x v="2"/>
    <x v="1"/>
    <x v="1"/>
    <n v="1"/>
    <x v="1"/>
    <x v="1"/>
    <n v="12"/>
    <x v="2"/>
    <x v="2"/>
  </r>
  <r>
    <x v="2"/>
    <x v="37"/>
    <x v="2"/>
    <x v="1"/>
    <x v="3"/>
    <x v="1"/>
    <x v="1"/>
    <n v="0.88888888888888884"/>
    <x v="1"/>
    <x v="1"/>
    <n v="9"/>
    <x v="2"/>
    <x v="2"/>
  </r>
  <r>
    <x v="2"/>
    <x v="37"/>
    <x v="2"/>
    <x v="1"/>
    <x v="6"/>
    <x v="1"/>
    <x v="1"/>
    <n v="1"/>
    <x v="1"/>
    <x v="1"/>
    <n v="1"/>
    <x v="3"/>
    <x v="2"/>
  </r>
  <r>
    <x v="2"/>
    <x v="37"/>
    <x v="2"/>
    <x v="1"/>
    <x v="3"/>
    <x v="1"/>
    <x v="1"/>
    <n v="0"/>
    <x v="1"/>
    <x v="1"/>
    <n v="8"/>
    <x v="1"/>
    <x v="2"/>
  </r>
  <r>
    <x v="2"/>
    <x v="37"/>
    <x v="2"/>
    <x v="1"/>
    <x v="4"/>
    <x v="1"/>
    <x v="1"/>
    <n v="0.18181818181818182"/>
    <x v="1"/>
    <x v="1"/>
    <n v="22"/>
    <x v="3"/>
    <x v="2"/>
  </r>
  <r>
    <x v="2"/>
    <x v="37"/>
    <x v="2"/>
    <x v="1"/>
    <x v="4"/>
    <x v="1"/>
    <x v="1"/>
    <n v="0.92307692307692313"/>
    <x v="1"/>
    <x v="1"/>
    <n v="13"/>
    <x v="2"/>
    <x v="2"/>
  </r>
  <r>
    <x v="2"/>
    <x v="37"/>
    <x v="2"/>
    <x v="1"/>
    <x v="4"/>
    <x v="1"/>
    <x v="1"/>
    <n v="0"/>
    <x v="1"/>
    <x v="1"/>
    <n v="8"/>
    <x v="1"/>
    <x v="2"/>
  </r>
  <r>
    <x v="2"/>
    <x v="38"/>
    <x v="2"/>
    <x v="1"/>
    <x v="3"/>
    <x v="1"/>
    <x v="1"/>
    <n v="0"/>
    <x v="1"/>
    <x v="1"/>
    <n v="20"/>
    <x v="3"/>
    <x v="2"/>
  </r>
  <r>
    <x v="2"/>
    <x v="38"/>
    <x v="2"/>
    <x v="1"/>
    <x v="3"/>
    <x v="1"/>
    <x v="1"/>
    <n v="0.66666666666666663"/>
    <x v="1"/>
    <x v="1"/>
    <n v="3"/>
    <x v="2"/>
    <x v="2"/>
  </r>
  <r>
    <x v="2"/>
    <x v="38"/>
    <x v="2"/>
    <x v="1"/>
    <x v="3"/>
    <x v="1"/>
    <x v="1"/>
    <n v="0"/>
    <x v="1"/>
    <x v="1"/>
    <n v="8"/>
    <x v="1"/>
    <x v="2"/>
  </r>
  <r>
    <x v="2"/>
    <x v="38"/>
    <x v="2"/>
    <x v="1"/>
    <x v="2"/>
    <x v="1"/>
    <x v="1"/>
    <n v="1"/>
    <x v="1"/>
    <x v="1"/>
    <n v="7"/>
    <x v="2"/>
    <x v="2"/>
  </r>
  <r>
    <x v="2"/>
    <x v="38"/>
    <x v="2"/>
    <x v="1"/>
    <x v="1"/>
    <x v="1"/>
    <x v="1"/>
    <n v="1"/>
    <x v="1"/>
    <x v="1"/>
    <n v="3"/>
    <x v="2"/>
    <x v="2"/>
  </r>
  <r>
    <x v="2"/>
    <x v="38"/>
    <x v="2"/>
    <x v="1"/>
    <x v="1"/>
    <x v="1"/>
    <x v="1"/>
    <n v="1"/>
    <x v="1"/>
    <x v="1"/>
    <n v="1"/>
    <x v="1"/>
    <x v="2"/>
  </r>
  <r>
    <x v="2"/>
    <x v="38"/>
    <x v="2"/>
    <x v="1"/>
    <x v="5"/>
    <x v="1"/>
    <x v="1"/>
    <n v="1"/>
    <x v="1"/>
    <x v="1"/>
    <n v="1"/>
    <x v="1"/>
    <x v="2"/>
  </r>
  <r>
    <x v="2"/>
    <x v="38"/>
    <x v="2"/>
    <x v="1"/>
    <x v="4"/>
    <x v="1"/>
    <x v="1"/>
    <n v="0"/>
    <x v="1"/>
    <x v="1"/>
    <n v="20"/>
    <x v="3"/>
    <x v="2"/>
  </r>
  <r>
    <x v="2"/>
    <x v="38"/>
    <x v="2"/>
    <x v="1"/>
    <x v="4"/>
    <x v="1"/>
    <x v="1"/>
    <n v="0.875"/>
    <x v="1"/>
    <x v="1"/>
    <n v="8"/>
    <x v="2"/>
    <x v="2"/>
  </r>
  <r>
    <x v="2"/>
    <x v="38"/>
    <x v="2"/>
    <x v="1"/>
    <x v="4"/>
    <x v="1"/>
    <x v="1"/>
    <n v="0.1111111111111111"/>
    <x v="1"/>
    <x v="1"/>
    <n v="9"/>
    <x v="1"/>
    <x v="2"/>
  </r>
  <r>
    <x v="2"/>
    <x v="38"/>
    <x v="2"/>
    <x v="1"/>
    <x v="6"/>
    <x v="1"/>
    <x v="1"/>
    <n v="1"/>
    <x v="1"/>
    <x v="1"/>
    <n v="1"/>
    <x v="2"/>
    <x v="2"/>
  </r>
  <r>
    <x v="2"/>
    <x v="39"/>
    <x v="2"/>
    <x v="1"/>
    <x v="3"/>
    <x v="1"/>
    <x v="1"/>
    <n v="0.8571428571428571"/>
    <x v="1"/>
    <x v="1"/>
    <n v="7"/>
    <x v="2"/>
    <x v="2"/>
  </r>
  <r>
    <x v="2"/>
    <x v="39"/>
    <x v="2"/>
    <x v="1"/>
    <x v="3"/>
    <x v="1"/>
    <x v="1"/>
    <n v="0.4"/>
    <x v="1"/>
    <x v="1"/>
    <n v="20"/>
    <x v="3"/>
    <x v="2"/>
  </r>
  <r>
    <x v="2"/>
    <x v="39"/>
    <x v="2"/>
    <x v="1"/>
    <x v="3"/>
    <x v="1"/>
    <x v="1"/>
    <n v="0"/>
    <x v="1"/>
    <x v="1"/>
    <n v="8"/>
    <x v="1"/>
    <x v="2"/>
  </r>
  <r>
    <x v="2"/>
    <x v="39"/>
    <x v="2"/>
    <x v="1"/>
    <x v="2"/>
    <x v="1"/>
    <x v="1"/>
    <n v="0.2"/>
    <x v="1"/>
    <x v="1"/>
    <n v="5"/>
    <x v="2"/>
    <x v="2"/>
  </r>
  <r>
    <x v="2"/>
    <x v="39"/>
    <x v="2"/>
    <x v="1"/>
    <x v="1"/>
    <x v="1"/>
    <x v="1"/>
    <n v="1"/>
    <x v="1"/>
    <x v="1"/>
    <n v="10"/>
    <x v="3"/>
    <x v="2"/>
  </r>
  <r>
    <x v="2"/>
    <x v="39"/>
    <x v="2"/>
    <x v="1"/>
    <x v="2"/>
    <x v="1"/>
    <x v="1"/>
    <n v="1"/>
    <x v="1"/>
    <x v="1"/>
    <n v="10"/>
    <x v="3"/>
    <x v="2"/>
  </r>
  <r>
    <x v="2"/>
    <x v="39"/>
    <x v="2"/>
    <x v="1"/>
    <x v="6"/>
    <x v="1"/>
    <x v="1"/>
    <n v="1"/>
    <x v="1"/>
    <x v="1"/>
    <n v="1"/>
    <x v="2"/>
    <x v="2"/>
  </r>
  <r>
    <x v="2"/>
    <x v="39"/>
    <x v="2"/>
    <x v="1"/>
    <x v="4"/>
    <x v="1"/>
    <x v="1"/>
    <n v="0.8571428571428571"/>
    <x v="1"/>
    <x v="1"/>
    <n v="7"/>
    <x v="2"/>
    <x v="2"/>
  </r>
  <r>
    <x v="2"/>
    <x v="39"/>
    <x v="2"/>
    <x v="1"/>
    <x v="4"/>
    <x v="1"/>
    <x v="1"/>
    <n v="0.45454545454545453"/>
    <x v="1"/>
    <x v="1"/>
    <n v="22"/>
    <x v="3"/>
    <x v="2"/>
  </r>
  <r>
    <x v="2"/>
    <x v="39"/>
    <x v="2"/>
    <x v="1"/>
    <x v="4"/>
    <x v="1"/>
    <x v="1"/>
    <n v="0"/>
    <x v="1"/>
    <x v="1"/>
    <n v="8"/>
    <x v="1"/>
    <x v="2"/>
  </r>
  <r>
    <x v="2"/>
    <x v="40"/>
    <x v="2"/>
    <x v="1"/>
    <x v="2"/>
    <x v="1"/>
    <x v="1"/>
    <n v="1"/>
    <x v="1"/>
    <x v="1"/>
    <n v="3"/>
    <x v="3"/>
    <x v="2"/>
  </r>
  <r>
    <x v="2"/>
    <x v="40"/>
    <x v="2"/>
    <x v="1"/>
    <x v="3"/>
    <x v="1"/>
    <x v="1"/>
    <n v="1"/>
    <x v="1"/>
    <x v="1"/>
    <n v="3"/>
    <x v="3"/>
    <x v="2"/>
  </r>
  <r>
    <x v="2"/>
    <x v="40"/>
    <x v="2"/>
    <x v="1"/>
    <x v="1"/>
    <x v="1"/>
    <x v="1"/>
    <n v="1"/>
    <x v="1"/>
    <x v="1"/>
    <n v="2"/>
    <x v="2"/>
    <x v="2"/>
  </r>
  <r>
    <x v="2"/>
    <x v="40"/>
    <x v="2"/>
    <x v="1"/>
    <x v="2"/>
    <x v="1"/>
    <x v="1"/>
    <n v="1"/>
    <x v="1"/>
    <x v="1"/>
    <n v="2"/>
    <x v="2"/>
    <x v="2"/>
  </r>
  <r>
    <x v="2"/>
    <x v="40"/>
    <x v="2"/>
    <x v="1"/>
    <x v="3"/>
    <x v="1"/>
    <x v="1"/>
    <n v="1"/>
    <x v="1"/>
    <x v="1"/>
    <n v="2"/>
    <x v="2"/>
    <x v="2"/>
  </r>
  <r>
    <x v="2"/>
    <x v="40"/>
    <x v="2"/>
    <x v="1"/>
    <x v="1"/>
    <x v="1"/>
    <x v="1"/>
    <n v="1"/>
    <x v="1"/>
    <x v="1"/>
    <n v="1"/>
    <x v="3"/>
    <x v="2"/>
  </r>
  <r>
    <x v="2"/>
    <x v="40"/>
    <x v="2"/>
    <x v="1"/>
    <x v="1"/>
    <x v="1"/>
    <x v="1"/>
    <n v="1"/>
    <x v="1"/>
    <x v="1"/>
    <n v="8"/>
    <x v="1"/>
    <x v="2"/>
  </r>
  <r>
    <x v="2"/>
    <x v="40"/>
    <x v="2"/>
    <x v="1"/>
    <x v="2"/>
    <x v="1"/>
    <x v="1"/>
    <n v="1"/>
    <x v="1"/>
    <x v="1"/>
    <n v="8"/>
    <x v="1"/>
    <x v="2"/>
  </r>
  <r>
    <x v="2"/>
    <x v="40"/>
    <x v="2"/>
    <x v="1"/>
    <x v="3"/>
    <x v="1"/>
    <x v="1"/>
    <n v="1"/>
    <x v="1"/>
    <x v="1"/>
    <n v="8"/>
    <x v="1"/>
    <x v="2"/>
  </r>
  <r>
    <x v="2"/>
    <x v="40"/>
    <x v="2"/>
    <x v="1"/>
    <x v="4"/>
    <x v="1"/>
    <x v="1"/>
    <n v="1"/>
    <x v="1"/>
    <x v="1"/>
    <n v="3"/>
    <x v="3"/>
    <x v="2"/>
  </r>
  <r>
    <x v="2"/>
    <x v="40"/>
    <x v="2"/>
    <x v="1"/>
    <x v="4"/>
    <x v="1"/>
    <x v="1"/>
    <n v="1"/>
    <x v="1"/>
    <x v="1"/>
    <n v="2"/>
    <x v="2"/>
    <x v="2"/>
  </r>
  <r>
    <x v="2"/>
    <x v="40"/>
    <x v="2"/>
    <x v="1"/>
    <x v="4"/>
    <x v="1"/>
    <x v="1"/>
    <n v="1"/>
    <x v="1"/>
    <x v="1"/>
    <n v="8"/>
    <x v="1"/>
    <x v="2"/>
  </r>
  <r>
    <x v="2"/>
    <x v="41"/>
    <x v="2"/>
    <x v="1"/>
    <x v="1"/>
    <x v="1"/>
    <x v="1"/>
    <n v="1"/>
    <x v="1"/>
    <x v="1"/>
    <n v="4"/>
    <x v="2"/>
    <x v="2"/>
  </r>
  <r>
    <x v="2"/>
    <x v="41"/>
    <x v="2"/>
    <x v="1"/>
    <x v="2"/>
    <x v="1"/>
    <x v="1"/>
    <n v="1"/>
    <x v="1"/>
    <x v="1"/>
    <n v="4"/>
    <x v="2"/>
    <x v="2"/>
  </r>
  <r>
    <x v="2"/>
    <x v="41"/>
    <x v="2"/>
    <x v="1"/>
    <x v="3"/>
    <x v="1"/>
    <x v="1"/>
    <n v="1"/>
    <x v="1"/>
    <x v="1"/>
    <n v="4"/>
    <x v="2"/>
    <x v="2"/>
  </r>
  <r>
    <x v="2"/>
    <x v="41"/>
    <x v="2"/>
    <x v="1"/>
    <x v="1"/>
    <x v="1"/>
    <x v="1"/>
    <n v="1"/>
    <x v="1"/>
    <x v="1"/>
    <n v="15"/>
    <x v="3"/>
    <x v="2"/>
  </r>
  <r>
    <x v="2"/>
    <x v="41"/>
    <x v="2"/>
    <x v="1"/>
    <x v="2"/>
    <x v="1"/>
    <x v="1"/>
    <n v="1"/>
    <x v="1"/>
    <x v="1"/>
    <n v="9"/>
    <x v="3"/>
    <x v="2"/>
  </r>
  <r>
    <x v="2"/>
    <x v="41"/>
    <x v="2"/>
    <x v="1"/>
    <x v="3"/>
    <x v="1"/>
    <x v="1"/>
    <n v="1"/>
    <x v="1"/>
    <x v="1"/>
    <n v="9"/>
    <x v="3"/>
    <x v="2"/>
  </r>
  <r>
    <x v="2"/>
    <x v="41"/>
    <x v="2"/>
    <x v="1"/>
    <x v="4"/>
    <x v="1"/>
    <x v="1"/>
    <n v="1"/>
    <x v="1"/>
    <x v="1"/>
    <n v="4"/>
    <x v="2"/>
    <x v="2"/>
  </r>
  <r>
    <x v="2"/>
    <x v="41"/>
    <x v="2"/>
    <x v="1"/>
    <x v="4"/>
    <x v="1"/>
    <x v="1"/>
    <n v="1"/>
    <x v="1"/>
    <x v="1"/>
    <n v="15"/>
    <x v="3"/>
    <x v="2"/>
  </r>
  <r>
    <x v="2"/>
    <x v="42"/>
    <x v="2"/>
    <x v="1"/>
    <x v="1"/>
    <x v="1"/>
    <x v="1"/>
    <n v="0.95833333333333337"/>
    <x v="1"/>
    <x v="1"/>
    <n v="48"/>
    <x v="3"/>
    <x v="2"/>
  </r>
  <r>
    <x v="2"/>
    <x v="42"/>
    <x v="2"/>
    <x v="1"/>
    <x v="2"/>
    <x v="1"/>
    <x v="1"/>
    <n v="1"/>
    <x v="1"/>
    <x v="1"/>
    <n v="33"/>
    <x v="3"/>
    <x v="2"/>
  </r>
  <r>
    <x v="2"/>
    <x v="42"/>
    <x v="2"/>
    <x v="1"/>
    <x v="1"/>
    <x v="1"/>
    <x v="1"/>
    <n v="1"/>
    <x v="1"/>
    <x v="1"/>
    <n v="6"/>
    <x v="1"/>
    <x v="2"/>
  </r>
  <r>
    <x v="2"/>
    <x v="42"/>
    <x v="2"/>
    <x v="1"/>
    <x v="1"/>
    <x v="1"/>
    <x v="1"/>
    <n v="1"/>
    <x v="1"/>
    <x v="1"/>
    <n v="1"/>
    <x v="2"/>
    <x v="2"/>
  </r>
  <r>
    <x v="2"/>
    <x v="42"/>
    <x v="2"/>
    <x v="1"/>
    <x v="5"/>
    <x v="1"/>
    <x v="1"/>
    <n v="1"/>
    <x v="1"/>
    <x v="1"/>
    <n v="1"/>
    <x v="2"/>
    <x v="2"/>
  </r>
  <r>
    <x v="2"/>
    <x v="42"/>
    <x v="2"/>
    <x v="1"/>
    <x v="2"/>
    <x v="1"/>
    <x v="1"/>
    <n v="1"/>
    <x v="1"/>
    <x v="1"/>
    <n v="5"/>
    <x v="1"/>
    <x v="2"/>
  </r>
  <r>
    <x v="2"/>
    <x v="42"/>
    <x v="2"/>
    <x v="1"/>
    <x v="3"/>
    <x v="1"/>
    <x v="1"/>
    <n v="1"/>
    <x v="1"/>
    <x v="1"/>
    <n v="17"/>
    <x v="3"/>
    <x v="2"/>
  </r>
  <r>
    <x v="2"/>
    <x v="42"/>
    <x v="2"/>
    <x v="1"/>
    <x v="4"/>
    <x v="1"/>
    <x v="1"/>
    <n v="1"/>
    <x v="1"/>
    <x v="1"/>
    <n v="48"/>
    <x v="3"/>
    <x v="2"/>
  </r>
  <r>
    <x v="2"/>
    <x v="42"/>
    <x v="2"/>
    <x v="1"/>
    <x v="4"/>
    <x v="1"/>
    <x v="1"/>
    <n v="1"/>
    <x v="1"/>
    <x v="1"/>
    <n v="6"/>
    <x v="1"/>
    <x v="2"/>
  </r>
  <r>
    <x v="2"/>
    <x v="42"/>
    <x v="2"/>
    <x v="1"/>
    <x v="4"/>
    <x v="1"/>
    <x v="1"/>
    <n v="1"/>
    <x v="1"/>
    <x v="1"/>
    <n v="1"/>
    <x v="2"/>
    <x v="2"/>
  </r>
  <r>
    <x v="2"/>
    <x v="42"/>
    <x v="2"/>
    <x v="1"/>
    <x v="6"/>
    <x v="1"/>
    <x v="1"/>
    <n v="1"/>
    <x v="1"/>
    <x v="1"/>
    <n v="1"/>
    <x v="1"/>
    <x v="2"/>
  </r>
  <r>
    <x v="2"/>
    <x v="43"/>
    <x v="2"/>
    <x v="1"/>
    <x v="1"/>
    <x v="1"/>
    <x v="1"/>
    <n v="0.21052631578947367"/>
    <x v="1"/>
    <x v="1"/>
    <n v="19"/>
    <x v="3"/>
    <x v="2"/>
  </r>
  <r>
    <x v="2"/>
    <x v="43"/>
    <x v="2"/>
    <x v="1"/>
    <x v="2"/>
    <x v="1"/>
    <x v="1"/>
    <n v="1"/>
    <x v="1"/>
    <x v="1"/>
    <n v="15"/>
    <x v="1"/>
    <x v="2"/>
  </r>
  <r>
    <x v="2"/>
    <x v="43"/>
    <x v="2"/>
    <x v="1"/>
    <x v="1"/>
    <x v="1"/>
    <x v="1"/>
    <n v="0.91666666666666663"/>
    <x v="1"/>
    <x v="1"/>
    <n v="12"/>
    <x v="1"/>
    <x v="2"/>
  </r>
  <r>
    <x v="2"/>
    <x v="43"/>
    <x v="2"/>
    <x v="1"/>
    <x v="3"/>
    <x v="1"/>
    <x v="1"/>
    <n v="1"/>
    <x v="1"/>
    <x v="1"/>
    <n v="34"/>
    <x v="3"/>
    <x v="2"/>
  </r>
  <r>
    <x v="2"/>
    <x v="43"/>
    <x v="2"/>
    <x v="1"/>
    <x v="2"/>
    <x v="1"/>
    <x v="1"/>
    <n v="1"/>
    <x v="1"/>
    <x v="1"/>
    <n v="34"/>
    <x v="3"/>
    <x v="2"/>
  </r>
  <r>
    <x v="2"/>
    <x v="43"/>
    <x v="2"/>
    <x v="1"/>
    <x v="1"/>
    <x v="1"/>
    <x v="1"/>
    <n v="1"/>
    <x v="1"/>
    <x v="1"/>
    <n v="12"/>
    <x v="2"/>
    <x v="2"/>
  </r>
  <r>
    <x v="2"/>
    <x v="43"/>
    <x v="2"/>
    <x v="1"/>
    <x v="2"/>
    <x v="1"/>
    <x v="1"/>
    <n v="1"/>
    <x v="1"/>
    <x v="1"/>
    <n v="12"/>
    <x v="2"/>
    <x v="2"/>
  </r>
  <r>
    <x v="2"/>
    <x v="43"/>
    <x v="2"/>
    <x v="1"/>
    <x v="3"/>
    <x v="1"/>
    <x v="1"/>
    <n v="1"/>
    <x v="1"/>
    <x v="1"/>
    <n v="13"/>
    <x v="2"/>
    <x v="2"/>
  </r>
  <r>
    <x v="2"/>
    <x v="43"/>
    <x v="2"/>
    <x v="1"/>
    <x v="3"/>
    <x v="1"/>
    <x v="1"/>
    <n v="1"/>
    <x v="1"/>
    <x v="1"/>
    <n v="15"/>
    <x v="1"/>
    <x v="2"/>
  </r>
  <r>
    <x v="2"/>
    <x v="43"/>
    <x v="2"/>
    <x v="1"/>
    <x v="6"/>
    <x v="1"/>
    <x v="1"/>
    <n v="1"/>
    <x v="1"/>
    <x v="1"/>
    <n v="1"/>
    <x v="1"/>
    <x v="2"/>
  </r>
  <r>
    <x v="2"/>
    <x v="43"/>
    <x v="2"/>
    <x v="1"/>
    <x v="5"/>
    <x v="1"/>
    <x v="1"/>
    <n v="1"/>
    <x v="1"/>
    <x v="1"/>
    <n v="1"/>
    <x v="1"/>
    <x v="2"/>
  </r>
  <r>
    <x v="2"/>
    <x v="43"/>
    <x v="2"/>
    <x v="1"/>
    <x v="6"/>
    <x v="1"/>
    <x v="1"/>
    <n v="1"/>
    <x v="1"/>
    <x v="1"/>
    <n v="1"/>
    <x v="2"/>
    <x v="2"/>
  </r>
  <r>
    <x v="2"/>
    <x v="43"/>
    <x v="2"/>
    <x v="1"/>
    <x v="4"/>
    <x v="1"/>
    <x v="1"/>
    <n v="1"/>
    <x v="1"/>
    <x v="1"/>
    <n v="37"/>
    <x v="3"/>
    <x v="2"/>
  </r>
  <r>
    <x v="2"/>
    <x v="43"/>
    <x v="2"/>
    <x v="1"/>
    <x v="4"/>
    <x v="1"/>
    <x v="1"/>
    <n v="1"/>
    <x v="1"/>
    <x v="1"/>
    <n v="13"/>
    <x v="2"/>
    <x v="2"/>
  </r>
  <r>
    <x v="2"/>
    <x v="43"/>
    <x v="2"/>
    <x v="1"/>
    <x v="4"/>
    <x v="1"/>
    <x v="1"/>
    <n v="1"/>
    <x v="1"/>
    <x v="1"/>
    <n v="17"/>
    <x v="1"/>
    <x v="2"/>
  </r>
  <r>
    <x v="2"/>
    <x v="44"/>
    <x v="2"/>
    <x v="1"/>
    <x v="3"/>
    <x v="1"/>
    <x v="1"/>
    <n v="1"/>
    <x v="1"/>
    <x v="1"/>
    <n v="28"/>
    <x v="3"/>
    <x v="2"/>
  </r>
  <r>
    <x v="2"/>
    <x v="44"/>
    <x v="2"/>
    <x v="1"/>
    <x v="1"/>
    <x v="1"/>
    <x v="1"/>
    <n v="1"/>
    <x v="1"/>
    <x v="1"/>
    <n v="28"/>
    <x v="3"/>
    <x v="2"/>
  </r>
  <r>
    <x v="2"/>
    <x v="44"/>
    <x v="2"/>
    <x v="1"/>
    <x v="2"/>
    <x v="1"/>
    <x v="1"/>
    <n v="0.9285714285714286"/>
    <x v="1"/>
    <x v="1"/>
    <n v="28"/>
    <x v="3"/>
    <x v="2"/>
  </r>
  <r>
    <x v="2"/>
    <x v="44"/>
    <x v="2"/>
    <x v="1"/>
    <x v="2"/>
    <x v="1"/>
    <x v="1"/>
    <n v="1"/>
    <x v="1"/>
    <x v="1"/>
    <n v="10"/>
    <x v="1"/>
    <x v="2"/>
  </r>
  <r>
    <x v="2"/>
    <x v="44"/>
    <x v="2"/>
    <x v="1"/>
    <x v="3"/>
    <x v="1"/>
    <x v="1"/>
    <n v="1"/>
    <x v="1"/>
    <x v="1"/>
    <n v="9"/>
    <x v="1"/>
    <x v="2"/>
  </r>
  <r>
    <x v="2"/>
    <x v="44"/>
    <x v="2"/>
    <x v="1"/>
    <x v="1"/>
    <x v="1"/>
    <x v="1"/>
    <n v="1"/>
    <x v="1"/>
    <x v="1"/>
    <n v="4"/>
    <x v="2"/>
    <x v="2"/>
  </r>
  <r>
    <x v="2"/>
    <x v="44"/>
    <x v="2"/>
    <x v="1"/>
    <x v="2"/>
    <x v="1"/>
    <x v="1"/>
    <n v="1"/>
    <x v="1"/>
    <x v="1"/>
    <n v="4"/>
    <x v="2"/>
    <x v="2"/>
  </r>
  <r>
    <x v="2"/>
    <x v="44"/>
    <x v="2"/>
    <x v="1"/>
    <x v="3"/>
    <x v="1"/>
    <x v="1"/>
    <n v="1"/>
    <x v="1"/>
    <x v="1"/>
    <n v="4"/>
    <x v="2"/>
    <x v="2"/>
  </r>
  <r>
    <x v="2"/>
    <x v="44"/>
    <x v="2"/>
    <x v="1"/>
    <x v="1"/>
    <x v="1"/>
    <x v="1"/>
    <n v="0.90909090909090906"/>
    <x v="1"/>
    <x v="1"/>
    <n v="11"/>
    <x v="1"/>
    <x v="2"/>
  </r>
  <r>
    <x v="2"/>
    <x v="44"/>
    <x v="2"/>
    <x v="1"/>
    <x v="4"/>
    <x v="1"/>
    <x v="1"/>
    <n v="1"/>
    <x v="1"/>
    <x v="1"/>
    <n v="37"/>
    <x v="3"/>
    <x v="2"/>
  </r>
  <r>
    <x v="2"/>
    <x v="44"/>
    <x v="2"/>
    <x v="1"/>
    <x v="4"/>
    <x v="1"/>
    <x v="1"/>
    <n v="0.91666666666666663"/>
    <x v="1"/>
    <x v="1"/>
    <n v="12"/>
    <x v="1"/>
    <x v="2"/>
  </r>
  <r>
    <x v="2"/>
    <x v="44"/>
    <x v="2"/>
    <x v="1"/>
    <x v="4"/>
    <x v="1"/>
    <x v="1"/>
    <n v="1"/>
    <x v="1"/>
    <x v="1"/>
    <n v="4"/>
    <x v="2"/>
    <x v="2"/>
  </r>
  <r>
    <x v="2"/>
    <x v="45"/>
    <x v="2"/>
    <x v="1"/>
    <x v="1"/>
    <x v="1"/>
    <x v="1"/>
    <n v="0.89743589743589747"/>
    <x v="1"/>
    <x v="1"/>
    <n v="39"/>
    <x v="1"/>
    <x v="2"/>
  </r>
  <r>
    <x v="2"/>
    <x v="45"/>
    <x v="2"/>
    <x v="1"/>
    <x v="1"/>
    <x v="1"/>
    <x v="1"/>
    <n v="0.90909090909090906"/>
    <x v="1"/>
    <x v="1"/>
    <n v="11"/>
    <x v="3"/>
    <x v="2"/>
  </r>
  <r>
    <x v="2"/>
    <x v="45"/>
    <x v="2"/>
    <x v="1"/>
    <x v="3"/>
    <x v="1"/>
    <x v="1"/>
    <n v="1"/>
    <x v="1"/>
    <x v="1"/>
    <n v="40"/>
    <x v="1"/>
    <x v="2"/>
  </r>
  <r>
    <x v="2"/>
    <x v="45"/>
    <x v="2"/>
    <x v="1"/>
    <x v="2"/>
    <x v="1"/>
    <x v="1"/>
    <n v="0.97435897435897434"/>
    <x v="1"/>
    <x v="1"/>
    <n v="39"/>
    <x v="1"/>
    <x v="2"/>
  </r>
  <r>
    <x v="2"/>
    <x v="45"/>
    <x v="2"/>
    <x v="1"/>
    <x v="3"/>
    <x v="1"/>
    <x v="1"/>
    <n v="1"/>
    <x v="1"/>
    <x v="1"/>
    <n v="26"/>
    <x v="3"/>
    <x v="2"/>
  </r>
  <r>
    <x v="2"/>
    <x v="45"/>
    <x v="2"/>
    <x v="1"/>
    <x v="2"/>
    <x v="1"/>
    <x v="1"/>
    <n v="1"/>
    <x v="1"/>
    <x v="1"/>
    <n v="18"/>
    <x v="3"/>
    <x v="2"/>
  </r>
  <r>
    <x v="2"/>
    <x v="45"/>
    <x v="2"/>
    <x v="1"/>
    <x v="1"/>
    <x v="1"/>
    <x v="1"/>
    <n v="1"/>
    <x v="1"/>
    <x v="1"/>
    <n v="2"/>
    <x v="2"/>
    <x v="2"/>
  </r>
  <r>
    <x v="2"/>
    <x v="45"/>
    <x v="2"/>
    <x v="1"/>
    <x v="2"/>
    <x v="1"/>
    <x v="1"/>
    <n v="1"/>
    <x v="1"/>
    <x v="1"/>
    <n v="2"/>
    <x v="2"/>
    <x v="2"/>
  </r>
  <r>
    <x v="2"/>
    <x v="45"/>
    <x v="2"/>
    <x v="1"/>
    <x v="3"/>
    <x v="1"/>
    <x v="1"/>
    <n v="1"/>
    <x v="1"/>
    <x v="1"/>
    <n v="2"/>
    <x v="2"/>
    <x v="2"/>
  </r>
  <r>
    <x v="2"/>
    <x v="45"/>
    <x v="2"/>
    <x v="1"/>
    <x v="5"/>
    <x v="1"/>
    <x v="1"/>
    <n v="1"/>
    <x v="1"/>
    <x v="1"/>
    <n v="1"/>
    <x v="1"/>
    <x v="2"/>
  </r>
  <r>
    <x v="2"/>
    <x v="45"/>
    <x v="2"/>
    <x v="1"/>
    <x v="6"/>
    <x v="1"/>
    <x v="1"/>
    <n v="1"/>
    <x v="1"/>
    <x v="1"/>
    <n v="1"/>
    <x v="2"/>
    <x v="2"/>
  </r>
  <r>
    <x v="2"/>
    <x v="45"/>
    <x v="2"/>
    <x v="1"/>
    <x v="4"/>
    <x v="1"/>
    <x v="1"/>
    <n v="1"/>
    <x v="1"/>
    <x v="1"/>
    <n v="40"/>
    <x v="1"/>
    <x v="2"/>
  </r>
  <r>
    <x v="2"/>
    <x v="45"/>
    <x v="2"/>
    <x v="1"/>
    <x v="4"/>
    <x v="1"/>
    <x v="1"/>
    <n v="1"/>
    <x v="1"/>
    <x v="1"/>
    <n v="26"/>
    <x v="3"/>
    <x v="2"/>
  </r>
  <r>
    <x v="2"/>
    <x v="45"/>
    <x v="2"/>
    <x v="1"/>
    <x v="4"/>
    <x v="1"/>
    <x v="1"/>
    <n v="1"/>
    <x v="1"/>
    <x v="1"/>
    <n v="3"/>
    <x v="2"/>
    <x v="2"/>
  </r>
  <r>
    <x v="2"/>
    <x v="46"/>
    <x v="2"/>
    <x v="1"/>
    <x v="3"/>
    <x v="1"/>
    <x v="1"/>
    <n v="1"/>
    <x v="1"/>
    <x v="1"/>
    <n v="12"/>
    <x v="3"/>
    <x v="2"/>
  </r>
  <r>
    <x v="2"/>
    <x v="46"/>
    <x v="2"/>
    <x v="1"/>
    <x v="6"/>
    <x v="1"/>
    <x v="1"/>
    <n v="1"/>
    <x v="1"/>
    <x v="1"/>
    <n v="1"/>
    <x v="2"/>
    <x v="2"/>
  </r>
  <r>
    <x v="2"/>
    <x v="46"/>
    <x v="2"/>
    <x v="1"/>
    <x v="3"/>
    <x v="1"/>
    <x v="1"/>
    <n v="1"/>
    <x v="1"/>
    <x v="1"/>
    <n v="4"/>
    <x v="1"/>
    <x v="2"/>
  </r>
  <r>
    <x v="2"/>
    <x v="46"/>
    <x v="2"/>
    <x v="1"/>
    <x v="1"/>
    <x v="1"/>
    <x v="1"/>
    <n v="1"/>
    <x v="1"/>
    <x v="1"/>
    <n v="42"/>
    <x v="3"/>
    <x v="2"/>
  </r>
  <r>
    <x v="2"/>
    <x v="46"/>
    <x v="2"/>
    <x v="1"/>
    <x v="2"/>
    <x v="1"/>
    <x v="1"/>
    <n v="1"/>
    <x v="1"/>
    <x v="1"/>
    <n v="16"/>
    <x v="3"/>
    <x v="2"/>
  </r>
  <r>
    <x v="2"/>
    <x v="46"/>
    <x v="2"/>
    <x v="1"/>
    <x v="4"/>
    <x v="1"/>
    <x v="1"/>
    <n v="1"/>
    <x v="1"/>
    <x v="1"/>
    <n v="49"/>
    <x v="3"/>
    <x v="2"/>
  </r>
  <r>
    <x v="2"/>
    <x v="46"/>
    <x v="2"/>
    <x v="1"/>
    <x v="4"/>
    <x v="1"/>
    <x v="1"/>
    <n v="1"/>
    <x v="1"/>
    <x v="1"/>
    <n v="1"/>
    <x v="2"/>
    <x v="2"/>
  </r>
  <r>
    <x v="2"/>
    <x v="46"/>
    <x v="2"/>
    <x v="1"/>
    <x v="4"/>
    <x v="1"/>
    <x v="1"/>
    <n v="1"/>
    <x v="1"/>
    <x v="1"/>
    <n v="6"/>
    <x v="1"/>
    <x v="2"/>
  </r>
  <r>
    <x v="2"/>
    <x v="46"/>
    <x v="1"/>
    <x v="1"/>
    <x v="1"/>
    <x v="1"/>
    <x v="1"/>
    <n v="1"/>
    <x v="1"/>
    <x v="1"/>
    <n v="2"/>
    <x v="1"/>
    <x v="2"/>
  </r>
  <r>
    <x v="2"/>
    <x v="46"/>
    <x v="1"/>
    <x v="1"/>
    <x v="2"/>
    <x v="1"/>
    <x v="1"/>
    <n v="1"/>
    <x v="1"/>
    <x v="1"/>
    <n v="2"/>
    <x v="1"/>
    <x v="2"/>
  </r>
  <r>
    <x v="2"/>
    <x v="47"/>
    <x v="1"/>
    <x v="1"/>
    <x v="6"/>
    <x v="1"/>
    <x v="1"/>
    <n v="0"/>
    <x v="1"/>
    <x v="1"/>
    <n v="1"/>
    <x v="2"/>
    <x v="3"/>
  </r>
  <r>
    <x v="2"/>
    <x v="47"/>
    <x v="1"/>
    <x v="1"/>
    <x v="3"/>
    <x v="1"/>
    <x v="1"/>
    <n v="1"/>
    <x v="1"/>
    <x v="1"/>
    <n v="25"/>
    <x v="1"/>
    <x v="3"/>
  </r>
  <r>
    <x v="2"/>
    <x v="47"/>
    <x v="1"/>
    <x v="1"/>
    <x v="1"/>
    <x v="1"/>
    <x v="1"/>
    <n v="0.48979591836734693"/>
    <x v="1"/>
    <x v="1"/>
    <n v="49"/>
    <x v="3"/>
    <x v="3"/>
  </r>
  <r>
    <x v="2"/>
    <x v="47"/>
    <x v="1"/>
    <x v="1"/>
    <x v="2"/>
    <x v="1"/>
    <x v="1"/>
    <n v="1"/>
    <x v="1"/>
    <x v="1"/>
    <n v="57"/>
    <x v="3"/>
    <x v="3"/>
  </r>
  <r>
    <x v="2"/>
    <x v="47"/>
    <x v="1"/>
    <x v="1"/>
    <x v="3"/>
    <x v="1"/>
    <x v="1"/>
    <n v="0.86274509803921573"/>
    <x v="1"/>
    <x v="1"/>
    <n v="51"/>
    <x v="3"/>
    <x v="3"/>
  </r>
  <r>
    <x v="2"/>
    <x v="47"/>
    <x v="1"/>
    <x v="1"/>
    <x v="1"/>
    <x v="1"/>
    <x v="1"/>
    <n v="1"/>
    <x v="1"/>
    <x v="1"/>
    <n v="20"/>
    <x v="1"/>
    <x v="3"/>
  </r>
  <r>
    <x v="2"/>
    <x v="47"/>
    <x v="1"/>
    <x v="1"/>
    <x v="2"/>
    <x v="1"/>
    <x v="1"/>
    <n v="1"/>
    <x v="1"/>
    <x v="1"/>
    <n v="21"/>
    <x v="1"/>
    <x v="3"/>
  </r>
  <r>
    <x v="2"/>
    <x v="47"/>
    <x v="1"/>
    <x v="1"/>
    <x v="3"/>
    <x v="1"/>
    <x v="1"/>
    <n v="1"/>
    <x v="1"/>
    <x v="1"/>
    <n v="1"/>
    <x v="2"/>
    <x v="3"/>
  </r>
  <r>
    <x v="2"/>
    <x v="47"/>
    <x v="1"/>
    <x v="1"/>
    <x v="4"/>
    <x v="1"/>
    <x v="1"/>
    <n v="0.89855072463768115"/>
    <x v="1"/>
    <x v="1"/>
    <n v="69"/>
    <x v="3"/>
    <x v="3"/>
  </r>
  <r>
    <x v="2"/>
    <x v="47"/>
    <x v="1"/>
    <x v="1"/>
    <x v="4"/>
    <x v="1"/>
    <x v="1"/>
    <n v="1"/>
    <x v="1"/>
    <x v="1"/>
    <n v="26"/>
    <x v="1"/>
    <x v="3"/>
  </r>
  <r>
    <x v="2"/>
    <x v="47"/>
    <x v="1"/>
    <x v="1"/>
    <x v="4"/>
    <x v="1"/>
    <x v="1"/>
    <n v="1"/>
    <x v="1"/>
    <x v="1"/>
    <n v="1"/>
    <x v="2"/>
    <x v="3"/>
  </r>
  <r>
    <x v="2"/>
    <x v="48"/>
    <x v="1"/>
    <x v="1"/>
    <x v="1"/>
    <x v="1"/>
    <x v="1"/>
    <n v="1"/>
    <x v="1"/>
    <x v="1"/>
    <n v="9"/>
    <x v="3"/>
    <x v="3"/>
  </r>
  <r>
    <x v="2"/>
    <x v="48"/>
    <x v="1"/>
    <x v="1"/>
    <x v="2"/>
    <x v="1"/>
    <x v="1"/>
    <n v="0.55000000000000004"/>
    <x v="1"/>
    <x v="1"/>
    <n v="20"/>
    <x v="3"/>
    <x v="3"/>
  </r>
  <r>
    <x v="2"/>
    <x v="48"/>
    <x v="1"/>
    <x v="1"/>
    <x v="3"/>
    <x v="1"/>
    <x v="1"/>
    <n v="0.8"/>
    <x v="1"/>
    <x v="1"/>
    <n v="35"/>
    <x v="3"/>
    <x v="3"/>
  </r>
  <r>
    <x v="2"/>
    <x v="48"/>
    <x v="1"/>
    <x v="1"/>
    <x v="1"/>
    <x v="1"/>
    <x v="1"/>
    <n v="1"/>
    <x v="1"/>
    <x v="1"/>
    <n v="33"/>
    <x v="2"/>
    <x v="3"/>
  </r>
  <r>
    <x v="2"/>
    <x v="48"/>
    <x v="1"/>
    <x v="1"/>
    <x v="2"/>
    <x v="1"/>
    <x v="1"/>
    <n v="1"/>
    <x v="1"/>
    <x v="1"/>
    <n v="7"/>
    <x v="2"/>
    <x v="3"/>
  </r>
  <r>
    <x v="2"/>
    <x v="48"/>
    <x v="1"/>
    <x v="1"/>
    <x v="3"/>
    <x v="1"/>
    <x v="1"/>
    <n v="1"/>
    <x v="1"/>
    <x v="1"/>
    <n v="6"/>
    <x v="2"/>
    <x v="3"/>
  </r>
  <r>
    <x v="2"/>
    <x v="48"/>
    <x v="1"/>
    <x v="1"/>
    <x v="1"/>
    <x v="1"/>
    <x v="1"/>
    <n v="0.96907216494845361"/>
    <x v="1"/>
    <x v="1"/>
    <n v="97"/>
    <x v="1"/>
    <x v="3"/>
  </r>
  <r>
    <x v="2"/>
    <x v="48"/>
    <x v="1"/>
    <x v="1"/>
    <x v="2"/>
    <x v="1"/>
    <x v="1"/>
    <n v="1"/>
    <x v="1"/>
    <x v="1"/>
    <n v="18"/>
    <x v="1"/>
    <x v="3"/>
  </r>
  <r>
    <x v="2"/>
    <x v="48"/>
    <x v="1"/>
    <x v="1"/>
    <x v="3"/>
    <x v="1"/>
    <x v="1"/>
    <n v="1"/>
    <x v="1"/>
    <x v="1"/>
    <n v="4"/>
    <x v="1"/>
    <x v="3"/>
  </r>
  <r>
    <x v="2"/>
    <x v="48"/>
    <x v="1"/>
    <x v="1"/>
    <x v="4"/>
    <x v="1"/>
    <x v="1"/>
    <n v="0.83673469387755106"/>
    <x v="1"/>
    <x v="1"/>
    <n v="49"/>
    <x v="3"/>
    <x v="3"/>
  </r>
  <r>
    <x v="2"/>
    <x v="48"/>
    <x v="1"/>
    <x v="1"/>
    <x v="4"/>
    <x v="1"/>
    <x v="1"/>
    <n v="1"/>
    <x v="1"/>
    <x v="1"/>
    <n v="33"/>
    <x v="2"/>
    <x v="3"/>
  </r>
  <r>
    <x v="2"/>
    <x v="48"/>
    <x v="1"/>
    <x v="1"/>
    <x v="4"/>
    <x v="1"/>
    <x v="1"/>
    <n v="0.98969072164948457"/>
    <x v="1"/>
    <x v="1"/>
    <n v="97"/>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1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location ref="J18:N32" firstHeaderRow="0" firstDataRow="1" firstDataCol="2"/>
  <pivotFields count="5">
    <pivotField axis="axisRow" compact="0" numFmtId="14" outline="0" showAll="0" defaultSubtotal="0">
      <items count="1">
        <item x="0"/>
      </items>
    </pivotField>
    <pivotField axis="axisRow" compact="0" outline="0" showAll="0">
      <items count="14">
        <item x="0"/>
        <item x="1"/>
        <item x="2"/>
        <item x="3"/>
        <item x="4"/>
        <item x="5"/>
        <item x="6"/>
        <item x="7"/>
        <item x="8"/>
        <item x="9"/>
        <item x="10"/>
        <item x="11"/>
        <item x="12"/>
        <item t="default"/>
      </items>
    </pivotField>
    <pivotField dataField="1" compact="0" numFmtId="9" outline="0" showAll="0"/>
    <pivotField dataField="1" compact="0" numFmtId="9" outline="0" showAll="0"/>
    <pivotField dataField="1" compact="0" numFmtId="9" outline="0" showAll="0"/>
  </pivotFields>
  <rowFields count="2">
    <field x="0"/>
    <field x="1"/>
  </rowFields>
  <rowItems count="14">
    <i>
      <x/>
      <x/>
    </i>
    <i r="1">
      <x v="1"/>
    </i>
    <i r="1">
      <x v="2"/>
    </i>
    <i r="1">
      <x v="3"/>
    </i>
    <i r="1">
      <x v="4"/>
    </i>
    <i r="1">
      <x v="5"/>
    </i>
    <i r="1">
      <x v="6"/>
    </i>
    <i r="1">
      <x v="7"/>
    </i>
    <i r="1">
      <x v="8"/>
    </i>
    <i r="1">
      <x v="9"/>
    </i>
    <i r="1">
      <x v="10"/>
    </i>
    <i r="1">
      <x v="11"/>
    </i>
    <i r="1">
      <x v="12"/>
    </i>
    <i t="grand">
      <x/>
    </i>
  </rowItems>
  <colFields count="1">
    <field x="-2"/>
  </colFields>
  <colItems count="3">
    <i>
      <x/>
    </i>
    <i i="1">
      <x v="1"/>
    </i>
    <i i="2">
      <x v="2"/>
    </i>
  </colItems>
  <dataFields count="3">
    <dataField name="Sum of KPI Budova A" fld="2" baseField="0" baseItem="0"/>
    <dataField name="Sum of Target" fld="3" baseField="0" baseItem="0"/>
    <dataField name="Sum of Úkol/Lidi" fld="4" baseField="0" baseItem="0"/>
  </dataFields>
  <chartFormats count="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pivotArea type="data" outline="0" fieldPosition="0">
        <references count="3">
          <reference field="4294967294" count="1" selected="0">
            <x v="2"/>
          </reference>
          <reference field="0" count="1" selected="0">
            <x v="0"/>
          </reference>
          <reference field="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number_of_tasks"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A6:G8" firstHeaderRow="1" firstDataRow="2" firstDataCol="1" rowPageCount="4" colPageCount="1"/>
  <pivotFields count="13">
    <pivotField subtotalTop="0" showAll="0"/>
    <pivotField subtotalTop="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subtotalTop="0" showAll="0"/>
    <pivotField axis="axisPage" subtotalTop="0" showAll="0">
      <items count="3">
        <item h="1" x="0"/>
        <item x="1"/>
        <item t="default"/>
      </items>
    </pivotField>
    <pivotField axis="axisCol" subtotalTop="0" showAll="0">
      <items count="9">
        <item x="0"/>
        <item x="1"/>
        <item x="2"/>
        <item x="3"/>
        <item x="4"/>
        <item x="5"/>
        <item x="6"/>
        <item m="1" x="7"/>
        <item t="default"/>
      </items>
    </pivotField>
    <pivotField axis="axisPage" subtotalTop="0" showAll="0">
      <items count="3">
        <item h="1" x="0"/>
        <item x="1"/>
        <item t="default"/>
      </items>
    </pivotField>
    <pivotField subtotalTop="0" showAll="0"/>
    <pivotField subtotalTop="0" showAll="0"/>
    <pivotField subtotalTop="0" showAll="0"/>
    <pivotField subtotalTop="0" showAll="0"/>
    <pivotField dataField="1" subtotalTop="0" showAll="0"/>
    <pivotField axis="axisPage" subtotalTop="0" showAll="0">
      <items count="6">
        <item x="0"/>
        <item x="2"/>
        <item x="3"/>
        <item x="1"/>
        <item m="1" x="4"/>
        <item t="default"/>
      </items>
    </pivotField>
    <pivotField axis="axisPage" subtotalTop="0" showAll="0">
      <items count="21">
        <item x="0"/>
        <item m="1" x="10"/>
        <item x="1"/>
        <item x="2"/>
        <item x="3"/>
        <item m="1" x="9"/>
        <item m="1" x="18"/>
        <item m="1" x="19"/>
        <item m="1" x="14"/>
        <item m="1" x="13"/>
        <item m="1" x="17"/>
        <item m="1" x="16"/>
        <item m="1" x="7"/>
        <item m="1" x="6"/>
        <item m="1" x="15"/>
        <item m="1" x="12"/>
        <item m="1" x="5"/>
        <item m="1" x="4"/>
        <item m="1" x="11"/>
        <item m="1" x="8"/>
        <item t="default"/>
      </items>
    </pivotField>
  </pivotFields>
  <rowItems count="1">
    <i/>
  </rowItems>
  <colFields count="1">
    <field x="4"/>
  </colFields>
  <colItems count="6">
    <i>
      <x v="1"/>
    </i>
    <i>
      <x v="2"/>
    </i>
    <i>
      <x v="3"/>
    </i>
    <i>
      <x v="4"/>
    </i>
    <i>
      <x v="6"/>
    </i>
    <i t="grand">
      <x/>
    </i>
  </colItems>
  <pageFields count="4">
    <pageField fld="3" hier="-1"/>
    <pageField fld="5" hier="-1"/>
    <pageField fld="11" item="2" hier="-1"/>
    <pageField fld="12" hier="-1"/>
  </pageFields>
  <dataFields count="1">
    <dataField name="Sum of Počet úkolů" fld="10" baseField="4"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t.inbound_ppot_lvl1" cacheId="16"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fieldListSortAscending="1">
  <location ref="A5:C10" firstHeaderRow="1" firstDataRow="3" firstDataCol="1" rowPageCount="3" colPageCount="1"/>
  <pivotFields count="13">
    <pivotField axis="axisRow" showAll="0">
      <items count="13">
        <item x="0"/>
        <item m="1" x="5"/>
        <item m="1" x="9"/>
        <item x="1"/>
        <item x="2"/>
        <item m="1" x="11"/>
        <item m="1" x="6"/>
        <item m="1" x="7"/>
        <item m="1" x="3"/>
        <item m="1" x="8"/>
        <item m="1" x="4"/>
        <item m="1" x="10"/>
        <item t="default"/>
      </items>
    </pivotField>
    <pivotField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axis="axisPage" showAll="0">
      <items count="6">
        <item x="0"/>
        <item m="1" x="3"/>
        <item x="1"/>
        <item x="2"/>
        <item m="1" x="4"/>
        <item t="default"/>
      </items>
    </pivotField>
    <pivotField showAll="0"/>
    <pivotField axis="axisPage" multipleItemSelectionAllowed="1" showAll="0">
      <items count="9">
        <item h="1" x="0"/>
        <item h="1" x="1"/>
        <item h="1" x="2"/>
        <item h="1" x="3"/>
        <item x="4"/>
        <item h="1" x="5"/>
        <item h="1" x="6"/>
        <item h="1" m="1" x="7"/>
        <item t="default"/>
      </items>
    </pivotField>
    <pivotField axis="axisCol" showAll="0">
      <items count="3">
        <item x="0"/>
        <item x="1"/>
        <item t="default"/>
      </items>
    </pivotField>
    <pivotField dataField="1" showAll="0"/>
    <pivotField dataField="1" showAll="0"/>
    <pivotField showAll="0"/>
    <pivotField showAll="0"/>
    <pivotField showAll="0"/>
    <pivotField showAll="0"/>
    <pivotField axis="axisPage"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1">
    <field x="0"/>
  </rowFields>
  <rowItems count="3">
    <i>
      <x v="3"/>
    </i>
    <i>
      <x v="4"/>
    </i>
    <i t="grand">
      <x/>
    </i>
  </rowItems>
  <colFields count="2">
    <field x="5"/>
    <field x="-2"/>
  </colFields>
  <colItems count="2">
    <i>
      <x v="1"/>
      <x/>
    </i>
    <i r="1" i="1">
      <x v="1"/>
    </i>
  </colItems>
  <pageFields count="3">
    <pageField fld="2" hier="-1"/>
    <pageField fld="12" hier="-1"/>
    <pageField fld="4"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t.inbound_ppot_lvl2" cacheId="16" applyNumberFormats="0" applyBorderFormats="0" applyFontFormats="0" applyPatternFormats="0" applyAlignmentFormats="0" applyWidthHeightFormats="1" dataCaption="Values" updatedVersion="6" minRefreshableVersion="3" useAutoFormatting="1" colGrandTotals="0" itemPrintTitles="1" createdVersion="5" indent="0" compact="0" compactData="0" multipleFieldFilters="0" fieldListSortAscending="1">
  <location ref="B6:H11" firstHeaderRow="1" firstDataRow="3" firstDataCol="1" rowPageCount="4" colPageCount="1"/>
  <pivotFields count="13">
    <pivotField axis="axisRow" compact="0" outline="0" showAll="0">
      <items count="13">
        <item x="0"/>
        <item m="1" x="5"/>
        <item m="1" x="9"/>
        <item x="1"/>
        <item x="2"/>
        <item m="1" x="11"/>
        <item m="1" x="6"/>
        <item m="1" x="7"/>
        <item m="1" x="3"/>
        <item m="1" x="8"/>
        <item m="1" x="4"/>
        <item m="1" x="10"/>
        <item t="default"/>
      </items>
    </pivotField>
    <pivotField compact="0" outline="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h="1" x="3"/>
        <item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compact="0" outline="0" showAll="0"/>
    <pivotField compact="0" outline="0" showAll="0"/>
    <pivotField axis="axisCol"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1">
    <field x="0"/>
  </rowFields>
  <rowItems count="3">
    <i>
      <x v="3"/>
    </i>
    <i>
      <x v="4"/>
    </i>
    <i t="grand">
      <x/>
    </i>
  </rowItems>
  <colFields count="2">
    <field x="11"/>
    <field x="-2"/>
  </colFields>
  <colItems count="6">
    <i>
      <x/>
      <x/>
    </i>
    <i r="1" i="1">
      <x v="1"/>
    </i>
    <i>
      <x v="1"/>
      <x/>
    </i>
    <i r="1" i="1">
      <x v="1"/>
    </i>
    <i>
      <x v="2"/>
      <x/>
    </i>
    <i r="1" i="1">
      <x v="1"/>
    </i>
  </colItems>
  <pageFields count="4">
    <pageField fld="3" hier="-1"/>
    <pageField fld="5" hier="-1"/>
    <pageField fld="4" hier="-1"/>
    <pageField fld="12"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t.lvl3_generic_1"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6" firstHeaderRow="0" firstDataRow="1" firstDataCol="2" rowPageCount="5" colPageCount="1"/>
  <pivotFields count="13">
    <pivotField axis="axisRow" compact="0" outline="0" showAll="0" defaultSubtotal="0">
      <items count="12">
        <item x="0"/>
        <item m="1" x="5"/>
        <item m="1" x="9"/>
        <item x="1"/>
        <item x="2"/>
        <item m="1" x="11"/>
        <item m="1" x="6"/>
        <item m="1" x="7"/>
        <item m="1" x="3"/>
        <item m="1" x="8"/>
        <item m="1" x="4"/>
        <item m="1" x="10"/>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x="1"/>
        <item h="1" x="2"/>
        <item h="1"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4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41">
    <chartFormat chart="0" format="106" series="1">
      <pivotArea type="data" outline="0" fieldPosition="0">
        <references count="1">
          <reference field="4294967294" count="1" selected="0">
            <x v="0"/>
          </reference>
        </references>
      </pivotArea>
    </chartFormat>
    <chartFormat chart="0" format="107" series="1">
      <pivotArea type="data" outline="0" fieldPosition="0">
        <references count="1">
          <reference field="4294967294" count="1" selected="0">
            <x v="1"/>
          </reference>
        </references>
      </pivotArea>
    </chartFormat>
    <chartFormat chart="0" format="108" series="1">
      <pivotArea type="data" outline="0" fieldPosition="0">
        <references count="1">
          <reference field="4294967294" count="1" selected="0">
            <x v="2"/>
          </reference>
        </references>
      </pivotArea>
    </chartFormat>
    <chartFormat chart="0" format="143">
      <pivotArea type="data" outline="0" fieldPosition="0">
        <references count="1">
          <reference field="4294967294" count="1" selected="0">
            <x v="0"/>
          </reference>
        </references>
      </pivotArea>
    </chartFormat>
    <chartFormat chart="0" format="144">
      <pivotArea type="data" outline="0" fieldPosition="0">
        <references count="1">
          <reference field="4294967294" count="1" selected="0">
            <x v="2"/>
          </reference>
        </references>
      </pivotArea>
    </chartFormat>
    <chartFormat chart="0" format="195">
      <pivotArea type="data" outline="0" fieldPosition="0">
        <references count="3">
          <reference field="4294967294" count="1" selected="0">
            <x v="0"/>
          </reference>
          <reference field="0" count="1" selected="0">
            <x v="0"/>
          </reference>
          <reference field="1" count="1" selected="0">
            <x v="0"/>
          </reference>
        </references>
      </pivotArea>
    </chartFormat>
    <chartFormat chart="0" format="196">
      <pivotArea type="data" outline="0" fieldPosition="0">
        <references count="3">
          <reference field="4294967294" count="1" selected="0">
            <x v="2"/>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1"/>
          </reference>
          <reference field="1" count="1" selected="0">
            <x v="72"/>
          </reference>
        </references>
      </pivotArea>
    </chartFormat>
    <chartFormat chart="0" format="200">
      <pivotArea type="data" outline="0" fieldPosition="0">
        <references count="3">
          <reference field="4294967294" count="1" selected="0">
            <x v="2"/>
          </reference>
          <reference field="0" count="1" selected="0">
            <x v="1"/>
          </reference>
          <reference field="1" count="1" selected="0">
            <x v="74"/>
          </reference>
        </references>
      </pivotArea>
    </chartFormat>
    <chartFormat chart="0" format="201">
      <pivotArea type="data" outline="0" fieldPosition="0">
        <references count="3">
          <reference field="4294967294" count="1" selected="0">
            <x v="0"/>
          </reference>
          <reference field="0" count="1" selected="0">
            <x v="2"/>
          </reference>
          <reference field="1" count="1" selected="0">
            <x v="22"/>
          </reference>
        </references>
      </pivotArea>
    </chartFormat>
    <chartFormat chart="0" format="202">
      <pivotArea type="data" outline="0" fieldPosition="0">
        <references count="3">
          <reference field="4294967294" count="1" selected="0">
            <x v="0"/>
          </reference>
          <reference field="0" count="1" selected="0">
            <x v="2"/>
          </reference>
          <reference field="1" count="1" selected="0">
            <x v="2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6"/>
          </reference>
        </references>
      </pivotArea>
    </chartFormat>
    <chartFormat chart="0" format="204">
      <pivotArea type="data" outline="0" fieldPosition="0">
        <references count="3">
          <reference field="4294967294" count="1" selected="0">
            <x v="0"/>
          </reference>
          <reference field="0" count="1" selected="0">
            <x v="2"/>
          </reference>
          <reference field="1" count="1" selected="0">
            <x v="28"/>
          </reference>
        </references>
      </pivotArea>
    </chartFormat>
    <chartFormat chart="0" format="205">
      <pivotArea type="data" outline="0" fieldPosition="0">
        <references count="3">
          <reference field="4294967294" count="1" selected="0">
            <x v="0"/>
          </reference>
          <reference field="0" count="1" selected="0">
            <x v="2"/>
          </reference>
          <reference field="1" count="1" selected="0">
            <x v="30"/>
          </reference>
        </references>
      </pivotArea>
    </chartFormat>
    <chartFormat chart="0" format="206">
      <pivotArea type="data" outline="0" fieldPosition="0">
        <references count="3">
          <reference field="4294967294" count="1" selected="0">
            <x v="0"/>
          </reference>
          <reference field="0" count="1" selected="0">
            <x v="2"/>
          </reference>
          <reference field="1" count="1" selected="0">
            <x v="32"/>
          </reference>
        </references>
      </pivotArea>
    </chartFormat>
    <chartFormat chart="0" format="207">
      <pivotArea type="data" outline="0" fieldPosition="0">
        <references count="3">
          <reference field="4294967294" count="1" selected="0">
            <x v="0"/>
          </reference>
          <reference field="0" count="1" selected="0">
            <x v="2"/>
          </reference>
          <reference field="1" count="1" selected="0">
            <x v="34"/>
          </reference>
        </references>
      </pivotArea>
    </chartFormat>
    <chartFormat chart="0" format="208">
      <pivotArea type="data" outline="0" fieldPosition="0">
        <references count="3">
          <reference field="4294967294" count="1" selected="0">
            <x v="0"/>
          </reference>
          <reference field="0" count="1" selected="0">
            <x v="2"/>
          </reference>
          <reference field="1" count="1" selected="0">
            <x v="36"/>
          </reference>
        </references>
      </pivotArea>
    </chartFormat>
    <chartFormat chart="0" format="209">
      <pivotArea type="data" outline="0" fieldPosition="0">
        <references count="3">
          <reference field="4294967294" count="1" selected="0">
            <x v="0"/>
          </reference>
          <reference field="0" count="1" selected="0">
            <x v="2"/>
          </reference>
          <reference field="1" count="1" selected="0">
            <x v="38"/>
          </reference>
        </references>
      </pivotArea>
    </chartFormat>
    <chartFormat chart="0" format="210">
      <pivotArea type="data" outline="0" fieldPosition="0">
        <references count="3">
          <reference field="4294967294" count="1" selected="0">
            <x v="0"/>
          </reference>
          <reference field="0" count="1" selected="0">
            <x v="2"/>
          </reference>
          <reference field="1" count="1" selected="0">
            <x v="40"/>
          </reference>
        </references>
      </pivotArea>
    </chartFormat>
    <chartFormat chart="0" format="211">
      <pivotArea type="data" outline="0" fieldPosition="0">
        <references count="3">
          <reference field="4294967294" count="1" selected="0">
            <x v="0"/>
          </reference>
          <reference field="0" count="1" selected="0">
            <x v="2"/>
          </reference>
          <reference field="1" count="1" selected="0">
            <x v="42"/>
          </reference>
        </references>
      </pivotArea>
    </chartFormat>
    <chartFormat chart="0" format="212">
      <pivotArea type="data" outline="0" fieldPosition="0">
        <references count="3">
          <reference field="4294967294" count="1" selected="0">
            <x v="0"/>
          </reference>
          <reference field="0" count="1" selected="0">
            <x v="2"/>
          </reference>
          <reference field="1" count="1" selected="0">
            <x v="44"/>
          </reference>
        </references>
      </pivotArea>
    </chartFormat>
    <chartFormat chart="0" format="213">
      <pivotArea type="data" outline="0" fieldPosition="0">
        <references count="3">
          <reference field="4294967294" count="1" selected="0">
            <x v="0"/>
          </reference>
          <reference field="0" count="1" selected="0">
            <x v="2"/>
          </reference>
          <reference field="1" count="1" selected="0">
            <x v="46"/>
          </reference>
        </references>
      </pivotArea>
    </chartFormat>
    <chartFormat chart="0" format="214">
      <pivotArea type="data" outline="0" fieldPosition="0">
        <references count="3">
          <reference field="4294967294" count="1" selected="0">
            <x v="0"/>
          </reference>
          <reference field="0" count="1" selected="0">
            <x v="2"/>
          </reference>
          <reference field="1" count="1" selected="0">
            <x v="48"/>
          </reference>
        </references>
      </pivotArea>
    </chartFormat>
    <chartFormat chart="0" format="215">
      <pivotArea type="data" outline="0" fieldPosition="0">
        <references count="3">
          <reference field="4294967294" count="1" selected="0">
            <x v="0"/>
          </reference>
          <reference field="0" count="1" selected="0">
            <x v="2"/>
          </reference>
          <reference field="1" count="1" selected="0">
            <x v="50"/>
          </reference>
        </references>
      </pivotArea>
    </chartFormat>
    <chartFormat chart="0" format="216">
      <pivotArea type="data" outline="0" fieldPosition="0">
        <references count="3">
          <reference field="4294967294" count="1" selected="0">
            <x v="0"/>
          </reference>
          <reference field="0" count="1" selected="0">
            <x v="2"/>
          </reference>
          <reference field="1" count="1" selected="0">
            <x v="52"/>
          </reference>
        </references>
      </pivotArea>
    </chartFormat>
    <chartFormat chart="0" format="217">
      <pivotArea type="data" outline="0" fieldPosition="0">
        <references count="3">
          <reference field="4294967294" count="1" selected="0">
            <x v="0"/>
          </reference>
          <reference field="0" count="1" selected="0">
            <x v="2"/>
          </reference>
          <reference field="1" count="1" selected="0">
            <x v="54"/>
          </reference>
        </references>
      </pivotArea>
    </chartFormat>
    <chartFormat chart="0" format="218">
      <pivotArea type="data" outline="0" fieldPosition="0">
        <references count="3">
          <reference field="4294967294" count="1" selected="0">
            <x v="0"/>
          </reference>
          <reference field="0" count="1" selected="0">
            <x v="2"/>
          </reference>
          <reference field="1" count="1" selected="0">
            <x v="56"/>
          </reference>
        </references>
      </pivotArea>
    </chartFormat>
    <chartFormat chart="0" format="219">
      <pivotArea type="data" outline="0" fieldPosition="0">
        <references count="3">
          <reference field="4294967294" count="1" selected="0">
            <x v="0"/>
          </reference>
          <reference field="0" count="1" selected="0">
            <x v="2"/>
          </reference>
          <reference field="1" count="1" selected="0">
            <x v="58"/>
          </reference>
        </references>
      </pivotArea>
    </chartFormat>
    <chartFormat chart="0" format="220">
      <pivotArea type="data" outline="0" fieldPosition="0">
        <references count="3">
          <reference field="4294967294" count="1" selected="0">
            <x v="0"/>
          </reference>
          <reference field="0" count="1" selected="0">
            <x v="2"/>
          </reference>
          <reference field="1" count="1" selected="0">
            <x v="60"/>
          </reference>
        </references>
      </pivotArea>
    </chartFormat>
    <chartFormat chart="0" format="221">
      <pivotArea type="data" outline="0" fieldPosition="0">
        <references count="3">
          <reference field="4294967294" count="1" selected="0">
            <x v="0"/>
          </reference>
          <reference field="0" count="1" selected="0">
            <x v="2"/>
          </reference>
          <reference field="1" count="1" selected="0">
            <x v="75"/>
          </reference>
        </references>
      </pivotArea>
    </chartFormat>
    <chartFormat chart="0" format="222">
      <pivotArea type="data" outline="0" fieldPosition="0">
        <references count="3">
          <reference field="4294967294" count="1" selected="0">
            <x v="0"/>
          </reference>
          <reference field="0" count="1" selected="0">
            <x v="2"/>
          </reference>
          <reference field="1" count="1" selected="0">
            <x v="76"/>
          </reference>
        </references>
      </pivotArea>
    </chartFormat>
    <chartFormat chart="0" format="223">
      <pivotArea type="data" outline="0" fieldPosition="0">
        <references count="3">
          <reference field="4294967294" count="1" selected="0">
            <x v="0"/>
          </reference>
          <reference field="0" count="1" selected="0">
            <x v="2"/>
          </reference>
          <reference field="1" count="1" selected="0">
            <x v="77"/>
          </reference>
        </references>
      </pivotArea>
    </chartFormat>
    <chartFormat chart="0" format="224">
      <pivotArea type="data" outline="0" fieldPosition="0">
        <references count="3">
          <reference field="4294967294" count="1" selected="0">
            <x v="0"/>
          </reference>
          <reference field="0" count="1" selected="0">
            <x v="2"/>
          </reference>
          <reference field="1" count="1" selected="0">
            <x v="78"/>
          </reference>
        </references>
      </pivotArea>
    </chartFormat>
    <chartFormat chart="0" format="225">
      <pivotArea type="data" outline="0" fieldPosition="0">
        <references count="3">
          <reference field="4294967294" count="1" selected="0">
            <x v="2"/>
          </reference>
          <reference field="0" count="1" selected="0">
            <x v="2"/>
          </reference>
          <reference field="1" count="1" selected="0">
            <x v="22"/>
          </reference>
        </references>
      </pivotArea>
    </chartFormat>
    <chartFormat chart="0" format="226">
      <pivotArea type="data" outline="0" fieldPosition="0">
        <references count="3">
          <reference field="4294967294" count="1" selected="0">
            <x v="2"/>
          </reference>
          <reference field="0" count="1" selected="0">
            <x v="2"/>
          </reference>
          <reference field="1" count="1" selected="0">
            <x v="24"/>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2"/>
          </reference>
          <reference field="0" count="1" selected="0">
            <x v="2"/>
          </reference>
          <reference field="1" count="1" selected="0">
            <x v="28"/>
          </reference>
        </references>
      </pivotArea>
    </chartFormat>
    <chartFormat chart="0" format="229">
      <pivotArea type="data" outline="0" fieldPosition="0">
        <references count="3">
          <reference field="4294967294" count="1" selected="0">
            <x v="2"/>
          </reference>
          <reference field="0" count="1" selected="0">
            <x v="2"/>
          </reference>
          <reference field="1" count="1" selected="0">
            <x v="30"/>
          </reference>
        </references>
      </pivotArea>
    </chartFormat>
    <chartFormat chart="0" format="230">
      <pivotArea type="data" outline="0" fieldPosition="0">
        <references count="3">
          <reference field="4294967294" count="1" selected="0">
            <x v="2"/>
          </reference>
          <reference field="0" count="1" selected="0">
            <x v="2"/>
          </reference>
          <reference field="1" count="1" selected="0">
            <x v="32"/>
          </reference>
        </references>
      </pivotArea>
    </chartFormat>
    <chartFormat chart="0" format="231">
      <pivotArea type="data" outline="0" fieldPosition="0">
        <references count="3">
          <reference field="4294967294" count="1" selected="0">
            <x v="2"/>
          </reference>
          <reference field="0" count="1" selected="0">
            <x v="2"/>
          </reference>
          <reference field="1" count="1" selected="0">
            <x v="34"/>
          </reference>
        </references>
      </pivotArea>
    </chartFormat>
    <chartFormat chart="0" format="232">
      <pivotArea type="data" outline="0" fieldPosition="0">
        <references count="3">
          <reference field="4294967294" count="1" selected="0">
            <x v="2"/>
          </reference>
          <reference field="0" count="1" selected="0">
            <x v="2"/>
          </reference>
          <reference field="1" count="1" selected="0">
            <x v="36"/>
          </reference>
        </references>
      </pivotArea>
    </chartFormat>
    <chartFormat chart="0" format="233">
      <pivotArea type="data" outline="0" fieldPosition="0">
        <references count="3">
          <reference field="4294967294" count="1" selected="0">
            <x v="2"/>
          </reference>
          <reference field="0" count="1" selected="0">
            <x v="2"/>
          </reference>
          <reference field="1" count="1" selected="0">
            <x v="38"/>
          </reference>
        </references>
      </pivotArea>
    </chartFormat>
    <chartFormat chart="0" format="234">
      <pivotArea type="data" outline="0" fieldPosition="0">
        <references count="3">
          <reference field="4294967294" count="1" selected="0">
            <x v="2"/>
          </reference>
          <reference field="0" count="1" selected="0">
            <x v="2"/>
          </reference>
          <reference field="1" count="1" selected="0">
            <x v="40"/>
          </reference>
        </references>
      </pivotArea>
    </chartFormat>
    <chartFormat chart="0" format="235">
      <pivotArea type="data" outline="0" fieldPosition="0">
        <references count="3">
          <reference field="4294967294" count="1" selected="0">
            <x v="2"/>
          </reference>
          <reference field="0" count="1" selected="0">
            <x v="2"/>
          </reference>
          <reference field="1" count="1" selected="0">
            <x v="42"/>
          </reference>
        </references>
      </pivotArea>
    </chartFormat>
    <chartFormat chart="0" format="236">
      <pivotArea type="data" outline="0" fieldPosition="0">
        <references count="3">
          <reference field="4294967294" count="1" selected="0">
            <x v="2"/>
          </reference>
          <reference field="0" count="1" selected="0">
            <x v="2"/>
          </reference>
          <reference field="1" count="1" selected="0">
            <x v="44"/>
          </reference>
        </references>
      </pivotArea>
    </chartFormat>
    <chartFormat chart="0" format="237">
      <pivotArea type="data" outline="0" fieldPosition="0">
        <references count="3">
          <reference field="4294967294" count="1" selected="0">
            <x v="2"/>
          </reference>
          <reference field="0" count="1" selected="0">
            <x v="2"/>
          </reference>
          <reference field="1" count="1" selected="0">
            <x v="46"/>
          </reference>
        </references>
      </pivotArea>
    </chartFormat>
    <chartFormat chart="0" format="238">
      <pivotArea type="data" outline="0" fieldPosition="0">
        <references count="3">
          <reference field="4294967294" count="1" selected="0">
            <x v="2"/>
          </reference>
          <reference field="0" count="1" selected="0">
            <x v="2"/>
          </reference>
          <reference field="1" count="1" selected="0">
            <x v="48"/>
          </reference>
        </references>
      </pivotArea>
    </chartFormat>
    <chartFormat chart="0" format="239">
      <pivotArea type="data" outline="0" fieldPosition="0">
        <references count="3">
          <reference field="4294967294" count="1" selected="0">
            <x v="2"/>
          </reference>
          <reference field="0" count="1" selected="0">
            <x v="2"/>
          </reference>
          <reference field="1" count="1" selected="0">
            <x v="50"/>
          </reference>
        </references>
      </pivotArea>
    </chartFormat>
    <chartFormat chart="0" format="240">
      <pivotArea type="data" outline="0" fieldPosition="0">
        <references count="3">
          <reference field="4294967294" count="1" selected="0">
            <x v="2"/>
          </reference>
          <reference field="0" count="1" selected="0">
            <x v="2"/>
          </reference>
          <reference field="1" count="1" selected="0">
            <x v="52"/>
          </reference>
        </references>
      </pivotArea>
    </chartFormat>
    <chartFormat chart="0" format="241">
      <pivotArea type="data" outline="0" fieldPosition="0">
        <references count="3">
          <reference field="4294967294" count="1" selected="0">
            <x v="2"/>
          </reference>
          <reference field="0" count="1" selected="0">
            <x v="2"/>
          </reference>
          <reference field="1" count="1" selected="0">
            <x v="54"/>
          </reference>
        </references>
      </pivotArea>
    </chartFormat>
    <chartFormat chart="0" format="242">
      <pivotArea type="data" outline="0" fieldPosition="0">
        <references count="3">
          <reference field="4294967294" count="1" selected="0">
            <x v="2"/>
          </reference>
          <reference field="0" count="1" selected="0">
            <x v="2"/>
          </reference>
          <reference field="1" count="1" selected="0">
            <x v="56"/>
          </reference>
        </references>
      </pivotArea>
    </chartFormat>
    <chartFormat chart="0" format="243">
      <pivotArea type="data" outline="0" fieldPosition="0">
        <references count="3">
          <reference field="4294967294" count="1" selected="0">
            <x v="2"/>
          </reference>
          <reference field="0" count="1" selected="0">
            <x v="2"/>
          </reference>
          <reference field="1" count="1" selected="0">
            <x v="58"/>
          </reference>
        </references>
      </pivotArea>
    </chartFormat>
    <chartFormat chart="0" format="244">
      <pivotArea type="data" outline="0" fieldPosition="0">
        <references count="3">
          <reference field="4294967294" count="1" selected="0">
            <x v="2"/>
          </reference>
          <reference field="0" count="1" selected="0">
            <x v="2"/>
          </reference>
          <reference field="1" count="1" selected="0">
            <x v="60"/>
          </reference>
        </references>
      </pivotArea>
    </chartFormat>
    <chartFormat chart="0" format="245">
      <pivotArea type="data" outline="0" fieldPosition="0">
        <references count="3">
          <reference field="4294967294" count="1" selected="0">
            <x v="2"/>
          </reference>
          <reference field="0" count="1" selected="0">
            <x v="2"/>
          </reference>
          <reference field="1" count="1" selected="0">
            <x v="75"/>
          </reference>
        </references>
      </pivotArea>
    </chartFormat>
    <chartFormat chart="0" format="246">
      <pivotArea type="data" outline="0" fieldPosition="0">
        <references count="3">
          <reference field="4294967294" count="1" selected="0">
            <x v="2"/>
          </reference>
          <reference field="0" count="1" selected="0">
            <x v="2"/>
          </reference>
          <reference field="1" count="1" selected="0">
            <x v="76"/>
          </reference>
        </references>
      </pivotArea>
    </chartFormat>
    <chartFormat chart="0" format="247">
      <pivotArea type="data" outline="0" fieldPosition="0">
        <references count="3">
          <reference field="4294967294" count="1" selected="0">
            <x v="2"/>
          </reference>
          <reference field="0" count="1" selected="0">
            <x v="2"/>
          </reference>
          <reference field="1" count="1" selected="0">
            <x v="77"/>
          </reference>
        </references>
      </pivotArea>
    </chartFormat>
    <chartFormat chart="0" format="248">
      <pivotArea type="data" outline="0" fieldPosition="0">
        <references count="3">
          <reference field="4294967294" count="1" selected="0">
            <x v="2"/>
          </reference>
          <reference field="0" count="1" selected="0">
            <x v="2"/>
          </reference>
          <reference field="1" count="1" selected="0">
            <x v="7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2"/>
          </reference>
        </references>
      </pivotArea>
    </chartFormat>
    <chartFormat chart="0" format="250">
      <pivotArea type="data" outline="0" fieldPosition="0">
        <references count="3">
          <reference field="4294967294" count="1" selected="0">
            <x v="0"/>
          </reference>
          <reference field="0" count="1" selected="0">
            <x v="2"/>
          </reference>
          <reference field="1" count="1" selected="0">
            <x v="64"/>
          </reference>
        </references>
      </pivotArea>
    </chartFormat>
    <chartFormat chart="0" format="251">
      <pivotArea type="data" outline="0" fieldPosition="0">
        <references count="3">
          <reference field="4294967294" count="1" selected="0">
            <x v="2"/>
          </reference>
          <reference field="0" count="1" selected="0">
            <x v="2"/>
          </reference>
          <reference field="1" count="1" selected="0">
            <x v="62"/>
          </reference>
        </references>
      </pivotArea>
    </chartFormat>
    <chartFormat chart="0" format="252">
      <pivotArea type="data" outline="0" fieldPosition="0">
        <references count="3">
          <reference field="4294967294" count="1" selected="0">
            <x v="2"/>
          </reference>
          <reference field="0" count="1" selected="0">
            <x v="2"/>
          </reference>
          <reference field="1" count="1" selected="0">
            <x v="64"/>
          </reference>
        </references>
      </pivotArea>
    </chartFormat>
    <chartFormat chart="0" format="253">
      <pivotArea type="data" outline="0" fieldPosition="0">
        <references count="3">
          <reference field="4294967294" count="1" selected="0">
            <x v="0"/>
          </reference>
          <reference field="0" count="1" selected="0">
            <x v="2"/>
          </reference>
          <reference field="1" count="1" selected="0">
            <x v="66"/>
          </reference>
        </references>
      </pivotArea>
    </chartFormat>
    <chartFormat chart="0" format="254">
      <pivotArea type="data" outline="0" fieldPosition="0">
        <references count="3">
          <reference field="4294967294" count="1" selected="0">
            <x v="0"/>
          </reference>
          <reference field="0" count="1" selected="0">
            <x v="2"/>
          </reference>
          <reference field="1" count="1" selected="0">
            <x v="68"/>
          </reference>
        </references>
      </pivotArea>
    </chartFormat>
    <chartFormat chart="0" format="255">
      <pivotArea type="data" outline="0" fieldPosition="0">
        <references count="3">
          <reference field="4294967294" count="1" selected="0">
            <x v="2"/>
          </reference>
          <reference field="0" count="1" selected="0">
            <x v="2"/>
          </reference>
          <reference field="1" count="1" selected="0">
            <x v="66"/>
          </reference>
        </references>
      </pivotArea>
    </chartFormat>
    <chartFormat chart="0" format="256">
      <pivotArea type="data" outline="0" fieldPosition="0">
        <references count="3">
          <reference field="4294967294" count="1" selected="0">
            <x v="2"/>
          </reference>
          <reference field="0" count="1" selected="0">
            <x v="2"/>
          </reference>
          <reference field="1" count="1" selected="0">
            <x v="68"/>
          </reference>
        </references>
      </pivotArea>
    </chartFormat>
    <chartFormat chart="0" format="257">
      <pivotArea type="data" outline="0" fieldPosition="0">
        <references count="3">
          <reference field="4294967294" count="1" selected="0">
            <x v="0"/>
          </reference>
          <reference field="0" count="1" selected="0">
            <x v="3"/>
          </reference>
          <reference field="1" count="1" selected="0">
            <x v="19"/>
          </reference>
        </references>
      </pivotArea>
    </chartFormat>
    <chartFormat chart="0" format="258">
      <pivotArea type="data" outline="0" fieldPosition="0">
        <references count="3">
          <reference field="4294967294" count="1" selected="0">
            <x v="0"/>
          </reference>
          <reference field="0" count="1" selected="0">
            <x v="3"/>
          </reference>
          <reference field="1" count="1" selected="0">
            <x v="20"/>
          </reference>
        </references>
      </pivotArea>
    </chartFormat>
    <chartFormat chart="0" format="259">
      <pivotArea type="data" outline="0" fieldPosition="0">
        <references count="3">
          <reference field="4294967294" count="1" selected="0">
            <x v="0"/>
          </reference>
          <reference field="0" count="1" selected="0">
            <x v="3"/>
          </reference>
          <reference field="1" count="1" selected="0">
            <x v="21"/>
          </reference>
        </references>
      </pivotArea>
    </chartFormat>
    <chartFormat chart="0" format="260">
      <pivotArea type="data" outline="0" fieldPosition="0">
        <references count="3">
          <reference field="4294967294" count="1" selected="0">
            <x v="0"/>
          </reference>
          <reference field="0" count="1" selected="0">
            <x v="3"/>
          </reference>
          <reference field="1" count="1" selected="0">
            <x v="25"/>
          </reference>
        </references>
      </pivotArea>
    </chartFormat>
    <chartFormat chart="0" format="261">
      <pivotArea type="data" outline="0" fieldPosition="0">
        <references count="3">
          <reference field="4294967294" count="1" selected="0">
            <x v="0"/>
          </reference>
          <reference field="0" count="1" selected="0">
            <x v="3"/>
          </reference>
          <reference field="1" count="1" selected="0">
            <x v="27"/>
          </reference>
        </references>
      </pivotArea>
    </chartFormat>
    <chartFormat chart="0" format="262">
      <pivotArea type="data" outline="0" fieldPosition="0">
        <references count="3">
          <reference field="4294967294" count="1" selected="0">
            <x v="0"/>
          </reference>
          <reference field="0" count="1" selected="0">
            <x v="3"/>
          </reference>
          <reference field="1" count="1" selected="0">
            <x v="29"/>
          </reference>
        </references>
      </pivotArea>
    </chartFormat>
    <chartFormat chart="0" format="263">
      <pivotArea type="data" outline="0" fieldPosition="0">
        <references count="3">
          <reference field="4294967294" count="1" selected="0">
            <x v="0"/>
          </reference>
          <reference field="0" count="1" selected="0">
            <x v="3"/>
          </reference>
          <reference field="1" count="1" selected="0">
            <x v="31"/>
          </reference>
        </references>
      </pivotArea>
    </chartFormat>
    <chartFormat chart="0" format="264">
      <pivotArea type="data" outline="0" fieldPosition="0">
        <references count="3">
          <reference field="4294967294" count="1" selected="0">
            <x v="0"/>
          </reference>
          <reference field="0" count="1" selected="0">
            <x v="3"/>
          </reference>
          <reference field="1" count="1" selected="0">
            <x v="33"/>
          </reference>
        </references>
      </pivotArea>
    </chartFormat>
    <chartFormat chart="0" format="265">
      <pivotArea type="data" outline="0" fieldPosition="0">
        <references count="3">
          <reference field="4294967294" count="1" selected="0">
            <x v="0"/>
          </reference>
          <reference field="0" count="1" selected="0">
            <x v="3"/>
          </reference>
          <reference field="1" count="1" selected="0">
            <x v="35"/>
          </reference>
        </references>
      </pivotArea>
    </chartFormat>
    <chartFormat chart="0" format="266">
      <pivotArea type="data" outline="0" fieldPosition="0">
        <references count="3">
          <reference field="4294967294" count="1" selected="0">
            <x v="0"/>
          </reference>
          <reference field="0" count="1" selected="0">
            <x v="3"/>
          </reference>
          <reference field="1" count="1" selected="0">
            <x v="37"/>
          </reference>
        </references>
      </pivotArea>
    </chartFormat>
    <chartFormat chart="0" format="267">
      <pivotArea type="data" outline="0" fieldPosition="0">
        <references count="3">
          <reference field="4294967294" count="1" selected="0">
            <x v="2"/>
          </reference>
          <reference field="0" count="1" selected="0">
            <x v="3"/>
          </reference>
          <reference field="1" count="1" selected="0">
            <x v="19"/>
          </reference>
        </references>
      </pivotArea>
    </chartFormat>
    <chartFormat chart="0" format="268">
      <pivotArea type="data" outline="0" fieldPosition="0">
        <references count="3">
          <reference field="4294967294" count="1" selected="0">
            <x v="2"/>
          </reference>
          <reference field="0" count="1" selected="0">
            <x v="3"/>
          </reference>
          <reference field="1" count="1" selected="0">
            <x v="20"/>
          </reference>
        </references>
      </pivotArea>
    </chartFormat>
    <chartFormat chart="0" format="269">
      <pivotArea type="data" outline="0" fieldPosition="0">
        <references count="3">
          <reference field="4294967294" count="1" selected="0">
            <x v="2"/>
          </reference>
          <reference field="0" count="1" selected="0">
            <x v="3"/>
          </reference>
          <reference field="1" count="1" selected="0">
            <x v="21"/>
          </reference>
        </references>
      </pivotArea>
    </chartFormat>
    <chartFormat chart="0" format="270">
      <pivotArea type="data" outline="0" fieldPosition="0">
        <references count="3">
          <reference field="4294967294" count="1" selected="0">
            <x v="2"/>
          </reference>
          <reference field="0" count="1" selected="0">
            <x v="3"/>
          </reference>
          <reference field="1" count="1" selected="0">
            <x v="25"/>
          </reference>
        </references>
      </pivotArea>
    </chartFormat>
    <chartFormat chart="0" format="271">
      <pivotArea type="data" outline="0" fieldPosition="0">
        <references count="3">
          <reference field="4294967294" count="1" selected="0">
            <x v="2"/>
          </reference>
          <reference field="0" count="1" selected="0">
            <x v="3"/>
          </reference>
          <reference field="1" count="1" selected="0">
            <x v="27"/>
          </reference>
        </references>
      </pivotArea>
    </chartFormat>
    <chartFormat chart="0" format="272">
      <pivotArea type="data" outline="0" fieldPosition="0">
        <references count="3">
          <reference field="4294967294" count="1" selected="0">
            <x v="2"/>
          </reference>
          <reference field="0" count="1" selected="0">
            <x v="3"/>
          </reference>
          <reference field="1" count="1" selected="0">
            <x v="29"/>
          </reference>
        </references>
      </pivotArea>
    </chartFormat>
    <chartFormat chart="0" format="273">
      <pivotArea type="data" outline="0" fieldPosition="0">
        <references count="3">
          <reference field="4294967294" count="1" selected="0">
            <x v="2"/>
          </reference>
          <reference field="0" count="1" selected="0">
            <x v="3"/>
          </reference>
          <reference field="1" count="1" selected="0">
            <x v="31"/>
          </reference>
        </references>
      </pivotArea>
    </chartFormat>
    <chartFormat chart="0" format="274">
      <pivotArea type="data" outline="0" fieldPosition="0">
        <references count="3">
          <reference field="4294967294" count="1" selected="0">
            <x v="2"/>
          </reference>
          <reference field="0" count="1" selected="0">
            <x v="3"/>
          </reference>
          <reference field="1" count="1" selected="0">
            <x v="33"/>
          </reference>
        </references>
      </pivotArea>
    </chartFormat>
    <chartFormat chart="0" format="275">
      <pivotArea type="data" outline="0" fieldPosition="0">
        <references count="3">
          <reference field="4294967294" count="1" selected="0">
            <x v="2"/>
          </reference>
          <reference field="0" count="1" selected="0">
            <x v="3"/>
          </reference>
          <reference field="1" count="1" selected="0">
            <x v="35"/>
          </reference>
        </references>
      </pivotArea>
    </chartFormat>
    <chartFormat chart="0" format="276">
      <pivotArea type="data" outline="0" fieldPosition="0">
        <references count="3">
          <reference field="4294967294" count="1" selected="0">
            <x v="2"/>
          </reference>
          <reference field="0" count="1" selected="0">
            <x v="3"/>
          </reference>
          <reference field="1" count="1" selected="0">
            <x v="37"/>
          </reference>
        </references>
      </pivotArea>
    </chartFormat>
    <chartFormat chart="0" format="277">
      <pivotArea type="data" outline="0" fieldPosition="0">
        <references count="3">
          <reference field="4294967294" count="1" selected="0">
            <x v="0"/>
          </reference>
          <reference field="0" count="1" selected="0">
            <x v="3"/>
          </reference>
          <reference field="1" count="1" selected="0">
            <x v="17"/>
          </reference>
        </references>
      </pivotArea>
    </chartFormat>
    <chartFormat chart="0" format="278">
      <pivotArea type="data" outline="0" fieldPosition="0">
        <references count="3">
          <reference field="4294967294" count="1" selected="0">
            <x v="0"/>
          </reference>
          <reference field="0" count="1" selected="0">
            <x v="3"/>
          </reference>
          <reference field="1" count="1" selected="0">
            <x v="18"/>
          </reference>
        </references>
      </pivotArea>
    </chartFormat>
    <chartFormat chart="0" format="279">
      <pivotArea type="data" outline="0" fieldPosition="0">
        <references count="3">
          <reference field="4294967294" count="1" selected="0">
            <x v="0"/>
          </reference>
          <reference field="0" count="1" selected="0">
            <x v="3"/>
          </reference>
          <reference field="1" count="1" selected="0">
            <x v="23"/>
          </reference>
        </references>
      </pivotArea>
    </chartFormat>
    <chartFormat chart="0" format="280">
      <pivotArea type="data" outline="0" fieldPosition="0">
        <references count="3">
          <reference field="4294967294" count="1" selected="0">
            <x v="0"/>
          </reference>
          <reference field="0" count="1" selected="0">
            <x v="3"/>
          </reference>
          <reference field="1" count="1" selected="0">
            <x v="39"/>
          </reference>
        </references>
      </pivotArea>
    </chartFormat>
    <chartFormat chart="0" format="281">
      <pivotArea type="data" outline="0" fieldPosition="0">
        <references count="3">
          <reference field="4294967294" count="1" selected="0">
            <x v="2"/>
          </reference>
          <reference field="0" count="1" selected="0">
            <x v="3"/>
          </reference>
          <reference field="1" count="1" selected="0">
            <x v="17"/>
          </reference>
        </references>
      </pivotArea>
    </chartFormat>
    <chartFormat chart="0" format="282">
      <pivotArea type="data" outline="0" fieldPosition="0">
        <references count="3">
          <reference field="4294967294" count="1" selected="0">
            <x v="2"/>
          </reference>
          <reference field="0" count="1" selected="0">
            <x v="3"/>
          </reference>
          <reference field="1" count="1" selected="0">
            <x v="18"/>
          </reference>
        </references>
      </pivotArea>
    </chartFormat>
    <chartFormat chart="0" format="283">
      <pivotArea type="data" outline="0" fieldPosition="0">
        <references count="3">
          <reference field="4294967294" count="1" selected="0">
            <x v="2"/>
          </reference>
          <reference field="0" count="1" selected="0">
            <x v="3"/>
          </reference>
          <reference field="1" count="1" selected="0">
            <x v="23"/>
          </reference>
        </references>
      </pivotArea>
    </chartFormat>
    <chartFormat chart="0" format="284">
      <pivotArea type="data" outline="0" fieldPosition="0">
        <references count="3">
          <reference field="4294967294" count="1" selected="0">
            <x v="2"/>
          </reference>
          <reference field="0" count="1" selected="0">
            <x v="3"/>
          </reference>
          <reference field="1" count="1" selected="0">
            <x v="39"/>
          </reference>
        </references>
      </pivotArea>
    </chartFormat>
    <chartFormat chart="0" format="285">
      <pivotArea type="data" outline="0" fieldPosition="0">
        <references count="3">
          <reference field="4294967294" count="1" selected="0">
            <x v="0"/>
          </reference>
          <reference field="0" count="1" selected="0">
            <x v="3"/>
          </reference>
          <reference field="1" count="1" selected="0">
            <x v="41"/>
          </reference>
        </references>
      </pivotArea>
    </chartFormat>
    <chartFormat chart="0" format="286">
      <pivotArea type="data" outline="0" fieldPosition="0">
        <references count="3">
          <reference field="4294967294" count="1" selected="0">
            <x v="0"/>
          </reference>
          <reference field="0" count="1" selected="0">
            <x v="3"/>
          </reference>
          <reference field="1" count="1" selected="0">
            <x v="43"/>
          </reference>
        </references>
      </pivotArea>
    </chartFormat>
    <chartFormat chart="0" format="287">
      <pivotArea type="data" outline="0" fieldPosition="0">
        <references count="3">
          <reference field="4294967294" count="1" selected="0">
            <x v="0"/>
          </reference>
          <reference field="0" count="1" selected="0">
            <x v="3"/>
          </reference>
          <reference field="1" count="1" selected="0">
            <x v="45"/>
          </reference>
        </references>
      </pivotArea>
    </chartFormat>
    <chartFormat chart="0" format="288">
      <pivotArea type="data" outline="0" fieldPosition="0">
        <references count="3">
          <reference field="4294967294" count="1" selected="0">
            <x v="0"/>
          </reference>
          <reference field="0" count="1" selected="0">
            <x v="3"/>
          </reference>
          <reference field="1" count="1" selected="0">
            <x v="47"/>
          </reference>
        </references>
      </pivotArea>
    </chartFormat>
    <chartFormat chart="0" format="289">
      <pivotArea type="data" outline="0" fieldPosition="0">
        <references count="3">
          <reference field="4294967294" count="1" selected="0">
            <x v="0"/>
          </reference>
          <reference field="0" count="1" selected="0">
            <x v="3"/>
          </reference>
          <reference field="1" count="1" selected="0">
            <x v="49"/>
          </reference>
        </references>
      </pivotArea>
    </chartFormat>
    <chartFormat chart="0" format="290">
      <pivotArea type="data" outline="0" fieldPosition="0">
        <references count="3">
          <reference field="4294967294" count="1" selected="0">
            <x v="0"/>
          </reference>
          <reference field="0" count="1" selected="0">
            <x v="3"/>
          </reference>
          <reference field="1" count="1" selected="0">
            <x v="51"/>
          </reference>
        </references>
      </pivotArea>
    </chartFormat>
    <chartFormat chart="0" format="291">
      <pivotArea type="data" outline="0" fieldPosition="0">
        <references count="3">
          <reference field="4294967294" count="1" selected="0">
            <x v="0"/>
          </reference>
          <reference field="0" count="1" selected="0">
            <x v="3"/>
          </reference>
          <reference field="1" count="1" selected="0">
            <x v="53"/>
          </reference>
        </references>
      </pivotArea>
    </chartFormat>
    <chartFormat chart="0" format="292">
      <pivotArea type="data" outline="0" fieldPosition="0">
        <references count="3">
          <reference field="4294967294" count="1" selected="0">
            <x v="0"/>
          </reference>
          <reference field="0" count="1" selected="0">
            <x v="3"/>
          </reference>
          <reference field="1" count="1" selected="0">
            <x v="57"/>
          </reference>
        </references>
      </pivotArea>
    </chartFormat>
    <chartFormat chart="0" format="293">
      <pivotArea type="data" outline="0" fieldPosition="0">
        <references count="3">
          <reference field="4294967294" count="1" selected="0">
            <x v="0"/>
          </reference>
          <reference field="0" count="1" selected="0">
            <x v="3"/>
          </reference>
          <reference field="1" count="1" selected="0">
            <x v="59"/>
          </reference>
        </references>
      </pivotArea>
    </chartFormat>
    <chartFormat chart="0" format="294">
      <pivotArea type="data" outline="0" fieldPosition="0">
        <references count="3">
          <reference field="4294967294" count="1" selected="0">
            <x v="0"/>
          </reference>
          <reference field="0" count="1" selected="0">
            <x v="3"/>
          </reference>
          <reference field="1" count="1" selected="0">
            <x v="61"/>
          </reference>
        </references>
      </pivotArea>
    </chartFormat>
    <chartFormat chart="0" format="295">
      <pivotArea type="data" outline="0" fieldPosition="0">
        <references count="3">
          <reference field="4294967294" count="1" selected="0">
            <x v="0"/>
          </reference>
          <reference field="0" count="1" selected="0">
            <x v="3"/>
          </reference>
          <reference field="1" count="1" selected="0">
            <x v="63"/>
          </reference>
        </references>
      </pivotArea>
    </chartFormat>
    <chartFormat chart="0" format="296">
      <pivotArea type="data" outline="0" fieldPosition="0">
        <references count="3">
          <reference field="4294967294" count="1" selected="0">
            <x v="0"/>
          </reference>
          <reference field="0" count="1" selected="0">
            <x v="3"/>
          </reference>
          <reference field="1" count="1" selected="0">
            <x v="65"/>
          </reference>
        </references>
      </pivotArea>
    </chartFormat>
    <chartFormat chart="0" format="297">
      <pivotArea type="data" outline="0" fieldPosition="0">
        <references count="3">
          <reference field="4294967294" count="1" selected="0">
            <x v="0"/>
          </reference>
          <reference field="0" count="1" selected="0">
            <x v="3"/>
          </reference>
          <reference field="1" count="1" selected="0">
            <x v="67"/>
          </reference>
        </references>
      </pivotArea>
    </chartFormat>
    <chartFormat chart="0" format="298">
      <pivotArea type="data" outline="0" fieldPosition="0">
        <references count="3">
          <reference field="4294967294" count="1" selected="0">
            <x v="0"/>
          </reference>
          <reference field="0" count="1" selected="0">
            <x v="3"/>
          </reference>
          <reference field="1" count="1" selected="0">
            <x v="69"/>
          </reference>
        </references>
      </pivotArea>
    </chartFormat>
    <chartFormat chart="0" format="299">
      <pivotArea type="data" outline="0" fieldPosition="0">
        <references count="3">
          <reference field="4294967294" count="1" selected="0">
            <x v="0"/>
          </reference>
          <reference field="0" count="1" selected="0">
            <x v="3"/>
          </reference>
          <reference field="1" count="1" selected="0">
            <x v="70"/>
          </reference>
        </references>
      </pivotArea>
    </chartFormat>
    <chartFormat chart="0" format="300">
      <pivotArea type="data" outline="0" fieldPosition="0">
        <references count="3">
          <reference field="4294967294" count="1" selected="0">
            <x v="0"/>
          </reference>
          <reference field="0" count="1" selected="0">
            <x v="3"/>
          </reference>
          <reference field="1" count="1" selected="0">
            <x v="71"/>
          </reference>
        </references>
      </pivotArea>
    </chartFormat>
    <chartFormat chart="0" format="301">
      <pivotArea type="data" outline="0" fieldPosition="0">
        <references count="3">
          <reference field="4294967294" count="1" selected="0">
            <x v="0"/>
          </reference>
          <reference field="0" count="1" selected="0">
            <x v="3"/>
          </reference>
          <reference field="1" count="1" selected="0">
            <x v="73"/>
          </reference>
        </references>
      </pivotArea>
    </chartFormat>
    <chartFormat chart="0" format="302">
      <pivotArea type="data" outline="0" fieldPosition="0">
        <references count="3">
          <reference field="4294967294" count="1" selected="0">
            <x v="0"/>
          </reference>
          <reference field="0" count="1" selected="0">
            <x v="4"/>
          </reference>
          <reference field="1" count="1" selected="0">
            <x v="1"/>
          </reference>
        </references>
      </pivotArea>
    </chartFormat>
    <chartFormat chart="0" format="303">
      <pivotArea type="data" outline="0" fieldPosition="0">
        <references count="3">
          <reference field="4294967294" count="1" selected="0">
            <x v="0"/>
          </reference>
          <reference field="0" count="1" selected="0">
            <x v="4"/>
          </reference>
          <reference field="1" count="1" selected="0">
            <x v="2"/>
          </reference>
        </references>
      </pivotArea>
    </chartFormat>
    <chartFormat chart="0" format="304">
      <pivotArea type="data" outline="0" fieldPosition="0">
        <references count="3">
          <reference field="4294967294" count="1" selected="0">
            <x v="0"/>
          </reference>
          <reference field="0" count="1" selected="0">
            <x v="4"/>
          </reference>
          <reference field="1" count="1" selected="0">
            <x v="3"/>
          </reference>
        </references>
      </pivotArea>
    </chartFormat>
    <chartFormat chart="0" format="305">
      <pivotArea type="data" outline="0" fieldPosition="0">
        <references count="3">
          <reference field="4294967294" count="1" selected="0">
            <x v="0"/>
          </reference>
          <reference field="0" count="1" selected="0">
            <x v="4"/>
          </reference>
          <reference field="1" count="1" selected="0">
            <x v="4"/>
          </reference>
        </references>
      </pivotArea>
    </chartFormat>
    <chartFormat chart="0" format="306">
      <pivotArea type="data" outline="0" fieldPosition="0">
        <references count="3">
          <reference field="4294967294" count="1" selected="0">
            <x v="0"/>
          </reference>
          <reference field="0" count="1" selected="0">
            <x v="4"/>
          </reference>
          <reference field="1" count="1" selected="0">
            <x v="5"/>
          </reference>
        </references>
      </pivotArea>
    </chartFormat>
    <chartFormat chart="0" format="307">
      <pivotArea type="data" outline="0" fieldPosition="0">
        <references count="3">
          <reference field="4294967294" count="1" selected="0">
            <x v="0"/>
          </reference>
          <reference field="0" count="1" selected="0">
            <x v="4"/>
          </reference>
          <reference field="1" count="1" selected="0">
            <x v="7"/>
          </reference>
        </references>
      </pivotArea>
    </chartFormat>
    <chartFormat chart="0" format="308">
      <pivotArea type="data" outline="0" fieldPosition="0">
        <references count="3">
          <reference field="4294967294" count="1" selected="0">
            <x v="0"/>
          </reference>
          <reference field="0" count="1" selected="0">
            <x v="4"/>
          </reference>
          <reference field="1" count="1" selected="0">
            <x v="8"/>
          </reference>
        </references>
      </pivotArea>
    </chartFormat>
    <chartFormat chart="0" format="309">
      <pivotArea type="data" outline="0" fieldPosition="0">
        <references count="3">
          <reference field="4294967294" count="1" selected="0">
            <x v="0"/>
          </reference>
          <reference field="0" count="1" selected="0">
            <x v="4"/>
          </reference>
          <reference field="1" count="1" selected="0">
            <x v="9"/>
          </reference>
        </references>
      </pivotArea>
    </chartFormat>
    <chartFormat chart="0" format="310">
      <pivotArea type="data" outline="0" fieldPosition="0">
        <references count="3">
          <reference field="4294967294" count="1" selected="0">
            <x v="0"/>
          </reference>
          <reference field="0" count="1" selected="0">
            <x v="4"/>
          </reference>
          <reference field="1" count="1" selected="0">
            <x v="10"/>
          </reference>
        </references>
      </pivotArea>
    </chartFormat>
    <chartFormat chart="0" format="311">
      <pivotArea type="data" outline="0" fieldPosition="0">
        <references count="3">
          <reference field="4294967294" count="1" selected="0">
            <x v="0"/>
          </reference>
          <reference field="0" count="1" selected="0">
            <x v="4"/>
          </reference>
          <reference field="1" count="1" selected="0">
            <x v="11"/>
          </reference>
        </references>
      </pivotArea>
    </chartFormat>
    <chartFormat chart="0" format="312">
      <pivotArea type="data" outline="0" fieldPosition="0">
        <references count="3">
          <reference field="4294967294" count="1" selected="0">
            <x v="0"/>
          </reference>
          <reference field="0" count="1" selected="0">
            <x v="4"/>
          </reference>
          <reference field="1" count="1" selected="0">
            <x v="12"/>
          </reference>
        </references>
      </pivotArea>
    </chartFormat>
    <chartFormat chart="0" format="313">
      <pivotArea type="data" outline="0" fieldPosition="0">
        <references count="3">
          <reference field="4294967294" count="1" selected="0">
            <x v="0"/>
          </reference>
          <reference field="0" count="1" selected="0">
            <x v="4"/>
          </reference>
          <reference field="1" count="1" selected="0">
            <x v="13"/>
          </reference>
        </references>
      </pivotArea>
    </chartFormat>
    <chartFormat chart="0" format="314">
      <pivotArea type="data" outline="0" fieldPosition="0">
        <references count="3">
          <reference field="4294967294" count="1" selected="0">
            <x v="0"/>
          </reference>
          <reference field="0" count="1" selected="0">
            <x v="4"/>
          </reference>
          <reference field="1" count="1" selected="0">
            <x v="14"/>
          </reference>
        </references>
      </pivotArea>
    </chartFormat>
    <chartFormat chart="0" format="315">
      <pivotArea type="data" outline="0" fieldPosition="0">
        <references count="3">
          <reference field="4294967294" count="1" selected="0">
            <x v="0"/>
          </reference>
          <reference field="0" count="1" selected="0">
            <x v="4"/>
          </reference>
          <reference field="1" count="1" selected="0">
            <x v="15"/>
          </reference>
        </references>
      </pivotArea>
    </chartFormat>
    <chartFormat chart="0" format="316">
      <pivotArea type="data" outline="0" fieldPosition="0">
        <references count="3">
          <reference field="4294967294" count="1" selected="0">
            <x v="0"/>
          </reference>
          <reference field="0" count="1" selected="0">
            <x v="4"/>
          </reference>
          <reference field="1" count="1" selected="0">
            <x v="16"/>
          </reference>
        </references>
      </pivotArea>
    </chartFormat>
    <chartFormat chart="0" format="317">
      <pivotArea type="data" outline="0" fieldPosition="0">
        <references count="3">
          <reference field="4294967294" count="1" selected="0">
            <x v="0"/>
          </reference>
          <reference field="0" count="1" selected="0">
            <x v="4"/>
          </reference>
          <reference field="1" count="1" selected="0">
            <x v="17"/>
          </reference>
        </references>
      </pivotArea>
    </chartFormat>
    <chartFormat chart="0" format="318">
      <pivotArea type="data" outline="0" fieldPosition="0">
        <references count="3">
          <reference field="4294967294" count="1" selected="0">
            <x v="0"/>
          </reference>
          <reference field="0" count="1" selected="0">
            <x v="4"/>
          </reference>
          <reference field="1" count="1" selected="0">
            <x v="18"/>
          </reference>
        </references>
      </pivotArea>
    </chartFormat>
    <chartFormat chart="0" format="319">
      <pivotArea type="data" outline="0" fieldPosition="0">
        <references count="3">
          <reference field="4294967294" count="1" selected="0">
            <x v="0"/>
          </reference>
          <reference field="0" count="1" selected="0">
            <x v="4"/>
          </reference>
          <reference field="1" count="1" selected="0">
            <x v="19"/>
          </reference>
        </references>
      </pivotArea>
    </chartFormat>
    <chartFormat chart="0" format="320">
      <pivotArea type="data" outline="0" fieldPosition="0">
        <references count="3">
          <reference field="4294967294" count="1" selected="0">
            <x v="0"/>
          </reference>
          <reference field="0" count="1" selected="0">
            <x v="4"/>
          </reference>
          <reference field="1" count="1" selected="0">
            <x v="20"/>
          </reference>
        </references>
      </pivotArea>
    </chartFormat>
    <chartFormat chart="0" format="321">
      <pivotArea type="data" outline="0" fieldPosition="0">
        <references count="3">
          <reference field="4294967294" count="1" selected="0">
            <x v="0"/>
          </reference>
          <reference field="0" count="1" selected="0">
            <x v="4"/>
          </reference>
          <reference field="1" count="1" selected="0">
            <x v="21"/>
          </reference>
        </references>
      </pivotArea>
    </chartFormat>
    <chartFormat chart="0" format="322">
      <pivotArea type="data" outline="0" fieldPosition="0">
        <references count="3">
          <reference field="4294967294" count="1" selected="0">
            <x v="0"/>
          </reference>
          <reference field="0" count="1" selected="0">
            <x v="4"/>
          </reference>
          <reference field="1" count="1" selected="0">
            <x v="23"/>
          </reference>
        </references>
      </pivotArea>
    </chartFormat>
    <chartFormat chart="0" format="323">
      <pivotArea type="data" outline="0" fieldPosition="0">
        <references count="3">
          <reference field="4294967294" count="1" selected="0">
            <x v="0"/>
          </reference>
          <reference field="0" count="1" selected="0">
            <x v="4"/>
          </reference>
          <reference field="1" count="1" selected="0">
            <x v="25"/>
          </reference>
        </references>
      </pivotArea>
    </chartFormat>
    <chartFormat chart="0" format="324">
      <pivotArea type="data" outline="0" fieldPosition="0">
        <references count="3">
          <reference field="4294967294" count="1" selected="0">
            <x v="0"/>
          </reference>
          <reference field="0" count="1" selected="0">
            <x v="4"/>
          </reference>
          <reference field="1" count="1" selected="0">
            <x v="27"/>
          </reference>
        </references>
      </pivotArea>
    </chartFormat>
    <chartFormat chart="0" format="325">
      <pivotArea type="data" outline="0" fieldPosition="0">
        <references count="3">
          <reference field="4294967294" count="1" selected="0">
            <x v="0"/>
          </reference>
          <reference field="0" count="1" selected="0">
            <x v="4"/>
          </reference>
          <reference field="1" count="1" selected="0">
            <x v="29"/>
          </reference>
        </references>
      </pivotArea>
    </chartFormat>
    <chartFormat chart="0" format="326">
      <pivotArea type="data" outline="0" fieldPosition="0">
        <references count="3">
          <reference field="4294967294" count="1" selected="0">
            <x v="0"/>
          </reference>
          <reference field="0" count="1" selected="0">
            <x v="4"/>
          </reference>
          <reference field="1" count="1" selected="0">
            <x v="33"/>
          </reference>
        </references>
      </pivotArea>
    </chartFormat>
    <chartFormat chart="0" format="327">
      <pivotArea type="data" outline="0" fieldPosition="0">
        <references count="3">
          <reference field="4294967294" count="1" selected="0">
            <x v="0"/>
          </reference>
          <reference field="0" count="1" selected="0">
            <x v="4"/>
          </reference>
          <reference field="1" count="1" selected="0">
            <x v="35"/>
          </reference>
        </references>
      </pivotArea>
    </chartFormat>
    <chartFormat chart="0" format="328">
      <pivotArea type="data" outline="0" fieldPosition="0">
        <references count="3">
          <reference field="4294967294" count="1" selected="0">
            <x v="0"/>
          </reference>
          <reference field="0" count="1" selected="0">
            <x v="4"/>
          </reference>
          <reference field="1" count="1" selected="0">
            <x v="39"/>
          </reference>
        </references>
      </pivotArea>
    </chartFormat>
    <chartFormat chart="0" format="329">
      <pivotArea type="data" outline="0" fieldPosition="0">
        <references count="3">
          <reference field="4294967294" count="1" selected="0">
            <x v="0"/>
          </reference>
          <reference field="0" count="1" selected="0">
            <x v="4"/>
          </reference>
          <reference field="1" count="1" selected="0">
            <x v="41"/>
          </reference>
        </references>
      </pivotArea>
    </chartFormat>
    <chartFormat chart="0" format="330">
      <pivotArea type="data" outline="0" fieldPosition="0">
        <references count="3">
          <reference field="4294967294" count="1" selected="0">
            <x v="0"/>
          </reference>
          <reference field="0" count="1" selected="0">
            <x v="4"/>
          </reference>
          <reference field="1" count="1" selected="0">
            <x v="43"/>
          </reference>
        </references>
      </pivotArea>
    </chartFormat>
    <chartFormat chart="0" format="331">
      <pivotArea type="data" outline="0" fieldPosition="0">
        <references count="3">
          <reference field="4294967294" count="1" selected="0">
            <x v="0"/>
          </reference>
          <reference field="0" count="1" selected="0">
            <x v="4"/>
          </reference>
          <reference field="1" count="1" selected="0">
            <x v="45"/>
          </reference>
        </references>
      </pivotArea>
    </chartFormat>
    <chartFormat chart="0" format="332">
      <pivotArea type="data" outline="0" fieldPosition="0">
        <references count="3">
          <reference field="4294967294" count="1" selected="0">
            <x v="0"/>
          </reference>
          <reference field="0" count="1" selected="0">
            <x v="4"/>
          </reference>
          <reference field="1" count="1" selected="0">
            <x v="47"/>
          </reference>
        </references>
      </pivotArea>
    </chartFormat>
    <chartFormat chart="0" format="333">
      <pivotArea type="data" outline="0" fieldPosition="0">
        <references count="3">
          <reference field="4294967294" count="1" selected="0">
            <x v="0"/>
          </reference>
          <reference field="0" count="1" selected="0">
            <x v="4"/>
          </reference>
          <reference field="1" count="1" selected="0">
            <x v="49"/>
          </reference>
        </references>
      </pivotArea>
    </chartFormat>
    <chartFormat chart="0" format="334">
      <pivotArea type="data" outline="0" fieldPosition="0">
        <references count="3">
          <reference field="4294967294" count="1" selected="0">
            <x v="0"/>
          </reference>
          <reference field="0" count="1" selected="0">
            <x v="4"/>
          </reference>
          <reference field="1" count="1" selected="0">
            <x v="51"/>
          </reference>
        </references>
      </pivotArea>
    </chartFormat>
    <chartFormat chart="0" format="335">
      <pivotArea type="data" outline="0" fieldPosition="0">
        <references count="3">
          <reference field="4294967294" count="1" selected="0">
            <x v="0"/>
          </reference>
          <reference field="0" count="1" selected="0">
            <x v="4"/>
          </reference>
          <reference field="1" count="1" selected="0">
            <x v="53"/>
          </reference>
        </references>
      </pivotArea>
    </chartFormat>
    <chartFormat chart="0" format="336">
      <pivotArea type="data" outline="0" fieldPosition="0">
        <references count="3">
          <reference field="4294967294" count="1" selected="0">
            <x v="0"/>
          </reference>
          <reference field="0" count="1" selected="0">
            <x v="4"/>
          </reference>
          <reference field="1" count="1" selected="0">
            <x v="55"/>
          </reference>
        </references>
      </pivotArea>
    </chartFormat>
    <chartFormat chart="0" format="337">
      <pivotArea type="data" outline="0" fieldPosition="0">
        <references count="3">
          <reference field="4294967294" count="1" selected="0">
            <x v="0"/>
          </reference>
          <reference field="0" count="1" selected="0">
            <x v="4"/>
          </reference>
          <reference field="1" count="1" selected="0">
            <x v="57"/>
          </reference>
        </references>
      </pivotArea>
    </chartFormat>
    <chartFormat chart="0" format="338">
      <pivotArea type="data" outline="0" fieldPosition="0">
        <references count="3">
          <reference field="4294967294" count="1" selected="0">
            <x v="0"/>
          </reference>
          <reference field="0" count="1" selected="0">
            <x v="4"/>
          </reference>
          <reference field="1" count="1" selected="0">
            <x v="59"/>
          </reference>
        </references>
      </pivotArea>
    </chartFormat>
    <chartFormat chart="0" format="339">
      <pivotArea type="data" outline="0" fieldPosition="0">
        <references count="3">
          <reference field="4294967294" count="1" selected="0">
            <x v="0"/>
          </reference>
          <reference field="0" count="1" selected="0">
            <x v="4"/>
          </reference>
          <reference field="1" count="1" selected="0">
            <x v="61"/>
          </reference>
        </references>
      </pivotArea>
    </chartFormat>
    <chartFormat chart="0" format="340">
      <pivotArea type="data" outline="0" fieldPosition="0">
        <references count="3">
          <reference field="4294967294" count="1" selected="0">
            <x v="0"/>
          </reference>
          <reference field="0" count="1" selected="0">
            <x v="4"/>
          </reference>
          <reference field="1" count="1" selected="0">
            <x v="63"/>
          </reference>
        </references>
      </pivotArea>
    </chartFormat>
    <chartFormat chart="0" format="341">
      <pivotArea type="data" outline="0" fieldPosition="0">
        <references count="3">
          <reference field="4294967294" count="1" selected="0">
            <x v="0"/>
          </reference>
          <reference field="0" count="1" selected="0">
            <x v="4"/>
          </reference>
          <reference field="1" count="1" selected="0">
            <x v="65"/>
          </reference>
        </references>
      </pivotArea>
    </chartFormat>
    <chartFormat chart="0" format="342">
      <pivotArea type="data" outline="0" fieldPosition="0">
        <references count="3">
          <reference field="4294967294" count="1" selected="0">
            <x v="0"/>
          </reference>
          <reference field="0" count="1" selected="0">
            <x v="4"/>
          </reference>
          <reference field="1" count="1" selected="0">
            <x v="67"/>
          </reference>
        </references>
      </pivotArea>
    </chartFormat>
    <chartFormat chart="0" format="343">
      <pivotArea type="data" outline="0" fieldPosition="0">
        <references count="3">
          <reference field="4294967294" count="1" selected="0">
            <x v="0"/>
          </reference>
          <reference field="0" count="1" selected="0">
            <x v="4"/>
          </reference>
          <reference field="1" count="1" selected="0">
            <x v="69"/>
          </reference>
        </references>
      </pivotArea>
    </chartFormat>
    <chartFormat chart="0" format="344">
      <pivotArea type="data" outline="0" fieldPosition="0">
        <references count="3">
          <reference field="4294967294" count="1" selected="0">
            <x v="0"/>
          </reference>
          <reference field="0" count="1" selected="0">
            <x v="4"/>
          </reference>
          <reference field="1" count="1" selected="0">
            <x v="70"/>
          </reference>
        </references>
      </pivotArea>
    </chartFormat>
    <chartFormat chart="0" format="345">
      <pivotArea type="data" outline="0" fieldPosition="0">
        <references count="3">
          <reference field="4294967294" count="1" selected="0">
            <x v="2"/>
          </reference>
          <reference field="0" count="1" selected="0">
            <x v="3"/>
          </reference>
          <reference field="1" count="1" selected="0">
            <x v="41"/>
          </reference>
        </references>
      </pivotArea>
    </chartFormat>
    <chartFormat chart="0" format="346">
      <pivotArea type="data" outline="0" fieldPosition="0">
        <references count="3">
          <reference field="4294967294" count="1" selected="0">
            <x v="2"/>
          </reference>
          <reference field="0" count="1" selected="0">
            <x v="3"/>
          </reference>
          <reference field="1" count="1" selected="0">
            <x v="43"/>
          </reference>
        </references>
      </pivotArea>
    </chartFormat>
    <chartFormat chart="0" format="347">
      <pivotArea type="data" outline="0" fieldPosition="0">
        <references count="3">
          <reference field="4294967294" count="1" selected="0">
            <x v="2"/>
          </reference>
          <reference field="0" count="1" selected="0">
            <x v="3"/>
          </reference>
          <reference field="1" count="1" selected="0">
            <x v="45"/>
          </reference>
        </references>
      </pivotArea>
    </chartFormat>
    <chartFormat chart="0" format="348">
      <pivotArea type="data" outline="0" fieldPosition="0">
        <references count="3">
          <reference field="4294967294" count="1" selected="0">
            <x v="2"/>
          </reference>
          <reference field="0" count="1" selected="0">
            <x v="3"/>
          </reference>
          <reference field="1" count="1" selected="0">
            <x v="47"/>
          </reference>
        </references>
      </pivotArea>
    </chartFormat>
    <chartFormat chart="0" format="349">
      <pivotArea type="data" outline="0" fieldPosition="0">
        <references count="3">
          <reference field="4294967294" count="1" selected="0">
            <x v="2"/>
          </reference>
          <reference field="0" count="1" selected="0">
            <x v="3"/>
          </reference>
          <reference field="1" count="1" selected="0">
            <x v="49"/>
          </reference>
        </references>
      </pivotArea>
    </chartFormat>
    <chartFormat chart="0" format="350">
      <pivotArea type="data" outline="0" fieldPosition="0">
        <references count="3">
          <reference field="4294967294" count="1" selected="0">
            <x v="2"/>
          </reference>
          <reference field="0" count="1" selected="0">
            <x v="3"/>
          </reference>
          <reference field="1" count="1" selected="0">
            <x v="51"/>
          </reference>
        </references>
      </pivotArea>
    </chartFormat>
    <chartFormat chart="0" format="351">
      <pivotArea type="data" outline="0" fieldPosition="0">
        <references count="3">
          <reference field="4294967294" count="1" selected="0">
            <x v="2"/>
          </reference>
          <reference field="0" count="1" selected="0">
            <x v="3"/>
          </reference>
          <reference field="1" count="1" selected="0">
            <x v="53"/>
          </reference>
        </references>
      </pivotArea>
    </chartFormat>
    <chartFormat chart="0" format="352">
      <pivotArea type="data" outline="0" fieldPosition="0">
        <references count="3">
          <reference field="4294967294" count="1" selected="0">
            <x v="2"/>
          </reference>
          <reference field="0" count="1" selected="0">
            <x v="3"/>
          </reference>
          <reference field="1" count="1" selected="0">
            <x v="57"/>
          </reference>
        </references>
      </pivotArea>
    </chartFormat>
    <chartFormat chart="0" format="353">
      <pivotArea type="data" outline="0" fieldPosition="0">
        <references count="3">
          <reference field="4294967294" count="1" selected="0">
            <x v="2"/>
          </reference>
          <reference field="0" count="1" selected="0">
            <x v="3"/>
          </reference>
          <reference field="1" count="1" selected="0">
            <x v="59"/>
          </reference>
        </references>
      </pivotArea>
    </chartFormat>
    <chartFormat chart="0" format="354">
      <pivotArea type="data" outline="0" fieldPosition="0">
        <references count="3">
          <reference field="4294967294" count="1" selected="0">
            <x v="2"/>
          </reference>
          <reference field="0" count="1" selected="0">
            <x v="3"/>
          </reference>
          <reference field="1" count="1" selected="0">
            <x v="61"/>
          </reference>
        </references>
      </pivotArea>
    </chartFormat>
    <chartFormat chart="0" format="355">
      <pivotArea type="data" outline="0" fieldPosition="0">
        <references count="3">
          <reference field="4294967294" count="1" selected="0">
            <x v="2"/>
          </reference>
          <reference field="0" count="1" selected="0">
            <x v="3"/>
          </reference>
          <reference field="1" count="1" selected="0">
            <x v="63"/>
          </reference>
        </references>
      </pivotArea>
    </chartFormat>
    <chartFormat chart="0" format="356">
      <pivotArea type="data" outline="0" fieldPosition="0">
        <references count="3">
          <reference field="4294967294" count="1" selected="0">
            <x v="2"/>
          </reference>
          <reference field="0" count="1" selected="0">
            <x v="3"/>
          </reference>
          <reference field="1" count="1" selected="0">
            <x v="65"/>
          </reference>
        </references>
      </pivotArea>
    </chartFormat>
    <chartFormat chart="0" format="357">
      <pivotArea type="data" outline="0" fieldPosition="0">
        <references count="3">
          <reference field="4294967294" count="1" selected="0">
            <x v="2"/>
          </reference>
          <reference field="0" count="1" selected="0">
            <x v="3"/>
          </reference>
          <reference field="1" count="1" selected="0">
            <x v="67"/>
          </reference>
        </references>
      </pivotArea>
    </chartFormat>
    <chartFormat chart="0" format="358">
      <pivotArea type="data" outline="0" fieldPosition="0">
        <references count="3">
          <reference field="4294967294" count="1" selected="0">
            <x v="2"/>
          </reference>
          <reference field="0" count="1" selected="0">
            <x v="3"/>
          </reference>
          <reference field="1" count="1" selected="0">
            <x v="69"/>
          </reference>
        </references>
      </pivotArea>
    </chartFormat>
    <chartFormat chart="0" format="359">
      <pivotArea type="data" outline="0" fieldPosition="0">
        <references count="3">
          <reference field="4294967294" count="1" selected="0">
            <x v="2"/>
          </reference>
          <reference field="0" count="1" selected="0">
            <x v="3"/>
          </reference>
          <reference field="1" count="1" selected="0">
            <x v="70"/>
          </reference>
        </references>
      </pivotArea>
    </chartFormat>
    <chartFormat chart="0" format="360">
      <pivotArea type="data" outline="0" fieldPosition="0">
        <references count="3">
          <reference field="4294967294" count="1" selected="0">
            <x v="2"/>
          </reference>
          <reference field="0" count="1" selected="0">
            <x v="3"/>
          </reference>
          <reference field="1" count="1" selected="0">
            <x v="71"/>
          </reference>
        </references>
      </pivotArea>
    </chartFormat>
    <chartFormat chart="0" format="361">
      <pivotArea type="data" outline="0" fieldPosition="0">
        <references count="3">
          <reference field="4294967294" count="1" selected="0">
            <x v="2"/>
          </reference>
          <reference field="0" count="1" selected="0">
            <x v="3"/>
          </reference>
          <reference field="1" count="1" selected="0">
            <x v="73"/>
          </reference>
        </references>
      </pivotArea>
    </chartFormat>
    <chartFormat chart="0" format="362">
      <pivotArea type="data" outline="0" fieldPosition="0">
        <references count="3">
          <reference field="4294967294" count="1" selected="0">
            <x v="2"/>
          </reference>
          <reference field="0" count="1" selected="0">
            <x v="4"/>
          </reference>
          <reference field="1" count="1" selected="0">
            <x v="1"/>
          </reference>
        </references>
      </pivotArea>
    </chartFormat>
    <chartFormat chart="0" format="363">
      <pivotArea type="data" outline="0" fieldPosition="0">
        <references count="3">
          <reference field="4294967294" count="1" selected="0">
            <x v="2"/>
          </reference>
          <reference field="0" count="1" selected="0">
            <x v="4"/>
          </reference>
          <reference field="1" count="1" selected="0">
            <x v="2"/>
          </reference>
        </references>
      </pivotArea>
    </chartFormat>
    <chartFormat chart="0" format="364">
      <pivotArea type="data" outline="0" fieldPosition="0">
        <references count="3">
          <reference field="4294967294" count="1" selected="0">
            <x v="2"/>
          </reference>
          <reference field="0" count="1" selected="0">
            <x v="4"/>
          </reference>
          <reference field="1" count="1" selected="0">
            <x v="3"/>
          </reference>
        </references>
      </pivotArea>
    </chartFormat>
    <chartFormat chart="0" format="365">
      <pivotArea type="data" outline="0" fieldPosition="0">
        <references count="3">
          <reference field="4294967294" count="1" selected="0">
            <x v="2"/>
          </reference>
          <reference field="0" count="1" selected="0">
            <x v="4"/>
          </reference>
          <reference field="1" count="1" selected="0">
            <x v="4"/>
          </reference>
        </references>
      </pivotArea>
    </chartFormat>
    <chartFormat chart="0" format="366">
      <pivotArea type="data" outline="0" fieldPosition="0">
        <references count="3">
          <reference field="4294967294" count="1" selected="0">
            <x v="2"/>
          </reference>
          <reference field="0" count="1" selected="0">
            <x v="4"/>
          </reference>
          <reference field="1" count="1" selected="0">
            <x v="5"/>
          </reference>
        </references>
      </pivotArea>
    </chartFormat>
    <chartFormat chart="0" format="367">
      <pivotArea type="data" outline="0" fieldPosition="0">
        <references count="3">
          <reference field="4294967294" count="1" selected="0">
            <x v="2"/>
          </reference>
          <reference field="0" count="1" selected="0">
            <x v="4"/>
          </reference>
          <reference field="1" count="1" selected="0">
            <x v="7"/>
          </reference>
        </references>
      </pivotArea>
    </chartFormat>
    <chartFormat chart="0" format="368">
      <pivotArea type="data" outline="0" fieldPosition="0">
        <references count="3">
          <reference field="4294967294" count="1" selected="0">
            <x v="2"/>
          </reference>
          <reference field="0" count="1" selected="0">
            <x v="4"/>
          </reference>
          <reference field="1" count="1" selected="0">
            <x v="8"/>
          </reference>
        </references>
      </pivotArea>
    </chartFormat>
    <chartFormat chart="0" format="369">
      <pivotArea type="data" outline="0" fieldPosition="0">
        <references count="3">
          <reference field="4294967294" count="1" selected="0">
            <x v="2"/>
          </reference>
          <reference field="0" count="1" selected="0">
            <x v="4"/>
          </reference>
          <reference field="1" count="1" selected="0">
            <x v="9"/>
          </reference>
        </references>
      </pivotArea>
    </chartFormat>
    <chartFormat chart="0" format="370">
      <pivotArea type="data" outline="0" fieldPosition="0">
        <references count="3">
          <reference field="4294967294" count="1" selected="0">
            <x v="2"/>
          </reference>
          <reference field="0" count="1" selected="0">
            <x v="4"/>
          </reference>
          <reference field="1" count="1" selected="0">
            <x v="10"/>
          </reference>
        </references>
      </pivotArea>
    </chartFormat>
    <chartFormat chart="0" format="371">
      <pivotArea type="data" outline="0" fieldPosition="0">
        <references count="3">
          <reference field="4294967294" count="1" selected="0">
            <x v="2"/>
          </reference>
          <reference field="0" count="1" selected="0">
            <x v="4"/>
          </reference>
          <reference field="1" count="1" selected="0">
            <x v="11"/>
          </reference>
        </references>
      </pivotArea>
    </chartFormat>
    <chartFormat chart="0" format="372">
      <pivotArea type="data" outline="0" fieldPosition="0">
        <references count="3">
          <reference field="4294967294" count="1" selected="0">
            <x v="2"/>
          </reference>
          <reference field="0" count="1" selected="0">
            <x v="4"/>
          </reference>
          <reference field="1" count="1" selected="0">
            <x v="12"/>
          </reference>
        </references>
      </pivotArea>
    </chartFormat>
    <chartFormat chart="0" format="373">
      <pivotArea type="data" outline="0" fieldPosition="0">
        <references count="3">
          <reference field="4294967294" count="1" selected="0">
            <x v="2"/>
          </reference>
          <reference field="0" count="1" selected="0">
            <x v="4"/>
          </reference>
          <reference field="1" count="1" selected="0">
            <x v="13"/>
          </reference>
        </references>
      </pivotArea>
    </chartFormat>
    <chartFormat chart="0" format="374">
      <pivotArea type="data" outline="0" fieldPosition="0">
        <references count="3">
          <reference field="4294967294" count="1" selected="0">
            <x v="2"/>
          </reference>
          <reference field="0" count="1" selected="0">
            <x v="4"/>
          </reference>
          <reference field="1" count="1" selected="0">
            <x v="14"/>
          </reference>
        </references>
      </pivotArea>
    </chartFormat>
    <chartFormat chart="0" format="375">
      <pivotArea type="data" outline="0" fieldPosition="0">
        <references count="3">
          <reference field="4294967294" count="1" selected="0">
            <x v="2"/>
          </reference>
          <reference field="0" count="1" selected="0">
            <x v="4"/>
          </reference>
          <reference field="1" count="1" selected="0">
            <x v="15"/>
          </reference>
        </references>
      </pivotArea>
    </chartFormat>
    <chartFormat chart="0" format="376">
      <pivotArea type="data" outline="0" fieldPosition="0">
        <references count="3">
          <reference field="4294967294" count="1" selected="0">
            <x v="2"/>
          </reference>
          <reference field="0" count="1" selected="0">
            <x v="4"/>
          </reference>
          <reference field="1" count="1" selected="0">
            <x v="16"/>
          </reference>
        </references>
      </pivotArea>
    </chartFormat>
    <chartFormat chart="0" format="377">
      <pivotArea type="data" outline="0" fieldPosition="0">
        <references count="3">
          <reference field="4294967294" count="1" selected="0">
            <x v="2"/>
          </reference>
          <reference field="0" count="1" selected="0">
            <x v="4"/>
          </reference>
          <reference field="1" count="1" selected="0">
            <x v="17"/>
          </reference>
        </references>
      </pivotArea>
    </chartFormat>
    <chartFormat chart="0" format="378">
      <pivotArea type="data" outline="0" fieldPosition="0">
        <references count="3">
          <reference field="4294967294" count="1" selected="0">
            <x v="2"/>
          </reference>
          <reference field="0" count="1" selected="0">
            <x v="4"/>
          </reference>
          <reference field="1" count="1" selected="0">
            <x v="18"/>
          </reference>
        </references>
      </pivotArea>
    </chartFormat>
    <chartFormat chart="0" format="379">
      <pivotArea type="data" outline="0" fieldPosition="0">
        <references count="3">
          <reference field="4294967294" count="1" selected="0">
            <x v="2"/>
          </reference>
          <reference field="0" count="1" selected="0">
            <x v="4"/>
          </reference>
          <reference field="1" count="1" selected="0">
            <x v="19"/>
          </reference>
        </references>
      </pivotArea>
    </chartFormat>
    <chartFormat chart="0" format="380">
      <pivotArea type="data" outline="0" fieldPosition="0">
        <references count="3">
          <reference field="4294967294" count="1" selected="0">
            <x v="2"/>
          </reference>
          <reference field="0" count="1" selected="0">
            <x v="4"/>
          </reference>
          <reference field="1" count="1" selected="0">
            <x v="20"/>
          </reference>
        </references>
      </pivotArea>
    </chartFormat>
    <chartFormat chart="0" format="381">
      <pivotArea type="data" outline="0" fieldPosition="0">
        <references count="3">
          <reference field="4294967294" count="1" selected="0">
            <x v="2"/>
          </reference>
          <reference field="0" count="1" selected="0">
            <x v="4"/>
          </reference>
          <reference field="1" count="1" selected="0">
            <x v="21"/>
          </reference>
        </references>
      </pivotArea>
    </chartFormat>
    <chartFormat chart="0" format="382">
      <pivotArea type="data" outline="0" fieldPosition="0">
        <references count="3">
          <reference field="4294967294" count="1" selected="0">
            <x v="2"/>
          </reference>
          <reference field="0" count="1" selected="0">
            <x v="4"/>
          </reference>
          <reference field="1" count="1" selected="0">
            <x v="23"/>
          </reference>
        </references>
      </pivotArea>
    </chartFormat>
    <chartFormat chart="0" format="383">
      <pivotArea type="data" outline="0" fieldPosition="0">
        <references count="3">
          <reference field="4294967294" count="1" selected="0">
            <x v="2"/>
          </reference>
          <reference field="0" count="1" selected="0">
            <x v="4"/>
          </reference>
          <reference field="1" count="1" selected="0">
            <x v="25"/>
          </reference>
        </references>
      </pivotArea>
    </chartFormat>
    <chartFormat chart="0" format="384">
      <pivotArea type="data" outline="0" fieldPosition="0">
        <references count="3">
          <reference field="4294967294" count="1" selected="0">
            <x v="2"/>
          </reference>
          <reference field="0" count="1" selected="0">
            <x v="4"/>
          </reference>
          <reference field="1" count="1" selected="0">
            <x v="27"/>
          </reference>
        </references>
      </pivotArea>
    </chartFormat>
    <chartFormat chart="0" format="385">
      <pivotArea type="data" outline="0" fieldPosition="0">
        <references count="3">
          <reference field="4294967294" count="1" selected="0">
            <x v="2"/>
          </reference>
          <reference field="0" count="1" selected="0">
            <x v="4"/>
          </reference>
          <reference field="1" count="1" selected="0">
            <x v="29"/>
          </reference>
        </references>
      </pivotArea>
    </chartFormat>
    <chartFormat chart="0" format="386">
      <pivotArea type="data" outline="0" fieldPosition="0">
        <references count="3">
          <reference field="4294967294" count="1" selected="0">
            <x v="2"/>
          </reference>
          <reference field="0" count="1" selected="0">
            <x v="4"/>
          </reference>
          <reference field="1" count="1" selected="0">
            <x v="33"/>
          </reference>
        </references>
      </pivotArea>
    </chartFormat>
    <chartFormat chart="0" format="387">
      <pivotArea type="data" outline="0" fieldPosition="0">
        <references count="3">
          <reference field="4294967294" count="1" selected="0">
            <x v="2"/>
          </reference>
          <reference field="0" count="1" selected="0">
            <x v="4"/>
          </reference>
          <reference field="1" count="1" selected="0">
            <x v="35"/>
          </reference>
        </references>
      </pivotArea>
    </chartFormat>
    <chartFormat chart="0" format="388">
      <pivotArea type="data" outline="0" fieldPosition="0">
        <references count="3">
          <reference field="4294967294" count="1" selected="0">
            <x v="2"/>
          </reference>
          <reference field="0" count="1" selected="0">
            <x v="4"/>
          </reference>
          <reference field="1" count="1" selected="0">
            <x v="39"/>
          </reference>
        </references>
      </pivotArea>
    </chartFormat>
    <chartFormat chart="0" format="389">
      <pivotArea type="data" outline="0" fieldPosition="0">
        <references count="3">
          <reference field="4294967294" count="1" selected="0">
            <x v="2"/>
          </reference>
          <reference field="0" count="1" selected="0">
            <x v="4"/>
          </reference>
          <reference field="1" count="1" selected="0">
            <x v="41"/>
          </reference>
        </references>
      </pivotArea>
    </chartFormat>
    <chartFormat chart="0" format="390">
      <pivotArea type="data" outline="0" fieldPosition="0">
        <references count="3">
          <reference field="4294967294" count="1" selected="0">
            <x v="2"/>
          </reference>
          <reference field="0" count="1" selected="0">
            <x v="4"/>
          </reference>
          <reference field="1" count="1" selected="0">
            <x v="43"/>
          </reference>
        </references>
      </pivotArea>
    </chartFormat>
    <chartFormat chart="0" format="391">
      <pivotArea type="data" outline="0" fieldPosition="0">
        <references count="3">
          <reference field="4294967294" count="1" selected="0">
            <x v="2"/>
          </reference>
          <reference field="0" count="1" selected="0">
            <x v="4"/>
          </reference>
          <reference field="1" count="1" selected="0">
            <x v="45"/>
          </reference>
        </references>
      </pivotArea>
    </chartFormat>
    <chartFormat chart="0" format="392">
      <pivotArea type="data" outline="0" fieldPosition="0">
        <references count="3">
          <reference field="4294967294" count="1" selected="0">
            <x v="2"/>
          </reference>
          <reference field="0" count="1" selected="0">
            <x v="4"/>
          </reference>
          <reference field="1" count="1" selected="0">
            <x v="47"/>
          </reference>
        </references>
      </pivotArea>
    </chartFormat>
    <chartFormat chart="0" format="393">
      <pivotArea type="data" outline="0" fieldPosition="0">
        <references count="3">
          <reference field="4294967294" count="1" selected="0">
            <x v="2"/>
          </reference>
          <reference field="0" count="1" selected="0">
            <x v="4"/>
          </reference>
          <reference field="1" count="1" selected="0">
            <x v="49"/>
          </reference>
        </references>
      </pivotArea>
    </chartFormat>
    <chartFormat chart="0" format="394">
      <pivotArea type="data" outline="0" fieldPosition="0">
        <references count="3">
          <reference field="4294967294" count="1" selected="0">
            <x v="2"/>
          </reference>
          <reference field="0" count="1" selected="0">
            <x v="4"/>
          </reference>
          <reference field="1" count="1" selected="0">
            <x v="51"/>
          </reference>
        </references>
      </pivotArea>
    </chartFormat>
    <chartFormat chart="0" format="395">
      <pivotArea type="data" outline="0" fieldPosition="0">
        <references count="3">
          <reference field="4294967294" count="1" selected="0">
            <x v="2"/>
          </reference>
          <reference field="0" count="1" selected="0">
            <x v="4"/>
          </reference>
          <reference field="1" count="1" selected="0">
            <x v="53"/>
          </reference>
        </references>
      </pivotArea>
    </chartFormat>
    <chartFormat chart="0" format="396">
      <pivotArea type="data" outline="0" fieldPosition="0">
        <references count="3">
          <reference field="4294967294" count="1" selected="0">
            <x v="2"/>
          </reference>
          <reference field="0" count="1" selected="0">
            <x v="4"/>
          </reference>
          <reference field="1" count="1" selected="0">
            <x v="55"/>
          </reference>
        </references>
      </pivotArea>
    </chartFormat>
    <chartFormat chart="0" format="397">
      <pivotArea type="data" outline="0" fieldPosition="0">
        <references count="3">
          <reference field="4294967294" count="1" selected="0">
            <x v="2"/>
          </reference>
          <reference field="0" count="1" selected="0">
            <x v="4"/>
          </reference>
          <reference field="1" count="1" selected="0">
            <x v="57"/>
          </reference>
        </references>
      </pivotArea>
    </chartFormat>
    <chartFormat chart="0" format="398">
      <pivotArea type="data" outline="0" fieldPosition="0">
        <references count="3">
          <reference field="4294967294" count="1" selected="0">
            <x v="2"/>
          </reference>
          <reference field="0" count="1" selected="0">
            <x v="4"/>
          </reference>
          <reference field="1" count="1" selected="0">
            <x v="59"/>
          </reference>
        </references>
      </pivotArea>
    </chartFormat>
    <chartFormat chart="0" format="399">
      <pivotArea type="data" outline="0" fieldPosition="0">
        <references count="3">
          <reference field="4294967294" count="1" selected="0">
            <x v="2"/>
          </reference>
          <reference field="0" count="1" selected="0">
            <x v="4"/>
          </reference>
          <reference field="1" count="1" selected="0">
            <x v="61"/>
          </reference>
        </references>
      </pivotArea>
    </chartFormat>
    <chartFormat chart="0" format="400">
      <pivotArea type="data" outline="0" fieldPosition="0">
        <references count="3">
          <reference field="4294967294" count="1" selected="0">
            <x v="2"/>
          </reference>
          <reference field="0" count="1" selected="0">
            <x v="4"/>
          </reference>
          <reference field="1" count="1" selected="0">
            <x v="63"/>
          </reference>
        </references>
      </pivotArea>
    </chartFormat>
    <chartFormat chart="0" format="401">
      <pivotArea type="data" outline="0" fieldPosition="0">
        <references count="3">
          <reference field="4294967294" count="1" selected="0">
            <x v="2"/>
          </reference>
          <reference field="0" count="1" selected="0">
            <x v="4"/>
          </reference>
          <reference field="1" count="1" selected="0">
            <x v="65"/>
          </reference>
        </references>
      </pivotArea>
    </chartFormat>
    <chartFormat chart="0" format="402">
      <pivotArea type="data" outline="0" fieldPosition="0">
        <references count="3">
          <reference field="4294967294" count="1" selected="0">
            <x v="2"/>
          </reference>
          <reference field="0" count="1" selected="0">
            <x v="4"/>
          </reference>
          <reference field="1" count="1" selected="0">
            <x v="67"/>
          </reference>
        </references>
      </pivotArea>
    </chartFormat>
    <chartFormat chart="0" format="403">
      <pivotArea type="data" outline="0" fieldPosition="0">
        <references count="3">
          <reference field="4294967294" count="1" selected="0">
            <x v="2"/>
          </reference>
          <reference field="0" count="1" selected="0">
            <x v="4"/>
          </reference>
          <reference field="1" count="1" selected="0">
            <x v="69"/>
          </reference>
        </references>
      </pivotArea>
    </chartFormat>
    <chartFormat chart="0" format="404">
      <pivotArea type="data" outline="0" fieldPosition="0">
        <references count="3">
          <reference field="4294967294" count="1" selected="0">
            <x v="2"/>
          </reference>
          <reference field="0" count="1" selected="0">
            <x v="4"/>
          </reference>
          <reference field="1" count="1" selected="0">
            <x v="70"/>
          </reference>
        </references>
      </pivotArea>
    </chartFormat>
    <chartFormat chart="0" format="405">
      <pivotArea type="data" outline="0" fieldPosition="0">
        <references count="3">
          <reference field="4294967294" count="1" selected="0">
            <x v="0"/>
          </reference>
          <reference field="0" count="1" selected="0">
            <x v="3"/>
          </reference>
          <reference field="1" count="1" selected="0">
            <x v="55"/>
          </reference>
        </references>
      </pivotArea>
    </chartFormat>
    <chartFormat chart="0" format="406">
      <pivotArea type="data" outline="0" fieldPosition="0">
        <references count="3">
          <reference field="4294967294" count="1" selected="0">
            <x v="0"/>
          </reference>
          <reference field="0" count="1" selected="0">
            <x v="4"/>
          </reference>
          <reference field="1" count="1" selected="0">
            <x v="6"/>
          </reference>
        </references>
      </pivotArea>
    </chartFormat>
    <chartFormat chart="0" format="407">
      <pivotArea type="data" outline="0" fieldPosition="0">
        <references count="3">
          <reference field="4294967294" count="1" selected="0">
            <x v="0"/>
          </reference>
          <reference field="0" count="1" selected="0">
            <x v="4"/>
          </reference>
          <reference field="1" count="1" selected="0">
            <x v="31"/>
          </reference>
        </references>
      </pivotArea>
    </chartFormat>
    <chartFormat chart="0" format="408">
      <pivotArea type="data" outline="0" fieldPosition="0">
        <references count="3">
          <reference field="4294967294" count="1" selected="0">
            <x v="0"/>
          </reference>
          <reference field="0" count="1" selected="0">
            <x v="4"/>
          </reference>
          <reference field="1" count="1" selected="0">
            <x v="37"/>
          </reference>
        </references>
      </pivotArea>
    </chartFormat>
    <chartFormat chart="0" format="409">
      <pivotArea type="data" outline="0" fieldPosition="0">
        <references count="3">
          <reference field="4294967294" count="1" selected="0">
            <x v="2"/>
          </reference>
          <reference field="0" count="1" selected="0">
            <x v="3"/>
          </reference>
          <reference field="1" count="1" selected="0">
            <x v="5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
          </reference>
        </references>
      </pivotArea>
    </chartFormat>
    <chartFormat chart="0" format="411">
      <pivotArea type="data" outline="0" fieldPosition="0">
        <references count="3">
          <reference field="4294967294" count="1" selected="0">
            <x v="2"/>
          </reference>
          <reference field="0" count="1" selected="0">
            <x v="4"/>
          </reference>
          <reference field="1" count="1" selected="0">
            <x v="31"/>
          </reference>
        </references>
      </pivotArea>
    </chartFormat>
    <chartFormat chart="0" format="412">
      <pivotArea type="data" outline="0" fieldPosition="0">
        <references count="3">
          <reference field="4294967294" count="1" selected="0">
            <x v="2"/>
          </reference>
          <reference field="0" count="1" selected="0">
            <x v="4"/>
          </reference>
          <reference field="1" count="1" selected="0">
            <x v="37"/>
          </reference>
        </references>
      </pivotArea>
    </chartFormat>
    <chartFormat chart="0" format="413">
      <pivotArea type="data" outline="0" fieldPosition="0">
        <references count="3">
          <reference field="4294967294" count="1" selected="0">
            <x v="0"/>
          </reference>
          <reference field="0" count="1" selected="0">
            <x v="4"/>
          </reference>
          <reference field="1" count="1" selected="0">
            <x v="71"/>
          </reference>
        </references>
      </pivotArea>
    </chartFormat>
    <chartFormat chart="0" format="414">
      <pivotArea type="data" outline="0" fieldPosition="0">
        <references count="3">
          <reference field="4294967294" count="1" selected="0">
            <x v="0"/>
          </reference>
          <reference field="0" count="1" selected="0">
            <x v="4"/>
          </reference>
          <reference field="1" count="1" selected="0">
            <x v="73"/>
          </reference>
        </references>
      </pivotArea>
    </chartFormat>
    <chartFormat chart="0" format="415">
      <pivotArea type="data" outline="0" fieldPosition="0">
        <references count="3">
          <reference field="4294967294" count="1" selected="0">
            <x v="0"/>
          </reference>
          <reference field="0" count="1" selected="0">
            <x v="5"/>
          </reference>
          <reference field="1" count="1" selected="0">
            <x v="1"/>
          </reference>
        </references>
      </pivotArea>
    </chartFormat>
    <chartFormat chart="0" format="416">
      <pivotArea type="data" outline="0" fieldPosition="0">
        <references count="3">
          <reference field="4294967294" count="1" selected="0">
            <x v="0"/>
          </reference>
          <reference field="0" count="1" selected="0">
            <x v="5"/>
          </reference>
          <reference field="1" count="1" selected="0">
            <x v="2"/>
          </reference>
        </references>
      </pivotArea>
    </chartFormat>
    <chartFormat chart="0" format="417">
      <pivotArea type="data" outline="0" fieldPosition="0">
        <references count="3">
          <reference field="4294967294" count="1" selected="0">
            <x v="0"/>
          </reference>
          <reference field="0" count="1" selected="0">
            <x v="5"/>
          </reference>
          <reference field="1" count="1" selected="0">
            <x v="3"/>
          </reference>
        </references>
      </pivotArea>
    </chartFormat>
    <chartFormat chart="0" format="418">
      <pivotArea type="data" outline="0" fieldPosition="0">
        <references count="3">
          <reference field="4294967294" count="1" selected="0">
            <x v="0"/>
          </reference>
          <reference field="0" count="1" selected="0">
            <x v="5"/>
          </reference>
          <reference field="1" count="1" selected="0">
            <x v="4"/>
          </reference>
        </references>
      </pivotArea>
    </chartFormat>
    <chartFormat chart="0" format="419">
      <pivotArea type="data" outline="0" fieldPosition="0">
        <references count="3">
          <reference field="4294967294" count="1" selected="0">
            <x v="0"/>
          </reference>
          <reference field="0" count="1" selected="0">
            <x v="5"/>
          </reference>
          <reference field="1" count="1" selected="0">
            <x v="5"/>
          </reference>
        </references>
      </pivotArea>
    </chartFormat>
    <chartFormat chart="0" format="420">
      <pivotArea type="data" outline="0" fieldPosition="0">
        <references count="3">
          <reference field="4294967294" count="1" selected="0">
            <x v="0"/>
          </reference>
          <reference field="0" count="1" selected="0">
            <x v="5"/>
          </reference>
          <reference field="1" count="1" selected="0">
            <x v="6"/>
          </reference>
        </references>
      </pivotArea>
    </chartFormat>
    <chartFormat chart="0" format="421">
      <pivotArea type="data" outline="0" fieldPosition="0">
        <references count="3">
          <reference field="4294967294" count="1" selected="0">
            <x v="0"/>
          </reference>
          <reference field="0" count="1" selected="0">
            <x v="5"/>
          </reference>
          <reference field="1" count="1" selected="0">
            <x v="7"/>
          </reference>
        </references>
      </pivotArea>
    </chartFormat>
    <chartFormat chart="0" format="422">
      <pivotArea type="data" outline="0" fieldPosition="0">
        <references count="3">
          <reference field="4294967294" count="1" selected="0">
            <x v="0"/>
          </reference>
          <reference field="0" count="1" selected="0">
            <x v="5"/>
          </reference>
          <reference field="1" count="1" selected="0">
            <x v="8"/>
          </reference>
        </references>
      </pivotArea>
    </chartFormat>
    <chartFormat chart="0" format="423">
      <pivotArea type="data" outline="0" fieldPosition="0">
        <references count="3">
          <reference field="4294967294" count="1" selected="0">
            <x v="0"/>
          </reference>
          <reference field="0" count="1" selected="0">
            <x v="5"/>
          </reference>
          <reference field="1" count="1" selected="0">
            <x v="9"/>
          </reference>
        </references>
      </pivotArea>
    </chartFormat>
    <chartFormat chart="0" format="424">
      <pivotArea type="data" outline="0" fieldPosition="0">
        <references count="3">
          <reference field="4294967294" count="1" selected="0">
            <x v="0"/>
          </reference>
          <reference field="0" count="1" selected="0">
            <x v="5"/>
          </reference>
          <reference field="1" count="1" selected="0">
            <x v="10"/>
          </reference>
        </references>
      </pivotArea>
    </chartFormat>
    <chartFormat chart="0" format="425">
      <pivotArea type="data" outline="0" fieldPosition="0">
        <references count="3">
          <reference field="4294967294" count="1" selected="0">
            <x v="0"/>
          </reference>
          <reference field="0" count="1" selected="0">
            <x v="5"/>
          </reference>
          <reference field="1" count="1" selected="0">
            <x v="11"/>
          </reference>
        </references>
      </pivotArea>
    </chartFormat>
    <chartFormat chart="0" format="426">
      <pivotArea type="data" outline="0" fieldPosition="0">
        <references count="3">
          <reference field="4294967294" count="1" selected="0">
            <x v="0"/>
          </reference>
          <reference field="0" count="1" selected="0">
            <x v="5"/>
          </reference>
          <reference field="1" count="1" selected="0">
            <x v="12"/>
          </reference>
        </references>
      </pivotArea>
    </chartFormat>
    <chartFormat chart="0" format="427">
      <pivotArea type="data" outline="0" fieldPosition="0">
        <references count="3">
          <reference field="4294967294" count="1" selected="0">
            <x v="0"/>
          </reference>
          <reference field="0" count="1" selected="0">
            <x v="5"/>
          </reference>
          <reference field="1" count="1" selected="0">
            <x v="13"/>
          </reference>
        </references>
      </pivotArea>
    </chartFormat>
    <chartFormat chart="0" format="428">
      <pivotArea type="data" outline="0" fieldPosition="0">
        <references count="3">
          <reference field="4294967294" count="1" selected="0">
            <x v="0"/>
          </reference>
          <reference field="0" count="1" selected="0">
            <x v="5"/>
          </reference>
          <reference field="1" count="1" selected="0">
            <x v="14"/>
          </reference>
        </references>
      </pivotArea>
    </chartFormat>
    <chartFormat chart="0" format="429">
      <pivotArea type="data" outline="0" fieldPosition="0">
        <references count="3">
          <reference field="4294967294" count="1" selected="0">
            <x v="0"/>
          </reference>
          <reference field="0" count="1" selected="0">
            <x v="5"/>
          </reference>
          <reference field="1" count="1" selected="0">
            <x v="15"/>
          </reference>
        </references>
      </pivotArea>
    </chartFormat>
    <chartFormat chart="0" format="430">
      <pivotArea type="data" outline="0" fieldPosition="0">
        <references count="3">
          <reference field="4294967294" count="1" selected="0">
            <x v="0"/>
          </reference>
          <reference field="0" count="1" selected="0">
            <x v="5"/>
          </reference>
          <reference field="1" count="1" selected="0">
            <x v="16"/>
          </reference>
        </references>
      </pivotArea>
    </chartFormat>
    <chartFormat chart="0" format="431">
      <pivotArea type="data" outline="0" fieldPosition="0">
        <references count="3">
          <reference field="4294967294" count="1" selected="0">
            <x v="0"/>
          </reference>
          <reference field="0" count="1" selected="0">
            <x v="5"/>
          </reference>
          <reference field="1" count="1" selected="0">
            <x v="17"/>
          </reference>
        </references>
      </pivotArea>
    </chartFormat>
    <chartFormat chart="0" format="432">
      <pivotArea type="data" outline="0" fieldPosition="0">
        <references count="3">
          <reference field="4294967294" count="1" selected="0">
            <x v="0"/>
          </reference>
          <reference field="0" count="1" selected="0">
            <x v="5"/>
          </reference>
          <reference field="1" count="1" selected="0">
            <x v="18"/>
          </reference>
        </references>
      </pivotArea>
    </chartFormat>
    <chartFormat chart="0" format="433">
      <pivotArea type="data" outline="0" fieldPosition="0">
        <references count="3">
          <reference field="4294967294" count="1" selected="0">
            <x v="0"/>
          </reference>
          <reference field="0" count="1" selected="0">
            <x v="5"/>
          </reference>
          <reference field="1" count="1" selected="0">
            <x v="19"/>
          </reference>
        </references>
      </pivotArea>
    </chartFormat>
    <chartFormat chart="0" format="434">
      <pivotArea type="data" outline="0" fieldPosition="0">
        <references count="3">
          <reference field="4294967294" count="1" selected="0">
            <x v="0"/>
          </reference>
          <reference field="0" count="1" selected="0">
            <x v="5"/>
          </reference>
          <reference field="1" count="1" selected="0">
            <x v="20"/>
          </reference>
        </references>
      </pivotArea>
    </chartFormat>
    <chartFormat chart="0" format="435">
      <pivotArea type="data" outline="0" fieldPosition="0">
        <references count="3">
          <reference field="4294967294" count="1" selected="0">
            <x v="0"/>
          </reference>
          <reference field="0" count="1" selected="0">
            <x v="5"/>
          </reference>
          <reference field="1" count="1" selected="0">
            <x v="21"/>
          </reference>
        </references>
      </pivotArea>
    </chartFormat>
    <chartFormat chart="0" format="436">
      <pivotArea type="data" outline="0" fieldPosition="0">
        <references count="3">
          <reference field="4294967294" count="1" selected="0">
            <x v="0"/>
          </reference>
          <reference field="0" count="1" selected="0">
            <x v="5"/>
          </reference>
          <reference field="1" count="1" selected="0">
            <x v="23"/>
          </reference>
        </references>
      </pivotArea>
    </chartFormat>
    <chartFormat chart="0" format="437">
      <pivotArea type="data" outline="0" fieldPosition="0">
        <references count="3">
          <reference field="4294967294" count="1" selected="0">
            <x v="0"/>
          </reference>
          <reference field="0" count="1" selected="0">
            <x v="5"/>
          </reference>
          <reference field="1" count="1" selected="0">
            <x v="25"/>
          </reference>
        </references>
      </pivotArea>
    </chartFormat>
    <chartFormat chart="0" format="438">
      <pivotArea type="data" outline="0" fieldPosition="0">
        <references count="3">
          <reference field="4294967294" count="1" selected="0">
            <x v="0"/>
          </reference>
          <reference field="0" count="1" selected="0">
            <x v="5"/>
          </reference>
          <reference field="1" count="1" selected="0">
            <x v="27"/>
          </reference>
        </references>
      </pivotArea>
    </chartFormat>
    <chartFormat chart="0" format="439">
      <pivotArea type="data" outline="0" fieldPosition="0">
        <references count="3">
          <reference field="4294967294" count="1" selected="0">
            <x v="0"/>
          </reference>
          <reference field="0" count="1" selected="0">
            <x v="5"/>
          </reference>
          <reference field="1" count="1" selected="0">
            <x v="31"/>
          </reference>
        </references>
      </pivotArea>
    </chartFormat>
    <chartFormat chart="0" format="440">
      <pivotArea type="data" outline="0" fieldPosition="0">
        <references count="3">
          <reference field="4294967294" count="1" selected="0">
            <x v="2"/>
          </reference>
          <reference field="0" count="1" selected="0">
            <x v="4"/>
          </reference>
          <reference field="1" count="1" selected="0">
            <x v="71"/>
          </reference>
        </references>
      </pivotArea>
    </chartFormat>
    <chartFormat chart="0" format="441">
      <pivotArea type="data" outline="0" fieldPosition="0">
        <references count="3">
          <reference field="4294967294" count="1" selected="0">
            <x v="2"/>
          </reference>
          <reference field="0" count="1" selected="0">
            <x v="4"/>
          </reference>
          <reference field="1" count="1" selected="0">
            <x v="73"/>
          </reference>
        </references>
      </pivotArea>
    </chartFormat>
    <chartFormat chart="0" format="442">
      <pivotArea type="data" outline="0" fieldPosition="0">
        <references count="3">
          <reference field="4294967294" count="1" selected="0">
            <x v="2"/>
          </reference>
          <reference field="0" count="1" selected="0">
            <x v="5"/>
          </reference>
          <reference field="1" count="1" selected="0">
            <x v="1"/>
          </reference>
        </references>
      </pivotArea>
    </chartFormat>
    <chartFormat chart="0" format="443">
      <pivotArea type="data" outline="0" fieldPosition="0">
        <references count="3">
          <reference field="4294967294" count="1" selected="0">
            <x v="2"/>
          </reference>
          <reference field="0" count="1" selected="0">
            <x v="5"/>
          </reference>
          <reference field="1" count="1" selected="0">
            <x v="2"/>
          </reference>
        </references>
      </pivotArea>
    </chartFormat>
    <chartFormat chart="0" format="444">
      <pivotArea type="data" outline="0" fieldPosition="0">
        <references count="3">
          <reference field="4294967294" count="1" selected="0">
            <x v="2"/>
          </reference>
          <reference field="0" count="1" selected="0">
            <x v="5"/>
          </reference>
          <reference field="1" count="1" selected="0">
            <x v="3"/>
          </reference>
        </references>
      </pivotArea>
    </chartFormat>
    <chartFormat chart="0" format="445">
      <pivotArea type="data" outline="0" fieldPosition="0">
        <references count="3">
          <reference field="4294967294" count="1" selected="0">
            <x v="2"/>
          </reference>
          <reference field="0" count="1" selected="0">
            <x v="5"/>
          </reference>
          <reference field="1" count="1" selected="0">
            <x v="4"/>
          </reference>
        </references>
      </pivotArea>
    </chartFormat>
    <chartFormat chart="0" format="446">
      <pivotArea type="data" outline="0" fieldPosition="0">
        <references count="3">
          <reference field="4294967294" count="1" selected="0">
            <x v="2"/>
          </reference>
          <reference field="0" count="1" selected="0">
            <x v="5"/>
          </reference>
          <reference field="1" count="1" selected="0">
            <x v="5"/>
          </reference>
        </references>
      </pivotArea>
    </chartFormat>
    <chartFormat chart="0" format="447">
      <pivotArea type="data" outline="0" fieldPosition="0">
        <references count="3">
          <reference field="4294967294" count="1" selected="0">
            <x v="2"/>
          </reference>
          <reference field="0" count="1" selected="0">
            <x v="5"/>
          </reference>
          <reference field="1" count="1" selected="0">
            <x v="6"/>
          </reference>
        </references>
      </pivotArea>
    </chartFormat>
    <chartFormat chart="0" format="448">
      <pivotArea type="data" outline="0" fieldPosition="0">
        <references count="3">
          <reference field="4294967294" count="1" selected="0">
            <x v="2"/>
          </reference>
          <reference field="0" count="1" selected="0">
            <x v="5"/>
          </reference>
          <reference field="1" count="1" selected="0">
            <x v="7"/>
          </reference>
        </references>
      </pivotArea>
    </chartFormat>
    <chartFormat chart="0" format="449">
      <pivotArea type="data" outline="0" fieldPosition="0">
        <references count="3">
          <reference field="4294967294" count="1" selected="0">
            <x v="2"/>
          </reference>
          <reference field="0" count="1" selected="0">
            <x v="5"/>
          </reference>
          <reference field="1" count="1" selected="0">
            <x v="8"/>
          </reference>
        </references>
      </pivotArea>
    </chartFormat>
    <chartFormat chart="0" format="450">
      <pivotArea type="data" outline="0" fieldPosition="0">
        <references count="3">
          <reference field="4294967294" count="1" selected="0">
            <x v="2"/>
          </reference>
          <reference field="0" count="1" selected="0">
            <x v="5"/>
          </reference>
          <reference field="1" count="1" selected="0">
            <x v="9"/>
          </reference>
        </references>
      </pivotArea>
    </chartFormat>
    <chartFormat chart="0" format="451">
      <pivotArea type="data" outline="0" fieldPosition="0">
        <references count="3">
          <reference field="4294967294" count="1" selected="0">
            <x v="2"/>
          </reference>
          <reference field="0" count="1" selected="0">
            <x v="5"/>
          </reference>
          <reference field="1" count="1" selected="0">
            <x v="10"/>
          </reference>
        </references>
      </pivotArea>
    </chartFormat>
    <chartFormat chart="0" format="452">
      <pivotArea type="data" outline="0" fieldPosition="0">
        <references count="3">
          <reference field="4294967294" count="1" selected="0">
            <x v="2"/>
          </reference>
          <reference field="0" count="1" selected="0">
            <x v="5"/>
          </reference>
          <reference field="1" count="1" selected="0">
            <x v="11"/>
          </reference>
        </references>
      </pivotArea>
    </chartFormat>
    <chartFormat chart="0" format="453">
      <pivotArea type="data" outline="0" fieldPosition="0">
        <references count="3">
          <reference field="4294967294" count="1" selected="0">
            <x v="2"/>
          </reference>
          <reference field="0" count="1" selected="0">
            <x v="5"/>
          </reference>
          <reference field="1" count="1" selected="0">
            <x v="12"/>
          </reference>
        </references>
      </pivotArea>
    </chartFormat>
    <chartFormat chart="0" format="454">
      <pivotArea type="data" outline="0" fieldPosition="0">
        <references count="3">
          <reference field="4294967294" count="1" selected="0">
            <x v="2"/>
          </reference>
          <reference field="0" count="1" selected="0">
            <x v="5"/>
          </reference>
          <reference field="1" count="1" selected="0">
            <x v="13"/>
          </reference>
        </references>
      </pivotArea>
    </chartFormat>
    <chartFormat chart="0" format="455">
      <pivotArea type="data" outline="0" fieldPosition="0">
        <references count="3">
          <reference field="4294967294" count="1" selected="0">
            <x v="2"/>
          </reference>
          <reference field="0" count="1" selected="0">
            <x v="5"/>
          </reference>
          <reference field="1" count="1" selected="0">
            <x v="14"/>
          </reference>
        </references>
      </pivotArea>
    </chartFormat>
    <chartFormat chart="0" format="456">
      <pivotArea type="data" outline="0" fieldPosition="0">
        <references count="3">
          <reference field="4294967294" count="1" selected="0">
            <x v="2"/>
          </reference>
          <reference field="0" count="1" selected="0">
            <x v="5"/>
          </reference>
          <reference field="1" count="1" selected="0">
            <x v="15"/>
          </reference>
        </references>
      </pivotArea>
    </chartFormat>
    <chartFormat chart="0" format="457">
      <pivotArea type="data" outline="0" fieldPosition="0">
        <references count="3">
          <reference field="4294967294" count="1" selected="0">
            <x v="2"/>
          </reference>
          <reference field="0" count="1" selected="0">
            <x v="5"/>
          </reference>
          <reference field="1" count="1" selected="0">
            <x v="16"/>
          </reference>
        </references>
      </pivotArea>
    </chartFormat>
    <chartFormat chart="0" format="458">
      <pivotArea type="data" outline="0" fieldPosition="0">
        <references count="3">
          <reference field="4294967294" count="1" selected="0">
            <x v="2"/>
          </reference>
          <reference field="0" count="1" selected="0">
            <x v="5"/>
          </reference>
          <reference field="1" count="1" selected="0">
            <x v="17"/>
          </reference>
        </references>
      </pivotArea>
    </chartFormat>
    <chartFormat chart="0" format="459">
      <pivotArea type="data" outline="0" fieldPosition="0">
        <references count="3">
          <reference field="4294967294" count="1" selected="0">
            <x v="2"/>
          </reference>
          <reference field="0" count="1" selected="0">
            <x v="5"/>
          </reference>
          <reference field="1" count="1" selected="0">
            <x v="18"/>
          </reference>
        </references>
      </pivotArea>
    </chartFormat>
    <chartFormat chart="0" format="460">
      <pivotArea type="data" outline="0" fieldPosition="0">
        <references count="3">
          <reference field="4294967294" count="1" selected="0">
            <x v="2"/>
          </reference>
          <reference field="0" count="1" selected="0">
            <x v="5"/>
          </reference>
          <reference field="1" count="1" selected="0">
            <x v="19"/>
          </reference>
        </references>
      </pivotArea>
    </chartFormat>
    <chartFormat chart="0" format="461">
      <pivotArea type="data" outline="0" fieldPosition="0">
        <references count="3">
          <reference field="4294967294" count="1" selected="0">
            <x v="2"/>
          </reference>
          <reference field="0" count="1" selected="0">
            <x v="5"/>
          </reference>
          <reference field="1" count="1" selected="0">
            <x v="20"/>
          </reference>
        </references>
      </pivotArea>
    </chartFormat>
    <chartFormat chart="0" format="462">
      <pivotArea type="data" outline="0" fieldPosition="0">
        <references count="3">
          <reference field="4294967294" count="1" selected="0">
            <x v="2"/>
          </reference>
          <reference field="0" count="1" selected="0">
            <x v="5"/>
          </reference>
          <reference field="1" count="1" selected="0">
            <x v="21"/>
          </reference>
        </references>
      </pivotArea>
    </chartFormat>
    <chartFormat chart="0" format="463">
      <pivotArea type="data" outline="0" fieldPosition="0">
        <references count="3">
          <reference field="4294967294" count="1" selected="0">
            <x v="2"/>
          </reference>
          <reference field="0" count="1" selected="0">
            <x v="5"/>
          </reference>
          <reference field="1" count="1" selected="0">
            <x v="23"/>
          </reference>
        </references>
      </pivotArea>
    </chartFormat>
    <chartFormat chart="0" format="464">
      <pivotArea type="data" outline="0" fieldPosition="0">
        <references count="3">
          <reference field="4294967294" count="1" selected="0">
            <x v="2"/>
          </reference>
          <reference field="0" count="1" selected="0">
            <x v="5"/>
          </reference>
          <reference field="1" count="1" selected="0">
            <x v="25"/>
          </reference>
        </references>
      </pivotArea>
    </chartFormat>
    <chartFormat chart="0" format="465">
      <pivotArea type="data" outline="0" fieldPosition="0">
        <references count="3">
          <reference field="4294967294" count="1" selected="0">
            <x v="2"/>
          </reference>
          <reference field="0" count="1" selected="0">
            <x v="5"/>
          </reference>
          <reference field="1" count="1" selected="0">
            <x v="27"/>
          </reference>
        </references>
      </pivotArea>
    </chartFormat>
    <chartFormat chart="0" format="466">
      <pivotArea type="data" outline="0" fieldPosition="0">
        <references count="3">
          <reference field="4294967294" count="1" selected="0">
            <x v="2"/>
          </reference>
          <reference field="0" count="1" selected="0">
            <x v="5"/>
          </reference>
          <reference field="1" count="1" selected="0">
            <x v="31"/>
          </reference>
        </references>
      </pivotArea>
    </chartFormat>
    <chartFormat chart="0" format="467">
      <pivotArea type="data" outline="0" fieldPosition="0">
        <references count="3">
          <reference field="4294967294" count="1" selected="0">
            <x v="0"/>
          </reference>
          <reference field="0" count="1" selected="0">
            <x v="5"/>
          </reference>
          <reference field="1" count="1" selected="0">
            <x v="33"/>
          </reference>
        </references>
      </pivotArea>
    </chartFormat>
    <chartFormat chart="0" format="468">
      <pivotArea type="data" outline="0" fieldPosition="0">
        <references count="3">
          <reference field="4294967294" count="1" selected="0">
            <x v="0"/>
          </reference>
          <reference field="0" count="1" selected="0">
            <x v="5"/>
          </reference>
          <reference field="1" count="1" selected="0">
            <x v="35"/>
          </reference>
        </references>
      </pivotArea>
    </chartFormat>
    <chartFormat chart="0" format="469">
      <pivotArea type="data" outline="0" fieldPosition="0">
        <references count="3">
          <reference field="4294967294" count="1" selected="0">
            <x v="2"/>
          </reference>
          <reference field="0" count="1" selected="0">
            <x v="5"/>
          </reference>
          <reference field="1" count="1" selected="0">
            <x v="33"/>
          </reference>
        </references>
      </pivotArea>
    </chartFormat>
    <chartFormat chart="0" format="470">
      <pivotArea type="data" outline="0" fieldPosition="0">
        <references count="3">
          <reference field="4294967294" count="1" selected="0">
            <x v="2"/>
          </reference>
          <reference field="0" count="1" selected="0">
            <x v="5"/>
          </reference>
          <reference field="1" count="1" selected="0">
            <x v="35"/>
          </reference>
        </references>
      </pivotArea>
    </chartFormat>
    <chartFormat chart="0" format="471">
      <pivotArea type="data" outline="0" fieldPosition="0">
        <references count="3">
          <reference field="4294967294" count="1" selected="0">
            <x v="0"/>
          </reference>
          <reference field="0" count="1" selected="0">
            <x v="5"/>
          </reference>
          <reference field="1" count="1" selected="0">
            <x v="37"/>
          </reference>
        </references>
      </pivotArea>
    </chartFormat>
    <chartFormat chart="0" format="472">
      <pivotArea type="data" outline="0" fieldPosition="0">
        <references count="3">
          <reference field="4294967294" count="1" selected="0">
            <x v="0"/>
          </reference>
          <reference field="0" count="1" selected="0">
            <x v="5"/>
          </reference>
          <reference field="1" count="1" selected="0">
            <x v="39"/>
          </reference>
        </references>
      </pivotArea>
    </chartFormat>
    <chartFormat chart="0" format="473">
      <pivotArea type="data" outline="0" fieldPosition="0">
        <references count="3">
          <reference field="4294967294" count="1" selected="0">
            <x v="0"/>
          </reference>
          <reference field="0" count="1" selected="0">
            <x v="5"/>
          </reference>
          <reference field="1" count="1" selected="0">
            <x v="41"/>
          </reference>
        </references>
      </pivotArea>
    </chartFormat>
    <chartFormat chart="0" format="474">
      <pivotArea type="data" outline="0" fieldPosition="0">
        <references count="3">
          <reference field="4294967294" count="1" selected="0">
            <x v="0"/>
          </reference>
          <reference field="0" count="1" selected="0">
            <x v="5"/>
          </reference>
          <reference field="1" count="1" selected="0">
            <x v="43"/>
          </reference>
        </references>
      </pivotArea>
    </chartFormat>
    <chartFormat chart="0" format="475">
      <pivotArea type="data" outline="0" fieldPosition="0">
        <references count="3">
          <reference field="4294967294" count="1" selected="0">
            <x v="0"/>
          </reference>
          <reference field="0" count="1" selected="0">
            <x v="5"/>
          </reference>
          <reference field="1" count="1" selected="0">
            <x v="45"/>
          </reference>
        </references>
      </pivotArea>
    </chartFormat>
    <chartFormat chart="0" format="476">
      <pivotArea type="data" outline="0" fieldPosition="0">
        <references count="3">
          <reference field="4294967294" count="1" selected="0">
            <x v="0"/>
          </reference>
          <reference field="0" count="1" selected="0">
            <x v="5"/>
          </reference>
          <reference field="1" count="1" selected="0">
            <x v="47"/>
          </reference>
        </references>
      </pivotArea>
    </chartFormat>
    <chartFormat chart="0" format="477">
      <pivotArea type="data" outline="0" fieldPosition="0">
        <references count="3">
          <reference field="4294967294" count="1" selected="0">
            <x v="0"/>
          </reference>
          <reference field="0" count="1" selected="0">
            <x v="5"/>
          </reference>
          <reference field="1" count="1" selected="0">
            <x v="49"/>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3"/>
          </reference>
        </references>
      </pivotArea>
    </chartFormat>
    <chartFormat chart="0" format="480">
      <pivotArea type="data" outline="0" fieldPosition="0">
        <references count="3">
          <reference field="4294967294" count="1" selected="0">
            <x v="0"/>
          </reference>
          <reference field="0" count="1" selected="0">
            <x v="5"/>
          </reference>
          <reference field="1" count="1" selected="0">
            <x v="55"/>
          </reference>
        </references>
      </pivotArea>
    </chartFormat>
    <chartFormat chart="0" format="481">
      <pivotArea type="data" outline="0" fieldPosition="0">
        <references count="3">
          <reference field="4294967294" count="1" selected="0">
            <x v="0"/>
          </reference>
          <reference field="0" count="1" selected="0">
            <x v="5"/>
          </reference>
          <reference field="1" count="1" selected="0">
            <x v="57"/>
          </reference>
        </references>
      </pivotArea>
    </chartFormat>
    <chartFormat chart="0" format="482">
      <pivotArea type="data" outline="0" fieldPosition="0">
        <references count="3">
          <reference field="4294967294" count="1" selected="0">
            <x v="0"/>
          </reference>
          <reference field="0" count="1" selected="0">
            <x v="5"/>
          </reference>
          <reference field="1" count="1" selected="0">
            <x v="59"/>
          </reference>
        </references>
      </pivotArea>
    </chartFormat>
    <chartFormat chart="0" format="483">
      <pivotArea type="data" outline="0" fieldPosition="0">
        <references count="3">
          <reference field="4294967294" count="1" selected="0">
            <x v="0"/>
          </reference>
          <reference field="0" count="1" selected="0">
            <x v="5"/>
          </reference>
          <reference field="1" count="1" selected="0">
            <x v="61"/>
          </reference>
        </references>
      </pivotArea>
    </chartFormat>
    <chartFormat chart="0" format="484">
      <pivotArea type="data" outline="0" fieldPosition="0">
        <references count="3">
          <reference field="4294967294" count="1" selected="0">
            <x v="0"/>
          </reference>
          <reference field="0" count="1" selected="0">
            <x v="5"/>
          </reference>
          <reference field="1" count="1" selected="0">
            <x v="63"/>
          </reference>
        </references>
      </pivotArea>
    </chartFormat>
    <chartFormat chart="0" format="485">
      <pivotArea type="data" outline="0" fieldPosition="0">
        <references count="3">
          <reference field="4294967294" count="1" selected="0">
            <x v="2"/>
          </reference>
          <reference field="0" count="1" selected="0">
            <x v="5"/>
          </reference>
          <reference field="1" count="1" selected="0">
            <x v="37"/>
          </reference>
        </references>
      </pivotArea>
    </chartFormat>
    <chartFormat chart="0" format="486">
      <pivotArea type="data" outline="0" fieldPosition="0">
        <references count="3">
          <reference field="4294967294" count="1" selected="0">
            <x v="2"/>
          </reference>
          <reference field="0" count="1" selected="0">
            <x v="5"/>
          </reference>
          <reference field="1" count="1" selected="0">
            <x v="39"/>
          </reference>
        </references>
      </pivotArea>
    </chartFormat>
    <chartFormat chart="0" format="487">
      <pivotArea type="data" outline="0" fieldPosition="0">
        <references count="3">
          <reference field="4294967294" count="1" selected="0">
            <x v="2"/>
          </reference>
          <reference field="0" count="1" selected="0">
            <x v="5"/>
          </reference>
          <reference field="1" count="1" selected="0">
            <x v="41"/>
          </reference>
        </references>
      </pivotArea>
    </chartFormat>
    <chartFormat chart="0" format="488">
      <pivotArea type="data" outline="0" fieldPosition="0">
        <references count="3">
          <reference field="4294967294" count="1" selected="0">
            <x v="2"/>
          </reference>
          <reference field="0" count="1" selected="0">
            <x v="5"/>
          </reference>
          <reference field="1" count="1" selected="0">
            <x v="43"/>
          </reference>
        </references>
      </pivotArea>
    </chartFormat>
    <chartFormat chart="0" format="489">
      <pivotArea type="data" outline="0" fieldPosition="0">
        <references count="3">
          <reference field="4294967294" count="1" selected="0">
            <x v="2"/>
          </reference>
          <reference field="0" count="1" selected="0">
            <x v="5"/>
          </reference>
          <reference field="1" count="1" selected="0">
            <x v="45"/>
          </reference>
        </references>
      </pivotArea>
    </chartFormat>
    <chartFormat chart="0" format="490">
      <pivotArea type="data" outline="0" fieldPosition="0">
        <references count="3">
          <reference field="4294967294" count="1" selected="0">
            <x v="2"/>
          </reference>
          <reference field="0" count="1" selected="0">
            <x v="5"/>
          </reference>
          <reference field="1" count="1" selected="0">
            <x v="47"/>
          </reference>
        </references>
      </pivotArea>
    </chartFormat>
    <chartFormat chart="0" format="491">
      <pivotArea type="data" outline="0" fieldPosition="0">
        <references count="3">
          <reference field="4294967294" count="1" selected="0">
            <x v="2"/>
          </reference>
          <reference field="0" count="1" selected="0">
            <x v="5"/>
          </reference>
          <reference field="1" count="1" selected="0">
            <x v="49"/>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3"/>
          </reference>
        </references>
      </pivotArea>
    </chartFormat>
    <chartFormat chart="0" format="494">
      <pivotArea type="data" outline="0" fieldPosition="0">
        <references count="3">
          <reference field="4294967294" count="1" selected="0">
            <x v="2"/>
          </reference>
          <reference field="0" count="1" selected="0">
            <x v="5"/>
          </reference>
          <reference field="1" count="1" selected="0">
            <x v="55"/>
          </reference>
        </references>
      </pivotArea>
    </chartFormat>
    <chartFormat chart="0" format="495">
      <pivotArea type="data" outline="0" fieldPosition="0">
        <references count="3">
          <reference field="4294967294" count="1" selected="0">
            <x v="2"/>
          </reference>
          <reference field="0" count="1" selected="0">
            <x v="5"/>
          </reference>
          <reference field="1" count="1" selected="0">
            <x v="57"/>
          </reference>
        </references>
      </pivotArea>
    </chartFormat>
    <chartFormat chart="0" format="496">
      <pivotArea type="data" outline="0" fieldPosition="0">
        <references count="3">
          <reference field="4294967294" count="1" selected="0">
            <x v="2"/>
          </reference>
          <reference field="0" count="1" selected="0">
            <x v="5"/>
          </reference>
          <reference field="1" count="1" selected="0">
            <x v="59"/>
          </reference>
        </references>
      </pivotArea>
    </chartFormat>
    <chartFormat chart="0" format="497">
      <pivotArea type="data" outline="0" fieldPosition="0">
        <references count="3">
          <reference field="4294967294" count="1" selected="0">
            <x v="2"/>
          </reference>
          <reference field="0" count="1" selected="0">
            <x v="5"/>
          </reference>
          <reference field="1" count="1" selected="0">
            <x v="61"/>
          </reference>
        </references>
      </pivotArea>
    </chartFormat>
    <chartFormat chart="0" format="498">
      <pivotArea type="data" outline="0" fieldPosition="0">
        <references count="3">
          <reference field="4294967294" count="1" selected="0">
            <x v="2"/>
          </reference>
          <reference field="0" count="1" selected="0">
            <x v="5"/>
          </reference>
          <reference field="1" count="1" selected="0">
            <x v="63"/>
          </reference>
        </references>
      </pivotArea>
    </chartFormat>
    <chartFormat chart="0" format="499">
      <pivotArea type="data" outline="0" fieldPosition="0">
        <references count="3">
          <reference field="4294967294" count="1" selected="0">
            <x v="0"/>
          </reference>
          <reference field="0" count="1" selected="0">
            <x v="5"/>
          </reference>
          <reference field="1" count="1" selected="0">
            <x v="65"/>
          </reference>
        </references>
      </pivotArea>
    </chartFormat>
    <chartFormat chart="0" format="500">
      <pivotArea type="data" outline="0" fieldPosition="0">
        <references count="3">
          <reference field="4294967294" count="1" selected="0">
            <x v="0"/>
          </reference>
          <reference field="0" count="1" selected="0">
            <x v="5"/>
          </reference>
          <reference field="1" count="1" selected="0">
            <x v="67"/>
          </reference>
        </references>
      </pivotArea>
    </chartFormat>
    <chartFormat chart="0" format="501">
      <pivotArea type="data" outline="0" fieldPosition="0">
        <references count="3">
          <reference field="4294967294" count="1" selected="0">
            <x v="0"/>
          </reference>
          <reference field="0" count="1" selected="0">
            <x v="5"/>
          </reference>
          <reference field="1" count="1" selected="0">
            <x v="69"/>
          </reference>
        </references>
      </pivotArea>
    </chartFormat>
    <chartFormat chart="0" format="502">
      <pivotArea type="data" outline="0" fieldPosition="0">
        <references count="3">
          <reference field="4294967294" count="1" selected="0">
            <x v="0"/>
          </reference>
          <reference field="0" count="1" selected="0">
            <x v="5"/>
          </reference>
          <reference field="1" count="1" selected="0">
            <x v="70"/>
          </reference>
        </references>
      </pivotArea>
    </chartFormat>
    <chartFormat chart="0" format="503">
      <pivotArea type="data" outline="0" fieldPosition="0">
        <references count="3">
          <reference field="4294967294" count="1" selected="0">
            <x v="0"/>
          </reference>
          <reference field="0" count="1" selected="0">
            <x v="5"/>
          </reference>
          <reference field="1" count="1" selected="0">
            <x v="71"/>
          </reference>
        </references>
      </pivotArea>
    </chartFormat>
    <chartFormat chart="0" format="504">
      <pivotArea type="data" outline="0" fieldPosition="0">
        <references count="3">
          <reference field="4294967294" count="1" selected="0">
            <x v="0"/>
          </reference>
          <reference field="0" count="1" selected="0">
            <x v="5"/>
          </reference>
          <reference field="1" count="1" selected="0">
            <x v="73"/>
          </reference>
        </references>
      </pivotArea>
    </chartFormat>
    <chartFormat chart="0" format="505">
      <pivotArea type="data" outline="0" fieldPosition="0">
        <references count="3">
          <reference field="4294967294" count="1" selected="0">
            <x v="0"/>
          </reference>
          <reference field="0" count="1" selected="0">
            <x v="6"/>
          </reference>
          <reference field="1" count="1" selected="0">
            <x v="1"/>
          </reference>
        </references>
      </pivotArea>
    </chartFormat>
    <chartFormat chart="0" format="506">
      <pivotArea type="data" outline="0" fieldPosition="0">
        <references count="3">
          <reference field="4294967294" count="1" selected="0">
            <x v="0"/>
          </reference>
          <reference field="0" count="1" selected="0">
            <x v="6"/>
          </reference>
          <reference field="1" count="1" selected="0">
            <x v="2"/>
          </reference>
        </references>
      </pivotArea>
    </chartFormat>
    <chartFormat chart="0" format="507">
      <pivotArea type="data" outline="0" fieldPosition="0">
        <references count="3">
          <reference field="4294967294" count="1" selected="0">
            <x v="2"/>
          </reference>
          <reference field="0" count="1" selected="0">
            <x v="5"/>
          </reference>
          <reference field="1" count="1" selected="0">
            <x v="65"/>
          </reference>
        </references>
      </pivotArea>
    </chartFormat>
    <chartFormat chart="0" format="508">
      <pivotArea type="data" outline="0" fieldPosition="0">
        <references count="3">
          <reference field="4294967294" count="1" selected="0">
            <x v="2"/>
          </reference>
          <reference field="0" count="1" selected="0">
            <x v="5"/>
          </reference>
          <reference field="1" count="1" selected="0">
            <x v="67"/>
          </reference>
        </references>
      </pivotArea>
    </chartFormat>
    <chartFormat chart="0" format="509">
      <pivotArea type="data" outline="0" fieldPosition="0">
        <references count="3">
          <reference field="4294967294" count="1" selected="0">
            <x v="2"/>
          </reference>
          <reference field="0" count="1" selected="0">
            <x v="5"/>
          </reference>
          <reference field="1" count="1" selected="0">
            <x v="69"/>
          </reference>
        </references>
      </pivotArea>
    </chartFormat>
    <chartFormat chart="0" format="510">
      <pivotArea type="data" outline="0" fieldPosition="0">
        <references count="3">
          <reference field="4294967294" count="1" selected="0">
            <x v="2"/>
          </reference>
          <reference field="0" count="1" selected="0">
            <x v="5"/>
          </reference>
          <reference field="1" count="1" selected="0">
            <x v="70"/>
          </reference>
        </references>
      </pivotArea>
    </chartFormat>
    <chartFormat chart="0" format="511">
      <pivotArea type="data" outline="0" fieldPosition="0">
        <references count="3">
          <reference field="4294967294" count="1" selected="0">
            <x v="2"/>
          </reference>
          <reference field="0" count="1" selected="0">
            <x v="5"/>
          </reference>
          <reference field="1" count="1" selected="0">
            <x v="71"/>
          </reference>
        </references>
      </pivotArea>
    </chartFormat>
    <chartFormat chart="0" format="512">
      <pivotArea type="data" outline="0" fieldPosition="0">
        <references count="3">
          <reference field="4294967294" count="1" selected="0">
            <x v="2"/>
          </reference>
          <reference field="0" count="1" selected="0">
            <x v="5"/>
          </reference>
          <reference field="1" count="1" selected="0">
            <x v="73"/>
          </reference>
        </references>
      </pivotArea>
    </chartFormat>
    <chartFormat chart="0" format="513">
      <pivotArea type="data" outline="0" fieldPosition="0">
        <references count="3">
          <reference field="4294967294" count="1" selected="0">
            <x v="2"/>
          </reference>
          <reference field="0" count="1" selected="0">
            <x v="6"/>
          </reference>
          <reference field="1" count="1" selected="0">
            <x v="1"/>
          </reference>
        </references>
      </pivotArea>
    </chartFormat>
    <chartFormat chart="0" format="514">
      <pivotArea type="data" outline="0" fieldPosition="0">
        <references count="3">
          <reference field="4294967294" count="1" selected="0">
            <x v="2"/>
          </reference>
          <reference field="0" count="1" selected="0">
            <x v="6"/>
          </reference>
          <reference field="1" count="1" selected="0">
            <x v="2"/>
          </reference>
        </references>
      </pivotArea>
    </chartFormat>
    <chartFormat chart="0" format="515">
      <pivotArea type="data" outline="0" fieldPosition="0">
        <references count="3">
          <reference field="4294967294" count="1" selected="0">
            <x v="0"/>
          </reference>
          <reference field="0" count="1" selected="0">
            <x v="6"/>
          </reference>
          <reference field="1" count="1" selected="0">
            <x v="3"/>
          </reference>
        </references>
      </pivotArea>
    </chartFormat>
    <chartFormat chart="0" format="516">
      <pivotArea type="data" outline="0" fieldPosition="0">
        <references count="3">
          <reference field="4294967294" count="1" selected="0">
            <x v="0"/>
          </reference>
          <reference field="0" count="1" selected="0">
            <x v="6"/>
          </reference>
          <reference field="1" count="1" selected="0">
            <x v="4"/>
          </reference>
        </references>
      </pivotArea>
    </chartFormat>
    <chartFormat chart="0" format="517">
      <pivotArea type="data" outline="0" fieldPosition="0">
        <references count="3">
          <reference field="4294967294" count="1" selected="0">
            <x v="0"/>
          </reference>
          <reference field="0" count="1" selected="0">
            <x v="6"/>
          </reference>
          <reference field="1" count="1" selected="0">
            <x v="5"/>
          </reference>
        </references>
      </pivotArea>
    </chartFormat>
    <chartFormat chart="0" format="518">
      <pivotArea type="data" outline="0" fieldPosition="0">
        <references count="3">
          <reference field="4294967294" count="1" selected="0">
            <x v="0"/>
          </reference>
          <reference field="0" count="1" selected="0">
            <x v="6"/>
          </reference>
          <reference field="1" count="1" selected="0">
            <x v="6"/>
          </reference>
        </references>
      </pivotArea>
    </chartFormat>
    <chartFormat chart="0" format="519">
      <pivotArea type="data" outline="0" fieldPosition="0">
        <references count="3">
          <reference field="4294967294" count="1" selected="0">
            <x v="2"/>
          </reference>
          <reference field="0" count="1" selected="0">
            <x v="6"/>
          </reference>
          <reference field="1" count="1" selected="0">
            <x v="3"/>
          </reference>
        </references>
      </pivotArea>
    </chartFormat>
    <chartFormat chart="0" format="520">
      <pivotArea type="data" outline="0" fieldPosition="0">
        <references count="3">
          <reference field="4294967294" count="1" selected="0">
            <x v="2"/>
          </reference>
          <reference field="0" count="1" selected="0">
            <x v="6"/>
          </reference>
          <reference field="1" count="1" selected="0">
            <x v="4"/>
          </reference>
        </references>
      </pivotArea>
    </chartFormat>
    <chartFormat chart="0" format="521">
      <pivotArea type="data" outline="0" fieldPosition="0">
        <references count="3">
          <reference field="4294967294" count="1" selected="0">
            <x v="2"/>
          </reference>
          <reference field="0" count="1" selected="0">
            <x v="6"/>
          </reference>
          <reference field="1" count="1" selected="0">
            <x v="5"/>
          </reference>
        </references>
      </pivotArea>
    </chartFormat>
    <chartFormat chart="0" format="522">
      <pivotArea type="data" outline="0" fieldPosition="0">
        <references count="3">
          <reference field="4294967294" count="1" selected="0">
            <x v="2"/>
          </reference>
          <reference field="0" count="1" selected="0">
            <x v="6"/>
          </reference>
          <reference field="1" count="1" selected="0">
            <x v="6"/>
          </reference>
        </references>
      </pivotArea>
    </chartFormat>
    <chartFormat chart="0" format="523">
      <pivotArea type="data" outline="0" fieldPosition="0">
        <references count="3">
          <reference field="4294967294" count="1" selected="0">
            <x v="0"/>
          </reference>
          <reference field="0" count="1" selected="0">
            <x v="6"/>
          </reference>
          <reference field="1" count="1" selected="0">
            <x v="7"/>
          </reference>
        </references>
      </pivotArea>
    </chartFormat>
    <chartFormat chart="0" format="524">
      <pivotArea type="data" outline="0" fieldPosition="0">
        <references count="3">
          <reference field="4294967294" count="1" selected="0">
            <x v="0"/>
          </reference>
          <reference field="0" count="1" selected="0">
            <x v="6"/>
          </reference>
          <reference field="1" count="1" selected="0">
            <x v="8"/>
          </reference>
        </references>
      </pivotArea>
    </chartFormat>
    <chartFormat chart="0" format="525">
      <pivotArea type="data" outline="0" fieldPosition="0">
        <references count="3">
          <reference field="4294967294" count="1" selected="0">
            <x v="2"/>
          </reference>
          <reference field="0" count="1" selected="0">
            <x v="6"/>
          </reference>
          <reference field="1" count="1" selected="0">
            <x v="7"/>
          </reference>
        </references>
      </pivotArea>
    </chartFormat>
    <chartFormat chart="0" format="526">
      <pivotArea type="data" outline="0" fieldPosition="0">
        <references count="3">
          <reference field="4294967294" count="1" selected="0">
            <x v="2"/>
          </reference>
          <reference field="0" count="1" selected="0">
            <x v="6"/>
          </reference>
          <reference field="1" count="1" selected="0">
            <x v="8"/>
          </reference>
        </references>
      </pivotArea>
    </chartFormat>
    <chartFormat chart="0" format="527">
      <pivotArea type="data" outline="0" fieldPosition="0">
        <references count="3">
          <reference field="4294967294" count="1" selected="0">
            <x v="0"/>
          </reference>
          <reference field="0" count="1" selected="0">
            <x v="6"/>
          </reference>
          <reference field="1" count="1" selected="0">
            <x v="9"/>
          </reference>
        </references>
      </pivotArea>
    </chartFormat>
    <chartFormat chart="0" format="528">
      <pivotArea type="data" outline="0" fieldPosition="0">
        <references count="3">
          <reference field="4294967294" count="1" selected="0">
            <x v="0"/>
          </reference>
          <reference field="0" count="1" selected="0">
            <x v="6"/>
          </reference>
          <reference field="1" count="1" selected="0">
            <x v="10"/>
          </reference>
        </references>
      </pivotArea>
    </chartFormat>
    <chartFormat chart="0" format="529">
      <pivotArea type="data" outline="0" fieldPosition="0">
        <references count="3">
          <reference field="4294967294" count="1" selected="0">
            <x v="2"/>
          </reference>
          <reference field="0" count="1" selected="0">
            <x v="6"/>
          </reference>
          <reference field="1" count="1" selected="0">
            <x v="9"/>
          </reference>
        </references>
      </pivotArea>
    </chartFormat>
    <chartFormat chart="0" format="530">
      <pivotArea type="data" outline="0" fieldPosition="0">
        <references count="3">
          <reference field="4294967294" count="1" selected="0">
            <x v="2"/>
          </reference>
          <reference field="0" count="1" selected="0">
            <x v="6"/>
          </reference>
          <reference field="1" count="1" selected="0">
            <x v="10"/>
          </reference>
        </references>
      </pivotArea>
    </chartFormat>
    <chartFormat chart="0" format="531">
      <pivotArea type="data" outline="0" fieldPosition="0">
        <references count="3">
          <reference field="4294967294" count="1" selected="0">
            <x v="0"/>
          </reference>
          <reference field="0" count="1" selected="0">
            <x v="6"/>
          </reference>
          <reference field="1" count="1" selected="0">
            <x v="11"/>
          </reference>
        </references>
      </pivotArea>
    </chartFormat>
    <chartFormat chart="0" format="532">
      <pivotArea type="data" outline="0" fieldPosition="0">
        <references count="3">
          <reference field="4294967294" count="1" selected="0">
            <x v="0"/>
          </reference>
          <reference field="0" count="1" selected="0">
            <x v="6"/>
          </reference>
          <reference field="1" count="1" selected="0">
            <x v="12"/>
          </reference>
        </references>
      </pivotArea>
    </chartFormat>
    <chartFormat chart="0" format="533">
      <pivotArea type="data" outline="0" fieldPosition="0">
        <references count="3">
          <reference field="4294967294" count="1" selected="0">
            <x v="0"/>
          </reference>
          <reference field="0" count="1" selected="0">
            <x v="6"/>
          </reference>
          <reference field="1" count="1" selected="0">
            <x v="13"/>
          </reference>
        </references>
      </pivotArea>
    </chartFormat>
    <chartFormat chart="0" format="534">
      <pivotArea type="data" outline="0" fieldPosition="0">
        <references count="3">
          <reference field="4294967294" count="1" selected="0">
            <x v="0"/>
          </reference>
          <reference field="0" count="1" selected="0">
            <x v="6"/>
          </reference>
          <reference field="1" count="1" selected="0">
            <x v="14"/>
          </reference>
        </references>
      </pivotArea>
    </chartFormat>
    <chartFormat chart="0" format="535">
      <pivotArea type="data" outline="0" fieldPosition="0">
        <references count="3">
          <reference field="4294967294" count="1" selected="0">
            <x v="0"/>
          </reference>
          <reference field="0" count="1" selected="0">
            <x v="6"/>
          </reference>
          <reference field="1" count="1" selected="0">
            <x v="15"/>
          </reference>
        </references>
      </pivotArea>
    </chartFormat>
    <chartFormat chart="0" format="536">
      <pivotArea type="data" outline="0" fieldPosition="0">
        <references count="3">
          <reference field="4294967294" count="1" selected="0">
            <x v="0"/>
          </reference>
          <reference field="0" count="1" selected="0">
            <x v="6"/>
          </reference>
          <reference field="1" count="1" selected="0">
            <x v="16"/>
          </reference>
        </references>
      </pivotArea>
    </chartFormat>
    <chartFormat chart="0" format="537">
      <pivotArea type="data" outline="0" fieldPosition="0">
        <references count="3">
          <reference field="4294967294" count="1" selected="0">
            <x v="0"/>
          </reference>
          <reference field="0" count="1" selected="0">
            <x v="6"/>
          </reference>
          <reference field="1" count="1" selected="0">
            <x v="17"/>
          </reference>
        </references>
      </pivotArea>
    </chartFormat>
    <chartFormat chart="0" format="538">
      <pivotArea type="data" outline="0" fieldPosition="0">
        <references count="3">
          <reference field="4294967294" count="1" selected="0">
            <x v="0"/>
          </reference>
          <reference field="0" count="1" selected="0">
            <x v="6"/>
          </reference>
          <reference field="1" count="1" selected="0">
            <x v="18"/>
          </reference>
        </references>
      </pivotArea>
    </chartFormat>
    <chartFormat chart="0" format="539">
      <pivotArea type="data" outline="0" fieldPosition="0">
        <references count="3">
          <reference field="4294967294" count="1" selected="0">
            <x v="0"/>
          </reference>
          <reference field="0" count="1" selected="0">
            <x v="6"/>
          </reference>
          <reference field="1" count="1" selected="0">
            <x v="19"/>
          </reference>
        </references>
      </pivotArea>
    </chartFormat>
    <chartFormat chart="0" format="540">
      <pivotArea type="data" outline="0" fieldPosition="0">
        <references count="3">
          <reference field="4294967294" count="1" selected="0">
            <x v="0"/>
          </reference>
          <reference field="0" count="1" selected="0">
            <x v="6"/>
          </reference>
          <reference field="1" count="1" selected="0">
            <x v="20"/>
          </reference>
        </references>
      </pivotArea>
    </chartFormat>
    <chartFormat chart="0" format="541">
      <pivotArea type="data" outline="0" fieldPosition="0">
        <references count="3">
          <reference field="4294967294" count="1" selected="0">
            <x v="0"/>
          </reference>
          <reference field="0" count="1" selected="0">
            <x v="6"/>
          </reference>
          <reference field="1" count="1" selected="0">
            <x v="21"/>
          </reference>
        </references>
      </pivotArea>
    </chartFormat>
    <chartFormat chart="0" format="542">
      <pivotArea type="data" outline="0" fieldPosition="0">
        <references count="3">
          <reference field="4294967294" count="1" selected="0">
            <x v="0"/>
          </reference>
          <reference field="0" count="1" selected="0">
            <x v="6"/>
          </reference>
          <reference field="1" count="1" selected="0">
            <x v="23"/>
          </reference>
        </references>
      </pivotArea>
    </chartFormat>
    <chartFormat chart="0" format="543">
      <pivotArea type="data" outline="0" fieldPosition="0">
        <references count="3">
          <reference field="4294967294" count="1" selected="0">
            <x v="0"/>
          </reference>
          <reference field="0" count="1" selected="0">
            <x v="6"/>
          </reference>
          <reference field="1" count="1" selected="0">
            <x v="25"/>
          </reference>
        </references>
      </pivotArea>
    </chartFormat>
    <chartFormat chart="0" format="544">
      <pivotArea type="data" outline="0" fieldPosition="0">
        <references count="3">
          <reference field="4294967294" count="1" selected="0">
            <x v="0"/>
          </reference>
          <reference field="0" count="1" selected="0">
            <x v="6"/>
          </reference>
          <reference field="1" count="1" selected="0">
            <x v="27"/>
          </reference>
        </references>
      </pivotArea>
    </chartFormat>
    <chartFormat chart="0" format="545">
      <pivotArea type="data" outline="0" fieldPosition="0">
        <references count="3">
          <reference field="4294967294" count="1" selected="0">
            <x v="0"/>
          </reference>
          <reference field="0" count="1" selected="0">
            <x v="6"/>
          </reference>
          <reference field="1" count="1" selected="0">
            <x v="29"/>
          </reference>
        </references>
      </pivotArea>
    </chartFormat>
    <chartFormat chart="0" format="546">
      <pivotArea type="data" outline="0" fieldPosition="0">
        <references count="3">
          <reference field="4294967294" count="1" selected="0">
            <x v="0"/>
          </reference>
          <reference field="0" count="1" selected="0">
            <x v="6"/>
          </reference>
          <reference field="1" count="1" selected="0">
            <x v="31"/>
          </reference>
        </references>
      </pivotArea>
    </chartFormat>
    <chartFormat chart="0" format="547">
      <pivotArea type="data" outline="0" fieldPosition="0">
        <references count="3">
          <reference field="4294967294" count="1" selected="0">
            <x v="0"/>
          </reference>
          <reference field="0" count="1" selected="0">
            <x v="6"/>
          </reference>
          <reference field="1" count="1" selected="0">
            <x v="33"/>
          </reference>
        </references>
      </pivotArea>
    </chartFormat>
    <chartFormat chart="0" format="548">
      <pivotArea type="data" outline="0" fieldPosition="0">
        <references count="3">
          <reference field="4294967294" count="1" selected="0">
            <x v="0"/>
          </reference>
          <reference field="0" count="1" selected="0">
            <x v="6"/>
          </reference>
          <reference field="1" count="1" selected="0">
            <x v="35"/>
          </reference>
        </references>
      </pivotArea>
    </chartFormat>
    <chartFormat chart="0" format="549">
      <pivotArea type="data" outline="0" fieldPosition="0">
        <references count="3">
          <reference field="4294967294" count="1" selected="0">
            <x v="0"/>
          </reference>
          <reference field="0" count="1" selected="0">
            <x v="6"/>
          </reference>
          <reference field="1" count="1" selected="0">
            <x v="37"/>
          </reference>
        </references>
      </pivotArea>
    </chartFormat>
    <chartFormat chart="0" format="550">
      <pivotArea type="data" outline="0" fieldPosition="0">
        <references count="3">
          <reference field="4294967294" count="1" selected="0">
            <x v="0"/>
          </reference>
          <reference field="0" count="1" selected="0">
            <x v="6"/>
          </reference>
          <reference field="1" count="1" selected="0">
            <x v="39"/>
          </reference>
        </references>
      </pivotArea>
    </chartFormat>
    <chartFormat chart="0" format="551">
      <pivotArea type="data" outline="0" fieldPosition="0">
        <references count="3">
          <reference field="4294967294" count="1" selected="0">
            <x v="0"/>
          </reference>
          <reference field="0" count="1" selected="0">
            <x v="6"/>
          </reference>
          <reference field="1" count="1" selected="0">
            <x v="41"/>
          </reference>
        </references>
      </pivotArea>
    </chartFormat>
    <chartFormat chart="0" format="552">
      <pivotArea type="data" outline="0" fieldPosition="0">
        <references count="3">
          <reference field="4294967294" count="1" selected="0">
            <x v="0"/>
          </reference>
          <reference field="0" count="1" selected="0">
            <x v="6"/>
          </reference>
          <reference field="1" count="1" selected="0">
            <x v="43"/>
          </reference>
        </references>
      </pivotArea>
    </chartFormat>
    <chartFormat chart="0" format="553">
      <pivotArea type="data" outline="0" fieldPosition="0">
        <references count="3">
          <reference field="4294967294" count="1" selected="0">
            <x v="0"/>
          </reference>
          <reference field="0" count="1" selected="0">
            <x v="6"/>
          </reference>
          <reference field="1" count="1" selected="0">
            <x v="45"/>
          </reference>
        </references>
      </pivotArea>
    </chartFormat>
    <chartFormat chart="0" format="554">
      <pivotArea type="data" outline="0" fieldPosition="0">
        <references count="3">
          <reference field="4294967294" count="1" selected="0">
            <x v="0"/>
          </reference>
          <reference field="0" count="1" selected="0">
            <x v="6"/>
          </reference>
          <reference field="1" count="1" selected="0">
            <x v="47"/>
          </reference>
        </references>
      </pivotArea>
    </chartFormat>
    <chartFormat chart="0" format="555">
      <pivotArea type="data" outline="0" fieldPosition="0">
        <references count="3">
          <reference field="4294967294" count="1" selected="0">
            <x v="0"/>
          </reference>
          <reference field="0" count="1" selected="0">
            <x v="6"/>
          </reference>
          <reference field="1" count="1" selected="0">
            <x v="49"/>
          </reference>
        </references>
      </pivotArea>
    </chartFormat>
    <chartFormat chart="0" format="556">
      <pivotArea type="data" outline="0" fieldPosition="0">
        <references count="3">
          <reference field="4294967294" count="1" selected="0">
            <x v="0"/>
          </reference>
          <reference field="0" count="1" selected="0">
            <x v="6"/>
          </reference>
          <reference field="1" count="1" selected="0">
            <x v="51"/>
          </reference>
        </references>
      </pivotArea>
    </chartFormat>
    <chartFormat chart="0" format="557">
      <pivotArea type="data" outline="0" fieldPosition="0">
        <references count="3">
          <reference field="4294967294" count="1" selected="0">
            <x v="0"/>
          </reference>
          <reference field="0" count="1" selected="0">
            <x v="6"/>
          </reference>
          <reference field="1" count="1" selected="0">
            <x v="53"/>
          </reference>
        </references>
      </pivotArea>
    </chartFormat>
    <chartFormat chart="0" format="558">
      <pivotArea type="data" outline="0" fieldPosition="0">
        <references count="3">
          <reference field="4294967294" count="1" selected="0">
            <x v="0"/>
          </reference>
          <reference field="0" count="1" selected="0">
            <x v="6"/>
          </reference>
          <reference field="1" count="1" selected="0">
            <x v="55"/>
          </reference>
        </references>
      </pivotArea>
    </chartFormat>
    <chartFormat chart="0" format="559">
      <pivotArea type="data" outline="0" fieldPosition="0">
        <references count="3">
          <reference field="4294967294" count="1" selected="0">
            <x v="0"/>
          </reference>
          <reference field="0" count="1" selected="0">
            <x v="6"/>
          </reference>
          <reference field="1" count="1" selected="0">
            <x v="57"/>
          </reference>
        </references>
      </pivotArea>
    </chartFormat>
    <chartFormat chart="0" format="560">
      <pivotArea type="data" outline="0" fieldPosition="0">
        <references count="3">
          <reference field="4294967294" count="1" selected="0">
            <x v="0"/>
          </reference>
          <reference field="0" count="1" selected="0">
            <x v="6"/>
          </reference>
          <reference field="1" count="1" selected="0">
            <x v="59"/>
          </reference>
        </references>
      </pivotArea>
    </chartFormat>
    <chartFormat chart="0" format="561">
      <pivotArea type="data" outline="0" fieldPosition="0">
        <references count="3">
          <reference field="4294967294" count="1" selected="0">
            <x v="0"/>
          </reference>
          <reference field="0" count="1" selected="0">
            <x v="6"/>
          </reference>
          <reference field="1" count="1" selected="0">
            <x v="61"/>
          </reference>
        </references>
      </pivotArea>
    </chartFormat>
    <chartFormat chart="0" format="562">
      <pivotArea type="data" outline="0" fieldPosition="0">
        <references count="3">
          <reference field="4294967294" count="1" selected="0">
            <x v="0"/>
          </reference>
          <reference field="0" count="1" selected="0">
            <x v="6"/>
          </reference>
          <reference field="1" count="1" selected="0">
            <x v="63"/>
          </reference>
        </references>
      </pivotArea>
    </chartFormat>
    <chartFormat chart="0" format="563">
      <pivotArea type="data" outline="0" fieldPosition="0">
        <references count="3">
          <reference field="4294967294" count="1" selected="0">
            <x v="0"/>
          </reference>
          <reference field="0" count="1" selected="0">
            <x v="6"/>
          </reference>
          <reference field="1" count="1" selected="0">
            <x v="65"/>
          </reference>
        </references>
      </pivotArea>
    </chartFormat>
    <chartFormat chart="0" format="564">
      <pivotArea type="data" outline="0" fieldPosition="0">
        <references count="3">
          <reference field="4294967294" count="1" selected="0">
            <x v="0"/>
          </reference>
          <reference field="0" count="1" selected="0">
            <x v="6"/>
          </reference>
          <reference field="1" count="1" selected="0">
            <x v="67"/>
          </reference>
        </references>
      </pivotArea>
    </chartFormat>
    <chartFormat chart="0" format="565">
      <pivotArea type="data" outline="0" fieldPosition="0">
        <references count="3">
          <reference field="4294967294" count="1" selected="0">
            <x v="0"/>
          </reference>
          <reference field="0" count="1" selected="0">
            <x v="6"/>
          </reference>
          <reference field="1" count="1" selected="0">
            <x v="69"/>
          </reference>
        </references>
      </pivotArea>
    </chartFormat>
    <chartFormat chart="0" format="566">
      <pivotArea type="data" outline="0" fieldPosition="0">
        <references count="3">
          <reference field="4294967294" count="1" selected="0">
            <x v="0"/>
          </reference>
          <reference field="0" count="1" selected="0">
            <x v="6"/>
          </reference>
          <reference field="1" count="1" selected="0">
            <x v="70"/>
          </reference>
        </references>
      </pivotArea>
    </chartFormat>
    <chartFormat chart="0" format="567">
      <pivotArea type="data" outline="0" fieldPosition="0">
        <references count="3">
          <reference field="4294967294" count="1" selected="0">
            <x v="0"/>
          </reference>
          <reference field="0" count="1" selected="0">
            <x v="6"/>
          </reference>
          <reference field="1" count="1" selected="0">
            <x v="71"/>
          </reference>
        </references>
      </pivotArea>
    </chartFormat>
    <chartFormat chart="0" format="568">
      <pivotArea type="data" outline="0" fieldPosition="0">
        <references count="3">
          <reference field="4294967294" count="1" selected="0">
            <x v="0"/>
          </reference>
          <reference field="0" count="1" selected="0">
            <x v="6"/>
          </reference>
          <reference field="1" count="1" selected="0">
            <x v="73"/>
          </reference>
        </references>
      </pivotArea>
    </chartFormat>
    <chartFormat chart="0" format="569">
      <pivotArea type="data" outline="0" fieldPosition="0">
        <references count="3">
          <reference field="4294967294" count="1" selected="0">
            <x v="0"/>
          </reference>
          <reference field="0" count="1" selected="0">
            <x v="7"/>
          </reference>
          <reference field="1" count="1" selected="0">
            <x v="1"/>
          </reference>
        </references>
      </pivotArea>
    </chartFormat>
    <chartFormat chart="0" format="570">
      <pivotArea type="data" outline="0" fieldPosition="0">
        <references count="3">
          <reference field="4294967294" count="1" selected="0">
            <x v="0"/>
          </reference>
          <reference field="0" count="1" selected="0">
            <x v="7"/>
          </reference>
          <reference field="1" count="1" selected="0">
            <x v="2"/>
          </reference>
        </references>
      </pivotArea>
    </chartFormat>
    <chartFormat chart="0" format="571">
      <pivotArea type="data" outline="0" fieldPosition="0">
        <references count="3">
          <reference field="4294967294" count="1" selected="0">
            <x v="0"/>
          </reference>
          <reference field="0" count="1" selected="0">
            <x v="7"/>
          </reference>
          <reference field="1" count="1" selected="0">
            <x v="3"/>
          </reference>
        </references>
      </pivotArea>
    </chartFormat>
    <chartFormat chart="0" format="572">
      <pivotArea type="data" outline="0" fieldPosition="0">
        <references count="3">
          <reference field="4294967294" count="1" selected="0">
            <x v="0"/>
          </reference>
          <reference field="0" count="1" selected="0">
            <x v="7"/>
          </reference>
          <reference field="1" count="1" selected="0">
            <x v="4"/>
          </reference>
        </references>
      </pivotArea>
    </chartFormat>
    <chartFormat chart="0" format="573">
      <pivotArea type="data" outline="0" fieldPosition="0">
        <references count="3">
          <reference field="4294967294" count="1" selected="0">
            <x v="0"/>
          </reference>
          <reference field="0" count="1" selected="0">
            <x v="7"/>
          </reference>
          <reference field="1" count="1" selected="0">
            <x v="5"/>
          </reference>
        </references>
      </pivotArea>
    </chartFormat>
    <chartFormat chart="0" format="574">
      <pivotArea type="data" outline="0" fieldPosition="0">
        <references count="3">
          <reference field="4294967294" count="1" selected="0">
            <x v="0"/>
          </reference>
          <reference field="0" count="1" selected="0">
            <x v="7"/>
          </reference>
          <reference field="1" count="1" selected="0">
            <x v="6"/>
          </reference>
        </references>
      </pivotArea>
    </chartFormat>
    <chartFormat chart="0" format="575">
      <pivotArea type="data" outline="0" fieldPosition="0">
        <references count="3">
          <reference field="4294967294" count="1" selected="0">
            <x v="0"/>
          </reference>
          <reference field="0" count="1" selected="0">
            <x v="7"/>
          </reference>
          <reference field="1" count="1" selected="0">
            <x v="7"/>
          </reference>
        </references>
      </pivotArea>
    </chartFormat>
    <chartFormat chart="0" format="576">
      <pivotArea type="data" outline="0" fieldPosition="0">
        <references count="3">
          <reference field="4294967294" count="1" selected="0">
            <x v="0"/>
          </reference>
          <reference field="0" count="1" selected="0">
            <x v="7"/>
          </reference>
          <reference field="1" count="1" selected="0">
            <x v="8"/>
          </reference>
        </references>
      </pivotArea>
    </chartFormat>
    <chartFormat chart="0" format="577">
      <pivotArea type="data" outline="0" fieldPosition="0">
        <references count="3">
          <reference field="4294967294" count="1" selected="0">
            <x v="0"/>
          </reference>
          <reference field="0" count="1" selected="0">
            <x v="7"/>
          </reference>
          <reference field="1" count="1" selected="0">
            <x v="9"/>
          </reference>
        </references>
      </pivotArea>
    </chartFormat>
    <chartFormat chart="0" format="578">
      <pivotArea type="data" outline="0" fieldPosition="0">
        <references count="3">
          <reference field="4294967294" count="1" selected="0">
            <x v="0"/>
          </reference>
          <reference field="0" count="1" selected="0">
            <x v="7"/>
          </reference>
          <reference field="1" count="1" selected="0">
            <x v="10"/>
          </reference>
        </references>
      </pivotArea>
    </chartFormat>
    <chartFormat chart="0" format="579">
      <pivotArea type="data" outline="0" fieldPosition="0">
        <references count="3">
          <reference field="4294967294" count="1" selected="0">
            <x v="0"/>
          </reference>
          <reference field="0" count="1" selected="0">
            <x v="7"/>
          </reference>
          <reference field="1" count="1" selected="0">
            <x v="11"/>
          </reference>
        </references>
      </pivotArea>
    </chartFormat>
    <chartFormat chart="0" format="580">
      <pivotArea type="data" outline="0" fieldPosition="0">
        <references count="3">
          <reference field="4294967294" count="1" selected="0">
            <x v="0"/>
          </reference>
          <reference field="0" count="1" selected="0">
            <x v="7"/>
          </reference>
          <reference field="1" count="1" selected="0">
            <x v="12"/>
          </reference>
        </references>
      </pivotArea>
    </chartFormat>
    <chartFormat chart="0" format="581">
      <pivotArea type="data" outline="0" fieldPosition="0">
        <references count="3">
          <reference field="4294967294" count="1" selected="0">
            <x v="0"/>
          </reference>
          <reference field="0" count="1" selected="0">
            <x v="7"/>
          </reference>
          <reference field="1" count="1" selected="0">
            <x v="13"/>
          </reference>
        </references>
      </pivotArea>
    </chartFormat>
    <chartFormat chart="0" format="582">
      <pivotArea type="data" outline="0" fieldPosition="0">
        <references count="3">
          <reference field="4294967294" count="1" selected="0">
            <x v="0"/>
          </reference>
          <reference field="0" count="1" selected="0">
            <x v="7"/>
          </reference>
          <reference field="1" count="1" selected="0">
            <x v="14"/>
          </reference>
        </references>
      </pivotArea>
    </chartFormat>
    <chartFormat chart="0" format="583">
      <pivotArea type="data" outline="0" fieldPosition="0">
        <references count="3">
          <reference field="4294967294" count="1" selected="0">
            <x v="0"/>
          </reference>
          <reference field="0" count="1" selected="0">
            <x v="7"/>
          </reference>
          <reference field="1" count="1" selected="0">
            <x v="15"/>
          </reference>
        </references>
      </pivotArea>
    </chartFormat>
    <chartFormat chart="0" format="584">
      <pivotArea type="data" outline="0" fieldPosition="0">
        <references count="3">
          <reference field="4294967294" count="1" selected="0">
            <x v="0"/>
          </reference>
          <reference field="0" count="1" selected="0">
            <x v="7"/>
          </reference>
          <reference field="1" count="1" selected="0">
            <x v="16"/>
          </reference>
        </references>
      </pivotArea>
    </chartFormat>
    <chartFormat chart="0" format="585">
      <pivotArea type="data" outline="0" fieldPosition="0">
        <references count="3">
          <reference field="4294967294" count="1" selected="0">
            <x v="0"/>
          </reference>
          <reference field="0" count="1" selected="0">
            <x v="7"/>
          </reference>
          <reference field="1" count="1" selected="0">
            <x v="17"/>
          </reference>
        </references>
      </pivotArea>
    </chartFormat>
    <chartFormat chart="0" format="586">
      <pivotArea type="data" outline="0" fieldPosition="0">
        <references count="3">
          <reference field="4294967294" count="1" selected="0">
            <x v="0"/>
          </reference>
          <reference field="0" count="1" selected="0">
            <x v="7"/>
          </reference>
          <reference field="1" count="1" selected="0">
            <x v="18"/>
          </reference>
        </references>
      </pivotArea>
    </chartFormat>
    <chartFormat chart="0" format="587">
      <pivotArea type="data" outline="0" fieldPosition="0">
        <references count="3">
          <reference field="4294967294" count="1" selected="0">
            <x v="0"/>
          </reference>
          <reference field="0" count="1" selected="0">
            <x v="7"/>
          </reference>
          <reference field="1" count="1" selected="0">
            <x v="19"/>
          </reference>
        </references>
      </pivotArea>
    </chartFormat>
    <chartFormat chart="0" format="588">
      <pivotArea type="data" outline="0" fieldPosition="0">
        <references count="3">
          <reference field="4294967294" count="1" selected="0">
            <x v="0"/>
          </reference>
          <reference field="0" count="1" selected="0">
            <x v="7"/>
          </reference>
          <reference field="1" count="1" selected="0">
            <x v="20"/>
          </reference>
        </references>
      </pivotArea>
    </chartFormat>
    <chartFormat chart="0" format="589">
      <pivotArea type="data" outline="0" fieldPosition="0">
        <references count="3">
          <reference field="4294967294" count="1" selected="0">
            <x v="0"/>
          </reference>
          <reference field="0" count="1" selected="0">
            <x v="7"/>
          </reference>
          <reference field="1" count="1" selected="0">
            <x v="21"/>
          </reference>
        </references>
      </pivotArea>
    </chartFormat>
    <chartFormat chart="0" format="590">
      <pivotArea type="data" outline="0" fieldPosition="0">
        <references count="3">
          <reference field="4294967294" count="1" selected="0">
            <x v="0"/>
          </reference>
          <reference field="0" count="1" selected="0">
            <x v="7"/>
          </reference>
          <reference field="1" count="1" selected="0">
            <x v="23"/>
          </reference>
        </references>
      </pivotArea>
    </chartFormat>
    <chartFormat chart="0" format="591">
      <pivotArea type="data" outline="0" fieldPosition="0">
        <references count="3">
          <reference field="4294967294" count="1" selected="0">
            <x v="0"/>
          </reference>
          <reference field="0" count="1" selected="0">
            <x v="7"/>
          </reference>
          <reference field="1" count="1" selected="0">
            <x v="25"/>
          </reference>
        </references>
      </pivotArea>
    </chartFormat>
    <chartFormat chart="0" format="592">
      <pivotArea type="data" outline="0" fieldPosition="0">
        <references count="3">
          <reference field="4294967294" count="1" selected="0">
            <x v="0"/>
          </reference>
          <reference field="0" count="1" selected="0">
            <x v="7"/>
          </reference>
          <reference field="1" count="1" selected="0">
            <x v="27"/>
          </reference>
        </references>
      </pivotArea>
    </chartFormat>
    <chartFormat chart="0" format="593">
      <pivotArea type="data" outline="0" fieldPosition="0">
        <references count="3">
          <reference field="4294967294" count="1" selected="0">
            <x v="0"/>
          </reference>
          <reference field="0" count="1" selected="0">
            <x v="7"/>
          </reference>
          <reference field="1" count="1" selected="0">
            <x v="29"/>
          </reference>
        </references>
      </pivotArea>
    </chartFormat>
    <chartFormat chart="0" format="594">
      <pivotArea type="data" outline="0" fieldPosition="0">
        <references count="3">
          <reference field="4294967294" count="1" selected="0">
            <x v="0"/>
          </reference>
          <reference field="0" count="1" selected="0">
            <x v="7"/>
          </reference>
          <reference field="1" count="1" selected="0">
            <x v="31"/>
          </reference>
        </references>
      </pivotArea>
    </chartFormat>
    <chartFormat chart="0" format="595">
      <pivotArea type="data" outline="0" fieldPosition="0">
        <references count="3">
          <reference field="4294967294" count="1" selected="0">
            <x v="0"/>
          </reference>
          <reference field="0" count="1" selected="0">
            <x v="7"/>
          </reference>
          <reference field="1" count="1" selected="0">
            <x v="33"/>
          </reference>
        </references>
      </pivotArea>
    </chartFormat>
    <chartFormat chart="0" format="596">
      <pivotArea type="data" outline="0" fieldPosition="0">
        <references count="3">
          <reference field="4294967294" count="1" selected="0">
            <x v="0"/>
          </reference>
          <reference field="0" count="1" selected="0">
            <x v="7"/>
          </reference>
          <reference field="1" count="1" selected="0">
            <x v="35"/>
          </reference>
        </references>
      </pivotArea>
    </chartFormat>
    <chartFormat chart="0" format="597">
      <pivotArea type="data" outline="0" fieldPosition="0">
        <references count="3">
          <reference field="4294967294" count="1" selected="0">
            <x v="0"/>
          </reference>
          <reference field="0" count="1" selected="0">
            <x v="7"/>
          </reference>
          <reference field="1" count="1" selected="0">
            <x v="37"/>
          </reference>
        </references>
      </pivotArea>
    </chartFormat>
    <chartFormat chart="0" format="598">
      <pivotArea type="data" outline="0" fieldPosition="0">
        <references count="3">
          <reference field="4294967294" count="1" selected="0">
            <x v="0"/>
          </reference>
          <reference field="0" count="1" selected="0">
            <x v="7"/>
          </reference>
          <reference field="1" count="1" selected="0">
            <x v="39"/>
          </reference>
        </references>
      </pivotArea>
    </chartFormat>
    <chartFormat chart="0" format="599">
      <pivotArea type="data" outline="0" fieldPosition="0">
        <references count="3">
          <reference field="4294967294" count="1" selected="0">
            <x v="0"/>
          </reference>
          <reference field="0" count="1" selected="0">
            <x v="7"/>
          </reference>
          <reference field="1" count="1" selected="0">
            <x v="41"/>
          </reference>
        </references>
      </pivotArea>
    </chartFormat>
    <chartFormat chart="0" format="600">
      <pivotArea type="data" outline="0" fieldPosition="0">
        <references count="3">
          <reference field="4294967294" count="1" selected="0">
            <x v="0"/>
          </reference>
          <reference field="0" count="1" selected="0">
            <x v="7"/>
          </reference>
          <reference field="1" count="1" selected="0">
            <x v="43"/>
          </reference>
        </references>
      </pivotArea>
    </chartFormat>
    <chartFormat chart="0" format="601">
      <pivotArea type="data" outline="0" fieldPosition="0">
        <references count="3">
          <reference field="4294967294" count="1" selected="0">
            <x v="0"/>
          </reference>
          <reference field="0" count="1" selected="0">
            <x v="7"/>
          </reference>
          <reference field="1" count="1" selected="0">
            <x v="45"/>
          </reference>
        </references>
      </pivotArea>
    </chartFormat>
    <chartFormat chart="0" format="602">
      <pivotArea type="data" outline="0" fieldPosition="0">
        <references count="3">
          <reference field="4294967294" count="1" selected="0">
            <x v="0"/>
          </reference>
          <reference field="0" count="1" selected="0">
            <x v="7"/>
          </reference>
          <reference field="1" count="1" selected="0">
            <x v="47"/>
          </reference>
        </references>
      </pivotArea>
    </chartFormat>
    <chartFormat chart="0" format="603">
      <pivotArea type="data" outline="0" fieldPosition="0">
        <references count="3">
          <reference field="4294967294" count="1" selected="0">
            <x v="0"/>
          </reference>
          <reference field="0" count="1" selected="0">
            <x v="7"/>
          </reference>
          <reference field="1" count="1" selected="0">
            <x v="49"/>
          </reference>
        </references>
      </pivotArea>
    </chartFormat>
    <chartFormat chart="0" format="604">
      <pivotArea type="data" outline="0" fieldPosition="0">
        <references count="3">
          <reference field="4294967294" count="1" selected="0">
            <x v="0"/>
          </reference>
          <reference field="0" count="1" selected="0">
            <x v="7"/>
          </reference>
          <reference field="1" count="1" selected="0">
            <x v="51"/>
          </reference>
        </references>
      </pivotArea>
    </chartFormat>
    <chartFormat chart="0" format="605">
      <pivotArea type="data" outline="0" fieldPosition="0">
        <references count="3">
          <reference field="4294967294" count="1" selected="0">
            <x v="0"/>
          </reference>
          <reference field="0" count="1" selected="0">
            <x v="7"/>
          </reference>
          <reference field="1" count="1" selected="0">
            <x v="53"/>
          </reference>
        </references>
      </pivotArea>
    </chartFormat>
    <chartFormat chart="0" format="606">
      <pivotArea type="data" outline="0" fieldPosition="0">
        <references count="3">
          <reference field="4294967294" count="1" selected="0">
            <x v="0"/>
          </reference>
          <reference field="0" count="1" selected="0">
            <x v="7"/>
          </reference>
          <reference field="1" count="1" selected="0">
            <x v="55"/>
          </reference>
        </references>
      </pivotArea>
    </chartFormat>
    <chartFormat chart="0" format="607">
      <pivotArea type="data" outline="0" fieldPosition="0">
        <references count="3">
          <reference field="4294967294" count="1" selected="0">
            <x v="0"/>
          </reference>
          <reference field="0" count="1" selected="0">
            <x v="7"/>
          </reference>
          <reference field="1" count="1" selected="0">
            <x v="57"/>
          </reference>
        </references>
      </pivotArea>
    </chartFormat>
    <chartFormat chart="0" format="608">
      <pivotArea type="data" outline="0" fieldPosition="0">
        <references count="3">
          <reference field="4294967294" count="1" selected="0">
            <x v="0"/>
          </reference>
          <reference field="0" count="1" selected="0">
            <x v="7"/>
          </reference>
          <reference field="1" count="1" selected="0">
            <x v="59"/>
          </reference>
        </references>
      </pivotArea>
    </chartFormat>
    <chartFormat chart="0" format="609">
      <pivotArea type="data" outline="0" fieldPosition="0">
        <references count="3">
          <reference field="4294967294" count="1" selected="0">
            <x v="0"/>
          </reference>
          <reference field="0" count="1" selected="0">
            <x v="7"/>
          </reference>
          <reference field="1" count="1" selected="0">
            <x v="61"/>
          </reference>
        </references>
      </pivotArea>
    </chartFormat>
    <chartFormat chart="0" format="610">
      <pivotArea type="data" outline="0" fieldPosition="0">
        <references count="3">
          <reference field="4294967294" count="1" selected="0">
            <x v="0"/>
          </reference>
          <reference field="0" count="1" selected="0">
            <x v="7"/>
          </reference>
          <reference field="1" count="1" selected="0">
            <x v="63"/>
          </reference>
        </references>
      </pivotArea>
    </chartFormat>
    <chartFormat chart="0" format="611">
      <pivotArea type="data" outline="0" fieldPosition="0">
        <references count="3">
          <reference field="4294967294" count="1" selected="0">
            <x v="0"/>
          </reference>
          <reference field="0" count="1" selected="0">
            <x v="7"/>
          </reference>
          <reference field="1" count="1" selected="0">
            <x v="65"/>
          </reference>
        </references>
      </pivotArea>
    </chartFormat>
    <chartFormat chart="0" format="612">
      <pivotArea type="data" outline="0" fieldPosition="0">
        <references count="3">
          <reference field="4294967294" count="1" selected="0">
            <x v="0"/>
          </reference>
          <reference field="0" count="1" selected="0">
            <x v="7"/>
          </reference>
          <reference field="1" count="1" selected="0">
            <x v="67"/>
          </reference>
        </references>
      </pivotArea>
    </chartFormat>
    <chartFormat chart="0" format="613">
      <pivotArea type="data" outline="0" fieldPosition="0">
        <references count="3">
          <reference field="4294967294" count="1" selected="0">
            <x v="0"/>
          </reference>
          <reference field="0" count="1" selected="0">
            <x v="7"/>
          </reference>
          <reference field="1" count="1" selected="0">
            <x v="69"/>
          </reference>
        </references>
      </pivotArea>
    </chartFormat>
    <chartFormat chart="0" format="614">
      <pivotArea type="data" outline="0" fieldPosition="0">
        <references count="3">
          <reference field="4294967294" count="1" selected="0">
            <x v="0"/>
          </reference>
          <reference field="0" count="1" selected="0">
            <x v="7"/>
          </reference>
          <reference field="1" count="1" selected="0">
            <x v="70"/>
          </reference>
        </references>
      </pivotArea>
    </chartFormat>
    <chartFormat chart="0" format="615">
      <pivotArea type="data" outline="0" fieldPosition="0">
        <references count="3">
          <reference field="4294967294" count="1" selected="0">
            <x v="0"/>
          </reference>
          <reference field="0" count="1" selected="0">
            <x v="7"/>
          </reference>
          <reference field="1" count="1" selected="0">
            <x v="71"/>
          </reference>
        </references>
      </pivotArea>
    </chartFormat>
    <chartFormat chart="0" format="616">
      <pivotArea type="data" outline="0" fieldPosition="0">
        <references count="3">
          <reference field="4294967294" count="1" selected="0">
            <x v="0"/>
          </reference>
          <reference field="0" count="1" selected="0">
            <x v="7"/>
          </reference>
          <reference field="1" count="1" selected="0">
            <x v="73"/>
          </reference>
        </references>
      </pivotArea>
    </chartFormat>
    <chartFormat chart="0" format="617">
      <pivotArea type="data" outline="0" fieldPosition="0">
        <references count="3">
          <reference field="4294967294" count="1" selected="0">
            <x v="0"/>
          </reference>
          <reference field="0" count="1" selected="0">
            <x v="8"/>
          </reference>
          <reference field="1" count="1" selected="0">
            <x v="1"/>
          </reference>
        </references>
      </pivotArea>
    </chartFormat>
    <chartFormat chart="0" format="618">
      <pivotArea type="data" outline="0" fieldPosition="0">
        <references count="3">
          <reference field="4294967294" count="1" selected="0">
            <x v="0"/>
          </reference>
          <reference field="0" count="1" selected="0">
            <x v="8"/>
          </reference>
          <reference field="1" count="1" selected="0">
            <x v="2"/>
          </reference>
        </references>
      </pivotArea>
    </chartFormat>
    <chartFormat chart="0" format="619">
      <pivotArea type="data" outline="0" fieldPosition="0">
        <references count="3">
          <reference field="4294967294" count="1" selected="0">
            <x v="0"/>
          </reference>
          <reference field="0" count="1" selected="0">
            <x v="8"/>
          </reference>
          <reference field="1" count="1" selected="0">
            <x v="3"/>
          </reference>
        </references>
      </pivotArea>
    </chartFormat>
    <chartFormat chart="0" format="620">
      <pivotArea type="data" outline="0" fieldPosition="0">
        <references count="3">
          <reference field="4294967294" count="1" selected="0">
            <x v="0"/>
          </reference>
          <reference field="0" count="1" selected="0">
            <x v="8"/>
          </reference>
          <reference field="1" count="1" selected="0">
            <x v="4"/>
          </reference>
        </references>
      </pivotArea>
    </chartFormat>
    <chartFormat chart="0" format="621">
      <pivotArea type="data" outline="0" fieldPosition="0">
        <references count="3">
          <reference field="4294967294" count="1" selected="0">
            <x v="0"/>
          </reference>
          <reference field="0" count="1" selected="0">
            <x v="8"/>
          </reference>
          <reference field="1" count="1" selected="0">
            <x v="5"/>
          </reference>
        </references>
      </pivotArea>
    </chartFormat>
    <chartFormat chart="0" format="622">
      <pivotArea type="data" outline="0" fieldPosition="0">
        <references count="3">
          <reference field="4294967294" count="1" selected="0">
            <x v="0"/>
          </reference>
          <reference field="0" count="1" selected="0">
            <x v="8"/>
          </reference>
          <reference field="1" count="1" selected="0">
            <x v="6"/>
          </reference>
        </references>
      </pivotArea>
    </chartFormat>
    <chartFormat chart="0" format="623">
      <pivotArea type="data" outline="0" fieldPosition="0">
        <references count="3">
          <reference field="4294967294" count="1" selected="0">
            <x v="0"/>
          </reference>
          <reference field="0" count="1" selected="0">
            <x v="8"/>
          </reference>
          <reference field="1" count="1" selected="0">
            <x v="7"/>
          </reference>
        </references>
      </pivotArea>
    </chartFormat>
    <chartFormat chart="0" format="624">
      <pivotArea type="data" outline="0" fieldPosition="0">
        <references count="3">
          <reference field="4294967294" count="1" selected="0">
            <x v="0"/>
          </reference>
          <reference field="0" count="1" selected="0">
            <x v="8"/>
          </reference>
          <reference field="1" count="1" selected="0">
            <x v="8"/>
          </reference>
        </references>
      </pivotArea>
    </chartFormat>
    <chartFormat chart="0" format="625">
      <pivotArea type="data" outline="0" fieldPosition="0">
        <references count="3">
          <reference field="4294967294" count="1" selected="0">
            <x v="0"/>
          </reference>
          <reference field="0" count="1" selected="0">
            <x v="8"/>
          </reference>
          <reference field="1" count="1" selected="0">
            <x v="9"/>
          </reference>
        </references>
      </pivotArea>
    </chartFormat>
    <chartFormat chart="0" format="626">
      <pivotArea type="data" outline="0" fieldPosition="0">
        <references count="3">
          <reference field="4294967294" count="1" selected="0">
            <x v="0"/>
          </reference>
          <reference field="0" count="1" selected="0">
            <x v="8"/>
          </reference>
          <reference field="1" count="1" selected="0">
            <x v="10"/>
          </reference>
        </references>
      </pivotArea>
    </chartFormat>
    <chartFormat chart="0" format="627">
      <pivotArea type="data" outline="0" fieldPosition="0">
        <references count="3">
          <reference field="4294967294" count="1" selected="0">
            <x v="0"/>
          </reference>
          <reference field="0" count="1" selected="0">
            <x v="8"/>
          </reference>
          <reference field="1" count="1" selected="0">
            <x v="11"/>
          </reference>
        </references>
      </pivotArea>
    </chartFormat>
    <chartFormat chart="0" format="628">
      <pivotArea type="data" outline="0" fieldPosition="0">
        <references count="3">
          <reference field="4294967294" count="1" selected="0">
            <x v="0"/>
          </reference>
          <reference field="0" count="1" selected="0">
            <x v="8"/>
          </reference>
          <reference field="1" count="1" selected="0">
            <x v="12"/>
          </reference>
        </references>
      </pivotArea>
    </chartFormat>
    <chartFormat chart="0" format="629">
      <pivotArea type="data" outline="0" fieldPosition="0">
        <references count="3">
          <reference field="4294967294" count="1" selected="0">
            <x v="0"/>
          </reference>
          <reference field="0" count="1" selected="0">
            <x v="8"/>
          </reference>
          <reference field="1" count="1" selected="0">
            <x v="13"/>
          </reference>
        </references>
      </pivotArea>
    </chartFormat>
    <chartFormat chart="0" format="630">
      <pivotArea type="data" outline="0" fieldPosition="0">
        <references count="3">
          <reference field="4294967294" count="1" selected="0">
            <x v="0"/>
          </reference>
          <reference field="0" count="1" selected="0">
            <x v="8"/>
          </reference>
          <reference field="1" count="1" selected="0">
            <x v="14"/>
          </reference>
        </references>
      </pivotArea>
    </chartFormat>
    <chartFormat chart="0" format="631">
      <pivotArea type="data" outline="0" fieldPosition="0">
        <references count="3">
          <reference field="4294967294" count="1" selected="0">
            <x v="0"/>
          </reference>
          <reference field="0" count="1" selected="0">
            <x v="8"/>
          </reference>
          <reference field="1" count="1" selected="0">
            <x v="15"/>
          </reference>
        </references>
      </pivotArea>
    </chartFormat>
    <chartFormat chart="0" format="632">
      <pivotArea type="data" outline="0" fieldPosition="0">
        <references count="3">
          <reference field="4294967294" count="1" selected="0">
            <x v="0"/>
          </reference>
          <reference field="0" count="1" selected="0">
            <x v="8"/>
          </reference>
          <reference field="1" count="1" selected="0">
            <x v="16"/>
          </reference>
        </references>
      </pivotArea>
    </chartFormat>
    <chartFormat chart="0" format="633">
      <pivotArea type="data" outline="0" fieldPosition="0">
        <references count="3">
          <reference field="4294967294" count="1" selected="0">
            <x v="0"/>
          </reference>
          <reference field="0" count="1" selected="0">
            <x v="8"/>
          </reference>
          <reference field="1" count="1" selected="0">
            <x v="17"/>
          </reference>
        </references>
      </pivotArea>
    </chartFormat>
    <chartFormat chart="0" format="634">
      <pivotArea type="data" outline="0" fieldPosition="0">
        <references count="3">
          <reference field="4294967294" count="1" selected="0">
            <x v="0"/>
          </reference>
          <reference field="0" count="1" selected="0">
            <x v="8"/>
          </reference>
          <reference field="1" count="1" selected="0">
            <x v="18"/>
          </reference>
        </references>
      </pivotArea>
    </chartFormat>
    <chartFormat chart="0" format="635">
      <pivotArea type="data" outline="0" fieldPosition="0">
        <references count="3">
          <reference field="4294967294" count="1" selected="0">
            <x v="0"/>
          </reference>
          <reference field="0" count="1" selected="0">
            <x v="8"/>
          </reference>
          <reference field="1" count="1" selected="0">
            <x v="19"/>
          </reference>
        </references>
      </pivotArea>
    </chartFormat>
    <chartFormat chart="0" format="636">
      <pivotArea type="data" outline="0" fieldPosition="0">
        <references count="3">
          <reference field="4294967294" count="1" selected="0">
            <x v="0"/>
          </reference>
          <reference field="0" count="1" selected="0">
            <x v="8"/>
          </reference>
          <reference field="1" count="1" selected="0">
            <x v="20"/>
          </reference>
        </references>
      </pivotArea>
    </chartFormat>
    <chartFormat chart="0" format="637">
      <pivotArea type="data" outline="0" fieldPosition="0">
        <references count="3">
          <reference field="4294967294" count="1" selected="0">
            <x v="0"/>
          </reference>
          <reference field="0" count="1" selected="0">
            <x v="8"/>
          </reference>
          <reference field="1" count="1" selected="0">
            <x v="21"/>
          </reference>
        </references>
      </pivotArea>
    </chartFormat>
    <chartFormat chart="0" format="638">
      <pivotArea type="data" outline="0" fieldPosition="0">
        <references count="3">
          <reference field="4294967294" count="1" selected="0">
            <x v="0"/>
          </reference>
          <reference field="0" count="1" selected="0">
            <x v="8"/>
          </reference>
          <reference field="1" count="1" selected="0">
            <x v="23"/>
          </reference>
        </references>
      </pivotArea>
    </chartFormat>
    <chartFormat chart="0" format="639">
      <pivotArea type="data" outline="0" fieldPosition="0">
        <references count="3">
          <reference field="4294967294" count="1" selected="0">
            <x v="0"/>
          </reference>
          <reference field="0" count="1" selected="0">
            <x v="8"/>
          </reference>
          <reference field="1" count="1" selected="0">
            <x v="25"/>
          </reference>
        </references>
      </pivotArea>
    </chartFormat>
    <chartFormat chart="0" format="640">
      <pivotArea type="data" outline="0" fieldPosition="0">
        <references count="3">
          <reference field="4294967294" count="1" selected="0">
            <x v="0"/>
          </reference>
          <reference field="0" count="1" selected="0">
            <x v="8"/>
          </reference>
          <reference field="1" count="1" selected="0">
            <x v="27"/>
          </reference>
        </references>
      </pivotArea>
    </chartFormat>
    <chartFormat chart="0" format="641">
      <pivotArea type="data" outline="0" fieldPosition="0">
        <references count="3">
          <reference field="4294967294" count="1" selected="0">
            <x v="0"/>
          </reference>
          <reference field="0" count="1" selected="0">
            <x v="8"/>
          </reference>
          <reference field="1" count="1" selected="0">
            <x v="29"/>
          </reference>
        </references>
      </pivotArea>
    </chartFormat>
    <chartFormat chart="0" format="642">
      <pivotArea type="data" outline="0" fieldPosition="0">
        <references count="3">
          <reference field="4294967294" count="1" selected="0">
            <x v="0"/>
          </reference>
          <reference field="0" count="1" selected="0">
            <x v="8"/>
          </reference>
          <reference field="1" count="1" selected="0">
            <x v="31"/>
          </reference>
        </references>
      </pivotArea>
    </chartFormat>
    <chartFormat chart="0" format="643">
      <pivotArea type="data" outline="0" fieldPosition="0">
        <references count="3">
          <reference field="4294967294" count="1" selected="0">
            <x v="0"/>
          </reference>
          <reference field="0" count="1" selected="0">
            <x v="8"/>
          </reference>
          <reference field="1" count="1" selected="0">
            <x v="33"/>
          </reference>
        </references>
      </pivotArea>
    </chartFormat>
    <chartFormat chart="0" format="644">
      <pivotArea type="data" outline="0" fieldPosition="0">
        <references count="3">
          <reference field="4294967294" count="1" selected="0">
            <x v="0"/>
          </reference>
          <reference field="0" count="1" selected="0">
            <x v="8"/>
          </reference>
          <reference field="1" count="1" selected="0">
            <x v="35"/>
          </reference>
        </references>
      </pivotArea>
    </chartFormat>
    <chartFormat chart="0" format="645">
      <pivotArea type="data" outline="0" fieldPosition="0">
        <references count="3">
          <reference field="4294967294" count="1" selected="0">
            <x v="0"/>
          </reference>
          <reference field="0" count="1" selected="0">
            <x v="8"/>
          </reference>
          <reference field="1" count="1" selected="0">
            <x v="37"/>
          </reference>
        </references>
      </pivotArea>
    </chartFormat>
    <chartFormat chart="0" format="646">
      <pivotArea type="data" outline="0" fieldPosition="0">
        <references count="3">
          <reference field="4294967294" count="1" selected="0">
            <x v="0"/>
          </reference>
          <reference field="0" count="1" selected="0">
            <x v="8"/>
          </reference>
          <reference field="1" count="1" selected="0">
            <x v="39"/>
          </reference>
        </references>
      </pivotArea>
    </chartFormat>
    <chartFormat chart="0" format="647">
      <pivotArea type="data" outline="0" fieldPosition="0">
        <references count="3">
          <reference field="4294967294" count="1" selected="0">
            <x v="0"/>
          </reference>
          <reference field="0" count="1" selected="0">
            <x v="8"/>
          </reference>
          <reference field="1" count="1" selected="0">
            <x v="41"/>
          </reference>
        </references>
      </pivotArea>
    </chartFormat>
    <chartFormat chart="0" format="648">
      <pivotArea type="data" outline="0" fieldPosition="0">
        <references count="3">
          <reference field="4294967294" count="1" selected="0">
            <x v="0"/>
          </reference>
          <reference field="0" count="1" selected="0">
            <x v="8"/>
          </reference>
          <reference field="1" count="1" selected="0">
            <x v="43"/>
          </reference>
        </references>
      </pivotArea>
    </chartFormat>
    <chartFormat chart="0" format="649">
      <pivotArea type="data" outline="0" fieldPosition="0">
        <references count="3">
          <reference field="4294967294" count="1" selected="0">
            <x v="0"/>
          </reference>
          <reference field="0" count="1" selected="0">
            <x v="8"/>
          </reference>
          <reference field="1" count="1" selected="0">
            <x v="45"/>
          </reference>
        </references>
      </pivotArea>
    </chartFormat>
    <chartFormat chart="0" format="650">
      <pivotArea type="data" outline="0" fieldPosition="0">
        <references count="3">
          <reference field="4294967294" count="1" selected="0">
            <x v="0"/>
          </reference>
          <reference field="0" count="1" selected="0">
            <x v="8"/>
          </reference>
          <reference field="1" count="1" selected="0">
            <x v="47"/>
          </reference>
        </references>
      </pivotArea>
    </chartFormat>
    <chartFormat chart="0" format="651">
      <pivotArea type="data" outline="0" fieldPosition="0">
        <references count="3">
          <reference field="4294967294" count="1" selected="0">
            <x v="0"/>
          </reference>
          <reference field="0" count="1" selected="0">
            <x v="8"/>
          </reference>
          <reference field="1" count="1" selected="0">
            <x v="49"/>
          </reference>
        </references>
      </pivotArea>
    </chartFormat>
    <chartFormat chart="0" format="652">
      <pivotArea type="data" outline="0" fieldPosition="0">
        <references count="3">
          <reference field="4294967294" count="1" selected="0">
            <x v="0"/>
          </reference>
          <reference field="0" count="1" selected="0">
            <x v="8"/>
          </reference>
          <reference field="1" count="1" selected="0">
            <x v="51"/>
          </reference>
        </references>
      </pivotArea>
    </chartFormat>
    <chartFormat chart="0" format="653">
      <pivotArea type="data" outline="0" fieldPosition="0">
        <references count="3">
          <reference field="4294967294" count="1" selected="0">
            <x v="0"/>
          </reference>
          <reference field="0" count="1" selected="0">
            <x v="8"/>
          </reference>
          <reference field="1" count="1" selected="0">
            <x v="53"/>
          </reference>
        </references>
      </pivotArea>
    </chartFormat>
    <chartFormat chart="0" format="654">
      <pivotArea type="data" outline="0" fieldPosition="0">
        <references count="3">
          <reference field="4294967294" count="1" selected="0">
            <x v="0"/>
          </reference>
          <reference field="0" count="1" selected="0">
            <x v="8"/>
          </reference>
          <reference field="1" count="1" selected="0">
            <x v="55"/>
          </reference>
        </references>
      </pivotArea>
    </chartFormat>
    <chartFormat chart="0" format="655">
      <pivotArea type="data" outline="0" fieldPosition="0">
        <references count="3">
          <reference field="4294967294" count="1" selected="0">
            <x v="0"/>
          </reference>
          <reference field="0" count="1" selected="0">
            <x v="8"/>
          </reference>
          <reference field="1" count="1" selected="0">
            <x v="57"/>
          </reference>
        </references>
      </pivotArea>
    </chartFormat>
    <chartFormat chart="0" format="656">
      <pivotArea type="data" outline="0" fieldPosition="0">
        <references count="3">
          <reference field="4294967294" count="1" selected="0">
            <x v="0"/>
          </reference>
          <reference field="0" count="1" selected="0">
            <x v="8"/>
          </reference>
          <reference field="1" count="1" selected="0">
            <x v="59"/>
          </reference>
        </references>
      </pivotArea>
    </chartFormat>
    <chartFormat chart="0" format="657">
      <pivotArea type="data" outline="0" fieldPosition="0">
        <references count="3">
          <reference field="4294967294" count="1" selected="0">
            <x v="0"/>
          </reference>
          <reference field="0" count="1" selected="0">
            <x v="8"/>
          </reference>
          <reference field="1" count="1" selected="0">
            <x v="61"/>
          </reference>
        </references>
      </pivotArea>
    </chartFormat>
    <chartFormat chart="0" format="658">
      <pivotArea type="data" outline="0" fieldPosition="0">
        <references count="3">
          <reference field="4294967294" count="1" selected="0">
            <x v="0"/>
          </reference>
          <reference field="0" count="1" selected="0">
            <x v="8"/>
          </reference>
          <reference field="1" count="1" selected="0">
            <x v="63"/>
          </reference>
        </references>
      </pivotArea>
    </chartFormat>
    <chartFormat chart="0" format="659">
      <pivotArea type="data" outline="0" fieldPosition="0">
        <references count="3">
          <reference field="4294967294" count="1" selected="0">
            <x v="0"/>
          </reference>
          <reference field="0" count="1" selected="0">
            <x v="8"/>
          </reference>
          <reference field="1" count="1" selected="0">
            <x v="65"/>
          </reference>
        </references>
      </pivotArea>
    </chartFormat>
    <chartFormat chart="0" format="660">
      <pivotArea type="data" outline="0" fieldPosition="0">
        <references count="3">
          <reference field="4294967294" count="1" selected="0">
            <x v="0"/>
          </reference>
          <reference field="0" count="1" selected="0">
            <x v="8"/>
          </reference>
          <reference field="1" count="1" selected="0">
            <x v="67"/>
          </reference>
        </references>
      </pivotArea>
    </chartFormat>
    <chartFormat chart="0" format="661">
      <pivotArea type="data" outline="0" fieldPosition="0">
        <references count="3">
          <reference field="4294967294" count="1" selected="0">
            <x v="0"/>
          </reference>
          <reference field="0" count="1" selected="0">
            <x v="8"/>
          </reference>
          <reference field="1" count="1" selected="0">
            <x v="69"/>
          </reference>
        </references>
      </pivotArea>
    </chartFormat>
    <chartFormat chart="0" format="662">
      <pivotArea type="data" outline="0" fieldPosition="0">
        <references count="3">
          <reference field="4294967294" count="1" selected="0">
            <x v="0"/>
          </reference>
          <reference field="0" count="1" selected="0">
            <x v="8"/>
          </reference>
          <reference field="1" count="1" selected="0">
            <x v="70"/>
          </reference>
        </references>
      </pivotArea>
    </chartFormat>
    <chartFormat chart="0" format="663">
      <pivotArea type="data" outline="0" fieldPosition="0">
        <references count="3">
          <reference field="4294967294" count="1" selected="0">
            <x v="0"/>
          </reference>
          <reference field="0" count="1" selected="0">
            <x v="8"/>
          </reference>
          <reference field="1" count="1" selected="0">
            <x v="71"/>
          </reference>
        </references>
      </pivotArea>
    </chartFormat>
    <chartFormat chart="0" format="664">
      <pivotArea type="data" outline="0" fieldPosition="0">
        <references count="3">
          <reference field="4294967294" count="1" selected="0">
            <x v="0"/>
          </reference>
          <reference field="0" count="1" selected="0">
            <x v="8"/>
          </reference>
          <reference field="1" count="1" selected="0">
            <x v="73"/>
          </reference>
        </references>
      </pivotArea>
    </chartFormat>
    <chartFormat chart="0" format="665">
      <pivotArea type="data" outline="0" fieldPosition="0">
        <references count="3">
          <reference field="4294967294" count="1" selected="0">
            <x v="0"/>
          </reference>
          <reference field="0" count="1" selected="0">
            <x v="9"/>
          </reference>
          <reference field="1" count="1" selected="0">
            <x v="1"/>
          </reference>
        </references>
      </pivotArea>
    </chartFormat>
    <chartFormat chart="0" format="666">
      <pivotArea type="data" outline="0" fieldPosition="0">
        <references count="3">
          <reference field="4294967294" count="1" selected="0">
            <x v="0"/>
          </reference>
          <reference field="0" count="1" selected="0">
            <x v="9"/>
          </reference>
          <reference field="1" count="1" selected="0">
            <x v="2"/>
          </reference>
        </references>
      </pivotArea>
    </chartFormat>
    <chartFormat chart="0" format="667">
      <pivotArea type="data" outline="0" fieldPosition="0">
        <references count="3">
          <reference field="4294967294" count="1" selected="0">
            <x v="0"/>
          </reference>
          <reference field="0" count="1" selected="0">
            <x v="9"/>
          </reference>
          <reference field="1" count="1" selected="0">
            <x v="3"/>
          </reference>
        </references>
      </pivotArea>
    </chartFormat>
    <chartFormat chart="0" format="668">
      <pivotArea type="data" outline="0" fieldPosition="0">
        <references count="3">
          <reference field="4294967294" count="1" selected="0">
            <x v="0"/>
          </reference>
          <reference field="0" count="1" selected="0">
            <x v="9"/>
          </reference>
          <reference field="1" count="1" selected="0">
            <x v="4"/>
          </reference>
        </references>
      </pivotArea>
    </chartFormat>
    <chartFormat chart="0" format="669">
      <pivotArea type="data" outline="0" fieldPosition="0">
        <references count="3">
          <reference field="4294967294" count="1" selected="0">
            <x v="0"/>
          </reference>
          <reference field="0" count="1" selected="0">
            <x v="9"/>
          </reference>
          <reference field="1" count="1" selected="0">
            <x v="5"/>
          </reference>
        </references>
      </pivotArea>
    </chartFormat>
    <chartFormat chart="0" format="670">
      <pivotArea type="data" outline="0" fieldPosition="0">
        <references count="3">
          <reference field="4294967294" count="1" selected="0">
            <x v="0"/>
          </reference>
          <reference field="0" count="1" selected="0">
            <x v="9"/>
          </reference>
          <reference field="1" count="1" selected="0">
            <x v="6"/>
          </reference>
        </references>
      </pivotArea>
    </chartFormat>
    <chartFormat chart="0" format="671">
      <pivotArea type="data" outline="0" fieldPosition="0">
        <references count="3">
          <reference field="4294967294" count="1" selected="0">
            <x v="0"/>
          </reference>
          <reference field="0" count="1" selected="0">
            <x v="9"/>
          </reference>
          <reference field="1" count="1" selected="0">
            <x v="7"/>
          </reference>
        </references>
      </pivotArea>
    </chartFormat>
    <chartFormat chart="0" format="672">
      <pivotArea type="data" outline="0" fieldPosition="0">
        <references count="3">
          <reference field="4294967294" count="1" selected="0">
            <x v="0"/>
          </reference>
          <reference field="0" count="1" selected="0">
            <x v="9"/>
          </reference>
          <reference field="1" count="1" selected="0">
            <x v="8"/>
          </reference>
        </references>
      </pivotArea>
    </chartFormat>
    <chartFormat chart="0" format="673">
      <pivotArea type="data" outline="0" fieldPosition="0">
        <references count="3">
          <reference field="4294967294" count="1" selected="0">
            <x v="0"/>
          </reference>
          <reference field="0" count="1" selected="0">
            <x v="9"/>
          </reference>
          <reference field="1" count="1" selected="0">
            <x v="9"/>
          </reference>
        </references>
      </pivotArea>
    </chartFormat>
    <chartFormat chart="0" format="674">
      <pivotArea type="data" outline="0" fieldPosition="0">
        <references count="3">
          <reference field="4294967294" count="1" selected="0">
            <x v="0"/>
          </reference>
          <reference field="0" count="1" selected="0">
            <x v="9"/>
          </reference>
          <reference field="1" count="1" selected="0">
            <x v="10"/>
          </reference>
        </references>
      </pivotArea>
    </chartFormat>
    <chartFormat chart="0" format="675">
      <pivotArea type="data" outline="0" fieldPosition="0">
        <references count="3">
          <reference field="4294967294" count="1" selected="0">
            <x v="0"/>
          </reference>
          <reference field="0" count="1" selected="0">
            <x v="9"/>
          </reference>
          <reference field="1" count="1" selected="0">
            <x v="11"/>
          </reference>
        </references>
      </pivotArea>
    </chartFormat>
    <chartFormat chart="0" format="676">
      <pivotArea type="data" outline="0" fieldPosition="0">
        <references count="3">
          <reference field="4294967294" count="1" selected="0">
            <x v="0"/>
          </reference>
          <reference field="0" count="1" selected="0">
            <x v="9"/>
          </reference>
          <reference field="1" count="1" selected="0">
            <x v="12"/>
          </reference>
        </references>
      </pivotArea>
    </chartFormat>
    <chartFormat chart="0" format="677">
      <pivotArea type="data" outline="0" fieldPosition="0">
        <references count="3">
          <reference field="4294967294" count="1" selected="0">
            <x v="0"/>
          </reference>
          <reference field="0" count="1" selected="0">
            <x v="9"/>
          </reference>
          <reference field="1" count="1" selected="0">
            <x v="13"/>
          </reference>
        </references>
      </pivotArea>
    </chartFormat>
    <chartFormat chart="0" format="678">
      <pivotArea type="data" outline="0" fieldPosition="0">
        <references count="3">
          <reference field="4294967294" count="1" selected="0">
            <x v="0"/>
          </reference>
          <reference field="0" count="1" selected="0">
            <x v="9"/>
          </reference>
          <reference field="1" count="1" selected="0">
            <x v="14"/>
          </reference>
        </references>
      </pivotArea>
    </chartFormat>
    <chartFormat chart="0" format="679">
      <pivotArea type="data" outline="0" fieldPosition="0">
        <references count="3">
          <reference field="4294967294" count="1" selected="0">
            <x v="0"/>
          </reference>
          <reference field="0" count="1" selected="0">
            <x v="9"/>
          </reference>
          <reference field="1" count="1" selected="0">
            <x v="15"/>
          </reference>
        </references>
      </pivotArea>
    </chartFormat>
    <chartFormat chart="0" format="680">
      <pivotArea type="data" outline="0" fieldPosition="0">
        <references count="3">
          <reference field="4294967294" count="1" selected="0">
            <x v="0"/>
          </reference>
          <reference field="0" count="1" selected="0">
            <x v="9"/>
          </reference>
          <reference field="1" count="1" selected="0">
            <x v="16"/>
          </reference>
        </references>
      </pivotArea>
    </chartFormat>
    <chartFormat chart="0" format="681">
      <pivotArea type="data" outline="0" fieldPosition="0">
        <references count="3">
          <reference field="4294967294" count="1" selected="0">
            <x v="0"/>
          </reference>
          <reference field="0" count="1" selected="0">
            <x v="9"/>
          </reference>
          <reference field="1" count="1" selected="0">
            <x v="17"/>
          </reference>
        </references>
      </pivotArea>
    </chartFormat>
    <chartFormat chart="0" format="682">
      <pivotArea type="data" outline="0" fieldPosition="0">
        <references count="3">
          <reference field="4294967294" count="1" selected="0">
            <x v="0"/>
          </reference>
          <reference field="0" count="1" selected="0">
            <x v="9"/>
          </reference>
          <reference field="1" count="1" selected="0">
            <x v="18"/>
          </reference>
        </references>
      </pivotArea>
    </chartFormat>
    <chartFormat chart="0" format="683">
      <pivotArea type="data" outline="0" fieldPosition="0">
        <references count="3">
          <reference field="4294967294" count="1" selected="0">
            <x v="0"/>
          </reference>
          <reference field="0" count="1" selected="0">
            <x v="9"/>
          </reference>
          <reference field="1" count="1" selected="0">
            <x v="19"/>
          </reference>
        </references>
      </pivotArea>
    </chartFormat>
    <chartFormat chart="0" format="684">
      <pivotArea type="data" outline="0" fieldPosition="0">
        <references count="3">
          <reference field="4294967294" count="1" selected="0">
            <x v="0"/>
          </reference>
          <reference field="0" count="1" selected="0">
            <x v="9"/>
          </reference>
          <reference field="1" count="1" selected="0">
            <x v="20"/>
          </reference>
        </references>
      </pivotArea>
    </chartFormat>
    <chartFormat chart="0" format="685">
      <pivotArea type="data" outline="0" fieldPosition="0">
        <references count="3">
          <reference field="4294967294" count="1" selected="0">
            <x v="0"/>
          </reference>
          <reference field="0" count="1" selected="0">
            <x v="9"/>
          </reference>
          <reference field="1" count="1" selected="0">
            <x v="21"/>
          </reference>
        </references>
      </pivotArea>
    </chartFormat>
    <chartFormat chart="0" format="686">
      <pivotArea type="data" outline="0" fieldPosition="0">
        <references count="3">
          <reference field="4294967294" count="1" selected="0">
            <x v="0"/>
          </reference>
          <reference field="0" count="1" selected="0">
            <x v="9"/>
          </reference>
          <reference field="1" count="1" selected="0">
            <x v="23"/>
          </reference>
        </references>
      </pivotArea>
    </chartFormat>
    <chartFormat chart="0" format="687">
      <pivotArea type="data" outline="0" fieldPosition="0">
        <references count="3">
          <reference field="4294967294" count="1" selected="0">
            <x v="0"/>
          </reference>
          <reference field="0" count="1" selected="0">
            <x v="9"/>
          </reference>
          <reference field="1" count="1" selected="0">
            <x v="25"/>
          </reference>
        </references>
      </pivotArea>
    </chartFormat>
    <chartFormat chart="0" format="688">
      <pivotArea type="data" outline="0" fieldPosition="0">
        <references count="3">
          <reference field="4294967294" count="1" selected="0">
            <x v="0"/>
          </reference>
          <reference field="0" count="1" selected="0">
            <x v="9"/>
          </reference>
          <reference field="1" count="1" selected="0">
            <x v="27"/>
          </reference>
        </references>
      </pivotArea>
    </chartFormat>
    <chartFormat chart="0" format="689">
      <pivotArea type="data" outline="0" fieldPosition="0">
        <references count="3">
          <reference field="4294967294" count="1" selected="0">
            <x v="0"/>
          </reference>
          <reference field="0" count="1" selected="0">
            <x v="9"/>
          </reference>
          <reference field="1" count="1" selected="0">
            <x v="29"/>
          </reference>
        </references>
      </pivotArea>
    </chartFormat>
    <chartFormat chart="0" format="690">
      <pivotArea type="data" outline="0" fieldPosition="0">
        <references count="3">
          <reference field="4294967294" count="1" selected="0">
            <x v="0"/>
          </reference>
          <reference field="0" count="1" selected="0">
            <x v="9"/>
          </reference>
          <reference field="1" count="1" selected="0">
            <x v="31"/>
          </reference>
        </references>
      </pivotArea>
    </chartFormat>
    <chartFormat chart="0" format="691">
      <pivotArea type="data" outline="0" fieldPosition="0">
        <references count="3">
          <reference field="4294967294" count="1" selected="0">
            <x v="0"/>
          </reference>
          <reference field="0" count="1" selected="0">
            <x v="9"/>
          </reference>
          <reference field="1" count="1" selected="0">
            <x v="33"/>
          </reference>
        </references>
      </pivotArea>
    </chartFormat>
    <chartFormat chart="0" format="692">
      <pivotArea type="data" outline="0" fieldPosition="0">
        <references count="3">
          <reference field="4294967294" count="1" selected="0">
            <x v="0"/>
          </reference>
          <reference field="0" count="1" selected="0">
            <x v="9"/>
          </reference>
          <reference field="1" count="1" selected="0">
            <x v="35"/>
          </reference>
        </references>
      </pivotArea>
    </chartFormat>
    <chartFormat chart="0" format="693">
      <pivotArea type="data" outline="0" fieldPosition="0">
        <references count="3">
          <reference field="4294967294" count="1" selected="0">
            <x v="0"/>
          </reference>
          <reference field="0" count="1" selected="0">
            <x v="9"/>
          </reference>
          <reference field="1" count="1" selected="0">
            <x v="37"/>
          </reference>
        </references>
      </pivotArea>
    </chartFormat>
    <chartFormat chart="0" format="694">
      <pivotArea type="data" outline="0" fieldPosition="0">
        <references count="3">
          <reference field="4294967294" count="1" selected="0">
            <x v="0"/>
          </reference>
          <reference field="0" count="1" selected="0">
            <x v="9"/>
          </reference>
          <reference field="1" count="1" selected="0">
            <x v="39"/>
          </reference>
        </references>
      </pivotArea>
    </chartFormat>
    <chartFormat chart="0" format="695">
      <pivotArea type="data" outline="0" fieldPosition="0">
        <references count="3">
          <reference field="4294967294" count="1" selected="0">
            <x v="0"/>
          </reference>
          <reference field="0" count="1" selected="0">
            <x v="9"/>
          </reference>
          <reference field="1" count="1" selected="0">
            <x v="41"/>
          </reference>
        </references>
      </pivotArea>
    </chartFormat>
    <chartFormat chart="0" format="696">
      <pivotArea type="data" outline="0" fieldPosition="0">
        <references count="3">
          <reference field="4294967294" count="1" selected="0">
            <x v="0"/>
          </reference>
          <reference field="0" count="1" selected="0">
            <x v="9"/>
          </reference>
          <reference field="1" count="1" selected="0">
            <x v="43"/>
          </reference>
        </references>
      </pivotArea>
    </chartFormat>
    <chartFormat chart="0" format="697">
      <pivotArea type="data" outline="0" fieldPosition="0">
        <references count="3">
          <reference field="4294967294" count="1" selected="0">
            <x v="0"/>
          </reference>
          <reference field="0" count="1" selected="0">
            <x v="9"/>
          </reference>
          <reference field="1" count="1" selected="0">
            <x v="45"/>
          </reference>
        </references>
      </pivotArea>
    </chartFormat>
    <chartFormat chart="0" format="698">
      <pivotArea type="data" outline="0" fieldPosition="0">
        <references count="3">
          <reference field="4294967294" count="1" selected="0">
            <x v="0"/>
          </reference>
          <reference field="0" count="1" selected="0">
            <x v="9"/>
          </reference>
          <reference field="1" count="1" selected="0">
            <x v="47"/>
          </reference>
        </references>
      </pivotArea>
    </chartFormat>
    <chartFormat chart="0" format="699">
      <pivotArea type="data" outline="0" fieldPosition="0">
        <references count="3">
          <reference field="4294967294" count="1" selected="0">
            <x v="0"/>
          </reference>
          <reference field="0" count="1" selected="0">
            <x v="9"/>
          </reference>
          <reference field="1" count="1" selected="0">
            <x v="49"/>
          </reference>
        </references>
      </pivotArea>
    </chartFormat>
    <chartFormat chart="0" format="700">
      <pivotArea type="data" outline="0" fieldPosition="0">
        <references count="3">
          <reference field="4294967294" count="1" selected="0">
            <x v="0"/>
          </reference>
          <reference field="0" count="1" selected="0">
            <x v="9"/>
          </reference>
          <reference field="1" count="1" selected="0">
            <x v="51"/>
          </reference>
        </references>
      </pivotArea>
    </chartFormat>
    <chartFormat chart="0" format="701">
      <pivotArea type="data" outline="0" fieldPosition="0">
        <references count="3">
          <reference field="4294967294" count="1" selected="0">
            <x v="0"/>
          </reference>
          <reference field="0" count="1" selected="0">
            <x v="9"/>
          </reference>
          <reference field="1" count="1" selected="0">
            <x v="53"/>
          </reference>
        </references>
      </pivotArea>
    </chartFormat>
    <chartFormat chart="0" format="702">
      <pivotArea type="data" outline="0" fieldPosition="0">
        <references count="3">
          <reference field="4294967294" count="1" selected="0">
            <x v="0"/>
          </reference>
          <reference field="0" count="1" selected="0">
            <x v="9"/>
          </reference>
          <reference field="1" count="1" selected="0">
            <x v="55"/>
          </reference>
        </references>
      </pivotArea>
    </chartFormat>
    <chartFormat chart="0" format="703">
      <pivotArea type="data" outline="0" fieldPosition="0">
        <references count="3">
          <reference field="4294967294" count="1" selected="0">
            <x v="0"/>
          </reference>
          <reference field="0" count="1" selected="0">
            <x v="9"/>
          </reference>
          <reference field="1" count="1" selected="0">
            <x v="57"/>
          </reference>
        </references>
      </pivotArea>
    </chartFormat>
    <chartFormat chart="0" format="704">
      <pivotArea type="data" outline="0" fieldPosition="0">
        <references count="3">
          <reference field="4294967294" count="1" selected="0">
            <x v="0"/>
          </reference>
          <reference field="0" count="1" selected="0">
            <x v="9"/>
          </reference>
          <reference field="1" count="1" selected="0">
            <x v="59"/>
          </reference>
        </references>
      </pivotArea>
    </chartFormat>
    <chartFormat chart="0" format="705">
      <pivotArea type="data" outline="0" fieldPosition="0">
        <references count="3">
          <reference field="4294967294" count="1" selected="0">
            <x v="0"/>
          </reference>
          <reference field="0" count="1" selected="0">
            <x v="9"/>
          </reference>
          <reference field="1" count="1" selected="0">
            <x v="61"/>
          </reference>
        </references>
      </pivotArea>
    </chartFormat>
    <chartFormat chart="0" format="706">
      <pivotArea type="data" outline="0" fieldPosition="0">
        <references count="3">
          <reference field="4294967294" count="1" selected="0">
            <x v="0"/>
          </reference>
          <reference field="0" count="1" selected="0">
            <x v="9"/>
          </reference>
          <reference field="1" count="1" selected="0">
            <x v="63"/>
          </reference>
        </references>
      </pivotArea>
    </chartFormat>
    <chartFormat chart="0" format="707">
      <pivotArea type="data" outline="0" fieldPosition="0">
        <references count="3">
          <reference field="4294967294" count="1" selected="0">
            <x v="0"/>
          </reference>
          <reference field="0" count="1" selected="0">
            <x v="9"/>
          </reference>
          <reference field="1" count="1" selected="0">
            <x v="65"/>
          </reference>
        </references>
      </pivotArea>
    </chartFormat>
    <chartFormat chart="0" format="708">
      <pivotArea type="data" outline="0" fieldPosition="0">
        <references count="3">
          <reference field="4294967294" count="1" selected="0">
            <x v="0"/>
          </reference>
          <reference field="0" count="1" selected="0">
            <x v="9"/>
          </reference>
          <reference field="1" count="1" selected="0">
            <x v="67"/>
          </reference>
        </references>
      </pivotArea>
    </chartFormat>
    <chartFormat chart="0" format="709">
      <pivotArea type="data" outline="0" fieldPosition="0">
        <references count="3">
          <reference field="4294967294" count="1" selected="0">
            <x v="0"/>
          </reference>
          <reference field="0" count="1" selected="0">
            <x v="9"/>
          </reference>
          <reference field="1" count="1" selected="0">
            <x v="69"/>
          </reference>
        </references>
      </pivotArea>
    </chartFormat>
    <chartFormat chart="0" format="710">
      <pivotArea type="data" outline="0" fieldPosition="0">
        <references count="3">
          <reference field="4294967294" count="1" selected="0">
            <x v="0"/>
          </reference>
          <reference field="0" count="1" selected="0">
            <x v="9"/>
          </reference>
          <reference field="1" count="1" selected="0">
            <x v="70"/>
          </reference>
        </references>
      </pivotArea>
    </chartFormat>
    <chartFormat chart="0" format="711">
      <pivotArea type="data" outline="0" fieldPosition="0">
        <references count="3">
          <reference field="4294967294" count="1" selected="0">
            <x v="0"/>
          </reference>
          <reference field="0" count="1" selected="0">
            <x v="9"/>
          </reference>
          <reference field="1" count="1" selected="0">
            <x v="71"/>
          </reference>
        </references>
      </pivotArea>
    </chartFormat>
    <chartFormat chart="0" format="712">
      <pivotArea type="data" outline="0" fieldPosition="0">
        <references count="3">
          <reference field="4294967294" count="1" selected="0">
            <x v="0"/>
          </reference>
          <reference field="0" count="1" selected="0">
            <x v="9"/>
          </reference>
          <reference field="1" count="1" selected="0">
            <x v="73"/>
          </reference>
        </references>
      </pivotArea>
    </chartFormat>
    <chartFormat chart="0" format="713">
      <pivotArea type="data" outline="0" fieldPosition="0">
        <references count="3">
          <reference field="4294967294" count="1" selected="0">
            <x v="0"/>
          </reference>
          <reference field="0" count="1" selected="0">
            <x v="10"/>
          </reference>
          <reference field="1" count="1" selected="0">
            <x v="1"/>
          </reference>
        </references>
      </pivotArea>
    </chartFormat>
    <chartFormat chart="0" format="714">
      <pivotArea type="data" outline="0" fieldPosition="0">
        <references count="3">
          <reference field="4294967294" count="1" selected="0">
            <x v="0"/>
          </reference>
          <reference field="0" count="1" selected="0">
            <x v="10"/>
          </reference>
          <reference field="1" count="1" selected="0">
            <x v="2"/>
          </reference>
        </references>
      </pivotArea>
    </chartFormat>
    <chartFormat chart="0" format="715">
      <pivotArea type="data" outline="0" fieldPosition="0">
        <references count="3">
          <reference field="4294967294" count="1" selected="0">
            <x v="0"/>
          </reference>
          <reference field="0" count="1" selected="0">
            <x v="10"/>
          </reference>
          <reference field="1" count="1" selected="0">
            <x v="3"/>
          </reference>
        </references>
      </pivotArea>
    </chartFormat>
    <chartFormat chart="0" format="716">
      <pivotArea type="data" outline="0" fieldPosition="0">
        <references count="3">
          <reference field="4294967294" count="1" selected="0">
            <x v="0"/>
          </reference>
          <reference field="0" count="1" selected="0">
            <x v="10"/>
          </reference>
          <reference field="1" count="1" selected="0">
            <x v="4"/>
          </reference>
        </references>
      </pivotArea>
    </chartFormat>
    <chartFormat chart="0" format="717">
      <pivotArea type="data" outline="0" fieldPosition="0">
        <references count="3">
          <reference field="4294967294" count="1" selected="0">
            <x v="0"/>
          </reference>
          <reference field="0" count="1" selected="0">
            <x v="10"/>
          </reference>
          <reference field="1" count="1" selected="0">
            <x v="5"/>
          </reference>
        </references>
      </pivotArea>
    </chartFormat>
    <chartFormat chart="0" format="718">
      <pivotArea type="data" outline="0" fieldPosition="0">
        <references count="3">
          <reference field="4294967294" count="1" selected="0">
            <x v="0"/>
          </reference>
          <reference field="0" count="1" selected="0">
            <x v="10"/>
          </reference>
          <reference field="1" count="1" selected="0">
            <x v="6"/>
          </reference>
        </references>
      </pivotArea>
    </chartFormat>
    <chartFormat chart="0" format="719">
      <pivotArea type="data" outline="0" fieldPosition="0">
        <references count="3">
          <reference field="4294967294" count="1" selected="0">
            <x v="0"/>
          </reference>
          <reference field="0" count="1" selected="0">
            <x v="10"/>
          </reference>
          <reference field="1" count="1" selected="0">
            <x v="7"/>
          </reference>
        </references>
      </pivotArea>
    </chartFormat>
    <chartFormat chart="0" format="720">
      <pivotArea type="data" outline="0" fieldPosition="0">
        <references count="3">
          <reference field="4294967294" count="1" selected="0">
            <x v="0"/>
          </reference>
          <reference field="0" count="1" selected="0">
            <x v="10"/>
          </reference>
          <reference field="1" count="1" selected="0">
            <x v="8"/>
          </reference>
        </references>
      </pivotArea>
    </chartFormat>
    <chartFormat chart="0" format="721">
      <pivotArea type="data" outline="0" fieldPosition="0">
        <references count="3">
          <reference field="4294967294" count="1" selected="0">
            <x v="0"/>
          </reference>
          <reference field="0" count="1" selected="0">
            <x v="10"/>
          </reference>
          <reference field="1" count="1" selected="0">
            <x v="9"/>
          </reference>
        </references>
      </pivotArea>
    </chartFormat>
    <chartFormat chart="0" format="722">
      <pivotArea type="data" outline="0" fieldPosition="0">
        <references count="3">
          <reference field="4294967294" count="1" selected="0">
            <x v="0"/>
          </reference>
          <reference field="0" count="1" selected="0">
            <x v="10"/>
          </reference>
          <reference field="1" count="1" selected="0">
            <x v="10"/>
          </reference>
        </references>
      </pivotArea>
    </chartFormat>
    <chartFormat chart="0" format="723">
      <pivotArea type="data" outline="0" fieldPosition="0">
        <references count="3">
          <reference field="4294967294" count="1" selected="0">
            <x v="0"/>
          </reference>
          <reference field="0" count="1" selected="0">
            <x v="10"/>
          </reference>
          <reference field="1" count="1" selected="0">
            <x v="11"/>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2"/>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3"/>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4"/>
          </reference>
        </references>
      </pivotArea>
    </chartFormat>
    <chartFormat chart="0" format="727">
      <pivotArea type="data" outline="0" fieldPosition="0">
        <references count="3">
          <reference field="4294967294" count="1" selected="0">
            <x v="0"/>
          </reference>
          <reference field="0" count="1" selected="0">
            <x v="10"/>
          </reference>
          <reference field="1" count="1" selected="0">
            <x v="15"/>
          </reference>
        </references>
      </pivotArea>
    </chartFormat>
    <chartFormat chart="0" format="728">
      <pivotArea type="data" outline="0" fieldPosition="0">
        <references count="3">
          <reference field="4294967294" count="1" selected="0">
            <x v="0"/>
          </reference>
          <reference field="0" count="1" selected="0">
            <x v="10"/>
          </reference>
          <reference field="1" count="1" selected="0">
            <x v="16"/>
          </reference>
        </references>
      </pivotArea>
    </chartFormat>
    <chartFormat chart="0" format="729">
      <pivotArea type="data" outline="0" fieldPosition="0">
        <references count="3">
          <reference field="4294967294" count="1" selected="0">
            <x v="0"/>
          </reference>
          <reference field="0" count="1" selected="0">
            <x v="10"/>
          </reference>
          <reference field="1" count="1" selected="0">
            <x v="17"/>
          </reference>
        </references>
      </pivotArea>
    </chartFormat>
    <chartFormat chart="0" format="730">
      <pivotArea type="data" outline="0" fieldPosition="0">
        <references count="3">
          <reference field="4294967294" count="1" selected="0">
            <x v="0"/>
          </reference>
          <reference field="0" count="1" selected="0">
            <x v="10"/>
          </reference>
          <reference field="1" count="1" selected="0">
            <x v="18"/>
          </reference>
        </references>
      </pivotArea>
    </chartFormat>
    <chartFormat chart="0" format="731">
      <pivotArea type="data" outline="0" fieldPosition="0">
        <references count="3">
          <reference field="4294967294" count="1" selected="0">
            <x v="0"/>
          </reference>
          <reference field="0" count="1" selected="0">
            <x v="10"/>
          </reference>
          <reference field="1" count="1" selected="0">
            <x v="19"/>
          </reference>
        </references>
      </pivotArea>
    </chartFormat>
    <chartFormat chart="0" format="732">
      <pivotArea type="data" outline="0" fieldPosition="0">
        <references count="3">
          <reference field="4294967294" count="1" selected="0">
            <x v="0"/>
          </reference>
          <reference field="0" count="1" selected="0">
            <x v="10"/>
          </reference>
          <reference field="1" count="1" selected="0">
            <x v="20"/>
          </reference>
        </references>
      </pivotArea>
    </chartFormat>
    <chartFormat chart="0" format="733">
      <pivotArea type="data" outline="0" fieldPosition="0">
        <references count="3">
          <reference field="4294967294" count="1" selected="0">
            <x v="0"/>
          </reference>
          <reference field="0" count="1" selected="0">
            <x v="10"/>
          </reference>
          <reference field="1" count="1" selected="0">
            <x v="21"/>
          </reference>
        </references>
      </pivotArea>
    </chartFormat>
    <chartFormat chart="0" format="734">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5">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6">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7">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8">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9">
      <pivotArea type="data" outline="0" fieldPosition="0">
        <references count="3">
          <reference field="4294967294" count="1" selected="0">
            <x v="0"/>
          </reference>
          <reference field="0" count="1" selected="0">
            <x v="10"/>
          </reference>
          <reference field="1" count="1" selected="0">
            <x v="33"/>
          </reference>
        </references>
      </pivotArea>
    </chartFormat>
    <chartFormat chart="0" format="740">
      <pivotArea type="data" outline="0" fieldPosition="0">
        <references count="3">
          <reference field="4294967294" count="1" selected="0">
            <x v="0"/>
          </reference>
          <reference field="0" count="1" selected="0">
            <x v="10"/>
          </reference>
          <reference field="1" count="1" selected="0">
            <x v="35"/>
          </reference>
        </references>
      </pivotArea>
    </chartFormat>
    <chartFormat chart="0" format="741">
      <pivotArea type="data" outline="0" fieldPosition="0">
        <references count="3">
          <reference field="4294967294" count="1" selected="0">
            <x v="0"/>
          </reference>
          <reference field="0" count="1" selected="0">
            <x v="10"/>
          </reference>
          <reference field="1" count="1" selected="0">
            <x v="37"/>
          </reference>
        </references>
      </pivotArea>
    </chartFormat>
    <chartFormat chart="0" format="742">
      <pivotArea type="data" outline="0" fieldPosition="0">
        <references count="3">
          <reference field="4294967294" count="1" selected="0">
            <x v="0"/>
          </reference>
          <reference field="0" count="1" selected="0">
            <x v="10"/>
          </reference>
          <reference field="1" count="1" selected="0">
            <x v="39"/>
          </reference>
        </references>
      </pivotArea>
    </chartFormat>
    <chartFormat chart="0" format="743">
      <pivotArea type="data" outline="0" fieldPosition="0">
        <references count="3">
          <reference field="4294967294" count="1" selected="0">
            <x v="0"/>
          </reference>
          <reference field="0" count="1" selected="0">
            <x v="10"/>
          </reference>
          <reference field="1" count="1" selected="0">
            <x v="41"/>
          </reference>
        </references>
      </pivotArea>
    </chartFormat>
    <chartFormat chart="0" format="744">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5">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6">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7">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8">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9">
      <pivotArea type="data" outline="0" fieldPosition="0">
        <references count="3">
          <reference field="4294967294" count="1" selected="0">
            <x v="0"/>
          </reference>
          <reference field="0" count="1" selected="0">
            <x v="10"/>
          </reference>
          <reference field="1" count="1" selected="0">
            <x v="53"/>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5"/>
          </reference>
        </references>
      </pivotArea>
    </chartFormat>
    <chartFormat chart="0" format="751">
      <pivotArea type="data" outline="0" fieldPosition="0">
        <references count="3">
          <reference field="4294967294" count="1" selected="0">
            <x v="0"/>
          </reference>
          <reference field="0" count="1" selected="0">
            <x v="10"/>
          </reference>
          <reference field="1" count="1" selected="0">
            <x v="57"/>
          </reference>
        </references>
      </pivotArea>
    </chartFormat>
    <chartFormat chart="0" format="752">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3">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4">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8">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9">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1">
      <pivotArea type="data" outline="0" fieldPosition="0">
        <references count="3">
          <reference field="4294967294" count="1" selected="0">
            <x v="0"/>
          </reference>
          <reference field="0" count="1" selected="0">
            <x v="11"/>
          </reference>
          <reference field="1" count="1" selected="0">
            <x v="1"/>
          </reference>
        </references>
      </pivotArea>
    </chartFormat>
    <chartFormat chart="0" format="762">
      <pivotArea type="data" outline="0" fieldPosition="0">
        <references count="3">
          <reference field="4294967294" count="1" selected="0">
            <x v="0"/>
          </reference>
          <reference field="0" count="1" selected="0">
            <x v="11"/>
          </reference>
          <reference field="1" count="1" selected="0">
            <x v="2"/>
          </reference>
        </references>
      </pivotArea>
    </chartFormat>
    <chartFormat chart="0" format="763">
      <pivotArea type="data" outline="0" fieldPosition="0">
        <references count="3">
          <reference field="4294967294" count="1" selected="0">
            <x v="0"/>
          </reference>
          <reference field="0" count="1" selected="0">
            <x v="11"/>
          </reference>
          <reference field="1" count="1" selected="0">
            <x v="3"/>
          </reference>
        </references>
      </pivotArea>
    </chartFormat>
    <chartFormat chart="0" format="764">
      <pivotArea type="data" outline="0" fieldPosition="0">
        <references count="3">
          <reference field="4294967294" count="1" selected="0">
            <x v="0"/>
          </reference>
          <reference field="0" count="1" selected="0">
            <x v="11"/>
          </reference>
          <reference field="1" count="1" selected="0">
            <x v="4"/>
          </reference>
        </references>
      </pivotArea>
    </chartFormat>
    <chartFormat chart="0" format="765">
      <pivotArea type="data" outline="0" fieldPosition="0">
        <references count="3">
          <reference field="4294967294" count="1" selected="0">
            <x v="0"/>
          </reference>
          <reference field="0" count="1" selected="0">
            <x v="11"/>
          </reference>
          <reference field="1" count="1" selected="0">
            <x v="5"/>
          </reference>
        </references>
      </pivotArea>
    </chartFormat>
    <chartFormat chart="0" format="766">
      <pivotArea type="data" outline="0" fieldPosition="0">
        <references count="3">
          <reference field="4294967294" count="1" selected="0">
            <x v="0"/>
          </reference>
          <reference field="0" count="1" selected="0">
            <x v="11"/>
          </reference>
          <reference field="1" count="1" selected="0">
            <x v="6"/>
          </reference>
        </references>
      </pivotArea>
    </chartFormat>
    <chartFormat chart="0" format="767">
      <pivotArea type="data" outline="0" fieldPosition="0">
        <references count="3">
          <reference field="4294967294" count="1" selected="0">
            <x v="0"/>
          </reference>
          <reference field="0" count="1" selected="0">
            <x v="11"/>
          </reference>
          <reference field="1" count="1" selected="0">
            <x v="7"/>
          </reference>
        </references>
      </pivotArea>
    </chartFormat>
    <chartFormat chart="0" format="768">
      <pivotArea type="data" outline="0" fieldPosition="0">
        <references count="3">
          <reference field="4294967294" count="1" selected="0">
            <x v="0"/>
          </reference>
          <reference field="0" count="1" selected="0">
            <x v="11"/>
          </reference>
          <reference field="1" count="1" selected="0">
            <x v="8"/>
          </reference>
        </references>
      </pivotArea>
    </chartFormat>
    <chartFormat chart="0" format="769">
      <pivotArea type="data" outline="0" fieldPosition="0">
        <references count="3">
          <reference field="4294967294" count="1" selected="0">
            <x v="0"/>
          </reference>
          <reference field="0" count="1" selected="0">
            <x v="11"/>
          </reference>
          <reference field="1" count="1" selected="0">
            <x v="9"/>
          </reference>
        </references>
      </pivotArea>
    </chartFormat>
    <chartFormat chart="0" format="770">
      <pivotArea type="data" outline="0" fieldPosition="0">
        <references count="3">
          <reference field="4294967294" count="1" selected="0">
            <x v="0"/>
          </reference>
          <reference field="0" count="1" selected="0">
            <x v="11"/>
          </reference>
          <reference field="1" count="1" selected="0">
            <x v="10"/>
          </reference>
        </references>
      </pivotArea>
    </chartFormat>
    <chartFormat chart="0" format="771">
      <pivotArea type="data" outline="0" fieldPosition="0">
        <references count="3">
          <reference field="4294967294" count="1" selected="0">
            <x v="0"/>
          </reference>
          <reference field="0" count="1" selected="0">
            <x v="11"/>
          </reference>
          <reference field="1" count="1" selected="0">
            <x v="11"/>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2"/>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3"/>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4"/>
          </reference>
        </references>
      </pivotArea>
    </chartFormat>
    <chartFormat chart="0" format="775">
      <pivotArea type="data" outline="0" fieldPosition="0">
        <references count="3">
          <reference field="4294967294" count="1" selected="0">
            <x v="0"/>
          </reference>
          <reference field="0" count="1" selected="0">
            <x v="11"/>
          </reference>
          <reference field="1" count="1" selected="0">
            <x v="15"/>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6"/>
          </reference>
        </references>
      </pivotArea>
    </chartFormat>
    <chartFormat chart="0" format="777">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8">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9">
      <pivotArea type="data" outline="0" fieldPosition="0">
        <references count="3">
          <reference field="4294967294" count="1" selected="0">
            <x v="0"/>
          </reference>
          <reference field="0" count="1" selected="0">
            <x v="11"/>
          </reference>
          <reference field="1" count="1" selected="0">
            <x v="19"/>
          </reference>
        </references>
      </pivotArea>
    </chartFormat>
    <chartFormat chart="0" format="780">
      <pivotArea type="data" outline="0" fieldPosition="0">
        <references count="3">
          <reference field="4294967294" count="1" selected="0">
            <x v="0"/>
          </reference>
          <reference field="0" count="1" selected="0">
            <x v="11"/>
          </reference>
          <reference field="1" count="1" selected="0">
            <x v="20"/>
          </reference>
        </references>
      </pivotArea>
    </chartFormat>
    <chartFormat chart="0" format="781">
      <pivotArea type="data" outline="0" fieldPosition="0">
        <references count="3">
          <reference field="4294967294" count="1" selected="0">
            <x v="2"/>
          </reference>
          <reference field="0" count="1" selected="0">
            <x v="6"/>
          </reference>
          <reference field="1" count="1" selected="0">
            <x v="11"/>
          </reference>
        </references>
      </pivotArea>
    </chartFormat>
    <chartFormat chart="0" format="782">
      <pivotArea type="data" outline="0" fieldPosition="0">
        <references count="3">
          <reference field="4294967294" count="1" selected="0">
            <x v="2"/>
          </reference>
          <reference field="0" count="1" selected="0">
            <x v="6"/>
          </reference>
          <reference field="1" count="1" selected="0">
            <x v="12"/>
          </reference>
        </references>
      </pivotArea>
    </chartFormat>
    <chartFormat chart="0" format="783">
      <pivotArea type="data" outline="0" fieldPosition="0">
        <references count="3">
          <reference field="4294967294" count="1" selected="0">
            <x v="2"/>
          </reference>
          <reference field="0" count="1" selected="0">
            <x v="6"/>
          </reference>
          <reference field="1" count="1" selected="0">
            <x v="13"/>
          </reference>
        </references>
      </pivotArea>
    </chartFormat>
    <chartFormat chart="0" format="784">
      <pivotArea type="data" outline="0" fieldPosition="0">
        <references count="3">
          <reference field="4294967294" count="1" selected="0">
            <x v="2"/>
          </reference>
          <reference field="0" count="1" selected="0">
            <x v="6"/>
          </reference>
          <reference field="1" count="1" selected="0">
            <x v="14"/>
          </reference>
        </references>
      </pivotArea>
    </chartFormat>
    <chartFormat chart="0" format="785">
      <pivotArea type="data" outline="0" fieldPosition="0">
        <references count="3">
          <reference field="4294967294" count="1" selected="0">
            <x v="2"/>
          </reference>
          <reference field="0" count="1" selected="0">
            <x v="6"/>
          </reference>
          <reference field="1" count="1" selected="0">
            <x v="15"/>
          </reference>
        </references>
      </pivotArea>
    </chartFormat>
    <chartFormat chart="0" format="786">
      <pivotArea type="data" outline="0" fieldPosition="0">
        <references count="3">
          <reference field="4294967294" count="1" selected="0">
            <x v="2"/>
          </reference>
          <reference field="0" count="1" selected="0">
            <x v="6"/>
          </reference>
          <reference field="1" count="1" selected="0">
            <x v="16"/>
          </reference>
        </references>
      </pivotArea>
    </chartFormat>
    <chartFormat chart="0" format="787">
      <pivotArea type="data" outline="0" fieldPosition="0">
        <references count="3">
          <reference field="4294967294" count="1" selected="0">
            <x v="2"/>
          </reference>
          <reference field="0" count="1" selected="0">
            <x v="6"/>
          </reference>
          <reference field="1" count="1" selected="0">
            <x v="17"/>
          </reference>
        </references>
      </pivotArea>
    </chartFormat>
    <chartFormat chart="0" format="788">
      <pivotArea type="data" outline="0" fieldPosition="0">
        <references count="3">
          <reference field="4294967294" count="1" selected="0">
            <x v="2"/>
          </reference>
          <reference field="0" count="1" selected="0">
            <x v="6"/>
          </reference>
          <reference field="1" count="1" selected="0">
            <x v="18"/>
          </reference>
        </references>
      </pivotArea>
    </chartFormat>
    <chartFormat chart="0" format="789">
      <pivotArea type="data" outline="0" fieldPosition="0">
        <references count="3">
          <reference field="4294967294" count="1" selected="0">
            <x v="2"/>
          </reference>
          <reference field="0" count="1" selected="0">
            <x v="6"/>
          </reference>
          <reference field="1" count="1" selected="0">
            <x v="19"/>
          </reference>
        </references>
      </pivotArea>
    </chartFormat>
    <chartFormat chart="0" format="790">
      <pivotArea type="data" outline="0" fieldPosition="0">
        <references count="3">
          <reference field="4294967294" count="1" selected="0">
            <x v="2"/>
          </reference>
          <reference field="0" count="1" selected="0">
            <x v="6"/>
          </reference>
          <reference field="1" count="1" selected="0">
            <x v="20"/>
          </reference>
        </references>
      </pivotArea>
    </chartFormat>
    <chartFormat chart="0" format="791">
      <pivotArea type="data" outline="0" fieldPosition="0">
        <references count="3">
          <reference field="4294967294" count="1" selected="0">
            <x v="2"/>
          </reference>
          <reference field="0" count="1" selected="0">
            <x v="6"/>
          </reference>
          <reference field="1" count="1" selected="0">
            <x v="21"/>
          </reference>
        </references>
      </pivotArea>
    </chartFormat>
    <chartFormat chart="0" format="792">
      <pivotArea type="data" outline="0" fieldPosition="0">
        <references count="3">
          <reference field="4294967294" count="1" selected="0">
            <x v="2"/>
          </reference>
          <reference field="0" count="1" selected="0">
            <x v="6"/>
          </reference>
          <reference field="1" count="1" selected="0">
            <x v="23"/>
          </reference>
        </references>
      </pivotArea>
    </chartFormat>
    <chartFormat chart="0" format="793">
      <pivotArea type="data" outline="0" fieldPosition="0">
        <references count="3">
          <reference field="4294967294" count="1" selected="0">
            <x v="2"/>
          </reference>
          <reference field="0" count="1" selected="0">
            <x v="6"/>
          </reference>
          <reference field="1" count="1" selected="0">
            <x v="25"/>
          </reference>
        </references>
      </pivotArea>
    </chartFormat>
    <chartFormat chart="0" format="794">
      <pivotArea type="data" outline="0" fieldPosition="0">
        <references count="3">
          <reference field="4294967294" count="1" selected="0">
            <x v="2"/>
          </reference>
          <reference field="0" count="1" selected="0">
            <x v="6"/>
          </reference>
          <reference field="1" count="1" selected="0">
            <x v="27"/>
          </reference>
        </references>
      </pivotArea>
    </chartFormat>
    <chartFormat chart="0" format="795">
      <pivotArea type="data" outline="0" fieldPosition="0">
        <references count="3">
          <reference field="4294967294" count="1" selected="0">
            <x v="2"/>
          </reference>
          <reference field="0" count="1" selected="0">
            <x v="6"/>
          </reference>
          <reference field="1" count="1" selected="0">
            <x v="29"/>
          </reference>
        </references>
      </pivotArea>
    </chartFormat>
    <chartFormat chart="0" format="796">
      <pivotArea type="data" outline="0" fieldPosition="0">
        <references count="3">
          <reference field="4294967294" count="1" selected="0">
            <x v="2"/>
          </reference>
          <reference field="0" count="1" selected="0">
            <x v="6"/>
          </reference>
          <reference field="1" count="1" selected="0">
            <x v="31"/>
          </reference>
        </references>
      </pivotArea>
    </chartFormat>
    <chartFormat chart="0" format="797">
      <pivotArea type="data" outline="0" fieldPosition="0">
        <references count="3">
          <reference field="4294967294" count="1" selected="0">
            <x v="2"/>
          </reference>
          <reference field="0" count="1" selected="0">
            <x v="6"/>
          </reference>
          <reference field="1" count="1" selected="0">
            <x v="33"/>
          </reference>
        </references>
      </pivotArea>
    </chartFormat>
    <chartFormat chart="0" format="798">
      <pivotArea type="data" outline="0" fieldPosition="0">
        <references count="3">
          <reference field="4294967294" count="1" selected="0">
            <x v="2"/>
          </reference>
          <reference field="0" count="1" selected="0">
            <x v="6"/>
          </reference>
          <reference field="1" count="1" selected="0">
            <x v="35"/>
          </reference>
        </references>
      </pivotArea>
    </chartFormat>
    <chartFormat chart="0" format="799">
      <pivotArea type="data" outline="0" fieldPosition="0">
        <references count="3">
          <reference field="4294967294" count="1" selected="0">
            <x v="2"/>
          </reference>
          <reference field="0" count="1" selected="0">
            <x v="6"/>
          </reference>
          <reference field="1" count="1" selected="0">
            <x v="37"/>
          </reference>
        </references>
      </pivotArea>
    </chartFormat>
    <chartFormat chart="0" format="800">
      <pivotArea type="data" outline="0" fieldPosition="0">
        <references count="3">
          <reference field="4294967294" count="1" selected="0">
            <x v="2"/>
          </reference>
          <reference field="0" count="1" selected="0">
            <x v="6"/>
          </reference>
          <reference field="1" count="1" selected="0">
            <x v="39"/>
          </reference>
        </references>
      </pivotArea>
    </chartFormat>
    <chartFormat chart="0" format="801">
      <pivotArea type="data" outline="0" fieldPosition="0">
        <references count="3">
          <reference field="4294967294" count="1" selected="0">
            <x v="2"/>
          </reference>
          <reference field="0" count="1" selected="0">
            <x v="6"/>
          </reference>
          <reference field="1" count="1" selected="0">
            <x v="41"/>
          </reference>
        </references>
      </pivotArea>
    </chartFormat>
    <chartFormat chart="0" format="802">
      <pivotArea type="data" outline="0" fieldPosition="0">
        <references count="3">
          <reference field="4294967294" count="1" selected="0">
            <x v="2"/>
          </reference>
          <reference field="0" count="1" selected="0">
            <x v="6"/>
          </reference>
          <reference field="1" count="1" selected="0">
            <x v="43"/>
          </reference>
        </references>
      </pivotArea>
    </chartFormat>
    <chartFormat chart="0" format="803">
      <pivotArea type="data" outline="0" fieldPosition="0">
        <references count="3">
          <reference field="4294967294" count="1" selected="0">
            <x v="2"/>
          </reference>
          <reference field="0" count="1" selected="0">
            <x v="6"/>
          </reference>
          <reference field="1" count="1" selected="0">
            <x v="45"/>
          </reference>
        </references>
      </pivotArea>
    </chartFormat>
    <chartFormat chart="0" format="804">
      <pivotArea type="data" outline="0" fieldPosition="0">
        <references count="3">
          <reference field="4294967294" count="1" selected="0">
            <x v="2"/>
          </reference>
          <reference field="0" count="1" selected="0">
            <x v="6"/>
          </reference>
          <reference field="1" count="1" selected="0">
            <x v="47"/>
          </reference>
        </references>
      </pivotArea>
    </chartFormat>
    <chartFormat chart="0" format="805">
      <pivotArea type="data" outline="0" fieldPosition="0">
        <references count="3">
          <reference field="4294967294" count="1" selected="0">
            <x v="2"/>
          </reference>
          <reference field="0" count="1" selected="0">
            <x v="6"/>
          </reference>
          <reference field="1" count="1" selected="0">
            <x v="49"/>
          </reference>
        </references>
      </pivotArea>
    </chartFormat>
    <chartFormat chart="0" format="806">
      <pivotArea type="data" outline="0" fieldPosition="0">
        <references count="3">
          <reference field="4294967294" count="1" selected="0">
            <x v="2"/>
          </reference>
          <reference field="0" count="1" selected="0">
            <x v="6"/>
          </reference>
          <reference field="1" count="1" selected="0">
            <x v="51"/>
          </reference>
        </references>
      </pivotArea>
    </chartFormat>
    <chartFormat chart="0" format="807">
      <pivotArea type="data" outline="0" fieldPosition="0">
        <references count="3">
          <reference field="4294967294" count="1" selected="0">
            <x v="2"/>
          </reference>
          <reference field="0" count="1" selected="0">
            <x v="6"/>
          </reference>
          <reference field="1" count="1" selected="0">
            <x v="53"/>
          </reference>
        </references>
      </pivotArea>
    </chartFormat>
    <chartFormat chart="0" format="808">
      <pivotArea type="data" outline="0" fieldPosition="0">
        <references count="3">
          <reference field="4294967294" count="1" selected="0">
            <x v="2"/>
          </reference>
          <reference field="0" count="1" selected="0">
            <x v="6"/>
          </reference>
          <reference field="1" count="1" selected="0">
            <x v="55"/>
          </reference>
        </references>
      </pivotArea>
    </chartFormat>
    <chartFormat chart="0" format="809">
      <pivotArea type="data" outline="0" fieldPosition="0">
        <references count="3">
          <reference field="4294967294" count="1" selected="0">
            <x v="2"/>
          </reference>
          <reference field="0" count="1" selected="0">
            <x v="6"/>
          </reference>
          <reference field="1" count="1" selected="0">
            <x v="57"/>
          </reference>
        </references>
      </pivotArea>
    </chartFormat>
    <chartFormat chart="0" format="810">
      <pivotArea type="data" outline="0" fieldPosition="0">
        <references count="3">
          <reference field="4294967294" count="1" selected="0">
            <x v="2"/>
          </reference>
          <reference field="0" count="1" selected="0">
            <x v="6"/>
          </reference>
          <reference field="1" count="1" selected="0">
            <x v="59"/>
          </reference>
        </references>
      </pivotArea>
    </chartFormat>
    <chartFormat chart="0" format="811">
      <pivotArea type="data" outline="0" fieldPosition="0">
        <references count="3">
          <reference field="4294967294" count="1" selected="0">
            <x v="2"/>
          </reference>
          <reference field="0" count="1" selected="0">
            <x v="6"/>
          </reference>
          <reference field="1" count="1" selected="0">
            <x v="61"/>
          </reference>
        </references>
      </pivotArea>
    </chartFormat>
    <chartFormat chart="0" format="812">
      <pivotArea type="data" outline="0" fieldPosition="0">
        <references count="3">
          <reference field="4294967294" count="1" selected="0">
            <x v="2"/>
          </reference>
          <reference field="0" count="1" selected="0">
            <x v="6"/>
          </reference>
          <reference field="1" count="1" selected="0">
            <x v="63"/>
          </reference>
        </references>
      </pivotArea>
    </chartFormat>
    <chartFormat chart="0" format="813">
      <pivotArea type="data" outline="0" fieldPosition="0">
        <references count="3">
          <reference field="4294967294" count="1" selected="0">
            <x v="2"/>
          </reference>
          <reference field="0" count="1" selected="0">
            <x v="6"/>
          </reference>
          <reference field="1" count="1" selected="0">
            <x v="65"/>
          </reference>
        </references>
      </pivotArea>
    </chartFormat>
    <chartFormat chart="0" format="814">
      <pivotArea type="data" outline="0" fieldPosition="0">
        <references count="3">
          <reference field="4294967294" count="1" selected="0">
            <x v="2"/>
          </reference>
          <reference field="0" count="1" selected="0">
            <x v="6"/>
          </reference>
          <reference field="1" count="1" selected="0">
            <x v="67"/>
          </reference>
        </references>
      </pivotArea>
    </chartFormat>
    <chartFormat chart="0" format="815">
      <pivotArea type="data" outline="0" fieldPosition="0">
        <references count="3">
          <reference field="4294967294" count="1" selected="0">
            <x v="2"/>
          </reference>
          <reference field="0" count="1" selected="0">
            <x v="6"/>
          </reference>
          <reference field="1" count="1" selected="0">
            <x v="69"/>
          </reference>
        </references>
      </pivotArea>
    </chartFormat>
    <chartFormat chart="0" format="816">
      <pivotArea type="data" outline="0" fieldPosition="0">
        <references count="3">
          <reference field="4294967294" count="1" selected="0">
            <x v="2"/>
          </reference>
          <reference field="0" count="1" selected="0">
            <x v="6"/>
          </reference>
          <reference field="1" count="1" selected="0">
            <x v="70"/>
          </reference>
        </references>
      </pivotArea>
    </chartFormat>
    <chartFormat chart="0" format="817">
      <pivotArea type="data" outline="0" fieldPosition="0">
        <references count="3">
          <reference field="4294967294" count="1" selected="0">
            <x v="2"/>
          </reference>
          <reference field="0" count="1" selected="0">
            <x v="6"/>
          </reference>
          <reference field="1" count="1" selected="0">
            <x v="71"/>
          </reference>
        </references>
      </pivotArea>
    </chartFormat>
    <chartFormat chart="0" format="818">
      <pivotArea type="data" outline="0" fieldPosition="0">
        <references count="3">
          <reference field="4294967294" count="1" selected="0">
            <x v="2"/>
          </reference>
          <reference field="0" count="1" selected="0">
            <x v="6"/>
          </reference>
          <reference field="1" count="1" selected="0">
            <x v="73"/>
          </reference>
        </references>
      </pivotArea>
    </chartFormat>
    <chartFormat chart="0" format="819">
      <pivotArea type="data" outline="0" fieldPosition="0">
        <references count="3">
          <reference field="4294967294" count="1" selected="0">
            <x v="2"/>
          </reference>
          <reference field="0" count="1" selected="0">
            <x v="7"/>
          </reference>
          <reference field="1" count="1" selected="0">
            <x v="1"/>
          </reference>
        </references>
      </pivotArea>
    </chartFormat>
    <chartFormat chart="0" format="820">
      <pivotArea type="data" outline="0" fieldPosition="0">
        <references count="3">
          <reference field="4294967294" count="1" selected="0">
            <x v="2"/>
          </reference>
          <reference field="0" count="1" selected="0">
            <x v="7"/>
          </reference>
          <reference field="1" count="1" selected="0">
            <x v="2"/>
          </reference>
        </references>
      </pivotArea>
    </chartFormat>
    <chartFormat chart="0" format="821">
      <pivotArea type="data" outline="0" fieldPosition="0">
        <references count="3">
          <reference field="4294967294" count="1" selected="0">
            <x v="2"/>
          </reference>
          <reference field="0" count="1" selected="0">
            <x v="7"/>
          </reference>
          <reference field="1" count="1" selected="0">
            <x v="3"/>
          </reference>
        </references>
      </pivotArea>
    </chartFormat>
    <chartFormat chart="0" format="822">
      <pivotArea type="data" outline="0" fieldPosition="0">
        <references count="3">
          <reference field="4294967294" count="1" selected="0">
            <x v="2"/>
          </reference>
          <reference field="0" count="1" selected="0">
            <x v="7"/>
          </reference>
          <reference field="1" count="1" selected="0">
            <x v="4"/>
          </reference>
        </references>
      </pivotArea>
    </chartFormat>
    <chartFormat chart="0" format="823">
      <pivotArea type="data" outline="0" fieldPosition="0">
        <references count="3">
          <reference field="4294967294" count="1" selected="0">
            <x v="2"/>
          </reference>
          <reference field="0" count="1" selected="0">
            <x v="7"/>
          </reference>
          <reference field="1" count="1" selected="0">
            <x v="5"/>
          </reference>
        </references>
      </pivotArea>
    </chartFormat>
    <chartFormat chart="0" format="824">
      <pivotArea type="data" outline="0" fieldPosition="0">
        <references count="3">
          <reference field="4294967294" count="1" selected="0">
            <x v="2"/>
          </reference>
          <reference field="0" count="1" selected="0">
            <x v="7"/>
          </reference>
          <reference field="1" count="1" selected="0">
            <x v="6"/>
          </reference>
        </references>
      </pivotArea>
    </chartFormat>
    <chartFormat chart="0" format="825">
      <pivotArea type="data" outline="0" fieldPosition="0">
        <references count="3">
          <reference field="4294967294" count="1" selected="0">
            <x v="2"/>
          </reference>
          <reference field="0" count="1" selected="0">
            <x v="7"/>
          </reference>
          <reference field="1" count="1" selected="0">
            <x v="7"/>
          </reference>
        </references>
      </pivotArea>
    </chartFormat>
    <chartFormat chart="0" format="826">
      <pivotArea type="data" outline="0" fieldPosition="0">
        <references count="3">
          <reference field="4294967294" count="1" selected="0">
            <x v="2"/>
          </reference>
          <reference field="0" count="1" selected="0">
            <x v="7"/>
          </reference>
          <reference field="1" count="1" selected="0">
            <x v="8"/>
          </reference>
        </references>
      </pivotArea>
    </chartFormat>
    <chartFormat chart="0" format="827">
      <pivotArea type="data" outline="0" fieldPosition="0">
        <references count="3">
          <reference field="4294967294" count="1" selected="0">
            <x v="2"/>
          </reference>
          <reference field="0" count="1" selected="0">
            <x v="7"/>
          </reference>
          <reference field="1" count="1" selected="0">
            <x v="9"/>
          </reference>
        </references>
      </pivotArea>
    </chartFormat>
    <chartFormat chart="0" format="828">
      <pivotArea type="data" outline="0" fieldPosition="0">
        <references count="3">
          <reference field="4294967294" count="1" selected="0">
            <x v="2"/>
          </reference>
          <reference field="0" count="1" selected="0">
            <x v="7"/>
          </reference>
          <reference field="1" count="1" selected="0">
            <x v="10"/>
          </reference>
        </references>
      </pivotArea>
    </chartFormat>
    <chartFormat chart="0" format="829">
      <pivotArea type="data" outline="0" fieldPosition="0">
        <references count="3">
          <reference field="4294967294" count="1" selected="0">
            <x v="2"/>
          </reference>
          <reference field="0" count="1" selected="0">
            <x v="7"/>
          </reference>
          <reference field="1" count="1" selected="0">
            <x v="11"/>
          </reference>
        </references>
      </pivotArea>
    </chartFormat>
    <chartFormat chart="0" format="830">
      <pivotArea type="data" outline="0" fieldPosition="0">
        <references count="3">
          <reference field="4294967294" count="1" selected="0">
            <x v="2"/>
          </reference>
          <reference field="0" count="1" selected="0">
            <x v="7"/>
          </reference>
          <reference field="1" count="1" selected="0">
            <x v="12"/>
          </reference>
        </references>
      </pivotArea>
    </chartFormat>
    <chartFormat chart="0" format="831">
      <pivotArea type="data" outline="0" fieldPosition="0">
        <references count="3">
          <reference field="4294967294" count="1" selected="0">
            <x v="2"/>
          </reference>
          <reference field="0" count="1" selected="0">
            <x v="7"/>
          </reference>
          <reference field="1" count="1" selected="0">
            <x v="13"/>
          </reference>
        </references>
      </pivotArea>
    </chartFormat>
    <chartFormat chart="0" format="832">
      <pivotArea type="data" outline="0" fieldPosition="0">
        <references count="3">
          <reference field="4294967294" count="1" selected="0">
            <x v="2"/>
          </reference>
          <reference field="0" count="1" selected="0">
            <x v="7"/>
          </reference>
          <reference field="1" count="1" selected="0">
            <x v="14"/>
          </reference>
        </references>
      </pivotArea>
    </chartFormat>
    <chartFormat chart="0" format="833">
      <pivotArea type="data" outline="0" fieldPosition="0">
        <references count="3">
          <reference field="4294967294" count="1" selected="0">
            <x v="2"/>
          </reference>
          <reference field="0" count="1" selected="0">
            <x v="7"/>
          </reference>
          <reference field="1" count="1" selected="0">
            <x v="15"/>
          </reference>
        </references>
      </pivotArea>
    </chartFormat>
    <chartFormat chart="0" format="834">
      <pivotArea type="data" outline="0" fieldPosition="0">
        <references count="3">
          <reference field="4294967294" count="1" selected="0">
            <x v="2"/>
          </reference>
          <reference field="0" count="1" selected="0">
            <x v="7"/>
          </reference>
          <reference field="1" count="1" selected="0">
            <x v="16"/>
          </reference>
        </references>
      </pivotArea>
    </chartFormat>
    <chartFormat chart="0" format="835">
      <pivotArea type="data" outline="0" fieldPosition="0">
        <references count="3">
          <reference field="4294967294" count="1" selected="0">
            <x v="2"/>
          </reference>
          <reference field="0" count="1" selected="0">
            <x v="7"/>
          </reference>
          <reference field="1" count="1" selected="0">
            <x v="17"/>
          </reference>
        </references>
      </pivotArea>
    </chartFormat>
    <chartFormat chart="0" format="836">
      <pivotArea type="data" outline="0" fieldPosition="0">
        <references count="3">
          <reference field="4294967294" count="1" selected="0">
            <x v="2"/>
          </reference>
          <reference field="0" count="1" selected="0">
            <x v="7"/>
          </reference>
          <reference field="1" count="1" selected="0">
            <x v="18"/>
          </reference>
        </references>
      </pivotArea>
    </chartFormat>
    <chartFormat chart="0" format="837">
      <pivotArea type="data" outline="0" fieldPosition="0">
        <references count="3">
          <reference field="4294967294" count="1" selected="0">
            <x v="2"/>
          </reference>
          <reference field="0" count="1" selected="0">
            <x v="7"/>
          </reference>
          <reference field="1" count="1" selected="0">
            <x v="19"/>
          </reference>
        </references>
      </pivotArea>
    </chartFormat>
    <chartFormat chart="0" format="838">
      <pivotArea type="data" outline="0" fieldPosition="0">
        <references count="3">
          <reference field="4294967294" count="1" selected="0">
            <x v="2"/>
          </reference>
          <reference field="0" count="1" selected="0">
            <x v="7"/>
          </reference>
          <reference field="1" count="1" selected="0">
            <x v="20"/>
          </reference>
        </references>
      </pivotArea>
    </chartFormat>
    <chartFormat chart="0" format="839">
      <pivotArea type="data" outline="0" fieldPosition="0">
        <references count="3">
          <reference field="4294967294" count="1" selected="0">
            <x v="2"/>
          </reference>
          <reference field="0" count="1" selected="0">
            <x v="7"/>
          </reference>
          <reference field="1" count="1" selected="0">
            <x v="21"/>
          </reference>
        </references>
      </pivotArea>
    </chartFormat>
    <chartFormat chart="0" format="840">
      <pivotArea type="data" outline="0" fieldPosition="0">
        <references count="3">
          <reference field="4294967294" count="1" selected="0">
            <x v="2"/>
          </reference>
          <reference field="0" count="1" selected="0">
            <x v="7"/>
          </reference>
          <reference field="1" count="1" selected="0">
            <x v="23"/>
          </reference>
        </references>
      </pivotArea>
    </chartFormat>
    <chartFormat chart="0" format="841">
      <pivotArea type="data" outline="0" fieldPosition="0">
        <references count="3">
          <reference field="4294967294" count="1" selected="0">
            <x v="2"/>
          </reference>
          <reference field="0" count="1" selected="0">
            <x v="7"/>
          </reference>
          <reference field="1" count="1" selected="0">
            <x v="25"/>
          </reference>
        </references>
      </pivotArea>
    </chartFormat>
    <chartFormat chart="0" format="842">
      <pivotArea type="data" outline="0" fieldPosition="0">
        <references count="3">
          <reference field="4294967294" count="1" selected="0">
            <x v="2"/>
          </reference>
          <reference field="0" count="1" selected="0">
            <x v="7"/>
          </reference>
          <reference field="1" count="1" selected="0">
            <x v="27"/>
          </reference>
        </references>
      </pivotArea>
    </chartFormat>
    <chartFormat chart="0" format="843">
      <pivotArea type="data" outline="0" fieldPosition="0">
        <references count="3">
          <reference field="4294967294" count="1" selected="0">
            <x v="2"/>
          </reference>
          <reference field="0" count="1" selected="0">
            <x v="7"/>
          </reference>
          <reference field="1" count="1" selected="0">
            <x v="29"/>
          </reference>
        </references>
      </pivotArea>
    </chartFormat>
    <chartFormat chart="0" format="844">
      <pivotArea type="data" outline="0" fieldPosition="0">
        <references count="3">
          <reference field="4294967294" count="1" selected="0">
            <x v="2"/>
          </reference>
          <reference field="0" count="1" selected="0">
            <x v="7"/>
          </reference>
          <reference field="1" count="1" selected="0">
            <x v="31"/>
          </reference>
        </references>
      </pivotArea>
    </chartFormat>
    <chartFormat chart="0" format="845">
      <pivotArea type="data" outline="0" fieldPosition="0">
        <references count="3">
          <reference field="4294967294" count="1" selected="0">
            <x v="2"/>
          </reference>
          <reference field="0" count="1" selected="0">
            <x v="7"/>
          </reference>
          <reference field="1" count="1" selected="0">
            <x v="33"/>
          </reference>
        </references>
      </pivotArea>
    </chartFormat>
    <chartFormat chart="0" format="846">
      <pivotArea type="data" outline="0" fieldPosition="0">
        <references count="3">
          <reference field="4294967294" count="1" selected="0">
            <x v="2"/>
          </reference>
          <reference field="0" count="1" selected="0">
            <x v="7"/>
          </reference>
          <reference field="1" count="1" selected="0">
            <x v="35"/>
          </reference>
        </references>
      </pivotArea>
    </chartFormat>
    <chartFormat chart="0" format="847">
      <pivotArea type="data" outline="0" fieldPosition="0">
        <references count="3">
          <reference field="4294967294" count="1" selected="0">
            <x v="2"/>
          </reference>
          <reference field="0" count="1" selected="0">
            <x v="7"/>
          </reference>
          <reference field="1" count="1" selected="0">
            <x v="37"/>
          </reference>
        </references>
      </pivotArea>
    </chartFormat>
    <chartFormat chart="0" format="848">
      <pivotArea type="data" outline="0" fieldPosition="0">
        <references count="3">
          <reference field="4294967294" count="1" selected="0">
            <x v="2"/>
          </reference>
          <reference field="0" count="1" selected="0">
            <x v="7"/>
          </reference>
          <reference field="1" count="1" selected="0">
            <x v="39"/>
          </reference>
        </references>
      </pivotArea>
    </chartFormat>
    <chartFormat chart="0" format="849">
      <pivotArea type="data" outline="0" fieldPosition="0">
        <references count="3">
          <reference field="4294967294" count="1" selected="0">
            <x v="2"/>
          </reference>
          <reference field="0" count="1" selected="0">
            <x v="7"/>
          </reference>
          <reference field="1" count="1" selected="0">
            <x v="41"/>
          </reference>
        </references>
      </pivotArea>
    </chartFormat>
    <chartFormat chart="0" format="850">
      <pivotArea type="data" outline="0" fieldPosition="0">
        <references count="3">
          <reference field="4294967294" count="1" selected="0">
            <x v="2"/>
          </reference>
          <reference field="0" count="1" selected="0">
            <x v="7"/>
          </reference>
          <reference field="1" count="1" selected="0">
            <x v="43"/>
          </reference>
        </references>
      </pivotArea>
    </chartFormat>
    <chartFormat chart="0" format="851">
      <pivotArea type="data" outline="0" fieldPosition="0">
        <references count="3">
          <reference field="4294967294" count="1" selected="0">
            <x v="2"/>
          </reference>
          <reference field="0" count="1" selected="0">
            <x v="7"/>
          </reference>
          <reference field="1" count="1" selected="0">
            <x v="45"/>
          </reference>
        </references>
      </pivotArea>
    </chartFormat>
    <chartFormat chart="0" format="852">
      <pivotArea type="data" outline="0" fieldPosition="0">
        <references count="3">
          <reference field="4294967294" count="1" selected="0">
            <x v="2"/>
          </reference>
          <reference field="0" count="1" selected="0">
            <x v="7"/>
          </reference>
          <reference field="1" count="1" selected="0">
            <x v="47"/>
          </reference>
        </references>
      </pivotArea>
    </chartFormat>
    <chartFormat chart="0" format="853">
      <pivotArea type="data" outline="0" fieldPosition="0">
        <references count="3">
          <reference field="4294967294" count="1" selected="0">
            <x v="2"/>
          </reference>
          <reference field="0" count="1" selected="0">
            <x v="7"/>
          </reference>
          <reference field="1" count="1" selected="0">
            <x v="49"/>
          </reference>
        </references>
      </pivotArea>
    </chartFormat>
    <chartFormat chart="0" format="854">
      <pivotArea type="data" outline="0" fieldPosition="0">
        <references count="3">
          <reference field="4294967294" count="1" selected="0">
            <x v="2"/>
          </reference>
          <reference field="0" count="1" selected="0">
            <x v="7"/>
          </reference>
          <reference field="1" count="1" selected="0">
            <x v="51"/>
          </reference>
        </references>
      </pivotArea>
    </chartFormat>
    <chartFormat chart="0" format="855">
      <pivotArea type="data" outline="0" fieldPosition="0">
        <references count="3">
          <reference field="4294967294" count="1" selected="0">
            <x v="2"/>
          </reference>
          <reference field="0" count="1" selected="0">
            <x v="7"/>
          </reference>
          <reference field="1" count="1" selected="0">
            <x v="53"/>
          </reference>
        </references>
      </pivotArea>
    </chartFormat>
    <chartFormat chart="0" format="856">
      <pivotArea type="data" outline="0" fieldPosition="0">
        <references count="3">
          <reference field="4294967294" count="1" selected="0">
            <x v="2"/>
          </reference>
          <reference field="0" count="1" selected="0">
            <x v="7"/>
          </reference>
          <reference field="1" count="1" selected="0">
            <x v="55"/>
          </reference>
        </references>
      </pivotArea>
    </chartFormat>
    <chartFormat chart="0" format="857">
      <pivotArea type="data" outline="0" fieldPosition="0">
        <references count="3">
          <reference field="4294967294" count="1" selected="0">
            <x v="2"/>
          </reference>
          <reference field="0" count="1" selected="0">
            <x v="7"/>
          </reference>
          <reference field="1" count="1" selected="0">
            <x v="57"/>
          </reference>
        </references>
      </pivotArea>
    </chartFormat>
    <chartFormat chart="0" format="858">
      <pivotArea type="data" outline="0" fieldPosition="0">
        <references count="3">
          <reference field="4294967294" count="1" selected="0">
            <x v="2"/>
          </reference>
          <reference field="0" count="1" selected="0">
            <x v="7"/>
          </reference>
          <reference field="1" count="1" selected="0">
            <x v="59"/>
          </reference>
        </references>
      </pivotArea>
    </chartFormat>
    <chartFormat chart="0" format="859">
      <pivotArea type="data" outline="0" fieldPosition="0">
        <references count="3">
          <reference field="4294967294" count="1" selected="0">
            <x v="2"/>
          </reference>
          <reference field="0" count="1" selected="0">
            <x v="7"/>
          </reference>
          <reference field="1" count="1" selected="0">
            <x v="61"/>
          </reference>
        </references>
      </pivotArea>
    </chartFormat>
    <chartFormat chart="0" format="860">
      <pivotArea type="data" outline="0" fieldPosition="0">
        <references count="3">
          <reference field="4294967294" count="1" selected="0">
            <x v="2"/>
          </reference>
          <reference field="0" count="1" selected="0">
            <x v="7"/>
          </reference>
          <reference field="1" count="1" selected="0">
            <x v="63"/>
          </reference>
        </references>
      </pivotArea>
    </chartFormat>
    <chartFormat chart="0" format="861">
      <pivotArea type="data" outline="0" fieldPosition="0">
        <references count="3">
          <reference field="4294967294" count="1" selected="0">
            <x v="2"/>
          </reference>
          <reference field="0" count="1" selected="0">
            <x v="7"/>
          </reference>
          <reference field="1" count="1" selected="0">
            <x v="65"/>
          </reference>
        </references>
      </pivotArea>
    </chartFormat>
    <chartFormat chart="0" format="862">
      <pivotArea type="data" outline="0" fieldPosition="0">
        <references count="3">
          <reference field="4294967294" count="1" selected="0">
            <x v="2"/>
          </reference>
          <reference field="0" count="1" selected="0">
            <x v="7"/>
          </reference>
          <reference field="1" count="1" selected="0">
            <x v="67"/>
          </reference>
        </references>
      </pivotArea>
    </chartFormat>
    <chartFormat chart="0" format="863">
      <pivotArea type="data" outline="0" fieldPosition="0">
        <references count="3">
          <reference field="4294967294" count="1" selected="0">
            <x v="2"/>
          </reference>
          <reference field="0" count="1" selected="0">
            <x v="7"/>
          </reference>
          <reference field="1" count="1" selected="0">
            <x v="69"/>
          </reference>
        </references>
      </pivotArea>
    </chartFormat>
    <chartFormat chart="0" format="864">
      <pivotArea type="data" outline="0" fieldPosition="0">
        <references count="3">
          <reference field="4294967294" count="1" selected="0">
            <x v="2"/>
          </reference>
          <reference field="0" count="1" selected="0">
            <x v="7"/>
          </reference>
          <reference field="1" count="1" selected="0">
            <x v="70"/>
          </reference>
        </references>
      </pivotArea>
    </chartFormat>
    <chartFormat chart="0" format="865">
      <pivotArea type="data" outline="0" fieldPosition="0">
        <references count="3">
          <reference field="4294967294" count="1" selected="0">
            <x v="2"/>
          </reference>
          <reference field="0" count="1" selected="0">
            <x v="7"/>
          </reference>
          <reference field="1" count="1" selected="0">
            <x v="71"/>
          </reference>
        </references>
      </pivotArea>
    </chartFormat>
    <chartFormat chart="0" format="866">
      <pivotArea type="data" outline="0" fieldPosition="0">
        <references count="3">
          <reference field="4294967294" count="1" selected="0">
            <x v="2"/>
          </reference>
          <reference field="0" count="1" selected="0">
            <x v="7"/>
          </reference>
          <reference field="1" count="1" selected="0">
            <x v="73"/>
          </reference>
        </references>
      </pivotArea>
    </chartFormat>
    <chartFormat chart="0" format="867">
      <pivotArea type="data" outline="0" fieldPosition="0">
        <references count="3">
          <reference field="4294967294" count="1" selected="0">
            <x v="2"/>
          </reference>
          <reference field="0" count="1" selected="0">
            <x v="8"/>
          </reference>
          <reference field="1" count="1" selected="0">
            <x v="1"/>
          </reference>
        </references>
      </pivotArea>
    </chartFormat>
    <chartFormat chart="0" format="868">
      <pivotArea type="data" outline="0" fieldPosition="0">
        <references count="3">
          <reference field="4294967294" count="1" selected="0">
            <x v="2"/>
          </reference>
          <reference field="0" count="1" selected="0">
            <x v="8"/>
          </reference>
          <reference field="1" count="1" selected="0">
            <x v="2"/>
          </reference>
        </references>
      </pivotArea>
    </chartFormat>
    <chartFormat chart="0" format="869">
      <pivotArea type="data" outline="0" fieldPosition="0">
        <references count="3">
          <reference field="4294967294" count="1" selected="0">
            <x v="2"/>
          </reference>
          <reference field="0" count="1" selected="0">
            <x v="8"/>
          </reference>
          <reference field="1" count="1" selected="0">
            <x v="3"/>
          </reference>
        </references>
      </pivotArea>
    </chartFormat>
    <chartFormat chart="0" format="870">
      <pivotArea type="data" outline="0" fieldPosition="0">
        <references count="3">
          <reference field="4294967294" count="1" selected="0">
            <x v="2"/>
          </reference>
          <reference field="0" count="1" selected="0">
            <x v="8"/>
          </reference>
          <reference field="1" count="1" selected="0">
            <x v="4"/>
          </reference>
        </references>
      </pivotArea>
    </chartFormat>
    <chartFormat chart="0" format="871">
      <pivotArea type="data" outline="0" fieldPosition="0">
        <references count="3">
          <reference field="4294967294" count="1" selected="0">
            <x v="2"/>
          </reference>
          <reference field="0" count="1" selected="0">
            <x v="8"/>
          </reference>
          <reference field="1" count="1" selected="0">
            <x v="5"/>
          </reference>
        </references>
      </pivotArea>
    </chartFormat>
    <chartFormat chart="0" format="872">
      <pivotArea type="data" outline="0" fieldPosition="0">
        <references count="3">
          <reference field="4294967294" count="1" selected="0">
            <x v="2"/>
          </reference>
          <reference field="0" count="1" selected="0">
            <x v="8"/>
          </reference>
          <reference field="1" count="1" selected="0">
            <x v="6"/>
          </reference>
        </references>
      </pivotArea>
    </chartFormat>
    <chartFormat chart="0" format="873">
      <pivotArea type="data" outline="0" fieldPosition="0">
        <references count="3">
          <reference field="4294967294" count="1" selected="0">
            <x v="2"/>
          </reference>
          <reference field="0" count="1" selected="0">
            <x v="8"/>
          </reference>
          <reference field="1" count="1" selected="0">
            <x v="7"/>
          </reference>
        </references>
      </pivotArea>
    </chartFormat>
    <chartFormat chart="0" format="874">
      <pivotArea type="data" outline="0" fieldPosition="0">
        <references count="3">
          <reference field="4294967294" count="1" selected="0">
            <x v="2"/>
          </reference>
          <reference field="0" count="1" selected="0">
            <x v="8"/>
          </reference>
          <reference field="1" count="1" selected="0">
            <x v="8"/>
          </reference>
        </references>
      </pivotArea>
    </chartFormat>
    <chartFormat chart="0" format="875">
      <pivotArea type="data" outline="0" fieldPosition="0">
        <references count="3">
          <reference field="4294967294" count="1" selected="0">
            <x v="2"/>
          </reference>
          <reference field="0" count="1" selected="0">
            <x v="8"/>
          </reference>
          <reference field="1" count="1" selected="0">
            <x v="9"/>
          </reference>
        </references>
      </pivotArea>
    </chartFormat>
    <chartFormat chart="0" format="876">
      <pivotArea type="data" outline="0" fieldPosition="0">
        <references count="3">
          <reference field="4294967294" count="1" selected="0">
            <x v="2"/>
          </reference>
          <reference field="0" count="1" selected="0">
            <x v="8"/>
          </reference>
          <reference field="1" count="1" selected="0">
            <x v="10"/>
          </reference>
        </references>
      </pivotArea>
    </chartFormat>
    <chartFormat chart="0" format="877">
      <pivotArea type="data" outline="0" fieldPosition="0">
        <references count="3">
          <reference field="4294967294" count="1" selected="0">
            <x v="2"/>
          </reference>
          <reference field="0" count="1" selected="0">
            <x v="8"/>
          </reference>
          <reference field="1" count="1" selected="0">
            <x v="11"/>
          </reference>
        </references>
      </pivotArea>
    </chartFormat>
    <chartFormat chart="0" format="878">
      <pivotArea type="data" outline="0" fieldPosition="0">
        <references count="3">
          <reference field="4294967294" count="1" selected="0">
            <x v="2"/>
          </reference>
          <reference field="0" count="1" selected="0">
            <x v="8"/>
          </reference>
          <reference field="1" count="1" selected="0">
            <x v="12"/>
          </reference>
        </references>
      </pivotArea>
    </chartFormat>
    <chartFormat chart="0" format="879">
      <pivotArea type="data" outline="0" fieldPosition="0">
        <references count="3">
          <reference field="4294967294" count="1" selected="0">
            <x v="2"/>
          </reference>
          <reference field="0" count="1" selected="0">
            <x v="8"/>
          </reference>
          <reference field="1" count="1" selected="0">
            <x v="13"/>
          </reference>
        </references>
      </pivotArea>
    </chartFormat>
    <chartFormat chart="0" format="880">
      <pivotArea type="data" outline="0" fieldPosition="0">
        <references count="3">
          <reference field="4294967294" count="1" selected="0">
            <x v="2"/>
          </reference>
          <reference field="0" count="1" selected="0">
            <x v="8"/>
          </reference>
          <reference field="1" count="1" selected="0">
            <x v="14"/>
          </reference>
        </references>
      </pivotArea>
    </chartFormat>
    <chartFormat chart="0" format="881">
      <pivotArea type="data" outline="0" fieldPosition="0">
        <references count="3">
          <reference field="4294967294" count="1" selected="0">
            <x v="2"/>
          </reference>
          <reference field="0" count="1" selected="0">
            <x v="8"/>
          </reference>
          <reference field="1" count="1" selected="0">
            <x v="15"/>
          </reference>
        </references>
      </pivotArea>
    </chartFormat>
    <chartFormat chart="0" format="882">
      <pivotArea type="data" outline="0" fieldPosition="0">
        <references count="3">
          <reference field="4294967294" count="1" selected="0">
            <x v="2"/>
          </reference>
          <reference field="0" count="1" selected="0">
            <x v="8"/>
          </reference>
          <reference field="1" count="1" selected="0">
            <x v="16"/>
          </reference>
        </references>
      </pivotArea>
    </chartFormat>
    <chartFormat chart="0" format="883">
      <pivotArea type="data" outline="0" fieldPosition="0">
        <references count="3">
          <reference field="4294967294" count="1" selected="0">
            <x v="2"/>
          </reference>
          <reference field="0" count="1" selected="0">
            <x v="8"/>
          </reference>
          <reference field="1" count="1" selected="0">
            <x v="17"/>
          </reference>
        </references>
      </pivotArea>
    </chartFormat>
    <chartFormat chart="0" format="884">
      <pivotArea type="data" outline="0" fieldPosition="0">
        <references count="3">
          <reference field="4294967294" count="1" selected="0">
            <x v="2"/>
          </reference>
          <reference field="0" count="1" selected="0">
            <x v="8"/>
          </reference>
          <reference field="1" count="1" selected="0">
            <x v="18"/>
          </reference>
        </references>
      </pivotArea>
    </chartFormat>
    <chartFormat chart="0" format="885">
      <pivotArea type="data" outline="0" fieldPosition="0">
        <references count="3">
          <reference field="4294967294" count="1" selected="0">
            <x v="2"/>
          </reference>
          <reference field="0" count="1" selected="0">
            <x v="8"/>
          </reference>
          <reference field="1" count="1" selected="0">
            <x v="19"/>
          </reference>
        </references>
      </pivotArea>
    </chartFormat>
    <chartFormat chart="0" format="886">
      <pivotArea type="data" outline="0" fieldPosition="0">
        <references count="3">
          <reference field="4294967294" count="1" selected="0">
            <x v="2"/>
          </reference>
          <reference field="0" count="1" selected="0">
            <x v="8"/>
          </reference>
          <reference field="1" count="1" selected="0">
            <x v="20"/>
          </reference>
        </references>
      </pivotArea>
    </chartFormat>
    <chartFormat chart="0" format="887">
      <pivotArea type="data" outline="0" fieldPosition="0">
        <references count="3">
          <reference field="4294967294" count="1" selected="0">
            <x v="2"/>
          </reference>
          <reference field="0" count="1" selected="0">
            <x v="8"/>
          </reference>
          <reference field="1" count="1" selected="0">
            <x v="21"/>
          </reference>
        </references>
      </pivotArea>
    </chartFormat>
    <chartFormat chart="0" format="888">
      <pivotArea type="data" outline="0" fieldPosition="0">
        <references count="3">
          <reference field="4294967294" count="1" selected="0">
            <x v="2"/>
          </reference>
          <reference field="0" count="1" selected="0">
            <x v="8"/>
          </reference>
          <reference field="1" count="1" selected="0">
            <x v="23"/>
          </reference>
        </references>
      </pivotArea>
    </chartFormat>
    <chartFormat chart="0" format="889">
      <pivotArea type="data" outline="0" fieldPosition="0">
        <references count="3">
          <reference field="4294967294" count="1" selected="0">
            <x v="2"/>
          </reference>
          <reference field="0" count="1" selected="0">
            <x v="8"/>
          </reference>
          <reference field="1" count="1" selected="0">
            <x v="25"/>
          </reference>
        </references>
      </pivotArea>
    </chartFormat>
    <chartFormat chart="0" format="890">
      <pivotArea type="data" outline="0" fieldPosition="0">
        <references count="3">
          <reference field="4294967294" count="1" selected="0">
            <x v="2"/>
          </reference>
          <reference field="0" count="1" selected="0">
            <x v="8"/>
          </reference>
          <reference field="1" count="1" selected="0">
            <x v="27"/>
          </reference>
        </references>
      </pivotArea>
    </chartFormat>
    <chartFormat chart="0" format="891">
      <pivotArea type="data" outline="0" fieldPosition="0">
        <references count="3">
          <reference field="4294967294" count="1" selected="0">
            <x v="2"/>
          </reference>
          <reference field="0" count="1" selected="0">
            <x v="8"/>
          </reference>
          <reference field="1" count="1" selected="0">
            <x v="29"/>
          </reference>
        </references>
      </pivotArea>
    </chartFormat>
    <chartFormat chart="0" format="892">
      <pivotArea type="data" outline="0" fieldPosition="0">
        <references count="3">
          <reference field="4294967294" count="1" selected="0">
            <x v="2"/>
          </reference>
          <reference field="0" count="1" selected="0">
            <x v="8"/>
          </reference>
          <reference field="1" count="1" selected="0">
            <x v="31"/>
          </reference>
        </references>
      </pivotArea>
    </chartFormat>
    <chartFormat chart="0" format="893">
      <pivotArea type="data" outline="0" fieldPosition="0">
        <references count="3">
          <reference field="4294967294" count="1" selected="0">
            <x v="2"/>
          </reference>
          <reference field="0" count="1" selected="0">
            <x v="8"/>
          </reference>
          <reference field="1" count="1" selected="0">
            <x v="33"/>
          </reference>
        </references>
      </pivotArea>
    </chartFormat>
    <chartFormat chart="0" format="894">
      <pivotArea type="data" outline="0" fieldPosition="0">
        <references count="3">
          <reference field="4294967294" count="1" selected="0">
            <x v="2"/>
          </reference>
          <reference field="0" count="1" selected="0">
            <x v="8"/>
          </reference>
          <reference field="1" count="1" selected="0">
            <x v="35"/>
          </reference>
        </references>
      </pivotArea>
    </chartFormat>
    <chartFormat chart="0" format="895">
      <pivotArea type="data" outline="0" fieldPosition="0">
        <references count="3">
          <reference field="4294967294" count="1" selected="0">
            <x v="2"/>
          </reference>
          <reference field="0" count="1" selected="0">
            <x v="8"/>
          </reference>
          <reference field="1" count="1" selected="0">
            <x v="37"/>
          </reference>
        </references>
      </pivotArea>
    </chartFormat>
    <chartFormat chart="0" format="896">
      <pivotArea type="data" outline="0" fieldPosition="0">
        <references count="3">
          <reference field="4294967294" count="1" selected="0">
            <x v="2"/>
          </reference>
          <reference field="0" count="1" selected="0">
            <x v="8"/>
          </reference>
          <reference field="1" count="1" selected="0">
            <x v="39"/>
          </reference>
        </references>
      </pivotArea>
    </chartFormat>
    <chartFormat chart="0" format="897">
      <pivotArea type="data" outline="0" fieldPosition="0">
        <references count="3">
          <reference field="4294967294" count="1" selected="0">
            <x v="2"/>
          </reference>
          <reference field="0" count="1" selected="0">
            <x v="8"/>
          </reference>
          <reference field="1" count="1" selected="0">
            <x v="41"/>
          </reference>
        </references>
      </pivotArea>
    </chartFormat>
    <chartFormat chart="0" format="898">
      <pivotArea type="data" outline="0" fieldPosition="0">
        <references count="3">
          <reference field="4294967294" count="1" selected="0">
            <x v="2"/>
          </reference>
          <reference field="0" count="1" selected="0">
            <x v="8"/>
          </reference>
          <reference field="1" count="1" selected="0">
            <x v="43"/>
          </reference>
        </references>
      </pivotArea>
    </chartFormat>
    <chartFormat chart="0" format="899">
      <pivotArea type="data" outline="0" fieldPosition="0">
        <references count="3">
          <reference field="4294967294" count="1" selected="0">
            <x v="2"/>
          </reference>
          <reference field="0" count="1" selected="0">
            <x v="8"/>
          </reference>
          <reference field="1" count="1" selected="0">
            <x v="45"/>
          </reference>
        </references>
      </pivotArea>
    </chartFormat>
    <chartFormat chart="0" format="900">
      <pivotArea type="data" outline="0" fieldPosition="0">
        <references count="3">
          <reference field="4294967294" count="1" selected="0">
            <x v="2"/>
          </reference>
          <reference field="0" count="1" selected="0">
            <x v="8"/>
          </reference>
          <reference field="1" count="1" selected="0">
            <x v="47"/>
          </reference>
        </references>
      </pivotArea>
    </chartFormat>
    <chartFormat chart="0" format="901">
      <pivotArea type="data" outline="0" fieldPosition="0">
        <references count="3">
          <reference field="4294967294" count="1" selected="0">
            <x v="2"/>
          </reference>
          <reference field="0" count="1" selected="0">
            <x v="8"/>
          </reference>
          <reference field="1" count="1" selected="0">
            <x v="49"/>
          </reference>
        </references>
      </pivotArea>
    </chartFormat>
    <chartFormat chart="0" format="902">
      <pivotArea type="data" outline="0" fieldPosition="0">
        <references count="3">
          <reference field="4294967294" count="1" selected="0">
            <x v="2"/>
          </reference>
          <reference field="0" count="1" selected="0">
            <x v="8"/>
          </reference>
          <reference field="1" count="1" selected="0">
            <x v="51"/>
          </reference>
        </references>
      </pivotArea>
    </chartFormat>
    <chartFormat chart="0" format="903">
      <pivotArea type="data" outline="0" fieldPosition="0">
        <references count="3">
          <reference field="4294967294" count="1" selected="0">
            <x v="2"/>
          </reference>
          <reference field="0" count="1" selected="0">
            <x v="8"/>
          </reference>
          <reference field="1" count="1" selected="0">
            <x v="53"/>
          </reference>
        </references>
      </pivotArea>
    </chartFormat>
    <chartFormat chart="0" format="904">
      <pivotArea type="data" outline="0" fieldPosition="0">
        <references count="3">
          <reference field="4294967294" count="1" selected="0">
            <x v="2"/>
          </reference>
          <reference field="0" count="1" selected="0">
            <x v="8"/>
          </reference>
          <reference field="1" count="1" selected="0">
            <x v="55"/>
          </reference>
        </references>
      </pivotArea>
    </chartFormat>
    <chartFormat chart="0" format="905">
      <pivotArea type="data" outline="0" fieldPosition="0">
        <references count="3">
          <reference field="4294967294" count="1" selected="0">
            <x v="2"/>
          </reference>
          <reference field="0" count="1" selected="0">
            <x v="8"/>
          </reference>
          <reference field="1" count="1" selected="0">
            <x v="57"/>
          </reference>
        </references>
      </pivotArea>
    </chartFormat>
    <chartFormat chart="0" format="906">
      <pivotArea type="data" outline="0" fieldPosition="0">
        <references count="3">
          <reference field="4294967294" count="1" selected="0">
            <x v="2"/>
          </reference>
          <reference field="0" count="1" selected="0">
            <x v="8"/>
          </reference>
          <reference field="1" count="1" selected="0">
            <x v="59"/>
          </reference>
        </references>
      </pivotArea>
    </chartFormat>
    <chartFormat chart="0" format="907">
      <pivotArea type="data" outline="0" fieldPosition="0">
        <references count="3">
          <reference field="4294967294" count="1" selected="0">
            <x v="2"/>
          </reference>
          <reference field="0" count="1" selected="0">
            <x v="8"/>
          </reference>
          <reference field="1" count="1" selected="0">
            <x v="61"/>
          </reference>
        </references>
      </pivotArea>
    </chartFormat>
    <chartFormat chart="0" format="908">
      <pivotArea type="data" outline="0" fieldPosition="0">
        <references count="3">
          <reference field="4294967294" count="1" selected="0">
            <x v="2"/>
          </reference>
          <reference field="0" count="1" selected="0">
            <x v="8"/>
          </reference>
          <reference field="1" count="1" selected="0">
            <x v="63"/>
          </reference>
        </references>
      </pivotArea>
    </chartFormat>
    <chartFormat chart="0" format="909">
      <pivotArea type="data" outline="0" fieldPosition="0">
        <references count="3">
          <reference field="4294967294" count="1" selected="0">
            <x v="2"/>
          </reference>
          <reference field="0" count="1" selected="0">
            <x v="8"/>
          </reference>
          <reference field="1" count="1" selected="0">
            <x v="65"/>
          </reference>
        </references>
      </pivotArea>
    </chartFormat>
    <chartFormat chart="0" format="910">
      <pivotArea type="data" outline="0" fieldPosition="0">
        <references count="3">
          <reference field="4294967294" count="1" selected="0">
            <x v="2"/>
          </reference>
          <reference field="0" count="1" selected="0">
            <x v="8"/>
          </reference>
          <reference field="1" count="1" selected="0">
            <x v="67"/>
          </reference>
        </references>
      </pivotArea>
    </chartFormat>
    <chartFormat chart="0" format="911">
      <pivotArea type="data" outline="0" fieldPosition="0">
        <references count="3">
          <reference field="4294967294" count="1" selected="0">
            <x v="2"/>
          </reference>
          <reference field="0" count="1" selected="0">
            <x v="8"/>
          </reference>
          <reference field="1" count="1" selected="0">
            <x v="69"/>
          </reference>
        </references>
      </pivotArea>
    </chartFormat>
    <chartFormat chart="0" format="912">
      <pivotArea type="data" outline="0" fieldPosition="0">
        <references count="3">
          <reference field="4294967294" count="1" selected="0">
            <x v="2"/>
          </reference>
          <reference field="0" count="1" selected="0">
            <x v="8"/>
          </reference>
          <reference field="1" count="1" selected="0">
            <x v="70"/>
          </reference>
        </references>
      </pivotArea>
    </chartFormat>
    <chartFormat chart="0" format="913">
      <pivotArea type="data" outline="0" fieldPosition="0">
        <references count="3">
          <reference field="4294967294" count="1" selected="0">
            <x v="2"/>
          </reference>
          <reference field="0" count="1" selected="0">
            <x v="8"/>
          </reference>
          <reference field="1" count="1" selected="0">
            <x v="71"/>
          </reference>
        </references>
      </pivotArea>
    </chartFormat>
    <chartFormat chart="0" format="914">
      <pivotArea type="data" outline="0" fieldPosition="0">
        <references count="3">
          <reference field="4294967294" count="1" selected="0">
            <x v="2"/>
          </reference>
          <reference field="0" count="1" selected="0">
            <x v="8"/>
          </reference>
          <reference field="1" count="1" selected="0">
            <x v="73"/>
          </reference>
        </references>
      </pivotArea>
    </chartFormat>
    <chartFormat chart="0" format="915">
      <pivotArea type="data" outline="0" fieldPosition="0">
        <references count="3">
          <reference field="4294967294" count="1" selected="0">
            <x v="2"/>
          </reference>
          <reference field="0" count="1" selected="0">
            <x v="9"/>
          </reference>
          <reference field="1" count="1" selected="0">
            <x v="1"/>
          </reference>
        </references>
      </pivotArea>
    </chartFormat>
    <chartFormat chart="0" format="916">
      <pivotArea type="data" outline="0" fieldPosition="0">
        <references count="3">
          <reference field="4294967294" count="1" selected="0">
            <x v="2"/>
          </reference>
          <reference field="0" count="1" selected="0">
            <x v="9"/>
          </reference>
          <reference field="1" count="1" selected="0">
            <x v="2"/>
          </reference>
        </references>
      </pivotArea>
    </chartFormat>
    <chartFormat chart="0" format="917">
      <pivotArea type="data" outline="0" fieldPosition="0">
        <references count="3">
          <reference field="4294967294" count="1" selected="0">
            <x v="2"/>
          </reference>
          <reference field="0" count="1" selected="0">
            <x v="9"/>
          </reference>
          <reference field="1" count="1" selected="0">
            <x v="3"/>
          </reference>
        </references>
      </pivotArea>
    </chartFormat>
    <chartFormat chart="0" format="918">
      <pivotArea type="data" outline="0" fieldPosition="0">
        <references count="3">
          <reference field="4294967294" count="1" selected="0">
            <x v="2"/>
          </reference>
          <reference field="0" count="1" selected="0">
            <x v="9"/>
          </reference>
          <reference field="1" count="1" selected="0">
            <x v="4"/>
          </reference>
        </references>
      </pivotArea>
    </chartFormat>
    <chartFormat chart="0" format="919">
      <pivotArea type="data" outline="0" fieldPosition="0">
        <references count="3">
          <reference field="4294967294" count="1" selected="0">
            <x v="2"/>
          </reference>
          <reference field="0" count="1" selected="0">
            <x v="9"/>
          </reference>
          <reference field="1" count="1" selected="0">
            <x v="5"/>
          </reference>
        </references>
      </pivotArea>
    </chartFormat>
    <chartFormat chart="0" format="920">
      <pivotArea type="data" outline="0" fieldPosition="0">
        <references count="3">
          <reference field="4294967294" count="1" selected="0">
            <x v="2"/>
          </reference>
          <reference field="0" count="1" selected="0">
            <x v="9"/>
          </reference>
          <reference field="1" count="1" selected="0">
            <x v="6"/>
          </reference>
        </references>
      </pivotArea>
    </chartFormat>
    <chartFormat chart="0" format="921">
      <pivotArea type="data" outline="0" fieldPosition="0">
        <references count="3">
          <reference field="4294967294" count="1" selected="0">
            <x v="2"/>
          </reference>
          <reference field="0" count="1" selected="0">
            <x v="9"/>
          </reference>
          <reference field="1" count="1" selected="0">
            <x v="7"/>
          </reference>
        </references>
      </pivotArea>
    </chartFormat>
    <chartFormat chart="0" format="922">
      <pivotArea type="data" outline="0" fieldPosition="0">
        <references count="3">
          <reference field="4294967294" count="1" selected="0">
            <x v="2"/>
          </reference>
          <reference field="0" count="1" selected="0">
            <x v="9"/>
          </reference>
          <reference field="1" count="1" selected="0">
            <x v="8"/>
          </reference>
        </references>
      </pivotArea>
    </chartFormat>
    <chartFormat chart="0" format="923">
      <pivotArea type="data" outline="0" fieldPosition="0">
        <references count="3">
          <reference field="4294967294" count="1" selected="0">
            <x v="2"/>
          </reference>
          <reference field="0" count="1" selected="0">
            <x v="9"/>
          </reference>
          <reference field="1" count="1" selected="0">
            <x v="9"/>
          </reference>
        </references>
      </pivotArea>
    </chartFormat>
    <chartFormat chart="0" format="924">
      <pivotArea type="data" outline="0" fieldPosition="0">
        <references count="3">
          <reference field="4294967294" count="1" selected="0">
            <x v="2"/>
          </reference>
          <reference field="0" count="1" selected="0">
            <x v="9"/>
          </reference>
          <reference field="1" count="1" selected="0">
            <x v="10"/>
          </reference>
        </references>
      </pivotArea>
    </chartFormat>
    <chartFormat chart="0" format="925">
      <pivotArea type="data" outline="0" fieldPosition="0">
        <references count="3">
          <reference field="4294967294" count="1" selected="0">
            <x v="2"/>
          </reference>
          <reference field="0" count="1" selected="0">
            <x v="9"/>
          </reference>
          <reference field="1" count="1" selected="0">
            <x v="11"/>
          </reference>
        </references>
      </pivotArea>
    </chartFormat>
    <chartFormat chart="0" format="926">
      <pivotArea type="data" outline="0" fieldPosition="0">
        <references count="3">
          <reference field="4294967294" count="1" selected="0">
            <x v="2"/>
          </reference>
          <reference field="0" count="1" selected="0">
            <x v="9"/>
          </reference>
          <reference field="1" count="1" selected="0">
            <x v="12"/>
          </reference>
        </references>
      </pivotArea>
    </chartFormat>
    <chartFormat chart="0" format="927">
      <pivotArea type="data" outline="0" fieldPosition="0">
        <references count="3">
          <reference field="4294967294" count="1" selected="0">
            <x v="2"/>
          </reference>
          <reference field="0" count="1" selected="0">
            <x v="9"/>
          </reference>
          <reference field="1" count="1" selected="0">
            <x v="13"/>
          </reference>
        </references>
      </pivotArea>
    </chartFormat>
    <chartFormat chart="0" format="928">
      <pivotArea type="data" outline="0" fieldPosition="0">
        <references count="3">
          <reference field="4294967294" count="1" selected="0">
            <x v="2"/>
          </reference>
          <reference field="0" count="1" selected="0">
            <x v="9"/>
          </reference>
          <reference field="1" count="1" selected="0">
            <x v="14"/>
          </reference>
        </references>
      </pivotArea>
    </chartFormat>
    <chartFormat chart="0" format="929">
      <pivotArea type="data" outline="0" fieldPosition="0">
        <references count="3">
          <reference field="4294967294" count="1" selected="0">
            <x v="2"/>
          </reference>
          <reference field="0" count="1" selected="0">
            <x v="9"/>
          </reference>
          <reference field="1" count="1" selected="0">
            <x v="15"/>
          </reference>
        </references>
      </pivotArea>
    </chartFormat>
    <chartFormat chart="0" format="930">
      <pivotArea type="data" outline="0" fieldPosition="0">
        <references count="3">
          <reference field="4294967294" count="1" selected="0">
            <x v="2"/>
          </reference>
          <reference field="0" count="1" selected="0">
            <x v="9"/>
          </reference>
          <reference field="1" count="1" selected="0">
            <x v="16"/>
          </reference>
        </references>
      </pivotArea>
    </chartFormat>
    <chartFormat chart="0" format="931">
      <pivotArea type="data" outline="0" fieldPosition="0">
        <references count="3">
          <reference field="4294967294" count="1" selected="0">
            <x v="2"/>
          </reference>
          <reference field="0" count="1" selected="0">
            <x v="9"/>
          </reference>
          <reference field="1" count="1" selected="0">
            <x v="17"/>
          </reference>
        </references>
      </pivotArea>
    </chartFormat>
    <chartFormat chart="0" format="932">
      <pivotArea type="data" outline="0" fieldPosition="0">
        <references count="3">
          <reference field="4294967294" count="1" selected="0">
            <x v="2"/>
          </reference>
          <reference field="0" count="1" selected="0">
            <x v="9"/>
          </reference>
          <reference field="1" count="1" selected="0">
            <x v="18"/>
          </reference>
        </references>
      </pivotArea>
    </chartFormat>
    <chartFormat chart="0" format="933">
      <pivotArea type="data" outline="0" fieldPosition="0">
        <references count="3">
          <reference field="4294967294" count="1" selected="0">
            <x v="2"/>
          </reference>
          <reference field="0" count="1" selected="0">
            <x v="9"/>
          </reference>
          <reference field="1" count="1" selected="0">
            <x v="19"/>
          </reference>
        </references>
      </pivotArea>
    </chartFormat>
    <chartFormat chart="0" format="934">
      <pivotArea type="data" outline="0" fieldPosition="0">
        <references count="3">
          <reference field="4294967294" count="1" selected="0">
            <x v="2"/>
          </reference>
          <reference field="0" count="1" selected="0">
            <x v="9"/>
          </reference>
          <reference field="1" count="1" selected="0">
            <x v="20"/>
          </reference>
        </references>
      </pivotArea>
    </chartFormat>
    <chartFormat chart="0" format="935">
      <pivotArea type="data" outline="0" fieldPosition="0">
        <references count="3">
          <reference field="4294967294" count="1" selected="0">
            <x v="2"/>
          </reference>
          <reference field="0" count="1" selected="0">
            <x v="9"/>
          </reference>
          <reference field="1" count="1" selected="0">
            <x v="21"/>
          </reference>
        </references>
      </pivotArea>
    </chartFormat>
    <chartFormat chart="0" format="936">
      <pivotArea type="data" outline="0" fieldPosition="0">
        <references count="3">
          <reference field="4294967294" count="1" selected="0">
            <x v="2"/>
          </reference>
          <reference field="0" count="1" selected="0">
            <x v="9"/>
          </reference>
          <reference field="1" count="1" selected="0">
            <x v="23"/>
          </reference>
        </references>
      </pivotArea>
    </chartFormat>
    <chartFormat chart="0" format="937">
      <pivotArea type="data" outline="0" fieldPosition="0">
        <references count="3">
          <reference field="4294967294" count="1" selected="0">
            <x v="2"/>
          </reference>
          <reference field="0" count="1" selected="0">
            <x v="9"/>
          </reference>
          <reference field="1" count="1" selected="0">
            <x v="25"/>
          </reference>
        </references>
      </pivotArea>
    </chartFormat>
    <chartFormat chart="0" format="938">
      <pivotArea type="data" outline="0" fieldPosition="0">
        <references count="3">
          <reference field="4294967294" count="1" selected="0">
            <x v="2"/>
          </reference>
          <reference field="0" count="1" selected="0">
            <x v="9"/>
          </reference>
          <reference field="1" count="1" selected="0">
            <x v="27"/>
          </reference>
        </references>
      </pivotArea>
    </chartFormat>
    <chartFormat chart="0" format="939">
      <pivotArea type="data" outline="0" fieldPosition="0">
        <references count="3">
          <reference field="4294967294" count="1" selected="0">
            <x v="2"/>
          </reference>
          <reference field="0" count="1" selected="0">
            <x v="9"/>
          </reference>
          <reference field="1" count="1" selected="0">
            <x v="29"/>
          </reference>
        </references>
      </pivotArea>
    </chartFormat>
    <chartFormat chart="0" format="940">
      <pivotArea type="data" outline="0" fieldPosition="0">
        <references count="3">
          <reference field="4294967294" count="1" selected="0">
            <x v="2"/>
          </reference>
          <reference field="0" count="1" selected="0">
            <x v="9"/>
          </reference>
          <reference field="1" count="1" selected="0">
            <x v="31"/>
          </reference>
        </references>
      </pivotArea>
    </chartFormat>
    <chartFormat chart="0" format="941">
      <pivotArea type="data" outline="0" fieldPosition="0">
        <references count="3">
          <reference field="4294967294" count="1" selected="0">
            <x v="2"/>
          </reference>
          <reference field="0" count="1" selected="0">
            <x v="9"/>
          </reference>
          <reference field="1" count="1" selected="0">
            <x v="33"/>
          </reference>
        </references>
      </pivotArea>
    </chartFormat>
    <chartFormat chart="0" format="942">
      <pivotArea type="data" outline="0" fieldPosition="0">
        <references count="3">
          <reference field="4294967294" count="1" selected="0">
            <x v="2"/>
          </reference>
          <reference field="0" count="1" selected="0">
            <x v="9"/>
          </reference>
          <reference field="1" count="1" selected="0">
            <x v="35"/>
          </reference>
        </references>
      </pivotArea>
    </chartFormat>
    <chartFormat chart="0" format="943">
      <pivotArea type="data" outline="0" fieldPosition="0">
        <references count="3">
          <reference field="4294967294" count="1" selected="0">
            <x v="2"/>
          </reference>
          <reference field="0" count="1" selected="0">
            <x v="9"/>
          </reference>
          <reference field="1" count="1" selected="0">
            <x v="37"/>
          </reference>
        </references>
      </pivotArea>
    </chartFormat>
    <chartFormat chart="0" format="944">
      <pivotArea type="data" outline="0" fieldPosition="0">
        <references count="3">
          <reference field="4294967294" count="1" selected="0">
            <x v="2"/>
          </reference>
          <reference field="0" count="1" selected="0">
            <x v="9"/>
          </reference>
          <reference field="1" count="1" selected="0">
            <x v="39"/>
          </reference>
        </references>
      </pivotArea>
    </chartFormat>
    <chartFormat chart="0" format="945">
      <pivotArea type="data" outline="0" fieldPosition="0">
        <references count="3">
          <reference field="4294967294" count="1" selected="0">
            <x v="2"/>
          </reference>
          <reference field="0" count="1" selected="0">
            <x v="9"/>
          </reference>
          <reference field="1" count="1" selected="0">
            <x v="41"/>
          </reference>
        </references>
      </pivotArea>
    </chartFormat>
    <chartFormat chart="0" format="946">
      <pivotArea type="data" outline="0" fieldPosition="0">
        <references count="3">
          <reference field="4294967294" count="1" selected="0">
            <x v="2"/>
          </reference>
          <reference field="0" count="1" selected="0">
            <x v="9"/>
          </reference>
          <reference field="1" count="1" selected="0">
            <x v="43"/>
          </reference>
        </references>
      </pivotArea>
    </chartFormat>
    <chartFormat chart="0" format="947">
      <pivotArea type="data" outline="0" fieldPosition="0">
        <references count="3">
          <reference field="4294967294" count="1" selected="0">
            <x v="2"/>
          </reference>
          <reference field="0" count="1" selected="0">
            <x v="9"/>
          </reference>
          <reference field="1" count="1" selected="0">
            <x v="45"/>
          </reference>
        </references>
      </pivotArea>
    </chartFormat>
    <chartFormat chart="0" format="948">
      <pivotArea type="data" outline="0" fieldPosition="0">
        <references count="3">
          <reference field="4294967294" count="1" selected="0">
            <x v="2"/>
          </reference>
          <reference field="0" count="1" selected="0">
            <x v="9"/>
          </reference>
          <reference field="1" count="1" selected="0">
            <x v="47"/>
          </reference>
        </references>
      </pivotArea>
    </chartFormat>
    <chartFormat chart="0" format="949">
      <pivotArea type="data" outline="0" fieldPosition="0">
        <references count="3">
          <reference field="4294967294" count="1" selected="0">
            <x v="2"/>
          </reference>
          <reference field="0" count="1" selected="0">
            <x v="9"/>
          </reference>
          <reference field="1" count="1" selected="0">
            <x v="49"/>
          </reference>
        </references>
      </pivotArea>
    </chartFormat>
    <chartFormat chart="0" format="950">
      <pivotArea type="data" outline="0" fieldPosition="0">
        <references count="3">
          <reference field="4294967294" count="1" selected="0">
            <x v="2"/>
          </reference>
          <reference field="0" count="1" selected="0">
            <x v="9"/>
          </reference>
          <reference field="1" count="1" selected="0">
            <x v="51"/>
          </reference>
        </references>
      </pivotArea>
    </chartFormat>
    <chartFormat chart="0" format="951">
      <pivotArea type="data" outline="0" fieldPosition="0">
        <references count="3">
          <reference field="4294967294" count="1" selected="0">
            <x v="2"/>
          </reference>
          <reference field="0" count="1" selected="0">
            <x v="9"/>
          </reference>
          <reference field="1" count="1" selected="0">
            <x v="53"/>
          </reference>
        </references>
      </pivotArea>
    </chartFormat>
    <chartFormat chart="0" format="952">
      <pivotArea type="data" outline="0" fieldPosition="0">
        <references count="3">
          <reference field="4294967294" count="1" selected="0">
            <x v="2"/>
          </reference>
          <reference field="0" count="1" selected="0">
            <x v="9"/>
          </reference>
          <reference field="1" count="1" selected="0">
            <x v="55"/>
          </reference>
        </references>
      </pivotArea>
    </chartFormat>
    <chartFormat chart="0" format="953">
      <pivotArea type="data" outline="0" fieldPosition="0">
        <references count="3">
          <reference field="4294967294" count="1" selected="0">
            <x v="2"/>
          </reference>
          <reference field="0" count="1" selected="0">
            <x v="9"/>
          </reference>
          <reference field="1" count="1" selected="0">
            <x v="57"/>
          </reference>
        </references>
      </pivotArea>
    </chartFormat>
    <chartFormat chart="0" format="954">
      <pivotArea type="data" outline="0" fieldPosition="0">
        <references count="3">
          <reference field="4294967294" count="1" selected="0">
            <x v="2"/>
          </reference>
          <reference field="0" count="1" selected="0">
            <x v="9"/>
          </reference>
          <reference field="1" count="1" selected="0">
            <x v="59"/>
          </reference>
        </references>
      </pivotArea>
    </chartFormat>
    <chartFormat chart="0" format="955">
      <pivotArea type="data" outline="0" fieldPosition="0">
        <references count="3">
          <reference field="4294967294" count="1" selected="0">
            <x v="2"/>
          </reference>
          <reference field="0" count="1" selected="0">
            <x v="9"/>
          </reference>
          <reference field="1" count="1" selected="0">
            <x v="61"/>
          </reference>
        </references>
      </pivotArea>
    </chartFormat>
    <chartFormat chart="0" format="956">
      <pivotArea type="data" outline="0" fieldPosition="0">
        <references count="3">
          <reference field="4294967294" count="1" selected="0">
            <x v="2"/>
          </reference>
          <reference field="0" count="1" selected="0">
            <x v="9"/>
          </reference>
          <reference field="1" count="1" selected="0">
            <x v="63"/>
          </reference>
        </references>
      </pivotArea>
    </chartFormat>
    <chartFormat chart="0" format="957">
      <pivotArea type="data" outline="0" fieldPosition="0">
        <references count="3">
          <reference field="4294967294" count="1" selected="0">
            <x v="2"/>
          </reference>
          <reference field="0" count="1" selected="0">
            <x v="9"/>
          </reference>
          <reference field="1" count="1" selected="0">
            <x v="65"/>
          </reference>
        </references>
      </pivotArea>
    </chartFormat>
    <chartFormat chart="0" format="958">
      <pivotArea type="data" outline="0" fieldPosition="0">
        <references count="3">
          <reference field="4294967294" count="1" selected="0">
            <x v="2"/>
          </reference>
          <reference field="0" count="1" selected="0">
            <x v="9"/>
          </reference>
          <reference field="1" count="1" selected="0">
            <x v="67"/>
          </reference>
        </references>
      </pivotArea>
    </chartFormat>
    <chartFormat chart="0" format="959">
      <pivotArea type="data" outline="0" fieldPosition="0">
        <references count="3">
          <reference field="4294967294" count="1" selected="0">
            <x v="2"/>
          </reference>
          <reference field="0" count="1" selected="0">
            <x v="9"/>
          </reference>
          <reference field="1" count="1" selected="0">
            <x v="69"/>
          </reference>
        </references>
      </pivotArea>
    </chartFormat>
    <chartFormat chart="0" format="960">
      <pivotArea type="data" outline="0" fieldPosition="0">
        <references count="3">
          <reference field="4294967294" count="1" selected="0">
            <x v="2"/>
          </reference>
          <reference field="0" count="1" selected="0">
            <x v="9"/>
          </reference>
          <reference field="1" count="1" selected="0">
            <x v="70"/>
          </reference>
        </references>
      </pivotArea>
    </chartFormat>
    <chartFormat chart="0" format="961">
      <pivotArea type="data" outline="0" fieldPosition="0">
        <references count="3">
          <reference field="4294967294" count="1" selected="0">
            <x v="2"/>
          </reference>
          <reference field="0" count="1" selected="0">
            <x v="9"/>
          </reference>
          <reference field="1" count="1" selected="0">
            <x v="71"/>
          </reference>
        </references>
      </pivotArea>
    </chartFormat>
    <chartFormat chart="0" format="962">
      <pivotArea type="data" outline="0" fieldPosition="0">
        <references count="3">
          <reference field="4294967294" count="1" selected="0">
            <x v="2"/>
          </reference>
          <reference field="0" count="1" selected="0">
            <x v="9"/>
          </reference>
          <reference field="1" count="1" selected="0">
            <x v="73"/>
          </reference>
        </references>
      </pivotArea>
    </chartFormat>
    <chartFormat chart="0" format="963">
      <pivotArea type="data" outline="0" fieldPosition="0">
        <references count="3">
          <reference field="4294967294" count="1" selected="0">
            <x v="2"/>
          </reference>
          <reference field="0" count="1" selected="0">
            <x v="10"/>
          </reference>
          <reference field="1" count="1" selected="0">
            <x v="1"/>
          </reference>
        </references>
      </pivotArea>
    </chartFormat>
    <chartFormat chart="0" format="964">
      <pivotArea type="data" outline="0" fieldPosition="0">
        <references count="3">
          <reference field="4294967294" count="1" selected="0">
            <x v="2"/>
          </reference>
          <reference field="0" count="1" selected="0">
            <x v="10"/>
          </reference>
          <reference field="1" count="1" selected="0">
            <x v="2"/>
          </reference>
        </references>
      </pivotArea>
    </chartFormat>
    <chartFormat chart="0" format="965">
      <pivotArea type="data" outline="0" fieldPosition="0">
        <references count="3">
          <reference field="4294967294" count="1" selected="0">
            <x v="2"/>
          </reference>
          <reference field="0" count="1" selected="0">
            <x v="10"/>
          </reference>
          <reference field="1" count="1" selected="0">
            <x v="3"/>
          </reference>
        </references>
      </pivotArea>
    </chartFormat>
    <chartFormat chart="0" format="966">
      <pivotArea type="data" outline="0" fieldPosition="0">
        <references count="3">
          <reference field="4294967294" count="1" selected="0">
            <x v="2"/>
          </reference>
          <reference field="0" count="1" selected="0">
            <x v="10"/>
          </reference>
          <reference field="1" count="1" selected="0">
            <x v="4"/>
          </reference>
        </references>
      </pivotArea>
    </chartFormat>
    <chartFormat chart="0" format="967">
      <pivotArea type="data" outline="0" fieldPosition="0">
        <references count="3">
          <reference field="4294967294" count="1" selected="0">
            <x v="2"/>
          </reference>
          <reference field="0" count="1" selected="0">
            <x v="10"/>
          </reference>
          <reference field="1" count="1" selected="0">
            <x v="5"/>
          </reference>
        </references>
      </pivotArea>
    </chartFormat>
    <chartFormat chart="0" format="968">
      <pivotArea type="data" outline="0" fieldPosition="0">
        <references count="3">
          <reference field="4294967294" count="1" selected="0">
            <x v="2"/>
          </reference>
          <reference field="0" count="1" selected="0">
            <x v="10"/>
          </reference>
          <reference field="1" count="1" selected="0">
            <x v="6"/>
          </reference>
        </references>
      </pivotArea>
    </chartFormat>
    <chartFormat chart="0" format="969">
      <pivotArea type="data" outline="0" fieldPosition="0">
        <references count="3">
          <reference field="4294967294" count="1" selected="0">
            <x v="2"/>
          </reference>
          <reference field="0" count="1" selected="0">
            <x v="10"/>
          </reference>
          <reference field="1" count="1" selected="0">
            <x v="7"/>
          </reference>
        </references>
      </pivotArea>
    </chartFormat>
    <chartFormat chart="0" format="970">
      <pivotArea type="data" outline="0" fieldPosition="0">
        <references count="3">
          <reference field="4294967294" count="1" selected="0">
            <x v="2"/>
          </reference>
          <reference field="0" count="1" selected="0">
            <x v="10"/>
          </reference>
          <reference field="1" count="1" selected="0">
            <x v="8"/>
          </reference>
        </references>
      </pivotArea>
    </chartFormat>
    <chartFormat chart="0" format="971">
      <pivotArea type="data" outline="0" fieldPosition="0">
        <references count="3">
          <reference field="4294967294" count="1" selected="0">
            <x v="2"/>
          </reference>
          <reference field="0" count="1" selected="0">
            <x v="10"/>
          </reference>
          <reference field="1" count="1" selected="0">
            <x v="9"/>
          </reference>
        </references>
      </pivotArea>
    </chartFormat>
    <chartFormat chart="0" format="972">
      <pivotArea type="data" outline="0" fieldPosition="0">
        <references count="3">
          <reference field="4294967294" count="1" selected="0">
            <x v="2"/>
          </reference>
          <reference field="0" count="1" selected="0">
            <x v="10"/>
          </reference>
          <reference field="1" count="1" selected="0">
            <x v="10"/>
          </reference>
        </references>
      </pivotArea>
    </chartFormat>
    <chartFormat chart="0" format="973">
      <pivotArea type="data" outline="0" fieldPosition="0">
        <references count="3">
          <reference field="4294967294" count="1" selected="0">
            <x v="2"/>
          </reference>
          <reference field="0" count="1" selected="0">
            <x v="10"/>
          </reference>
          <reference field="1" count="1" selected="0">
            <x v="11"/>
          </reference>
        </references>
      </pivotArea>
    </chartFormat>
    <chartFormat chart="0" format="974">
      <pivotArea type="data" outline="0" fieldPosition="0">
        <references count="3">
          <reference field="4294967294" count="1" selected="0">
            <x v="2"/>
          </reference>
          <reference field="0" count="1" selected="0">
            <x v="10"/>
          </reference>
          <reference field="1" count="1" selected="0">
            <x v="12"/>
          </reference>
        </references>
      </pivotArea>
    </chartFormat>
    <chartFormat chart="0" format="975">
      <pivotArea type="data" outline="0" fieldPosition="0">
        <references count="3">
          <reference field="4294967294" count="1" selected="0">
            <x v="2"/>
          </reference>
          <reference field="0" count="1" selected="0">
            <x v="10"/>
          </reference>
          <reference field="1" count="1" selected="0">
            <x v="13"/>
          </reference>
        </references>
      </pivotArea>
    </chartFormat>
    <chartFormat chart="0" format="976">
      <pivotArea type="data" outline="0" fieldPosition="0">
        <references count="3">
          <reference field="4294967294" count="1" selected="0">
            <x v="2"/>
          </reference>
          <reference field="0" count="1" selected="0">
            <x v="10"/>
          </reference>
          <reference field="1" count="1" selected="0">
            <x v="14"/>
          </reference>
        </references>
      </pivotArea>
    </chartFormat>
    <chartFormat chart="0" format="977">
      <pivotArea type="data" outline="0" fieldPosition="0">
        <references count="3">
          <reference field="4294967294" count="1" selected="0">
            <x v="2"/>
          </reference>
          <reference field="0" count="1" selected="0">
            <x v="10"/>
          </reference>
          <reference field="1" count="1" selected="0">
            <x v="15"/>
          </reference>
        </references>
      </pivotArea>
    </chartFormat>
    <chartFormat chart="0" format="978">
      <pivotArea type="data" outline="0" fieldPosition="0">
        <references count="3">
          <reference field="4294967294" count="1" selected="0">
            <x v="2"/>
          </reference>
          <reference field="0" count="1" selected="0">
            <x v="10"/>
          </reference>
          <reference field="1" count="1" selected="0">
            <x v="16"/>
          </reference>
        </references>
      </pivotArea>
    </chartFormat>
    <chartFormat chart="0" format="979">
      <pivotArea type="data" outline="0" fieldPosition="0">
        <references count="3">
          <reference field="4294967294" count="1" selected="0">
            <x v="2"/>
          </reference>
          <reference field="0" count="1" selected="0">
            <x v="10"/>
          </reference>
          <reference field="1" count="1" selected="0">
            <x v="17"/>
          </reference>
        </references>
      </pivotArea>
    </chartFormat>
    <chartFormat chart="0" format="980">
      <pivotArea type="data" outline="0" fieldPosition="0">
        <references count="3">
          <reference field="4294967294" count="1" selected="0">
            <x v="2"/>
          </reference>
          <reference field="0" count="1" selected="0">
            <x v="10"/>
          </reference>
          <reference field="1" count="1" selected="0">
            <x v="18"/>
          </reference>
        </references>
      </pivotArea>
    </chartFormat>
    <chartFormat chart="0" format="981">
      <pivotArea type="data" outline="0" fieldPosition="0">
        <references count="3">
          <reference field="4294967294" count="1" selected="0">
            <x v="2"/>
          </reference>
          <reference field="0" count="1" selected="0">
            <x v="10"/>
          </reference>
          <reference field="1" count="1" selected="0">
            <x v="19"/>
          </reference>
        </references>
      </pivotArea>
    </chartFormat>
    <chartFormat chart="0" format="982">
      <pivotArea type="data" outline="0" fieldPosition="0">
        <references count="3">
          <reference field="4294967294" count="1" selected="0">
            <x v="2"/>
          </reference>
          <reference field="0" count="1" selected="0">
            <x v="10"/>
          </reference>
          <reference field="1" count="1" selected="0">
            <x v="20"/>
          </reference>
        </references>
      </pivotArea>
    </chartFormat>
    <chartFormat chart="0" format="983">
      <pivotArea type="data" outline="0" fieldPosition="0">
        <references count="3">
          <reference field="4294967294" count="1" selected="0">
            <x v="2"/>
          </reference>
          <reference field="0" count="1" selected="0">
            <x v="10"/>
          </reference>
          <reference field="1" count="1" selected="0">
            <x v="21"/>
          </reference>
        </references>
      </pivotArea>
    </chartFormat>
    <chartFormat chart="0" format="984">
      <pivotArea type="data" outline="0" fieldPosition="0">
        <references count="3">
          <reference field="4294967294" count="1" selected="0">
            <x v="2"/>
          </reference>
          <reference field="0" count="1" selected="0">
            <x v="10"/>
          </reference>
          <reference field="1" count="1" selected="0">
            <x v="23"/>
          </reference>
        </references>
      </pivotArea>
    </chartFormat>
    <chartFormat chart="0" format="985">
      <pivotArea type="data" outline="0" fieldPosition="0">
        <references count="3">
          <reference field="4294967294" count="1" selected="0">
            <x v="2"/>
          </reference>
          <reference field="0" count="1" selected="0">
            <x v="10"/>
          </reference>
          <reference field="1" count="1" selected="0">
            <x v="25"/>
          </reference>
        </references>
      </pivotArea>
    </chartFormat>
    <chartFormat chart="0" format="986">
      <pivotArea type="data" outline="0" fieldPosition="0">
        <references count="3">
          <reference field="4294967294" count="1" selected="0">
            <x v="2"/>
          </reference>
          <reference field="0" count="1" selected="0">
            <x v="10"/>
          </reference>
          <reference field="1" count="1" selected="0">
            <x v="27"/>
          </reference>
        </references>
      </pivotArea>
    </chartFormat>
    <chartFormat chart="0" format="987">
      <pivotArea type="data" outline="0" fieldPosition="0">
        <references count="3">
          <reference field="4294967294" count="1" selected="0">
            <x v="2"/>
          </reference>
          <reference field="0" count="1" selected="0">
            <x v="10"/>
          </reference>
          <reference field="1" count="1" selected="0">
            <x v="29"/>
          </reference>
        </references>
      </pivotArea>
    </chartFormat>
    <chartFormat chart="0" format="988">
      <pivotArea type="data" outline="0" fieldPosition="0">
        <references count="3">
          <reference field="4294967294" count="1" selected="0">
            <x v="2"/>
          </reference>
          <reference field="0" count="1" selected="0">
            <x v="10"/>
          </reference>
          <reference field="1" count="1" selected="0">
            <x v="31"/>
          </reference>
        </references>
      </pivotArea>
    </chartFormat>
    <chartFormat chart="0" format="989">
      <pivotArea type="data" outline="0" fieldPosition="0">
        <references count="3">
          <reference field="4294967294" count="1" selected="0">
            <x v="2"/>
          </reference>
          <reference field="0" count="1" selected="0">
            <x v="10"/>
          </reference>
          <reference field="1" count="1" selected="0">
            <x v="33"/>
          </reference>
        </references>
      </pivotArea>
    </chartFormat>
    <chartFormat chart="0" format="990">
      <pivotArea type="data" outline="0" fieldPosition="0">
        <references count="3">
          <reference field="4294967294" count="1" selected="0">
            <x v="2"/>
          </reference>
          <reference field="0" count="1" selected="0">
            <x v="10"/>
          </reference>
          <reference field="1" count="1" selected="0">
            <x v="35"/>
          </reference>
        </references>
      </pivotArea>
    </chartFormat>
    <chartFormat chart="0" format="991">
      <pivotArea type="data" outline="0" fieldPosition="0">
        <references count="3">
          <reference field="4294967294" count="1" selected="0">
            <x v="2"/>
          </reference>
          <reference field="0" count="1" selected="0">
            <x v="10"/>
          </reference>
          <reference field="1" count="1" selected="0">
            <x v="37"/>
          </reference>
        </references>
      </pivotArea>
    </chartFormat>
    <chartFormat chart="0" format="992">
      <pivotArea type="data" outline="0" fieldPosition="0">
        <references count="3">
          <reference field="4294967294" count="1" selected="0">
            <x v="2"/>
          </reference>
          <reference field="0" count="1" selected="0">
            <x v="10"/>
          </reference>
          <reference field="1" count="1" selected="0">
            <x v="39"/>
          </reference>
        </references>
      </pivotArea>
    </chartFormat>
    <chartFormat chart="0" format="993">
      <pivotArea type="data" outline="0" fieldPosition="0">
        <references count="3">
          <reference field="4294967294" count="1" selected="0">
            <x v="2"/>
          </reference>
          <reference field="0" count="1" selected="0">
            <x v="10"/>
          </reference>
          <reference field="1" count="1" selected="0">
            <x v="41"/>
          </reference>
        </references>
      </pivotArea>
    </chartFormat>
    <chartFormat chart="0" format="994">
      <pivotArea type="data" outline="0" fieldPosition="0">
        <references count="3">
          <reference field="4294967294" count="1" selected="0">
            <x v="2"/>
          </reference>
          <reference field="0" count="1" selected="0">
            <x v="10"/>
          </reference>
          <reference field="1" count="1" selected="0">
            <x v="43"/>
          </reference>
        </references>
      </pivotArea>
    </chartFormat>
    <chartFormat chart="0" format="995">
      <pivotArea type="data" outline="0" fieldPosition="0">
        <references count="3">
          <reference field="4294967294" count="1" selected="0">
            <x v="2"/>
          </reference>
          <reference field="0" count="1" selected="0">
            <x v="10"/>
          </reference>
          <reference field="1" count="1" selected="0">
            <x v="45"/>
          </reference>
        </references>
      </pivotArea>
    </chartFormat>
    <chartFormat chart="0" format="996">
      <pivotArea type="data" outline="0" fieldPosition="0">
        <references count="3">
          <reference field="4294967294" count="1" selected="0">
            <x v="2"/>
          </reference>
          <reference field="0" count="1" selected="0">
            <x v="10"/>
          </reference>
          <reference field="1" count="1" selected="0">
            <x v="47"/>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9"/>
          </reference>
        </references>
      </pivotArea>
    </chartFormat>
    <chartFormat chart="0" format="998">
      <pivotArea type="data" outline="0" fieldPosition="0">
        <references count="3">
          <reference field="4294967294" count="1" selected="0">
            <x v="2"/>
          </reference>
          <reference field="0" count="1" selected="0">
            <x v="10"/>
          </reference>
          <reference field="1" count="1" selected="0">
            <x v="51"/>
          </reference>
        </references>
      </pivotArea>
    </chartFormat>
    <chartFormat chart="0" format="999">
      <pivotArea type="data" outline="0" fieldPosition="0">
        <references count="3">
          <reference field="4294967294" count="1" selected="0">
            <x v="2"/>
          </reference>
          <reference field="0" count="1" selected="0">
            <x v="10"/>
          </reference>
          <reference field="1" count="1" selected="0">
            <x v="53"/>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5"/>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57"/>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5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61"/>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63"/>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65"/>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67"/>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6"/>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7"/>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8"/>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2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t.lvl3_generic_2"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6" firstHeaderRow="0" firstDataRow="1" firstDataCol="2" rowPageCount="5" colPageCount="1"/>
  <pivotFields count="13">
    <pivotField axis="axisRow" compact="0" outline="0" showAll="0" defaultSubtotal="0">
      <items count="12">
        <item x="0"/>
        <item m="1" x="5"/>
        <item m="1" x="9"/>
        <item x="1"/>
        <item x="2"/>
        <item m="1" x="11"/>
        <item m="1" x="6"/>
        <item m="1" x="7"/>
        <item m="1" x="3"/>
        <item m="1" x="8"/>
        <item m="1" x="4"/>
        <item m="1" x="10"/>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x="2"/>
        <item h="1"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49">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41">
    <chartFormat chart="0" format="108" series="1">
      <pivotArea type="data" outline="0" fieldPosition="0">
        <references count="1">
          <reference field="4294967294" count="1" selected="0">
            <x v="0"/>
          </reference>
        </references>
      </pivotArea>
    </chartFormat>
    <chartFormat chart="0" format="109" series="1">
      <pivotArea type="data" outline="0" fieldPosition="0">
        <references count="1">
          <reference field="4294967294" count="1" selected="0">
            <x v="1"/>
          </reference>
        </references>
      </pivotArea>
    </chartFormat>
    <chartFormat chart="0" format="110" series="1">
      <pivotArea type="data" outline="0" fieldPosition="0">
        <references count="1">
          <reference field="4294967294" count="1" selected="0">
            <x v="2"/>
          </reference>
        </references>
      </pivotArea>
    </chartFormat>
    <chartFormat chart="0" format="145">
      <pivotArea type="data" outline="0" fieldPosition="0">
        <references count="1">
          <reference field="4294967294" count="1" selected="0">
            <x v="0"/>
          </reference>
        </references>
      </pivotArea>
    </chartFormat>
    <chartFormat chart="0" format="146">
      <pivotArea type="data" outline="0" fieldPosition="0">
        <references count="1">
          <reference field="4294967294" count="1" selected="0">
            <x v="2"/>
          </reference>
        </references>
      </pivotArea>
    </chartFormat>
    <chartFormat chart="0" format="197">
      <pivotArea type="data" outline="0" fieldPosition="0">
        <references count="3">
          <reference field="4294967294" count="1" selected="0">
            <x v="0"/>
          </reference>
          <reference field="0" count="1" selected="0">
            <x v="0"/>
          </reference>
          <reference field="1" count="1" selected="0">
            <x v="0"/>
          </reference>
        </references>
      </pivotArea>
    </chartFormat>
    <chartFormat chart="0" format="198">
      <pivotArea type="data" outline="0" fieldPosition="0">
        <references count="3">
          <reference field="4294967294" count="1" selected="0">
            <x v="2"/>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72"/>
          </reference>
        </references>
      </pivotArea>
    </chartFormat>
    <chartFormat chart="0" format="200">
      <pivotArea type="data" outline="0" fieldPosition="0">
        <references count="3">
          <reference field="4294967294" count="1" selected="0">
            <x v="0"/>
          </reference>
          <reference field="0" count="1" selected="0">
            <x v="1"/>
          </reference>
          <reference field="1" count="1" selected="0">
            <x v="74"/>
          </reference>
        </references>
      </pivotArea>
    </chartFormat>
    <chartFormat chart="0" format="201">
      <pivotArea type="data" outline="0" fieldPosition="0">
        <references count="3">
          <reference field="4294967294" count="1" selected="0">
            <x v="2"/>
          </reference>
          <reference field="0" count="1" selected="0">
            <x v="1"/>
          </reference>
          <reference field="1" count="1" selected="0">
            <x v="72"/>
          </reference>
        </references>
      </pivotArea>
    </chartFormat>
    <chartFormat chart="0" format="202">
      <pivotArea type="data" outline="0" fieldPosition="0">
        <references count="3">
          <reference field="4294967294" count="1" selected="0">
            <x v="2"/>
          </reference>
          <reference field="0" count="1" selected="0">
            <x v="1"/>
          </reference>
          <reference field="1" count="1" selected="0">
            <x v="7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2"/>
          </reference>
        </references>
      </pivotArea>
    </chartFormat>
    <chartFormat chart="0" format="204">
      <pivotArea type="data" outline="0" fieldPosition="0">
        <references count="3">
          <reference field="4294967294" count="1" selected="0">
            <x v="0"/>
          </reference>
          <reference field="0" count="1" selected="0">
            <x v="2"/>
          </reference>
          <reference field="1" count="1" selected="0">
            <x v="24"/>
          </reference>
        </references>
      </pivotArea>
    </chartFormat>
    <chartFormat chart="0" format="205">
      <pivotArea type="data" outline="0" fieldPosition="0">
        <references count="3">
          <reference field="4294967294" count="1" selected="0">
            <x v="0"/>
          </reference>
          <reference field="0" count="1" selected="0">
            <x v="2"/>
          </reference>
          <reference field="1" count="1" selected="0">
            <x v="26"/>
          </reference>
        </references>
      </pivotArea>
    </chartFormat>
    <chartFormat chart="0" format="206">
      <pivotArea type="data" outline="0" fieldPosition="0">
        <references count="3">
          <reference field="4294967294" count="1" selected="0">
            <x v="0"/>
          </reference>
          <reference field="0" count="1" selected="0">
            <x v="2"/>
          </reference>
          <reference field="1" count="1" selected="0">
            <x v="28"/>
          </reference>
        </references>
      </pivotArea>
    </chartFormat>
    <chartFormat chart="0" format="207">
      <pivotArea type="data" outline="0" fieldPosition="0">
        <references count="3">
          <reference field="4294967294" count="1" selected="0">
            <x v="0"/>
          </reference>
          <reference field="0" count="1" selected="0">
            <x v="2"/>
          </reference>
          <reference field="1" count="1" selected="0">
            <x v="30"/>
          </reference>
        </references>
      </pivotArea>
    </chartFormat>
    <chartFormat chart="0" format="208">
      <pivotArea type="data" outline="0" fieldPosition="0">
        <references count="3">
          <reference field="4294967294" count="1" selected="0">
            <x v="0"/>
          </reference>
          <reference field="0" count="1" selected="0">
            <x v="2"/>
          </reference>
          <reference field="1" count="1" selected="0">
            <x v="32"/>
          </reference>
        </references>
      </pivotArea>
    </chartFormat>
    <chartFormat chart="0" format="209">
      <pivotArea type="data" outline="0" fieldPosition="0">
        <references count="3">
          <reference field="4294967294" count="1" selected="0">
            <x v="0"/>
          </reference>
          <reference field="0" count="1" selected="0">
            <x v="2"/>
          </reference>
          <reference field="1" count="1" selected="0">
            <x v="34"/>
          </reference>
        </references>
      </pivotArea>
    </chartFormat>
    <chartFormat chart="0" format="210">
      <pivotArea type="data" outline="0" fieldPosition="0">
        <references count="3">
          <reference field="4294967294" count="1" selected="0">
            <x v="0"/>
          </reference>
          <reference field="0" count="1" selected="0">
            <x v="2"/>
          </reference>
          <reference field="1" count="1" selected="0">
            <x v="36"/>
          </reference>
        </references>
      </pivotArea>
    </chartFormat>
    <chartFormat chart="0" format="211">
      <pivotArea type="data" outline="0" fieldPosition="0">
        <references count="3">
          <reference field="4294967294" count="1" selected="0">
            <x v="0"/>
          </reference>
          <reference field="0" count="1" selected="0">
            <x v="2"/>
          </reference>
          <reference field="1" count="1" selected="0">
            <x v="38"/>
          </reference>
        </references>
      </pivotArea>
    </chartFormat>
    <chartFormat chart="0" format="212">
      <pivotArea type="data" outline="0" fieldPosition="0">
        <references count="3">
          <reference field="4294967294" count="1" selected="0">
            <x v="0"/>
          </reference>
          <reference field="0" count="1" selected="0">
            <x v="2"/>
          </reference>
          <reference field="1" count="1" selected="0">
            <x v="40"/>
          </reference>
        </references>
      </pivotArea>
    </chartFormat>
    <chartFormat chart="0" format="213">
      <pivotArea type="data" outline="0" fieldPosition="0">
        <references count="3">
          <reference field="4294967294" count="1" selected="0">
            <x v="0"/>
          </reference>
          <reference field="0" count="1" selected="0">
            <x v="2"/>
          </reference>
          <reference field="1" count="1" selected="0">
            <x v="42"/>
          </reference>
        </references>
      </pivotArea>
    </chartFormat>
    <chartFormat chart="0" format="214">
      <pivotArea type="data" outline="0" fieldPosition="0">
        <references count="3">
          <reference field="4294967294" count="1" selected="0">
            <x v="0"/>
          </reference>
          <reference field="0" count="1" selected="0">
            <x v="2"/>
          </reference>
          <reference field="1" count="1" selected="0">
            <x v="44"/>
          </reference>
        </references>
      </pivotArea>
    </chartFormat>
    <chartFormat chart="0" format="215">
      <pivotArea type="data" outline="0" fieldPosition="0">
        <references count="3">
          <reference field="4294967294" count="1" selected="0">
            <x v="0"/>
          </reference>
          <reference field="0" count="1" selected="0">
            <x v="2"/>
          </reference>
          <reference field="1" count="1" selected="0">
            <x v="46"/>
          </reference>
        </references>
      </pivotArea>
    </chartFormat>
    <chartFormat chart="0" format="216">
      <pivotArea type="data" outline="0" fieldPosition="0">
        <references count="3">
          <reference field="4294967294" count="1" selected="0">
            <x v="0"/>
          </reference>
          <reference field="0" count="1" selected="0">
            <x v="2"/>
          </reference>
          <reference field="1" count="1" selected="0">
            <x v="48"/>
          </reference>
        </references>
      </pivotArea>
    </chartFormat>
    <chartFormat chart="0" format="217">
      <pivotArea type="data" outline="0" fieldPosition="0">
        <references count="3">
          <reference field="4294967294" count="1" selected="0">
            <x v="0"/>
          </reference>
          <reference field="0" count="1" selected="0">
            <x v="2"/>
          </reference>
          <reference field="1" count="1" selected="0">
            <x v="50"/>
          </reference>
        </references>
      </pivotArea>
    </chartFormat>
    <chartFormat chart="0" format="218">
      <pivotArea type="data" outline="0" fieldPosition="0">
        <references count="3">
          <reference field="4294967294" count="1" selected="0">
            <x v="0"/>
          </reference>
          <reference field="0" count="1" selected="0">
            <x v="2"/>
          </reference>
          <reference field="1" count="1" selected="0">
            <x v="52"/>
          </reference>
        </references>
      </pivotArea>
    </chartFormat>
    <chartFormat chart="0" format="219">
      <pivotArea type="data" outline="0" fieldPosition="0">
        <references count="3">
          <reference field="4294967294" count="1" selected="0">
            <x v="0"/>
          </reference>
          <reference field="0" count="1" selected="0">
            <x v="2"/>
          </reference>
          <reference field="1" count="1" selected="0">
            <x v="54"/>
          </reference>
        </references>
      </pivotArea>
    </chartFormat>
    <chartFormat chart="0" format="220">
      <pivotArea type="data" outline="0" fieldPosition="0">
        <references count="3">
          <reference field="4294967294" count="1" selected="0">
            <x v="0"/>
          </reference>
          <reference field="0" count="1" selected="0">
            <x v="2"/>
          </reference>
          <reference field="1" count="1" selected="0">
            <x v="56"/>
          </reference>
        </references>
      </pivotArea>
    </chartFormat>
    <chartFormat chart="0" format="221">
      <pivotArea type="data" outline="0" fieldPosition="0">
        <references count="3">
          <reference field="4294967294" count="1" selected="0">
            <x v="0"/>
          </reference>
          <reference field="0" count="1" selected="0">
            <x v="2"/>
          </reference>
          <reference field="1" count="1" selected="0">
            <x v="58"/>
          </reference>
        </references>
      </pivotArea>
    </chartFormat>
    <chartFormat chart="0" format="222">
      <pivotArea type="data" outline="0" fieldPosition="0">
        <references count="3">
          <reference field="4294967294" count="1" selected="0">
            <x v="0"/>
          </reference>
          <reference field="0" count="1" selected="0">
            <x v="2"/>
          </reference>
          <reference field="1" count="1" selected="0">
            <x v="60"/>
          </reference>
        </references>
      </pivotArea>
    </chartFormat>
    <chartFormat chart="0" format="223">
      <pivotArea type="data" outline="0" fieldPosition="0">
        <references count="3">
          <reference field="4294967294" count="1" selected="0">
            <x v="0"/>
          </reference>
          <reference field="0" count="1" selected="0">
            <x v="2"/>
          </reference>
          <reference field="1" count="1" selected="0">
            <x v="75"/>
          </reference>
        </references>
      </pivotArea>
    </chartFormat>
    <chartFormat chart="0" format="224">
      <pivotArea type="data" outline="0" fieldPosition="0">
        <references count="3">
          <reference field="4294967294" count="1" selected="0">
            <x v="0"/>
          </reference>
          <reference field="0" count="1" selected="0">
            <x v="2"/>
          </reference>
          <reference field="1" count="1" selected="0">
            <x v="76"/>
          </reference>
        </references>
      </pivotArea>
    </chartFormat>
    <chartFormat chart="0" format="225">
      <pivotArea type="data" outline="0" fieldPosition="0">
        <references count="3">
          <reference field="4294967294" count="1" selected="0">
            <x v="0"/>
          </reference>
          <reference field="0" count="1" selected="0">
            <x v="2"/>
          </reference>
          <reference field="1" count="1" selected="0">
            <x v="77"/>
          </reference>
        </references>
      </pivotArea>
    </chartFormat>
    <chartFormat chart="0" format="226">
      <pivotArea type="data" outline="0" fieldPosition="0">
        <references count="3">
          <reference field="4294967294" count="1" selected="0">
            <x v="0"/>
          </reference>
          <reference field="0" count="1" selected="0">
            <x v="2"/>
          </reference>
          <reference field="1" count="1" selected="0">
            <x v="78"/>
          </reference>
        </references>
      </pivotArea>
    </chartFormat>
    <chartFormat chart="0" format="227">
      <pivotArea type="data" outline="0" fieldPosition="0">
        <references count="3">
          <reference field="4294967294" count="1" selected="0">
            <x v="2"/>
          </reference>
          <reference field="0" count="1" selected="0">
            <x v="2"/>
          </reference>
          <reference field="1" count="1" selected="0">
            <x v="22"/>
          </reference>
        </references>
      </pivotArea>
    </chartFormat>
    <chartFormat chart="0" format="228">
      <pivotArea type="data" outline="0" fieldPosition="0">
        <references count="3">
          <reference field="4294967294" count="1" selected="0">
            <x v="2"/>
          </reference>
          <reference field="0" count="1" selected="0">
            <x v="2"/>
          </reference>
          <reference field="1" count="1" selected="0">
            <x v="24"/>
          </reference>
        </references>
      </pivotArea>
    </chartFormat>
    <chartFormat chart="0" format="229">
      <pivotArea type="data" outline="0" fieldPosition="0">
        <references count="3">
          <reference field="4294967294" count="1" selected="0">
            <x v="2"/>
          </reference>
          <reference field="0" count="1" selected="0">
            <x v="2"/>
          </reference>
          <reference field="1" count="1" selected="0">
            <x v="26"/>
          </reference>
        </references>
      </pivotArea>
    </chartFormat>
    <chartFormat chart="0" format="230">
      <pivotArea type="data" outline="0" fieldPosition="0">
        <references count="3">
          <reference field="4294967294" count="1" selected="0">
            <x v="2"/>
          </reference>
          <reference field="0" count="1" selected="0">
            <x v="2"/>
          </reference>
          <reference field="1" count="1" selected="0">
            <x v="28"/>
          </reference>
        </references>
      </pivotArea>
    </chartFormat>
    <chartFormat chart="0" format="231">
      <pivotArea type="data" outline="0" fieldPosition="0">
        <references count="3">
          <reference field="4294967294" count="1" selected="0">
            <x v="2"/>
          </reference>
          <reference field="0" count="1" selected="0">
            <x v="2"/>
          </reference>
          <reference field="1" count="1" selected="0">
            <x v="30"/>
          </reference>
        </references>
      </pivotArea>
    </chartFormat>
    <chartFormat chart="0" format="232">
      <pivotArea type="data" outline="0" fieldPosition="0">
        <references count="3">
          <reference field="4294967294" count="1" selected="0">
            <x v="2"/>
          </reference>
          <reference field="0" count="1" selected="0">
            <x v="2"/>
          </reference>
          <reference field="1" count="1" selected="0">
            <x v="32"/>
          </reference>
        </references>
      </pivotArea>
    </chartFormat>
    <chartFormat chart="0" format="233">
      <pivotArea type="data" outline="0" fieldPosition="0">
        <references count="3">
          <reference field="4294967294" count="1" selected="0">
            <x v="2"/>
          </reference>
          <reference field="0" count="1" selected="0">
            <x v="2"/>
          </reference>
          <reference field="1" count="1" selected="0">
            <x v="34"/>
          </reference>
        </references>
      </pivotArea>
    </chartFormat>
    <chartFormat chart="0" format="234">
      <pivotArea type="data" outline="0" fieldPosition="0">
        <references count="3">
          <reference field="4294967294" count="1" selected="0">
            <x v="2"/>
          </reference>
          <reference field="0" count="1" selected="0">
            <x v="2"/>
          </reference>
          <reference field="1" count="1" selected="0">
            <x v="36"/>
          </reference>
        </references>
      </pivotArea>
    </chartFormat>
    <chartFormat chart="0" format="235">
      <pivotArea type="data" outline="0" fieldPosition="0">
        <references count="3">
          <reference field="4294967294" count="1" selected="0">
            <x v="2"/>
          </reference>
          <reference field="0" count="1" selected="0">
            <x v="2"/>
          </reference>
          <reference field="1" count="1" selected="0">
            <x v="38"/>
          </reference>
        </references>
      </pivotArea>
    </chartFormat>
    <chartFormat chart="0" format="236">
      <pivotArea type="data" outline="0" fieldPosition="0">
        <references count="3">
          <reference field="4294967294" count="1" selected="0">
            <x v="2"/>
          </reference>
          <reference field="0" count="1" selected="0">
            <x v="2"/>
          </reference>
          <reference field="1" count="1" selected="0">
            <x v="40"/>
          </reference>
        </references>
      </pivotArea>
    </chartFormat>
    <chartFormat chart="0" format="237">
      <pivotArea type="data" outline="0" fieldPosition="0">
        <references count="3">
          <reference field="4294967294" count="1" selected="0">
            <x v="2"/>
          </reference>
          <reference field="0" count="1" selected="0">
            <x v="2"/>
          </reference>
          <reference field="1" count="1" selected="0">
            <x v="42"/>
          </reference>
        </references>
      </pivotArea>
    </chartFormat>
    <chartFormat chart="0" format="238">
      <pivotArea type="data" outline="0" fieldPosition="0">
        <references count="3">
          <reference field="4294967294" count="1" selected="0">
            <x v="2"/>
          </reference>
          <reference field="0" count="1" selected="0">
            <x v="2"/>
          </reference>
          <reference field="1" count="1" selected="0">
            <x v="44"/>
          </reference>
        </references>
      </pivotArea>
    </chartFormat>
    <chartFormat chart="0" format="239">
      <pivotArea type="data" outline="0" fieldPosition="0">
        <references count="3">
          <reference field="4294967294" count="1" selected="0">
            <x v="2"/>
          </reference>
          <reference field="0" count="1" selected="0">
            <x v="2"/>
          </reference>
          <reference field="1" count="1" selected="0">
            <x v="46"/>
          </reference>
        </references>
      </pivotArea>
    </chartFormat>
    <chartFormat chart="0" format="240">
      <pivotArea type="data" outline="0" fieldPosition="0">
        <references count="3">
          <reference field="4294967294" count="1" selected="0">
            <x v="2"/>
          </reference>
          <reference field="0" count="1" selected="0">
            <x v="2"/>
          </reference>
          <reference field="1" count="1" selected="0">
            <x v="48"/>
          </reference>
        </references>
      </pivotArea>
    </chartFormat>
    <chartFormat chart="0" format="241">
      <pivotArea type="data" outline="0" fieldPosition="0">
        <references count="3">
          <reference field="4294967294" count="1" selected="0">
            <x v="2"/>
          </reference>
          <reference field="0" count="1" selected="0">
            <x v="2"/>
          </reference>
          <reference field="1" count="1" selected="0">
            <x v="50"/>
          </reference>
        </references>
      </pivotArea>
    </chartFormat>
    <chartFormat chart="0" format="242">
      <pivotArea type="data" outline="0" fieldPosition="0">
        <references count="3">
          <reference field="4294967294" count="1" selected="0">
            <x v="2"/>
          </reference>
          <reference field="0" count="1" selected="0">
            <x v="2"/>
          </reference>
          <reference field="1" count="1" selected="0">
            <x v="52"/>
          </reference>
        </references>
      </pivotArea>
    </chartFormat>
    <chartFormat chart="0" format="243">
      <pivotArea type="data" outline="0" fieldPosition="0">
        <references count="3">
          <reference field="4294967294" count="1" selected="0">
            <x v="2"/>
          </reference>
          <reference field="0" count="1" selected="0">
            <x v="2"/>
          </reference>
          <reference field="1" count="1" selected="0">
            <x v="54"/>
          </reference>
        </references>
      </pivotArea>
    </chartFormat>
    <chartFormat chart="0" format="244">
      <pivotArea type="data" outline="0" fieldPosition="0">
        <references count="3">
          <reference field="4294967294" count="1" selected="0">
            <x v="2"/>
          </reference>
          <reference field="0" count="1" selected="0">
            <x v="2"/>
          </reference>
          <reference field="1" count="1" selected="0">
            <x v="56"/>
          </reference>
        </references>
      </pivotArea>
    </chartFormat>
    <chartFormat chart="0" format="245">
      <pivotArea type="data" outline="0" fieldPosition="0">
        <references count="3">
          <reference field="4294967294" count="1" selected="0">
            <x v="2"/>
          </reference>
          <reference field="0" count="1" selected="0">
            <x v="2"/>
          </reference>
          <reference field="1" count="1" selected="0">
            <x v="58"/>
          </reference>
        </references>
      </pivotArea>
    </chartFormat>
    <chartFormat chart="0" format="246">
      <pivotArea type="data" outline="0" fieldPosition="0">
        <references count="3">
          <reference field="4294967294" count="1" selected="0">
            <x v="2"/>
          </reference>
          <reference field="0" count="1" selected="0">
            <x v="2"/>
          </reference>
          <reference field="1" count="1" selected="0">
            <x v="60"/>
          </reference>
        </references>
      </pivotArea>
    </chartFormat>
    <chartFormat chart="0" format="247">
      <pivotArea type="data" outline="0" fieldPosition="0">
        <references count="3">
          <reference field="4294967294" count="1" selected="0">
            <x v="2"/>
          </reference>
          <reference field="0" count="1" selected="0">
            <x v="2"/>
          </reference>
          <reference field="1" count="1" selected="0">
            <x v="75"/>
          </reference>
        </references>
      </pivotArea>
    </chartFormat>
    <chartFormat chart="0" format="248">
      <pivotArea type="data" outline="0" fieldPosition="0">
        <references count="3">
          <reference field="4294967294" count="1" selected="0">
            <x v="2"/>
          </reference>
          <reference field="0" count="1" selected="0">
            <x v="2"/>
          </reference>
          <reference field="1" count="1" selected="0">
            <x v="76"/>
          </reference>
        </references>
      </pivotArea>
    </chartFormat>
    <chartFormat chart="0" format="249">
      <pivotArea type="data" outline="0" fieldPosition="0">
        <references count="3">
          <reference field="4294967294" count="1" selected="0">
            <x v="2"/>
          </reference>
          <reference field="0" count="1" selected="0">
            <x v="2"/>
          </reference>
          <reference field="1" count="1" selected="0">
            <x v="77"/>
          </reference>
        </references>
      </pivotArea>
    </chartFormat>
    <chartFormat chart="0" format="250">
      <pivotArea type="data" outline="0" fieldPosition="0">
        <references count="3">
          <reference field="4294967294" count="1" selected="0">
            <x v="2"/>
          </reference>
          <reference field="0" count="1" selected="0">
            <x v="2"/>
          </reference>
          <reference field="1" count="1" selected="0">
            <x v="78"/>
          </reference>
        </references>
      </pivotArea>
    </chartFormat>
    <chartFormat chart="0" format="251">
      <pivotArea type="data" outline="0" fieldPosition="0">
        <references count="3">
          <reference field="4294967294" count="1" selected="0">
            <x v="0"/>
          </reference>
          <reference field="0" count="1" selected="0">
            <x v="2"/>
          </reference>
          <reference field="1" count="1" selected="0">
            <x v="62"/>
          </reference>
        </references>
      </pivotArea>
    </chartFormat>
    <chartFormat chart="0" format="252">
      <pivotArea type="data" outline="0" fieldPosition="0">
        <references count="3">
          <reference field="4294967294" count="1" selected="0">
            <x v="0"/>
          </reference>
          <reference field="0" count="1" selected="0">
            <x v="2"/>
          </reference>
          <reference field="1" count="1" selected="0">
            <x v="64"/>
          </reference>
        </references>
      </pivotArea>
    </chartFormat>
    <chartFormat chart="0" format="253">
      <pivotArea type="data" outline="0" fieldPosition="0">
        <references count="3">
          <reference field="4294967294" count="1" selected="0">
            <x v="2"/>
          </reference>
          <reference field="0" count="1" selected="0">
            <x v="2"/>
          </reference>
          <reference field="1" count="1" selected="0">
            <x v="62"/>
          </reference>
        </references>
      </pivotArea>
    </chartFormat>
    <chartFormat chart="0" format="254">
      <pivotArea type="data" outline="0" fieldPosition="0">
        <references count="3">
          <reference field="4294967294" count="1" selected="0">
            <x v="2"/>
          </reference>
          <reference field="0" count="1" selected="0">
            <x v="2"/>
          </reference>
          <reference field="1" count="1" selected="0">
            <x v="64"/>
          </reference>
        </references>
      </pivotArea>
    </chartFormat>
    <chartFormat chart="0" format="255">
      <pivotArea type="data" outline="0" fieldPosition="0">
        <references count="3">
          <reference field="4294967294" count="1" selected="0">
            <x v="0"/>
          </reference>
          <reference field="0" count="1" selected="0">
            <x v="2"/>
          </reference>
          <reference field="1" count="1" selected="0">
            <x v="66"/>
          </reference>
        </references>
      </pivotArea>
    </chartFormat>
    <chartFormat chart="0" format="256">
      <pivotArea type="data" outline="0" fieldPosition="0">
        <references count="3">
          <reference field="4294967294" count="1" selected="0">
            <x v="0"/>
          </reference>
          <reference field="0" count="1" selected="0">
            <x v="2"/>
          </reference>
          <reference field="1" count="1" selected="0">
            <x v="68"/>
          </reference>
        </references>
      </pivotArea>
    </chartFormat>
    <chartFormat chart="0" format="257">
      <pivotArea type="data" outline="0" fieldPosition="0">
        <references count="3">
          <reference field="4294967294" count="1" selected="0">
            <x v="2"/>
          </reference>
          <reference field="0" count="1" selected="0">
            <x v="2"/>
          </reference>
          <reference field="1" count="1" selected="0">
            <x v="66"/>
          </reference>
        </references>
      </pivotArea>
    </chartFormat>
    <chartFormat chart="0" format="258">
      <pivotArea type="data" outline="0" fieldPosition="0">
        <references count="3">
          <reference field="4294967294" count="1" selected="0">
            <x v="2"/>
          </reference>
          <reference field="0" count="1" selected="0">
            <x v="2"/>
          </reference>
          <reference field="1" count="1" selected="0">
            <x v="68"/>
          </reference>
        </references>
      </pivotArea>
    </chartFormat>
    <chartFormat chart="0" format="259">
      <pivotArea type="data" outline="0" fieldPosition="0">
        <references count="3">
          <reference field="4294967294" count="1" selected="0">
            <x v="0"/>
          </reference>
          <reference field="0" count="1" selected="0">
            <x v="3"/>
          </reference>
          <reference field="1" count="1" selected="0">
            <x v="19"/>
          </reference>
        </references>
      </pivotArea>
    </chartFormat>
    <chartFormat chart="0" format="260">
      <pivotArea type="data" outline="0" fieldPosition="0">
        <references count="3">
          <reference field="4294967294" count="1" selected="0">
            <x v="0"/>
          </reference>
          <reference field="0" count="1" selected="0">
            <x v="3"/>
          </reference>
          <reference field="1" count="1" selected="0">
            <x v="20"/>
          </reference>
        </references>
      </pivotArea>
    </chartFormat>
    <chartFormat chart="0" format="261">
      <pivotArea type="data" outline="0" fieldPosition="0">
        <references count="3">
          <reference field="4294967294" count="1" selected="0">
            <x v="0"/>
          </reference>
          <reference field="0" count="1" selected="0">
            <x v="3"/>
          </reference>
          <reference field="1" count="1" selected="0">
            <x v="21"/>
          </reference>
        </references>
      </pivotArea>
    </chartFormat>
    <chartFormat chart="0" format="262">
      <pivotArea type="data" outline="0" fieldPosition="0">
        <references count="3">
          <reference field="4294967294" count="1" selected="0">
            <x v="0"/>
          </reference>
          <reference field="0" count="1" selected="0">
            <x v="3"/>
          </reference>
          <reference field="1" count="1" selected="0">
            <x v="23"/>
          </reference>
        </references>
      </pivotArea>
    </chartFormat>
    <chartFormat chart="0" format="263">
      <pivotArea type="data" outline="0" fieldPosition="0">
        <references count="3">
          <reference field="4294967294" count="1" selected="0">
            <x v="0"/>
          </reference>
          <reference field="0" count="1" selected="0">
            <x v="3"/>
          </reference>
          <reference field="1" count="1" selected="0">
            <x v="25"/>
          </reference>
        </references>
      </pivotArea>
    </chartFormat>
    <chartFormat chart="0" format="264">
      <pivotArea type="data" outline="0" fieldPosition="0">
        <references count="3">
          <reference field="4294967294" count="1" selected="0">
            <x v="0"/>
          </reference>
          <reference field="0" count="1" selected="0">
            <x v="3"/>
          </reference>
          <reference field="1" count="1" selected="0">
            <x v="27"/>
          </reference>
        </references>
      </pivotArea>
    </chartFormat>
    <chartFormat chart="0" format="265">
      <pivotArea type="data" outline="0" fieldPosition="0">
        <references count="3">
          <reference field="4294967294" count="1" selected="0">
            <x v="0"/>
          </reference>
          <reference field="0" count="1" selected="0">
            <x v="3"/>
          </reference>
          <reference field="1" count="1" selected="0">
            <x v="29"/>
          </reference>
        </references>
      </pivotArea>
    </chartFormat>
    <chartFormat chart="0" format="266">
      <pivotArea type="data" outline="0" fieldPosition="0">
        <references count="3">
          <reference field="4294967294" count="1" selected="0">
            <x v="0"/>
          </reference>
          <reference field="0" count="1" selected="0">
            <x v="3"/>
          </reference>
          <reference field="1" count="1" selected="0">
            <x v="31"/>
          </reference>
        </references>
      </pivotArea>
    </chartFormat>
    <chartFormat chart="0" format="267">
      <pivotArea type="data" outline="0" fieldPosition="0">
        <references count="3">
          <reference field="4294967294" count="1" selected="0">
            <x v="0"/>
          </reference>
          <reference field="0" count="1" selected="0">
            <x v="3"/>
          </reference>
          <reference field="1" count="1" selected="0">
            <x v="33"/>
          </reference>
        </references>
      </pivotArea>
    </chartFormat>
    <chartFormat chart="0" format="268">
      <pivotArea type="data" outline="0" fieldPosition="0">
        <references count="3">
          <reference field="4294967294" count="1" selected="0">
            <x v="0"/>
          </reference>
          <reference field="0" count="1" selected="0">
            <x v="3"/>
          </reference>
          <reference field="1" count="1" selected="0">
            <x v="35"/>
          </reference>
        </references>
      </pivotArea>
    </chartFormat>
    <chartFormat chart="0" format="269">
      <pivotArea type="data" outline="0" fieldPosition="0">
        <references count="3">
          <reference field="4294967294" count="1" selected="0">
            <x v="0"/>
          </reference>
          <reference field="0" count="1" selected="0">
            <x v="3"/>
          </reference>
          <reference field="1" count="1" selected="0">
            <x v="37"/>
          </reference>
        </references>
      </pivotArea>
    </chartFormat>
    <chartFormat chart="0" format="270">
      <pivotArea type="data" outline="0" fieldPosition="0">
        <references count="3">
          <reference field="4294967294" count="1" selected="0">
            <x v="0"/>
          </reference>
          <reference field="0" count="1" selected="0">
            <x v="3"/>
          </reference>
          <reference field="1" count="1" selected="0">
            <x v="39"/>
          </reference>
        </references>
      </pivotArea>
    </chartFormat>
    <chartFormat chart="0" format="271">
      <pivotArea type="data" outline="0" fieldPosition="0">
        <references count="3">
          <reference field="4294967294" count="1" selected="0">
            <x v="2"/>
          </reference>
          <reference field="0" count="1" selected="0">
            <x v="3"/>
          </reference>
          <reference field="1" count="1" selected="0">
            <x v="19"/>
          </reference>
        </references>
      </pivotArea>
    </chartFormat>
    <chartFormat chart="0" format="272">
      <pivotArea type="data" outline="0" fieldPosition="0">
        <references count="3">
          <reference field="4294967294" count="1" selected="0">
            <x v="2"/>
          </reference>
          <reference field="0" count="1" selected="0">
            <x v="3"/>
          </reference>
          <reference field="1" count="1" selected="0">
            <x v="20"/>
          </reference>
        </references>
      </pivotArea>
    </chartFormat>
    <chartFormat chart="0" format="273">
      <pivotArea type="data" outline="0" fieldPosition="0">
        <references count="3">
          <reference field="4294967294" count="1" selected="0">
            <x v="2"/>
          </reference>
          <reference field="0" count="1" selected="0">
            <x v="3"/>
          </reference>
          <reference field="1" count="1" selected="0">
            <x v="21"/>
          </reference>
        </references>
      </pivotArea>
    </chartFormat>
    <chartFormat chart="0" format="274">
      <pivotArea type="data" outline="0" fieldPosition="0">
        <references count="3">
          <reference field="4294967294" count="1" selected="0">
            <x v="2"/>
          </reference>
          <reference field="0" count="1" selected="0">
            <x v="3"/>
          </reference>
          <reference field="1" count="1" selected="0">
            <x v="23"/>
          </reference>
        </references>
      </pivotArea>
    </chartFormat>
    <chartFormat chart="0" format="275">
      <pivotArea type="data" outline="0" fieldPosition="0">
        <references count="3">
          <reference field="4294967294" count="1" selected="0">
            <x v="2"/>
          </reference>
          <reference field="0" count="1" selected="0">
            <x v="3"/>
          </reference>
          <reference field="1" count="1" selected="0">
            <x v="25"/>
          </reference>
        </references>
      </pivotArea>
    </chartFormat>
    <chartFormat chart="0" format="276">
      <pivotArea type="data" outline="0" fieldPosition="0">
        <references count="3">
          <reference field="4294967294" count="1" selected="0">
            <x v="2"/>
          </reference>
          <reference field="0" count="1" selected="0">
            <x v="3"/>
          </reference>
          <reference field="1" count="1" selected="0">
            <x v="27"/>
          </reference>
        </references>
      </pivotArea>
    </chartFormat>
    <chartFormat chart="0" format="277">
      <pivotArea type="data" outline="0" fieldPosition="0">
        <references count="3">
          <reference field="4294967294" count="1" selected="0">
            <x v="2"/>
          </reference>
          <reference field="0" count="1" selected="0">
            <x v="3"/>
          </reference>
          <reference field="1" count="1" selected="0">
            <x v="29"/>
          </reference>
        </references>
      </pivotArea>
    </chartFormat>
    <chartFormat chart="0" format="278">
      <pivotArea type="data" outline="0" fieldPosition="0">
        <references count="3">
          <reference field="4294967294" count="1" selected="0">
            <x v="2"/>
          </reference>
          <reference field="0" count="1" selected="0">
            <x v="3"/>
          </reference>
          <reference field="1" count="1" selected="0">
            <x v="31"/>
          </reference>
        </references>
      </pivotArea>
    </chartFormat>
    <chartFormat chart="0" format="279">
      <pivotArea type="data" outline="0" fieldPosition="0">
        <references count="3">
          <reference field="4294967294" count="1" selected="0">
            <x v="2"/>
          </reference>
          <reference field="0" count="1" selected="0">
            <x v="3"/>
          </reference>
          <reference field="1" count="1" selected="0">
            <x v="33"/>
          </reference>
        </references>
      </pivotArea>
    </chartFormat>
    <chartFormat chart="0" format="280">
      <pivotArea type="data" outline="0" fieldPosition="0">
        <references count="3">
          <reference field="4294967294" count="1" selected="0">
            <x v="2"/>
          </reference>
          <reference field="0" count="1" selected="0">
            <x v="3"/>
          </reference>
          <reference field="1" count="1" selected="0">
            <x v="35"/>
          </reference>
        </references>
      </pivotArea>
    </chartFormat>
    <chartFormat chart="0" format="281">
      <pivotArea type="data" outline="0" fieldPosition="0">
        <references count="3">
          <reference field="4294967294" count="1" selected="0">
            <x v="2"/>
          </reference>
          <reference field="0" count="1" selected="0">
            <x v="3"/>
          </reference>
          <reference field="1" count="1" selected="0">
            <x v="37"/>
          </reference>
        </references>
      </pivotArea>
    </chartFormat>
    <chartFormat chart="0" format="282">
      <pivotArea type="data" outline="0" fieldPosition="0">
        <references count="3">
          <reference field="4294967294" count="1" selected="0">
            <x v="2"/>
          </reference>
          <reference field="0" count="1" selected="0">
            <x v="3"/>
          </reference>
          <reference field="1" count="1" selected="0">
            <x v="39"/>
          </reference>
        </references>
      </pivotArea>
    </chartFormat>
    <chartFormat chart="0" format="283">
      <pivotArea type="data" outline="0" fieldPosition="0">
        <references count="3">
          <reference field="4294967294" count="1" selected="0">
            <x v="0"/>
          </reference>
          <reference field="0" count="1" selected="0">
            <x v="3"/>
          </reference>
          <reference field="1" count="1" selected="0">
            <x v="17"/>
          </reference>
        </references>
      </pivotArea>
    </chartFormat>
    <chartFormat chart="0" format="284">
      <pivotArea type="data" outline="0" fieldPosition="0">
        <references count="3">
          <reference field="4294967294" count="1" selected="0">
            <x v="0"/>
          </reference>
          <reference field="0" count="1" selected="0">
            <x v="3"/>
          </reference>
          <reference field="1" count="1" selected="0">
            <x v="18"/>
          </reference>
        </references>
      </pivotArea>
    </chartFormat>
    <chartFormat chart="0" format="285">
      <pivotArea type="data" outline="0" fieldPosition="0">
        <references count="3">
          <reference field="4294967294" count="1" selected="0">
            <x v="2"/>
          </reference>
          <reference field="0" count="1" selected="0">
            <x v="3"/>
          </reference>
          <reference field="1" count="1" selected="0">
            <x v="17"/>
          </reference>
        </references>
      </pivotArea>
    </chartFormat>
    <chartFormat chart="0" format="286">
      <pivotArea type="data" outline="0" fieldPosition="0">
        <references count="3">
          <reference field="4294967294" count="1" selected="0">
            <x v="2"/>
          </reference>
          <reference field="0" count="1" selected="0">
            <x v="3"/>
          </reference>
          <reference field="1" count="1" selected="0">
            <x v="18"/>
          </reference>
        </references>
      </pivotArea>
    </chartFormat>
    <chartFormat chart="0" format="287">
      <pivotArea type="data" outline="0" fieldPosition="0">
        <references count="3">
          <reference field="4294967294" count="1" selected="0">
            <x v="0"/>
          </reference>
          <reference field="0" count="1" selected="0">
            <x v="3"/>
          </reference>
          <reference field="1" count="1" selected="0">
            <x v="41"/>
          </reference>
        </references>
      </pivotArea>
    </chartFormat>
    <chartFormat chart="0" format="288">
      <pivotArea type="data" outline="0" fieldPosition="0">
        <references count="3">
          <reference field="4294967294" count="1" selected="0">
            <x v="0"/>
          </reference>
          <reference field="0" count="1" selected="0">
            <x v="3"/>
          </reference>
          <reference field="1" count="1" selected="0">
            <x v="43"/>
          </reference>
        </references>
      </pivotArea>
    </chartFormat>
    <chartFormat chart="0" format="289">
      <pivotArea type="data" outline="0" fieldPosition="0">
        <references count="3">
          <reference field="4294967294" count="1" selected="0">
            <x v="0"/>
          </reference>
          <reference field="0" count="1" selected="0">
            <x v="3"/>
          </reference>
          <reference field="1" count="1" selected="0">
            <x v="45"/>
          </reference>
        </references>
      </pivotArea>
    </chartFormat>
    <chartFormat chart="0" format="290">
      <pivotArea type="data" outline="0" fieldPosition="0">
        <references count="3">
          <reference field="4294967294" count="1" selected="0">
            <x v="0"/>
          </reference>
          <reference field="0" count="1" selected="0">
            <x v="3"/>
          </reference>
          <reference field="1" count="1" selected="0">
            <x v="47"/>
          </reference>
        </references>
      </pivotArea>
    </chartFormat>
    <chartFormat chart="0" format="291">
      <pivotArea type="data" outline="0" fieldPosition="0">
        <references count="3">
          <reference field="4294967294" count="1" selected="0">
            <x v="0"/>
          </reference>
          <reference field="0" count="1" selected="0">
            <x v="3"/>
          </reference>
          <reference field="1" count="1" selected="0">
            <x v="49"/>
          </reference>
        </references>
      </pivotArea>
    </chartFormat>
    <chartFormat chart="0" format="292">
      <pivotArea type="data" outline="0" fieldPosition="0">
        <references count="3">
          <reference field="4294967294" count="1" selected="0">
            <x v="0"/>
          </reference>
          <reference field="0" count="1" selected="0">
            <x v="3"/>
          </reference>
          <reference field="1" count="1" selected="0">
            <x v="51"/>
          </reference>
        </references>
      </pivotArea>
    </chartFormat>
    <chartFormat chart="0" format="293">
      <pivotArea type="data" outline="0" fieldPosition="0">
        <references count="3">
          <reference field="4294967294" count="1" selected="0">
            <x v="0"/>
          </reference>
          <reference field="0" count="1" selected="0">
            <x v="3"/>
          </reference>
          <reference field="1" count="1" selected="0">
            <x v="53"/>
          </reference>
        </references>
      </pivotArea>
    </chartFormat>
    <chartFormat chart="0" format="294">
      <pivotArea type="data" outline="0" fieldPosition="0">
        <references count="3">
          <reference field="4294967294" count="1" selected="0">
            <x v="0"/>
          </reference>
          <reference field="0" count="1" selected="0">
            <x v="3"/>
          </reference>
          <reference field="1" count="1" selected="0">
            <x v="55"/>
          </reference>
        </references>
      </pivotArea>
    </chartFormat>
    <chartFormat chart="0" format="295">
      <pivotArea type="data" outline="0" fieldPosition="0">
        <references count="3">
          <reference field="4294967294" count="1" selected="0">
            <x v="0"/>
          </reference>
          <reference field="0" count="1" selected="0">
            <x v="3"/>
          </reference>
          <reference field="1" count="1" selected="0">
            <x v="57"/>
          </reference>
        </references>
      </pivotArea>
    </chartFormat>
    <chartFormat chart="0" format="296">
      <pivotArea type="data" outline="0" fieldPosition="0">
        <references count="3">
          <reference field="4294967294" count="1" selected="0">
            <x v="0"/>
          </reference>
          <reference field="0" count="1" selected="0">
            <x v="3"/>
          </reference>
          <reference field="1" count="1" selected="0">
            <x v="59"/>
          </reference>
        </references>
      </pivotArea>
    </chartFormat>
    <chartFormat chart="0" format="297">
      <pivotArea type="data" outline="0" fieldPosition="0">
        <references count="3">
          <reference field="4294967294" count="1" selected="0">
            <x v="0"/>
          </reference>
          <reference field="0" count="1" selected="0">
            <x v="3"/>
          </reference>
          <reference field="1" count="1" selected="0">
            <x v="61"/>
          </reference>
        </references>
      </pivotArea>
    </chartFormat>
    <chartFormat chart="0" format="298">
      <pivotArea type="data" outline="0" fieldPosition="0">
        <references count="3">
          <reference field="4294967294" count="1" selected="0">
            <x v="0"/>
          </reference>
          <reference field="0" count="1" selected="0">
            <x v="3"/>
          </reference>
          <reference field="1" count="1" selected="0">
            <x v="63"/>
          </reference>
        </references>
      </pivotArea>
    </chartFormat>
    <chartFormat chart="0" format="299">
      <pivotArea type="data" outline="0" fieldPosition="0">
        <references count="3">
          <reference field="4294967294" count="1" selected="0">
            <x v="0"/>
          </reference>
          <reference field="0" count="1" selected="0">
            <x v="3"/>
          </reference>
          <reference field="1" count="1" selected="0">
            <x v="65"/>
          </reference>
        </references>
      </pivotArea>
    </chartFormat>
    <chartFormat chart="0" format="300">
      <pivotArea type="data" outline="0" fieldPosition="0">
        <references count="3">
          <reference field="4294967294" count="1" selected="0">
            <x v="0"/>
          </reference>
          <reference field="0" count="1" selected="0">
            <x v="3"/>
          </reference>
          <reference field="1" count="1" selected="0">
            <x v="67"/>
          </reference>
        </references>
      </pivotArea>
    </chartFormat>
    <chartFormat chart="0" format="301">
      <pivotArea type="data" outline="0" fieldPosition="0">
        <references count="3">
          <reference field="4294967294" count="1" selected="0">
            <x v="0"/>
          </reference>
          <reference field="0" count="1" selected="0">
            <x v="3"/>
          </reference>
          <reference field="1" count="1" selected="0">
            <x v="69"/>
          </reference>
        </references>
      </pivotArea>
    </chartFormat>
    <chartFormat chart="0" format="302">
      <pivotArea type="data" outline="0" fieldPosition="0">
        <references count="3">
          <reference field="4294967294" count="1" selected="0">
            <x v="0"/>
          </reference>
          <reference field="0" count="1" selected="0">
            <x v="3"/>
          </reference>
          <reference field="1" count="1" selected="0">
            <x v="70"/>
          </reference>
        </references>
      </pivotArea>
    </chartFormat>
    <chartFormat chart="0" format="303">
      <pivotArea type="data" outline="0" fieldPosition="0">
        <references count="3">
          <reference field="4294967294" count="1" selected="0">
            <x v="0"/>
          </reference>
          <reference field="0" count="1" selected="0">
            <x v="3"/>
          </reference>
          <reference field="1" count="1" selected="0">
            <x v="71"/>
          </reference>
        </references>
      </pivotArea>
    </chartFormat>
    <chartFormat chart="0" format="304">
      <pivotArea type="data" outline="0" fieldPosition="0">
        <references count="3">
          <reference field="4294967294" count="1" selected="0">
            <x v="0"/>
          </reference>
          <reference field="0" count="1" selected="0">
            <x v="3"/>
          </reference>
          <reference field="1" count="1" selected="0">
            <x v="73"/>
          </reference>
        </references>
      </pivotArea>
    </chartFormat>
    <chartFormat chart="0" format="305">
      <pivotArea type="data" outline="0" fieldPosition="0">
        <references count="3">
          <reference field="4294967294" count="1" selected="0">
            <x v="0"/>
          </reference>
          <reference field="0" count="1" selected="0">
            <x v="4"/>
          </reference>
          <reference field="1" count="1" selected="0">
            <x v="1"/>
          </reference>
        </references>
      </pivotArea>
    </chartFormat>
    <chartFormat chart="0" format="306">
      <pivotArea type="data" outline="0" fieldPosition="0">
        <references count="3">
          <reference field="4294967294" count="1" selected="0">
            <x v="0"/>
          </reference>
          <reference field="0" count="1" selected="0">
            <x v="4"/>
          </reference>
          <reference field="1" count="1" selected="0">
            <x v="2"/>
          </reference>
        </references>
      </pivotArea>
    </chartFormat>
    <chartFormat chart="0" format="307">
      <pivotArea type="data" outline="0" fieldPosition="0">
        <references count="3">
          <reference field="4294967294" count="1" selected="0">
            <x v="0"/>
          </reference>
          <reference field="0" count="1" selected="0">
            <x v="4"/>
          </reference>
          <reference field="1" count="1" selected="0">
            <x v="3"/>
          </reference>
        </references>
      </pivotArea>
    </chartFormat>
    <chartFormat chart="0" format="308">
      <pivotArea type="data" outline="0" fieldPosition="0">
        <references count="3">
          <reference field="4294967294" count="1" selected="0">
            <x v="0"/>
          </reference>
          <reference field="0" count="1" selected="0">
            <x v="4"/>
          </reference>
          <reference field="1" count="1" selected="0">
            <x v="4"/>
          </reference>
        </references>
      </pivotArea>
    </chartFormat>
    <chartFormat chart="0" format="309">
      <pivotArea type="data" outline="0" fieldPosition="0">
        <references count="3">
          <reference field="4294967294" count="1" selected="0">
            <x v="0"/>
          </reference>
          <reference field="0" count="1" selected="0">
            <x v="4"/>
          </reference>
          <reference field="1" count="1" selected="0">
            <x v="5"/>
          </reference>
        </references>
      </pivotArea>
    </chartFormat>
    <chartFormat chart="0" format="310">
      <pivotArea type="data" outline="0" fieldPosition="0">
        <references count="3">
          <reference field="4294967294" count="1" selected="0">
            <x v="0"/>
          </reference>
          <reference field="0" count="1" selected="0">
            <x v="4"/>
          </reference>
          <reference field="1" count="1" selected="0">
            <x v="7"/>
          </reference>
        </references>
      </pivotArea>
    </chartFormat>
    <chartFormat chart="0" format="311">
      <pivotArea type="data" outline="0" fieldPosition="0">
        <references count="3">
          <reference field="4294967294" count="1" selected="0">
            <x v="0"/>
          </reference>
          <reference field="0" count="1" selected="0">
            <x v="4"/>
          </reference>
          <reference field="1" count="1" selected="0">
            <x v="8"/>
          </reference>
        </references>
      </pivotArea>
    </chartFormat>
    <chartFormat chart="0" format="312">
      <pivotArea type="data" outline="0" fieldPosition="0">
        <references count="3">
          <reference field="4294967294" count="1" selected="0">
            <x v="0"/>
          </reference>
          <reference field="0" count="1" selected="0">
            <x v="4"/>
          </reference>
          <reference field="1" count="1" selected="0">
            <x v="9"/>
          </reference>
        </references>
      </pivotArea>
    </chartFormat>
    <chartFormat chart="0" format="313">
      <pivotArea type="data" outline="0" fieldPosition="0">
        <references count="3">
          <reference field="4294967294" count="1" selected="0">
            <x v="0"/>
          </reference>
          <reference field="0" count="1" selected="0">
            <x v="4"/>
          </reference>
          <reference field="1" count="1" selected="0">
            <x v="10"/>
          </reference>
        </references>
      </pivotArea>
    </chartFormat>
    <chartFormat chart="0" format="314">
      <pivotArea type="data" outline="0" fieldPosition="0">
        <references count="3">
          <reference field="4294967294" count="1" selected="0">
            <x v="0"/>
          </reference>
          <reference field="0" count="1" selected="0">
            <x v="4"/>
          </reference>
          <reference field="1" count="1" selected="0">
            <x v="11"/>
          </reference>
        </references>
      </pivotArea>
    </chartFormat>
    <chartFormat chart="0" format="315">
      <pivotArea type="data" outline="0" fieldPosition="0">
        <references count="3">
          <reference field="4294967294" count="1" selected="0">
            <x v="0"/>
          </reference>
          <reference field="0" count="1" selected="0">
            <x v="4"/>
          </reference>
          <reference field="1" count="1" selected="0">
            <x v="12"/>
          </reference>
        </references>
      </pivotArea>
    </chartFormat>
    <chartFormat chart="0" format="316">
      <pivotArea type="data" outline="0" fieldPosition="0">
        <references count="3">
          <reference field="4294967294" count="1" selected="0">
            <x v="0"/>
          </reference>
          <reference field="0" count="1" selected="0">
            <x v="4"/>
          </reference>
          <reference field="1" count="1" selected="0">
            <x v="13"/>
          </reference>
        </references>
      </pivotArea>
    </chartFormat>
    <chartFormat chart="0" format="317">
      <pivotArea type="data" outline="0" fieldPosition="0">
        <references count="3">
          <reference field="4294967294" count="1" selected="0">
            <x v="0"/>
          </reference>
          <reference field="0" count="1" selected="0">
            <x v="4"/>
          </reference>
          <reference field="1" count="1" selected="0">
            <x v="14"/>
          </reference>
        </references>
      </pivotArea>
    </chartFormat>
    <chartFormat chart="0" format="318">
      <pivotArea type="data" outline="0" fieldPosition="0">
        <references count="3">
          <reference field="4294967294" count="1" selected="0">
            <x v="0"/>
          </reference>
          <reference field="0" count="1" selected="0">
            <x v="4"/>
          </reference>
          <reference field="1" count="1" selected="0">
            <x v="15"/>
          </reference>
        </references>
      </pivotArea>
    </chartFormat>
    <chartFormat chart="0" format="319">
      <pivotArea type="data" outline="0" fieldPosition="0">
        <references count="3">
          <reference field="4294967294" count="1" selected="0">
            <x v="0"/>
          </reference>
          <reference field="0" count="1" selected="0">
            <x v="4"/>
          </reference>
          <reference field="1" count="1" selected="0">
            <x v="16"/>
          </reference>
        </references>
      </pivotArea>
    </chartFormat>
    <chartFormat chart="0" format="320">
      <pivotArea type="data" outline="0" fieldPosition="0">
        <references count="3">
          <reference field="4294967294" count="1" selected="0">
            <x v="0"/>
          </reference>
          <reference field="0" count="1" selected="0">
            <x v="4"/>
          </reference>
          <reference field="1" count="1" selected="0">
            <x v="17"/>
          </reference>
        </references>
      </pivotArea>
    </chartFormat>
    <chartFormat chart="0" format="321">
      <pivotArea type="data" outline="0" fieldPosition="0">
        <references count="3">
          <reference field="4294967294" count="1" selected="0">
            <x v="0"/>
          </reference>
          <reference field="0" count="1" selected="0">
            <x v="4"/>
          </reference>
          <reference field="1" count="1" selected="0">
            <x v="18"/>
          </reference>
        </references>
      </pivotArea>
    </chartFormat>
    <chartFormat chart="0" format="322">
      <pivotArea type="data" outline="0" fieldPosition="0">
        <references count="3">
          <reference field="4294967294" count="1" selected="0">
            <x v="0"/>
          </reference>
          <reference field="0" count="1" selected="0">
            <x v="4"/>
          </reference>
          <reference field="1" count="1" selected="0">
            <x v="19"/>
          </reference>
        </references>
      </pivotArea>
    </chartFormat>
    <chartFormat chart="0" format="323">
      <pivotArea type="data" outline="0" fieldPosition="0">
        <references count="3">
          <reference field="4294967294" count="1" selected="0">
            <x v="0"/>
          </reference>
          <reference field="0" count="1" selected="0">
            <x v="4"/>
          </reference>
          <reference field="1" count="1" selected="0">
            <x v="20"/>
          </reference>
        </references>
      </pivotArea>
    </chartFormat>
    <chartFormat chart="0" format="324">
      <pivotArea type="data" outline="0" fieldPosition="0">
        <references count="3">
          <reference field="4294967294" count="1" selected="0">
            <x v="0"/>
          </reference>
          <reference field="0" count="1" selected="0">
            <x v="4"/>
          </reference>
          <reference field="1" count="1" selected="0">
            <x v="21"/>
          </reference>
        </references>
      </pivotArea>
    </chartFormat>
    <chartFormat chart="0" format="325">
      <pivotArea type="data" outline="0" fieldPosition="0">
        <references count="3">
          <reference field="4294967294" count="1" selected="0">
            <x v="0"/>
          </reference>
          <reference field="0" count="1" selected="0">
            <x v="4"/>
          </reference>
          <reference field="1" count="1" selected="0">
            <x v="23"/>
          </reference>
        </references>
      </pivotArea>
    </chartFormat>
    <chartFormat chart="0" format="326">
      <pivotArea type="data" outline="0" fieldPosition="0">
        <references count="3">
          <reference field="4294967294" count="1" selected="0">
            <x v="0"/>
          </reference>
          <reference field="0" count="1" selected="0">
            <x v="4"/>
          </reference>
          <reference field="1" count="1" selected="0">
            <x v="25"/>
          </reference>
        </references>
      </pivotArea>
    </chartFormat>
    <chartFormat chart="0" format="327">
      <pivotArea type="data" outline="0" fieldPosition="0">
        <references count="3">
          <reference field="4294967294" count="1" selected="0">
            <x v="0"/>
          </reference>
          <reference field="0" count="1" selected="0">
            <x v="4"/>
          </reference>
          <reference field="1" count="1" selected="0">
            <x v="27"/>
          </reference>
        </references>
      </pivotArea>
    </chartFormat>
    <chartFormat chart="0" format="328">
      <pivotArea type="data" outline="0" fieldPosition="0">
        <references count="3">
          <reference field="4294967294" count="1" selected="0">
            <x v="0"/>
          </reference>
          <reference field="0" count="1" selected="0">
            <x v="4"/>
          </reference>
          <reference field="1" count="1" selected="0">
            <x v="29"/>
          </reference>
        </references>
      </pivotArea>
    </chartFormat>
    <chartFormat chart="0" format="329">
      <pivotArea type="data" outline="0" fieldPosition="0">
        <references count="3">
          <reference field="4294967294" count="1" selected="0">
            <x v="0"/>
          </reference>
          <reference field="0" count="1" selected="0">
            <x v="4"/>
          </reference>
          <reference field="1" count="1" selected="0">
            <x v="31"/>
          </reference>
        </references>
      </pivotArea>
    </chartFormat>
    <chartFormat chart="0" format="330">
      <pivotArea type="data" outline="0" fieldPosition="0">
        <references count="3">
          <reference field="4294967294" count="1" selected="0">
            <x v="0"/>
          </reference>
          <reference field="0" count="1" selected="0">
            <x v="4"/>
          </reference>
          <reference field="1" count="1" selected="0">
            <x v="33"/>
          </reference>
        </references>
      </pivotArea>
    </chartFormat>
    <chartFormat chart="0" format="331">
      <pivotArea type="data" outline="0" fieldPosition="0">
        <references count="3">
          <reference field="4294967294" count="1" selected="0">
            <x v="0"/>
          </reference>
          <reference field="0" count="1" selected="0">
            <x v="4"/>
          </reference>
          <reference field="1" count="1" selected="0">
            <x v="35"/>
          </reference>
        </references>
      </pivotArea>
    </chartFormat>
    <chartFormat chart="0" format="332">
      <pivotArea type="data" outline="0" fieldPosition="0">
        <references count="3">
          <reference field="4294967294" count="1" selected="0">
            <x v="0"/>
          </reference>
          <reference field="0" count="1" selected="0">
            <x v="4"/>
          </reference>
          <reference field="1" count="1" selected="0">
            <x v="37"/>
          </reference>
        </references>
      </pivotArea>
    </chartFormat>
    <chartFormat chart="0" format="333">
      <pivotArea type="data" outline="0" fieldPosition="0">
        <references count="3">
          <reference field="4294967294" count="1" selected="0">
            <x v="0"/>
          </reference>
          <reference field="0" count="1" selected="0">
            <x v="4"/>
          </reference>
          <reference field="1" count="1" selected="0">
            <x v="39"/>
          </reference>
        </references>
      </pivotArea>
    </chartFormat>
    <chartFormat chart="0" format="334">
      <pivotArea type="data" outline="0" fieldPosition="0">
        <references count="3">
          <reference field="4294967294" count="1" selected="0">
            <x v="0"/>
          </reference>
          <reference field="0" count="1" selected="0">
            <x v="4"/>
          </reference>
          <reference field="1" count="1" selected="0">
            <x v="41"/>
          </reference>
        </references>
      </pivotArea>
    </chartFormat>
    <chartFormat chart="0" format="335">
      <pivotArea type="data" outline="0" fieldPosition="0">
        <references count="3">
          <reference field="4294967294" count="1" selected="0">
            <x v="0"/>
          </reference>
          <reference field="0" count="1" selected="0">
            <x v="4"/>
          </reference>
          <reference field="1" count="1" selected="0">
            <x v="43"/>
          </reference>
        </references>
      </pivotArea>
    </chartFormat>
    <chartFormat chart="0" format="336">
      <pivotArea type="data" outline="0" fieldPosition="0">
        <references count="3">
          <reference field="4294967294" count="1" selected="0">
            <x v="0"/>
          </reference>
          <reference field="0" count="1" selected="0">
            <x v="4"/>
          </reference>
          <reference field="1" count="1" selected="0">
            <x v="45"/>
          </reference>
        </references>
      </pivotArea>
    </chartFormat>
    <chartFormat chart="0" format="337">
      <pivotArea type="data" outline="0" fieldPosition="0">
        <references count="3">
          <reference field="4294967294" count="1" selected="0">
            <x v="0"/>
          </reference>
          <reference field="0" count="1" selected="0">
            <x v="4"/>
          </reference>
          <reference field="1" count="1" selected="0">
            <x v="47"/>
          </reference>
        </references>
      </pivotArea>
    </chartFormat>
    <chartFormat chart="0" format="338">
      <pivotArea type="data" outline="0" fieldPosition="0">
        <references count="3">
          <reference field="4294967294" count="1" selected="0">
            <x v="0"/>
          </reference>
          <reference field="0" count="1" selected="0">
            <x v="4"/>
          </reference>
          <reference field="1" count="1" selected="0">
            <x v="49"/>
          </reference>
        </references>
      </pivotArea>
    </chartFormat>
    <chartFormat chart="0" format="339">
      <pivotArea type="data" outline="0" fieldPosition="0">
        <references count="3">
          <reference field="4294967294" count="1" selected="0">
            <x v="0"/>
          </reference>
          <reference field="0" count="1" selected="0">
            <x v="4"/>
          </reference>
          <reference field="1" count="1" selected="0">
            <x v="51"/>
          </reference>
        </references>
      </pivotArea>
    </chartFormat>
    <chartFormat chart="0" format="340">
      <pivotArea type="data" outline="0" fieldPosition="0">
        <references count="3">
          <reference field="4294967294" count="1" selected="0">
            <x v="0"/>
          </reference>
          <reference field="0" count="1" selected="0">
            <x v="4"/>
          </reference>
          <reference field="1" count="1" selected="0">
            <x v="53"/>
          </reference>
        </references>
      </pivotArea>
    </chartFormat>
    <chartFormat chart="0" format="341">
      <pivotArea type="data" outline="0" fieldPosition="0">
        <references count="3">
          <reference field="4294967294" count="1" selected="0">
            <x v="0"/>
          </reference>
          <reference field="0" count="1" selected="0">
            <x v="4"/>
          </reference>
          <reference field="1" count="1" selected="0">
            <x v="55"/>
          </reference>
        </references>
      </pivotArea>
    </chartFormat>
    <chartFormat chart="0" format="342">
      <pivotArea type="data" outline="0" fieldPosition="0">
        <references count="3">
          <reference field="4294967294" count="1" selected="0">
            <x v="0"/>
          </reference>
          <reference field="0" count="1" selected="0">
            <x v="4"/>
          </reference>
          <reference field="1" count="1" selected="0">
            <x v="57"/>
          </reference>
        </references>
      </pivotArea>
    </chartFormat>
    <chartFormat chart="0" format="343">
      <pivotArea type="data" outline="0" fieldPosition="0">
        <references count="3">
          <reference field="4294967294" count="1" selected="0">
            <x v="0"/>
          </reference>
          <reference field="0" count="1" selected="0">
            <x v="4"/>
          </reference>
          <reference field="1" count="1" selected="0">
            <x v="59"/>
          </reference>
        </references>
      </pivotArea>
    </chartFormat>
    <chartFormat chart="0" format="344">
      <pivotArea type="data" outline="0" fieldPosition="0">
        <references count="3">
          <reference field="4294967294" count="1" selected="0">
            <x v="0"/>
          </reference>
          <reference field="0" count="1" selected="0">
            <x v="4"/>
          </reference>
          <reference field="1" count="1" selected="0">
            <x v="61"/>
          </reference>
        </references>
      </pivotArea>
    </chartFormat>
    <chartFormat chart="0" format="345">
      <pivotArea type="data" outline="0" fieldPosition="0">
        <references count="3">
          <reference field="4294967294" count="1" selected="0">
            <x v="0"/>
          </reference>
          <reference field="0" count="1" selected="0">
            <x v="4"/>
          </reference>
          <reference field="1" count="1" selected="0">
            <x v="63"/>
          </reference>
        </references>
      </pivotArea>
    </chartFormat>
    <chartFormat chart="0" format="346">
      <pivotArea type="data" outline="0" fieldPosition="0">
        <references count="3">
          <reference field="4294967294" count="1" selected="0">
            <x v="0"/>
          </reference>
          <reference field="0" count="1" selected="0">
            <x v="4"/>
          </reference>
          <reference field="1" count="1" selected="0">
            <x v="65"/>
          </reference>
        </references>
      </pivotArea>
    </chartFormat>
    <chartFormat chart="0" format="347">
      <pivotArea type="data" outline="0" fieldPosition="0">
        <references count="3">
          <reference field="4294967294" count="1" selected="0">
            <x v="0"/>
          </reference>
          <reference field="0" count="1" selected="0">
            <x v="4"/>
          </reference>
          <reference field="1" count="1" selected="0">
            <x v="67"/>
          </reference>
        </references>
      </pivotArea>
    </chartFormat>
    <chartFormat chart="0" format="348">
      <pivotArea type="data" outline="0" fieldPosition="0">
        <references count="3">
          <reference field="4294967294" count="1" selected="0">
            <x v="0"/>
          </reference>
          <reference field="0" count="1" selected="0">
            <x v="4"/>
          </reference>
          <reference field="1" count="1" selected="0">
            <x v="69"/>
          </reference>
        </references>
      </pivotArea>
    </chartFormat>
    <chartFormat chart="0" format="349">
      <pivotArea type="data" outline="0" fieldPosition="0">
        <references count="3">
          <reference field="4294967294" count="1" selected="0">
            <x v="0"/>
          </reference>
          <reference field="0" count="1" selected="0">
            <x v="4"/>
          </reference>
          <reference field="1" count="1" selected="0">
            <x v="70"/>
          </reference>
        </references>
      </pivotArea>
    </chartFormat>
    <chartFormat chart="0" format="350">
      <pivotArea type="data" outline="0" fieldPosition="0">
        <references count="3">
          <reference field="4294967294" count="1" selected="0">
            <x v="2"/>
          </reference>
          <reference field="0" count="1" selected="0">
            <x v="3"/>
          </reference>
          <reference field="1" count="1" selected="0">
            <x v="41"/>
          </reference>
        </references>
      </pivotArea>
    </chartFormat>
    <chartFormat chart="0" format="351">
      <pivotArea type="data" outline="0" fieldPosition="0">
        <references count="3">
          <reference field="4294967294" count="1" selected="0">
            <x v="2"/>
          </reference>
          <reference field="0" count="1" selected="0">
            <x v="3"/>
          </reference>
          <reference field="1" count="1" selected="0">
            <x v="43"/>
          </reference>
        </references>
      </pivotArea>
    </chartFormat>
    <chartFormat chart="0" format="352">
      <pivotArea type="data" outline="0" fieldPosition="0">
        <references count="3">
          <reference field="4294967294" count="1" selected="0">
            <x v="2"/>
          </reference>
          <reference field="0" count="1" selected="0">
            <x v="3"/>
          </reference>
          <reference field="1" count="1" selected="0">
            <x v="45"/>
          </reference>
        </references>
      </pivotArea>
    </chartFormat>
    <chartFormat chart="0" format="353">
      <pivotArea type="data" outline="0" fieldPosition="0">
        <references count="3">
          <reference field="4294967294" count="1" selected="0">
            <x v="2"/>
          </reference>
          <reference field="0" count="1" selected="0">
            <x v="3"/>
          </reference>
          <reference field="1" count="1" selected="0">
            <x v="47"/>
          </reference>
        </references>
      </pivotArea>
    </chartFormat>
    <chartFormat chart="0" format="354">
      <pivotArea type="data" outline="0" fieldPosition="0">
        <references count="3">
          <reference field="4294967294" count="1" selected="0">
            <x v="2"/>
          </reference>
          <reference field="0" count="1" selected="0">
            <x v="3"/>
          </reference>
          <reference field="1" count="1" selected="0">
            <x v="49"/>
          </reference>
        </references>
      </pivotArea>
    </chartFormat>
    <chartFormat chart="0" format="355">
      <pivotArea type="data" outline="0" fieldPosition="0">
        <references count="3">
          <reference field="4294967294" count="1" selected="0">
            <x v="2"/>
          </reference>
          <reference field="0" count="1" selected="0">
            <x v="3"/>
          </reference>
          <reference field="1" count="1" selected="0">
            <x v="51"/>
          </reference>
        </references>
      </pivotArea>
    </chartFormat>
    <chartFormat chart="0" format="356">
      <pivotArea type="data" outline="0" fieldPosition="0">
        <references count="3">
          <reference field="4294967294" count="1" selected="0">
            <x v="2"/>
          </reference>
          <reference field="0" count="1" selected="0">
            <x v="3"/>
          </reference>
          <reference field="1" count="1" selected="0">
            <x v="53"/>
          </reference>
        </references>
      </pivotArea>
    </chartFormat>
    <chartFormat chart="0" format="357">
      <pivotArea type="data" outline="0" fieldPosition="0">
        <references count="3">
          <reference field="4294967294" count="1" selected="0">
            <x v="2"/>
          </reference>
          <reference field="0" count="1" selected="0">
            <x v="3"/>
          </reference>
          <reference field="1" count="1" selected="0">
            <x v="55"/>
          </reference>
        </references>
      </pivotArea>
    </chartFormat>
    <chartFormat chart="0" format="358">
      <pivotArea type="data" outline="0" fieldPosition="0">
        <references count="3">
          <reference field="4294967294" count="1" selected="0">
            <x v="2"/>
          </reference>
          <reference field="0" count="1" selected="0">
            <x v="3"/>
          </reference>
          <reference field="1" count="1" selected="0">
            <x v="57"/>
          </reference>
        </references>
      </pivotArea>
    </chartFormat>
    <chartFormat chart="0" format="359">
      <pivotArea type="data" outline="0" fieldPosition="0">
        <references count="3">
          <reference field="4294967294" count="1" selected="0">
            <x v="2"/>
          </reference>
          <reference field="0" count="1" selected="0">
            <x v="3"/>
          </reference>
          <reference field="1" count="1" selected="0">
            <x v="59"/>
          </reference>
        </references>
      </pivotArea>
    </chartFormat>
    <chartFormat chart="0" format="360">
      <pivotArea type="data" outline="0" fieldPosition="0">
        <references count="3">
          <reference field="4294967294" count="1" selected="0">
            <x v="2"/>
          </reference>
          <reference field="0" count="1" selected="0">
            <x v="3"/>
          </reference>
          <reference field="1" count="1" selected="0">
            <x v="61"/>
          </reference>
        </references>
      </pivotArea>
    </chartFormat>
    <chartFormat chart="0" format="361">
      <pivotArea type="data" outline="0" fieldPosition="0">
        <references count="3">
          <reference field="4294967294" count="1" selected="0">
            <x v="2"/>
          </reference>
          <reference field="0" count="1" selected="0">
            <x v="3"/>
          </reference>
          <reference field="1" count="1" selected="0">
            <x v="63"/>
          </reference>
        </references>
      </pivotArea>
    </chartFormat>
    <chartFormat chart="0" format="362">
      <pivotArea type="data" outline="0" fieldPosition="0">
        <references count="3">
          <reference field="4294967294" count="1" selected="0">
            <x v="2"/>
          </reference>
          <reference field="0" count="1" selected="0">
            <x v="3"/>
          </reference>
          <reference field="1" count="1" selected="0">
            <x v="65"/>
          </reference>
        </references>
      </pivotArea>
    </chartFormat>
    <chartFormat chart="0" format="363">
      <pivotArea type="data" outline="0" fieldPosition="0">
        <references count="3">
          <reference field="4294967294" count="1" selected="0">
            <x v="2"/>
          </reference>
          <reference field="0" count="1" selected="0">
            <x v="3"/>
          </reference>
          <reference field="1" count="1" selected="0">
            <x v="67"/>
          </reference>
        </references>
      </pivotArea>
    </chartFormat>
    <chartFormat chart="0" format="364">
      <pivotArea type="data" outline="0" fieldPosition="0">
        <references count="3">
          <reference field="4294967294" count="1" selected="0">
            <x v="2"/>
          </reference>
          <reference field="0" count="1" selected="0">
            <x v="3"/>
          </reference>
          <reference field="1" count="1" selected="0">
            <x v="69"/>
          </reference>
        </references>
      </pivotArea>
    </chartFormat>
    <chartFormat chart="0" format="365">
      <pivotArea type="data" outline="0" fieldPosition="0">
        <references count="3">
          <reference field="4294967294" count="1" selected="0">
            <x v="2"/>
          </reference>
          <reference field="0" count="1" selected="0">
            <x v="3"/>
          </reference>
          <reference field="1" count="1" selected="0">
            <x v="70"/>
          </reference>
        </references>
      </pivotArea>
    </chartFormat>
    <chartFormat chart="0" format="366">
      <pivotArea type="data" outline="0" fieldPosition="0">
        <references count="3">
          <reference field="4294967294" count="1" selected="0">
            <x v="2"/>
          </reference>
          <reference field="0" count="1" selected="0">
            <x v="3"/>
          </reference>
          <reference field="1" count="1" selected="0">
            <x v="71"/>
          </reference>
        </references>
      </pivotArea>
    </chartFormat>
    <chartFormat chart="0" format="367">
      <pivotArea type="data" outline="0" fieldPosition="0">
        <references count="3">
          <reference field="4294967294" count="1" selected="0">
            <x v="2"/>
          </reference>
          <reference field="0" count="1" selected="0">
            <x v="3"/>
          </reference>
          <reference field="1" count="1" selected="0">
            <x v="73"/>
          </reference>
        </references>
      </pivotArea>
    </chartFormat>
    <chartFormat chart="0" format="368">
      <pivotArea type="data" outline="0" fieldPosition="0">
        <references count="3">
          <reference field="4294967294" count="1" selected="0">
            <x v="2"/>
          </reference>
          <reference field="0" count="1" selected="0">
            <x v="4"/>
          </reference>
          <reference field="1" count="1" selected="0">
            <x v="1"/>
          </reference>
        </references>
      </pivotArea>
    </chartFormat>
    <chartFormat chart="0" format="369">
      <pivotArea type="data" outline="0" fieldPosition="0">
        <references count="3">
          <reference field="4294967294" count="1" selected="0">
            <x v="2"/>
          </reference>
          <reference field="0" count="1" selected="0">
            <x v="4"/>
          </reference>
          <reference field="1" count="1" selected="0">
            <x v="2"/>
          </reference>
        </references>
      </pivotArea>
    </chartFormat>
    <chartFormat chart="0" format="370">
      <pivotArea type="data" outline="0" fieldPosition="0">
        <references count="3">
          <reference field="4294967294" count="1" selected="0">
            <x v="2"/>
          </reference>
          <reference field="0" count="1" selected="0">
            <x v="4"/>
          </reference>
          <reference field="1" count="1" selected="0">
            <x v="3"/>
          </reference>
        </references>
      </pivotArea>
    </chartFormat>
    <chartFormat chart="0" format="371">
      <pivotArea type="data" outline="0" fieldPosition="0">
        <references count="3">
          <reference field="4294967294" count="1" selected="0">
            <x v="2"/>
          </reference>
          <reference field="0" count="1" selected="0">
            <x v="4"/>
          </reference>
          <reference field="1" count="1" selected="0">
            <x v="4"/>
          </reference>
        </references>
      </pivotArea>
    </chartFormat>
    <chartFormat chart="0" format="372">
      <pivotArea type="data" outline="0" fieldPosition="0">
        <references count="3">
          <reference field="4294967294" count="1" selected="0">
            <x v="2"/>
          </reference>
          <reference field="0" count="1" selected="0">
            <x v="4"/>
          </reference>
          <reference field="1" count="1" selected="0">
            <x v="5"/>
          </reference>
        </references>
      </pivotArea>
    </chartFormat>
    <chartFormat chart="0" format="373">
      <pivotArea type="data" outline="0" fieldPosition="0">
        <references count="3">
          <reference field="4294967294" count="1" selected="0">
            <x v="2"/>
          </reference>
          <reference field="0" count="1" selected="0">
            <x v="4"/>
          </reference>
          <reference field="1" count="1" selected="0">
            <x v="7"/>
          </reference>
        </references>
      </pivotArea>
    </chartFormat>
    <chartFormat chart="0" format="374">
      <pivotArea type="data" outline="0" fieldPosition="0">
        <references count="3">
          <reference field="4294967294" count="1" selected="0">
            <x v="2"/>
          </reference>
          <reference field="0" count="1" selected="0">
            <x v="4"/>
          </reference>
          <reference field="1" count="1" selected="0">
            <x v="8"/>
          </reference>
        </references>
      </pivotArea>
    </chartFormat>
    <chartFormat chart="0" format="375">
      <pivotArea type="data" outline="0" fieldPosition="0">
        <references count="3">
          <reference field="4294967294" count="1" selected="0">
            <x v="2"/>
          </reference>
          <reference field="0" count="1" selected="0">
            <x v="4"/>
          </reference>
          <reference field="1" count="1" selected="0">
            <x v="9"/>
          </reference>
        </references>
      </pivotArea>
    </chartFormat>
    <chartFormat chart="0" format="376">
      <pivotArea type="data" outline="0" fieldPosition="0">
        <references count="3">
          <reference field="4294967294" count="1" selected="0">
            <x v="2"/>
          </reference>
          <reference field="0" count="1" selected="0">
            <x v="4"/>
          </reference>
          <reference field="1" count="1" selected="0">
            <x v="10"/>
          </reference>
        </references>
      </pivotArea>
    </chartFormat>
    <chartFormat chart="0" format="377">
      <pivotArea type="data" outline="0" fieldPosition="0">
        <references count="3">
          <reference field="4294967294" count="1" selected="0">
            <x v="2"/>
          </reference>
          <reference field="0" count="1" selected="0">
            <x v="4"/>
          </reference>
          <reference field="1" count="1" selected="0">
            <x v="11"/>
          </reference>
        </references>
      </pivotArea>
    </chartFormat>
    <chartFormat chart="0" format="378">
      <pivotArea type="data" outline="0" fieldPosition="0">
        <references count="3">
          <reference field="4294967294" count="1" selected="0">
            <x v="2"/>
          </reference>
          <reference field="0" count="1" selected="0">
            <x v="4"/>
          </reference>
          <reference field="1" count="1" selected="0">
            <x v="12"/>
          </reference>
        </references>
      </pivotArea>
    </chartFormat>
    <chartFormat chart="0" format="379">
      <pivotArea type="data" outline="0" fieldPosition="0">
        <references count="3">
          <reference field="4294967294" count="1" selected="0">
            <x v="2"/>
          </reference>
          <reference field="0" count="1" selected="0">
            <x v="4"/>
          </reference>
          <reference field="1" count="1" selected="0">
            <x v="13"/>
          </reference>
        </references>
      </pivotArea>
    </chartFormat>
    <chartFormat chart="0" format="380">
      <pivotArea type="data" outline="0" fieldPosition="0">
        <references count="3">
          <reference field="4294967294" count="1" selected="0">
            <x v="2"/>
          </reference>
          <reference field="0" count="1" selected="0">
            <x v="4"/>
          </reference>
          <reference field="1" count="1" selected="0">
            <x v="14"/>
          </reference>
        </references>
      </pivotArea>
    </chartFormat>
    <chartFormat chart="0" format="381">
      <pivotArea type="data" outline="0" fieldPosition="0">
        <references count="3">
          <reference field="4294967294" count="1" selected="0">
            <x v="2"/>
          </reference>
          <reference field="0" count="1" selected="0">
            <x v="4"/>
          </reference>
          <reference field="1" count="1" selected="0">
            <x v="15"/>
          </reference>
        </references>
      </pivotArea>
    </chartFormat>
    <chartFormat chart="0" format="382">
      <pivotArea type="data" outline="0" fieldPosition="0">
        <references count="3">
          <reference field="4294967294" count="1" selected="0">
            <x v="2"/>
          </reference>
          <reference field="0" count="1" selected="0">
            <x v="4"/>
          </reference>
          <reference field="1" count="1" selected="0">
            <x v="16"/>
          </reference>
        </references>
      </pivotArea>
    </chartFormat>
    <chartFormat chart="0" format="383">
      <pivotArea type="data" outline="0" fieldPosition="0">
        <references count="3">
          <reference field="4294967294" count="1" selected="0">
            <x v="2"/>
          </reference>
          <reference field="0" count="1" selected="0">
            <x v="4"/>
          </reference>
          <reference field="1" count="1" selected="0">
            <x v="17"/>
          </reference>
        </references>
      </pivotArea>
    </chartFormat>
    <chartFormat chart="0" format="384">
      <pivotArea type="data" outline="0" fieldPosition="0">
        <references count="3">
          <reference field="4294967294" count="1" selected="0">
            <x v="2"/>
          </reference>
          <reference field="0" count="1" selected="0">
            <x v="4"/>
          </reference>
          <reference field="1" count="1" selected="0">
            <x v="18"/>
          </reference>
        </references>
      </pivotArea>
    </chartFormat>
    <chartFormat chart="0" format="385">
      <pivotArea type="data" outline="0" fieldPosition="0">
        <references count="3">
          <reference field="4294967294" count="1" selected="0">
            <x v="2"/>
          </reference>
          <reference field="0" count="1" selected="0">
            <x v="4"/>
          </reference>
          <reference field="1" count="1" selected="0">
            <x v="19"/>
          </reference>
        </references>
      </pivotArea>
    </chartFormat>
    <chartFormat chart="0" format="386">
      <pivotArea type="data" outline="0" fieldPosition="0">
        <references count="3">
          <reference field="4294967294" count="1" selected="0">
            <x v="2"/>
          </reference>
          <reference field="0" count="1" selected="0">
            <x v="4"/>
          </reference>
          <reference field="1" count="1" selected="0">
            <x v="20"/>
          </reference>
        </references>
      </pivotArea>
    </chartFormat>
    <chartFormat chart="0" format="387">
      <pivotArea type="data" outline="0" fieldPosition="0">
        <references count="3">
          <reference field="4294967294" count="1" selected="0">
            <x v="2"/>
          </reference>
          <reference field="0" count="1" selected="0">
            <x v="4"/>
          </reference>
          <reference field="1" count="1" selected="0">
            <x v="21"/>
          </reference>
        </references>
      </pivotArea>
    </chartFormat>
    <chartFormat chart="0" format="388">
      <pivotArea type="data" outline="0" fieldPosition="0">
        <references count="3">
          <reference field="4294967294" count="1" selected="0">
            <x v="2"/>
          </reference>
          <reference field="0" count="1" selected="0">
            <x v="4"/>
          </reference>
          <reference field="1" count="1" selected="0">
            <x v="23"/>
          </reference>
        </references>
      </pivotArea>
    </chartFormat>
    <chartFormat chart="0" format="389">
      <pivotArea type="data" outline="0" fieldPosition="0">
        <references count="3">
          <reference field="4294967294" count="1" selected="0">
            <x v="2"/>
          </reference>
          <reference field="0" count="1" selected="0">
            <x v="4"/>
          </reference>
          <reference field="1" count="1" selected="0">
            <x v="25"/>
          </reference>
        </references>
      </pivotArea>
    </chartFormat>
    <chartFormat chart="0" format="390">
      <pivotArea type="data" outline="0" fieldPosition="0">
        <references count="3">
          <reference field="4294967294" count="1" selected="0">
            <x v="2"/>
          </reference>
          <reference field="0" count="1" selected="0">
            <x v="4"/>
          </reference>
          <reference field="1" count="1" selected="0">
            <x v="27"/>
          </reference>
        </references>
      </pivotArea>
    </chartFormat>
    <chartFormat chart="0" format="391">
      <pivotArea type="data" outline="0" fieldPosition="0">
        <references count="3">
          <reference field="4294967294" count="1" selected="0">
            <x v="2"/>
          </reference>
          <reference field="0" count="1" selected="0">
            <x v="4"/>
          </reference>
          <reference field="1" count="1" selected="0">
            <x v="29"/>
          </reference>
        </references>
      </pivotArea>
    </chartFormat>
    <chartFormat chart="0" format="392">
      <pivotArea type="data" outline="0" fieldPosition="0">
        <references count="3">
          <reference field="4294967294" count="1" selected="0">
            <x v="2"/>
          </reference>
          <reference field="0" count="1" selected="0">
            <x v="4"/>
          </reference>
          <reference field="1" count="1" selected="0">
            <x v="31"/>
          </reference>
        </references>
      </pivotArea>
    </chartFormat>
    <chartFormat chart="0" format="393">
      <pivotArea type="data" outline="0" fieldPosition="0">
        <references count="3">
          <reference field="4294967294" count="1" selected="0">
            <x v="2"/>
          </reference>
          <reference field="0" count="1" selected="0">
            <x v="4"/>
          </reference>
          <reference field="1" count="1" selected="0">
            <x v="33"/>
          </reference>
        </references>
      </pivotArea>
    </chartFormat>
    <chartFormat chart="0" format="394">
      <pivotArea type="data" outline="0" fieldPosition="0">
        <references count="3">
          <reference field="4294967294" count="1" selected="0">
            <x v="2"/>
          </reference>
          <reference field="0" count="1" selected="0">
            <x v="4"/>
          </reference>
          <reference field="1" count="1" selected="0">
            <x v="35"/>
          </reference>
        </references>
      </pivotArea>
    </chartFormat>
    <chartFormat chart="0" format="395">
      <pivotArea type="data" outline="0" fieldPosition="0">
        <references count="3">
          <reference field="4294967294" count="1" selected="0">
            <x v="2"/>
          </reference>
          <reference field="0" count="1" selected="0">
            <x v="4"/>
          </reference>
          <reference field="1" count="1" selected="0">
            <x v="37"/>
          </reference>
        </references>
      </pivotArea>
    </chartFormat>
    <chartFormat chart="0" format="396">
      <pivotArea type="data" outline="0" fieldPosition="0">
        <references count="3">
          <reference field="4294967294" count="1" selected="0">
            <x v="2"/>
          </reference>
          <reference field="0" count="1" selected="0">
            <x v="4"/>
          </reference>
          <reference field="1" count="1" selected="0">
            <x v="39"/>
          </reference>
        </references>
      </pivotArea>
    </chartFormat>
    <chartFormat chart="0" format="397">
      <pivotArea type="data" outline="0" fieldPosition="0">
        <references count="3">
          <reference field="4294967294" count="1" selected="0">
            <x v="2"/>
          </reference>
          <reference field="0" count="1" selected="0">
            <x v="4"/>
          </reference>
          <reference field="1" count="1" selected="0">
            <x v="41"/>
          </reference>
        </references>
      </pivotArea>
    </chartFormat>
    <chartFormat chart="0" format="398">
      <pivotArea type="data" outline="0" fieldPosition="0">
        <references count="3">
          <reference field="4294967294" count="1" selected="0">
            <x v="2"/>
          </reference>
          <reference field="0" count="1" selected="0">
            <x v="4"/>
          </reference>
          <reference field="1" count="1" selected="0">
            <x v="43"/>
          </reference>
        </references>
      </pivotArea>
    </chartFormat>
    <chartFormat chart="0" format="399">
      <pivotArea type="data" outline="0" fieldPosition="0">
        <references count="3">
          <reference field="4294967294" count="1" selected="0">
            <x v="2"/>
          </reference>
          <reference field="0" count="1" selected="0">
            <x v="4"/>
          </reference>
          <reference field="1" count="1" selected="0">
            <x v="45"/>
          </reference>
        </references>
      </pivotArea>
    </chartFormat>
    <chartFormat chart="0" format="400">
      <pivotArea type="data" outline="0" fieldPosition="0">
        <references count="3">
          <reference field="4294967294" count="1" selected="0">
            <x v="2"/>
          </reference>
          <reference field="0" count="1" selected="0">
            <x v="4"/>
          </reference>
          <reference field="1" count="1" selected="0">
            <x v="47"/>
          </reference>
        </references>
      </pivotArea>
    </chartFormat>
    <chartFormat chart="0" format="401">
      <pivotArea type="data" outline="0" fieldPosition="0">
        <references count="3">
          <reference field="4294967294" count="1" selected="0">
            <x v="2"/>
          </reference>
          <reference field="0" count="1" selected="0">
            <x v="4"/>
          </reference>
          <reference field="1" count="1" selected="0">
            <x v="49"/>
          </reference>
        </references>
      </pivotArea>
    </chartFormat>
    <chartFormat chart="0" format="402">
      <pivotArea type="data" outline="0" fieldPosition="0">
        <references count="3">
          <reference field="4294967294" count="1" selected="0">
            <x v="2"/>
          </reference>
          <reference field="0" count="1" selected="0">
            <x v="4"/>
          </reference>
          <reference field="1" count="1" selected="0">
            <x v="51"/>
          </reference>
        </references>
      </pivotArea>
    </chartFormat>
    <chartFormat chart="0" format="403">
      <pivotArea type="data" outline="0" fieldPosition="0">
        <references count="3">
          <reference field="4294967294" count="1" selected="0">
            <x v="2"/>
          </reference>
          <reference field="0" count="1" selected="0">
            <x v="4"/>
          </reference>
          <reference field="1" count="1" selected="0">
            <x v="53"/>
          </reference>
        </references>
      </pivotArea>
    </chartFormat>
    <chartFormat chart="0" format="404">
      <pivotArea type="data" outline="0" fieldPosition="0">
        <references count="3">
          <reference field="4294967294" count="1" selected="0">
            <x v="2"/>
          </reference>
          <reference field="0" count="1" selected="0">
            <x v="4"/>
          </reference>
          <reference field="1" count="1" selected="0">
            <x v="55"/>
          </reference>
        </references>
      </pivotArea>
    </chartFormat>
    <chartFormat chart="0" format="405">
      <pivotArea type="data" outline="0" fieldPosition="0">
        <references count="3">
          <reference field="4294967294" count="1" selected="0">
            <x v="2"/>
          </reference>
          <reference field="0" count="1" selected="0">
            <x v="4"/>
          </reference>
          <reference field="1" count="1" selected="0">
            <x v="57"/>
          </reference>
        </references>
      </pivotArea>
    </chartFormat>
    <chartFormat chart="0" format="406">
      <pivotArea type="data" outline="0" fieldPosition="0">
        <references count="3">
          <reference field="4294967294" count="1" selected="0">
            <x v="2"/>
          </reference>
          <reference field="0" count="1" selected="0">
            <x v="4"/>
          </reference>
          <reference field="1" count="1" selected="0">
            <x v="59"/>
          </reference>
        </references>
      </pivotArea>
    </chartFormat>
    <chartFormat chart="0" format="407">
      <pivotArea type="data" outline="0" fieldPosition="0">
        <references count="3">
          <reference field="4294967294" count="1" selected="0">
            <x v="2"/>
          </reference>
          <reference field="0" count="1" selected="0">
            <x v="4"/>
          </reference>
          <reference field="1" count="1" selected="0">
            <x v="61"/>
          </reference>
        </references>
      </pivotArea>
    </chartFormat>
    <chartFormat chart="0" format="408">
      <pivotArea type="data" outline="0" fieldPosition="0">
        <references count="3">
          <reference field="4294967294" count="1" selected="0">
            <x v="2"/>
          </reference>
          <reference field="0" count="1" selected="0">
            <x v="4"/>
          </reference>
          <reference field="1" count="1" selected="0">
            <x v="63"/>
          </reference>
        </references>
      </pivotArea>
    </chartFormat>
    <chartFormat chart="0" format="409">
      <pivotArea type="data" outline="0" fieldPosition="0">
        <references count="3">
          <reference field="4294967294" count="1" selected="0">
            <x v="2"/>
          </reference>
          <reference field="0" count="1" selected="0">
            <x v="4"/>
          </reference>
          <reference field="1" count="1" selected="0">
            <x v="6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7"/>
          </reference>
        </references>
      </pivotArea>
    </chartFormat>
    <chartFormat chart="0" format="411">
      <pivotArea type="data" outline="0" fieldPosition="0">
        <references count="3">
          <reference field="4294967294" count="1" selected="0">
            <x v="2"/>
          </reference>
          <reference field="0" count="1" selected="0">
            <x v="4"/>
          </reference>
          <reference field="1" count="1" selected="0">
            <x v="69"/>
          </reference>
        </references>
      </pivotArea>
    </chartFormat>
    <chartFormat chart="0" format="412">
      <pivotArea type="data" outline="0" fieldPosition="0">
        <references count="3">
          <reference field="4294967294" count="1" selected="0">
            <x v="2"/>
          </reference>
          <reference field="0" count="1" selected="0">
            <x v="4"/>
          </reference>
          <reference field="1" count="1" selected="0">
            <x v="70"/>
          </reference>
        </references>
      </pivotArea>
    </chartFormat>
    <chartFormat chart="0" format="413">
      <pivotArea type="data" outline="0" fieldPosition="0">
        <references count="3">
          <reference field="4294967294" count="1" selected="0">
            <x v="0"/>
          </reference>
          <reference field="0" count="1" selected="0">
            <x v="4"/>
          </reference>
          <reference field="1" count="1" selected="0">
            <x v="6"/>
          </reference>
        </references>
      </pivotArea>
    </chartFormat>
    <chartFormat chart="0" format="414">
      <pivotArea type="data" outline="0" fieldPosition="0">
        <references count="3">
          <reference field="4294967294" count="1" selected="0">
            <x v="2"/>
          </reference>
          <reference field="0" count="1" selected="0">
            <x v="4"/>
          </reference>
          <reference field="1" count="1" selected="0">
            <x v="6"/>
          </reference>
        </references>
      </pivotArea>
    </chartFormat>
    <chartFormat chart="0" format="415">
      <pivotArea type="data" outline="0" fieldPosition="0">
        <references count="3">
          <reference field="4294967294" count="1" selected="0">
            <x v="0"/>
          </reference>
          <reference field="0" count="1" selected="0">
            <x v="4"/>
          </reference>
          <reference field="1" count="1" selected="0">
            <x v="71"/>
          </reference>
        </references>
      </pivotArea>
    </chartFormat>
    <chartFormat chart="0" format="416">
      <pivotArea type="data" outline="0" fieldPosition="0">
        <references count="3">
          <reference field="4294967294" count="1" selected="0">
            <x v="0"/>
          </reference>
          <reference field="0" count="1" selected="0">
            <x v="4"/>
          </reference>
          <reference field="1" count="1" selected="0">
            <x v="73"/>
          </reference>
        </references>
      </pivotArea>
    </chartFormat>
    <chartFormat chart="0" format="417">
      <pivotArea type="data" outline="0" fieldPosition="0">
        <references count="3">
          <reference field="4294967294" count="1" selected="0">
            <x v="0"/>
          </reference>
          <reference field="0" count="1" selected="0">
            <x v="5"/>
          </reference>
          <reference field="1" count="1" selected="0">
            <x v="1"/>
          </reference>
        </references>
      </pivotArea>
    </chartFormat>
    <chartFormat chart="0" format="418">
      <pivotArea type="data" outline="0" fieldPosition="0">
        <references count="3">
          <reference field="4294967294" count="1" selected="0">
            <x v="0"/>
          </reference>
          <reference field="0" count="1" selected="0">
            <x v="5"/>
          </reference>
          <reference field="1" count="1" selected="0">
            <x v="2"/>
          </reference>
        </references>
      </pivotArea>
    </chartFormat>
    <chartFormat chart="0" format="419">
      <pivotArea type="data" outline="0" fieldPosition="0">
        <references count="3">
          <reference field="4294967294" count="1" selected="0">
            <x v="0"/>
          </reference>
          <reference field="0" count="1" selected="0">
            <x v="5"/>
          </reference>
          <reference field="1" count="1" selected="0">
            <x v="3"/>
          </reference>
        </references>
      </pivotArea>
    </chartFormat>
    <chartFormat chart="0" format="420">
      <pivotArea type="data" outline="0" fieldPosition="0">
        <references count="3">
          <reference field="4294967294" count="1" selected="0">
            <x v="0"/>
          </reference>
          <reference field="0" count="1" selected="0">
            <x v="5"/>
          </reference>
          <reference field="1" count="1" selected="0">
            <x v="4"/>
          </reference>
        </references>
      </pivotArea>
    </chartFormat>
    <chartFormat chart="0" format="421">
      <pivotArea type="data" outline="0" fieldPosition="0">
        <references count="3">
          <reference field="4294967294" count="1" selected="0">
            <x v="0"/>
          </reference>
          <reference field="0" count="1" selected="0">
            <x v="5"/>
          </reference>
          <reference field="1" count="1" selected="0">
            <x v="5"/>
          </reference>
        </references>
      </pivotArea>
    </chartFormat>
    <chartFormat chart="0" format="422">
      <pivotArea type="data" outline="0" fieldPosition="0">
        <references count="3">
          <reference field="4294967294" count="1" selected="0">
            <x v="0"/>
          </reference>
          <reference field="0" count="1" selected="0">
            <x v="5"/>
          </reference>
          <reference field="1" count="1" selected="0">
            <x v="6"/>
          </reference>
        </references>
      </pivotArea>
    </chartFormat>
    <chartFormat chart="0" format="423">
      <pivotArea type="data" outline="0" fieldPosition="0">
        <references count="3">
          <reference field="4294967294" count="1" selected="0">
            <x v="0"/>
          </reference>
          <reference field="0" count="1" selected="0">
            <x v="5"/>
          </reference>
          <reference field="1" count="1" selected="0">
            <x v="7"/>
          </reference>
        </references>
      </pivotArea>
    </chartFormat>
    <chartFormat chart="0" format="424">
      <pivotArea type="data" outline="0" fieldPosition="0">
        <references count="3">
          <reference field="4294967294" count="1" selected="0">
            <x v="0"/>
          </reference>
          <reference field="0" count="1" selected="0">
            <x v="5"/>
          </reference>
          <reference field="1" count="1" selected="0">
            <x v="8"/>
          </reference>
        </references>
      </pivotArea>
    </chartFormat>
    <chartFormat chart="0" format="425">
      <pivotArea type="data" outline="0" fieldPosition="0">
        <references count="3">
          <reference field="4294967294" count="1" selected="0">
            <x v="0"/>
          </reference>
          <reference field="0" count="1" selected="0">
            <x v="5"/>
          </reference>
          <reference field="1" count="1" selected="0">
            <x v="9"/>
          </reference>
        </references>
      </pivotArea>
    </chartFormat>
    <chartFormat chart="0" format="426">
      <pivotArea type="data" outline="0" fieldPosition="0">
        <references count="3">
          <reference field="4294967294" count="1" selected="0">
            <x v="0"/>
          </reference>
          <reference field="0" count="1" selected="0">
            <x v="5"/>
          </reference>
          <reference field="1" count="1" selected="0">
            <x v="10"/>
          </reference>
        </references>
      </pivotArea>
    </chartFormat>
    <chartFormat chart="0" format="427">
      <pivotArea type="data" outline="0" fieldPosition="0">
        <references count="3">
          <reference field="4294967294" count="1" selected="0">
            <x v="0"/>
          </reference>
          <reference field="0" count="1" selected="0">
            <x v="5"/>
          </reference>
          <reference field="1" count="1" selected="0">
            <x v="11"/>
          </reference>
        </references>
      </pivotArea>
    </chartFormat>
    <chartFormat chart="0" format="428">
      <pivotArea type="data" outline="0" fieldPosition="0">
        <references count="3">
          <reference field="4294967294" count="1" selected="0">
            <x v="0"/>
          </reference>
          <reference field="0" count="1" selected="0">
            <x v="5"/>
          </reference>
          <reference field="1" count="1" selected="0">
            <x v="12"/>
          </reference>
        </references>
      </pivotArea>
    </chartFormat>
    <chartFormat chart="0" format="429">
      <pivotArea type="data" outline="0" fieldPosition="0">
        <references count="3">
          <reference field="4294967294" count="1" selected="0">
            <x v="0"/>
          </reference>
          <reference field="0" count="1" selected="0">
            <x v="5"/>
          </reference>
          <reference field="1" count="1" selected="0">
            <x v="13"/>
          </reference>
        </references>
      </pivotArea>
    </chartFormat>
    <chartFormat chart="0" format="430">
      <pivotArea type="data" outline="0" fieldPosition="0">
        <references count="3">
          <reference field="4294967294" count="1" selected="0">
            <x v="0"/>
          </reference>
          <reference field="0" count="1" selected="0">
            <x v="5"/>
          </reference>
          <reference field="1" count="1" selected="0">
            <x v="14"/>
          </reference>
        </references>
      </pivotArea>
    </chartFormat>
    <chartFormat chart="0" format="431">
      <pivotArea type="data" outline="0" fieldPosition="0">
        <references count="3">
          <reference field="4294967294" count="1" selected="0">
            <x v="0"/>
          </reference>
          <reference field="0" count="1" selected="0">
            <x v="5"/>
          </reference>
          <reference field="1" count="1" selected="0">
            <x v="15"/>
          </reference>
        </references>
      </pivotArea>
    </chartFormat>
    <chartFormat chart="0" format="432">
      <pivotArea type="data" outline="0" fieldPosition="0">
        <references count="3">
          <reference field="4294967294" count="1" selected="0">
            <x v="0"/>
          </reference>
          <reference field="0" count="1" selected="0">
            <x v="5"/>
          </reference>
          <reference field="1" count="1" selected="0">
            <x v="16"/>
          </reference>
        </references>
      </pivotArea>
    </chartFormat>
    <chartFormat chart="0" format="433">
      <pivotArea type="data" outline="0" fieldPosition="0">
        <references count="3">
          <reference field="4294967294" count="1" selected="0">
            <x v="0"/>
          </reference>
          <reference field="0" count="1" selected="0">
            <x v="5"/>
          </reference>
          <reference field="1" count="1" selected="0">
            <x v="17"/>
          </reference>
        </references>
      </pivotArea>
    </chartFormat>
    <chartFormat chart="0" format="434">
      <pivotArea type="data" outline="0" fieldPosition="0">
        <references count="3">
          <reference field="4294967294" count="1" selected="0">
            <x v="0"/>
          </reference>
          <reference field="0" count="1" selected="0">
            <x v="5"/>
          </reference>
          <reference field="1" count="1" selected="0">
            <x v="18"/>
          </reference>
        </references>
      </pivotArea>
    </chartFormat>
    <chartFormat chart="0" format="435">
      <pivotArea type="data" outline="0" fieldPosition="0">
        <references count="3">
          <reference field="4294967294" count="1" selected="0">
            <x v="0"/>
          </reference>
          <reference field="0" count="1" selected="0">
            <x v="5"/>
          </reference>
          <reference field="1" count="1" selected="0">
            <x v="19"/>
          </reference>
        </references>
      </pivotArea>
    </chartFormat>
    <chartFormat chart="0" format="436">
      <pivotArea type="data" outline="0" fieldPosition="0">
        <references count="3">
          <reference field="4294967294" count="1" selected="0">
            <x v="0"/>
          </reference>
          <reference field="0" count="1" selected="0">
            <x v="5"/>
          </reference>
          <reference field="1" count="1" selected="0">
            <x v="20"/>
          </reference>
        </references>
      </pivotArea>
    </chartFormat>
    <chartFormat chart="0" format="437">
      <pivotArea type="data" outline="0" fieldPosition="0">
        <references count="3">
          <reference field="4294967294" count="1" selected="0">
            <x v="0"/>
          </reference>
          <reference field="0" count="1" selected="0">
            <x v="5"/>
          </reference>
          <reference field="1" count="1" selected="0">
            <x v="21"/>
          </reference>
        </references>
      </pivotArea>
    </chartFormat>
    <chartFormat chart="0" format="438">
      <pivotArea type="data" outline="0" fieldPosition="0">
        <references count="3">
          <reference field="4294967294" count="1" selected="0">
            <x v="0"/>
          </reference>
          <reference field="0" count="1" selected="0">
            <x v="5"/>
          </reference>
          <reference field="1" count="1" selected="0">
            <x v="23"/>
          </reference>
        </references>
      </pivotArea>
    </chartFormat>
    <chartFormat chart="0" format="439">
      <pivotArea type="data" outline="0" fieldPosition="0">
        <references count="3">
          <reference field="4294967294" count="1" selected="0">
            <x v="0"/>
          </reference>
          <reference field="0" count="1" selected="0">
            <x v="5"/>
          </reference>
          <reference field="1" count="1" selected="0">
            <x v="25"/>
          </reference>
        </references>
      </pivotArea>
    </chartFormat>
    <chartFormat chart="0" format="440">
      <pivotArea type="data" outline="0" fieldPosition="0">
        <references count="3">
          <reference field="4294967294" count="1" selected="0">
            <x v="0"/>
          </reference>
          <reference field="0" count="1" selected="0">
            <x v="5"/>
          </reference>
          <reference field="1" count="1" selected="0">
            <x v="27"/>
          </reference>
        </references>
      </pivotArea>
    </chartFormat>
    <chartFormat chart="0" format="441">
      <pivotArea type="data" outline="0" fieldPosition="0">
        <references count="3">
          <reference field="4294967294" count="1" selected="0">
            <x v="0"/>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4"/>
          </reference>
          <reference field="1" count="1" selected="0">
            <x v="71"/>
          </reference>
        </references>
      </pivotArea>
    </chartFormat>
    <chartFormat chart="0" format="443">
      <pivotArea type="data" outline="0" fieldPosition="0">
        <references count="3">
          <reference field="4294967294" count="1" selected="0">
            <x v="2"/>
          </reference>
          <reference field="0" count="1" selected="0">
            <x v="4"/>
          </reference>
          <reference field="1" count="1" selected="0">
            <x v="73"/>
          </reference>
        </references>
      </pivotArea>
    </chartFormat>
    <chartFormat chart="0" format="444">
      <pivotArea type="data" outline="0" fieldPosition="0">
        <references count="3">
          <reference field="4294967294" count="1" selected="0">
            <x v="2"/>
          </reference>
          <reference field="0" count="1" selected="0">
            <x v="5"/>
          </reference>
          <reference field="1" count="1" selected="0">
            <x v="1"/>
          </reference>
        </references>
      </pivotArea>
    </chartFormat>
    <chartFormat chart="0" format="445">
      <pivotArea type="data" outline="0" fieldPosition="0">
        <references count="3">
          <reference field="4294967294" count="1" selected="0">
            <x v="2"/>
          </reference>
          <reference field="0" count="1" selected="0">
            <x v="5"/>
          </reference>
          <reference field="1" count="1" selected="0">
            <x v="2"/>
          </reference>
        </references>
      </pivotArea>
    </chartFormat>
    <chartFormat chart="0" format="446">
      <pivotArea type="data" outline="0" fieldPosition="0">
        <references count="3">
          <reference field="4294967294" count="1" selected="0">
            <x v="2"/>
          </reference>
          <reference field="0" count="1" selected="0">
            <x v="5"/>
          </reference>
          <reference field="1" count="1" selected="0">
            <x v="3"/>
          </reference>
        </references>
      </pivotArea>
    </chartFormat>
    <chartFormat chart="0" format="447">
      <pivotArea type="data" outline="0" fieldPosition="0">
        <references count="3">
          <reference field="4294967294" count="1" selected="0">
            <x v="2"/>
          </reference>
          <reference field="0" count="1" selected="0">
            <x v="5"/>
          </reference>
          <reference field="1" count="1" selected="0">
            <x v="4"/>
          </reference>
        </references>
      </pivotArea>
    </chartFormat>
    <chartFormat chart="0" format="448">
      <pivotArea type="data" outline="0" fieldPosition="0">
        <references count="3">
          <reference field="4294967294" count="1" selected="0">
            <x v="2"/>
          </reference>
          <reference field="0" count="1" selected="0">
            <x v="5"/>
          </reference>
          <reference field="1" count="1" selected="0">
            <x v="5"/>
          </reference>
        </references>
      </pivotArea>
    </chartFormat>
    <chartFormat chart="0" format="449">
      <pivotArea type="data" outline="0" fieldPosition="0">
        <references count="3">
          <reference field="4294967294" count="1" selected="0">
            <x v="2"/>
          </reference>
          <reference field="0" count="1" selected="0">
            <x v="5"/>
          </reference>
          <reference field="1" count="1" selected="0">
            <x v="6"/>
          </reference>
        </references>
      </pivotArea>
    </chartFormat>
    <chartFormat chart="0" format="450">
      <pivotArea type="data" outline="0" fieldPosition="0">
        <references count="3">
          <reference field="4294967294" count="1" selected="0">
            <x v="2"/>
          </reference>
          <reference field="0" count="1" selected="0">
            <x v="5"/>
          </reference>
          <reference field="1" count="1" selected="0">
            <x v="7"/>
          </reference>
        </references>
      </pivotArea>
    </chartFormat>
    <chartFormat chart="0" format="451">
      <pivotArea type="data" outline="0" fieldPosition="0">
        <references count="3">
          <reference field="4294967294" count="1" selected="0">
            <x v="2"/>
          </reference>
          <reference field="0" count="1" selected="0">
            <x v="5"/>
          </reference>
          <reference field="1" count="1" selected="0">
            <x v="8"/>
          </reference>
        </references>
      </pivotArea>
    </chartFormat>
    <chartFormat chart="0" format="452">
      <pivotArea type="data" outline="0" fieldPosition="0">
        <references count="3">
          <reference field="4294967294" count="1" selected="0">
            <x v="2"/>
          </reference>
          <reference field="0" count="1" selected="0">
            <x v="5"/>
          </reference>
          <reference field="1" count="1" selected="0">
            <x v="9"/>
          </reference>
        </references>
      </pivotArea>
    </chartFormat>
    <chartFormat chart="0" format="453">
      <pivotArea type="data" outline="0" fieldPosition="0">
        <references count="3">
          <reference field="4294967294" count="1" selected="0">
            <x v="2"/>
          </reference>
          <reference field="0" count="1" selected="0">
            <x v="5"/>
          </reference>
          <reference field="1" count="1" selected="0">
            <x v="10"/>
          </reference>
        </references>
      </pivotArea>
    </chartFormat>
    <chartFormat chart="0" format="454">
      <pivotArea type="data" outline="0" fieldPosition="0">
        <references count="3">
          <reference field="4294967294" count="1" selected="0">
            <x v="2"/>
          </reference>
          <reference field="0" count="1" selected="0">
            <x v="5"/>
          </reference>
          <reference field="1" count="1" selected="0">
            <x v="11"/>
          </reference>
        </references>
      </pivotArea>
    </chartFormat>
    <chartFormat chart="0" format="455">
      <pivotArea type="data" outline="0" fieldPosition="0">
        <references count="3">
          <reference field="4294967294" count="1" selected="0">
            <x v="2"/>
          </reference>
          <reference field="0" count="1" selected="0">
            <x v="5"/>
          </reference>
          <reference field="1" count="1" selected="0">
            <x v="12"/>
          </reference>
        </references>
      </pivotArea>
    </chartFormat>
    <chartFormat chart="0" format="456">
      <pivotArea type="data" outline="0" fieldPosition="0">
        <references count="3">
          <reference field="4294967294" count="1" selected="0">
            <x v="2"/>
          </reference>
          <reference field="0" count="1" selected="0">
            <x v="5"/>
          </reference>
          <reference field="1" count="1" selected="0">
            <x v="13"/>
          </reference>
        </references>
      </pivotArea>
    </chartFormat>
    <chartFormat chart="0" format="457">
      <pivotArea type="data" outline="0" fieldPosition="0">
        <references count="3">
          <reference field="4294967294" count="1" selected="0">
            <x v="2"/>
          </reference>
          <reference field="0" count="1" selected="0">
            <x v="5"/>
          </reference>
          <reference field="1" count="1" selected="0">
            <x v="14"/>
          </reference>
        </references>
      </pivotArea>
    </chartFormat>
    <chartFormat chart="0" format="458">
      <pivotArea type="data" outline="0" fieldPosition="0">
        <references count="3">
          <reference field="4294967294" count="1" selected="0">
            <x v="2"/>
          </reference>
          <reference field="0" count="1" selected="0">
            <x v="5"/>
          </reference>
          <reference field="1" count="1" selected="0">
            <x v="15"/>
          </reference>
        </references>
      </pivotArea>
    </chartFormat>
    <chartFormat chart="0" format="459">
      <pivotArea type="data" outline="0" fieldPosition="0">
        <references count="3">
          <reference field="4294967294" count="1" selected="0">
            <x v="2"/>
          </reference>
          <reference field="0" count="1" selected="0">
            <x v="5"/>
          </reference>
          <reference field="1" count="1" selected="0">
            <x v="16"/>
          </reference>
        </references>
      </pivotArea>
    </chartFormat>
    <chartFormat chart="0" format="460">
      <pivotArea type="data" outline="0" fieldPosition="0">
        <references count="3">
          <reference field="4294967294" count="1" selected="0">
            <x v="2"/>
          </reference>
          <reference field="0" count="1" selected="0">
            <x v="5"/>
          </reference>
          <reference field="1" count="1" selected="0">
            <x v="17"/>
          </reference>
        </references>
      </pivotArea>
    </chartFormat>
    <chartFormat chart="0" format="461">
      <pivotArea type="data" outline="0" fieldPosition="0">
        <references count="3">
          <reference field="4294967294" count="1" selected="0">
            <x v="2"/>
          </reference>
          <reference field="0" count="1" selected="0">
            <x v="5"/>
          </reference>
          <reference field="1" count="1" selected="0">
            <x v="18"/>
          </reference>
        </references>
      </pivotArea>
    </chartFormat>
    <chartFormat chart="0" format="462">
      <pivotArea type="data" outline="0" fieldPosition="0">
        <references count="3">
          <reference field="4294967294" count="1" selected="0">
            <x v="2"/>
          </reference>
          <reference field="0" count="1" selected="0">
            <x v="5"/>
          </reference>
          <reference field="1" count="1" selected="0">
            <x v="19"/>
          </reference>
        </references>
      </pivotArea>
    </chartFormat>
    <chartFormat chart="0" format="463">
      <pivotArea type="data" outline="0" fieldPosition="0">
        <references count="3">
          <reference field="4294967294" count="1" selected="0">
            <x v="2"/>
          </reference>
          <reference field="0" count="1" selected="0">
            <x v="5"/>
          </reference>
          <reference field="1" count="1" selected="0">
            <x v="20"/>
          </reference>
        </references>
      </pivotArea>
    </chartFormat>
    <chartFormat chart="0" format="464">
      <pivotArea type="data" outline="0" fieldPosition="0">
        <references count="3">
          <reference field="4294967294" count="1" selected="0">
            <x v="2"/>
          </reference>
          <reference field="0" count="1" selected="0">
            <x v="5"/>
          </reference>
          <reference field="1" count="1" selected="0">
            <x v="21"/>
          </reference>
        </references>
      </pivotArea>
    </chartFormat>
    <chartFormat chart="0" format="465">
      <pivotArea type="data" outline="0" fieldPosition="0">
        <references count="3">
          <reference field="4294967294" count="1" selected="0">
            <x v="2"/>
          </reference>
          <reference field="0" count="1" selected="0">
            <x v="5"/>
          </reference>
          <reference field="1" count="1" selected="0">
            <x v="23"/>
          </reference>
        </references>
      </pivotArea>
    </chartFormat>
    <chartFormat chart="0" format="466">
      <pivotArea type="data" outline="0" fieldPosition="0">
        <references count="3">
          <reference field="4294967294" count="1" selected="0">
            <x v="2"/>
          </reference>
          <reference field="0" count="1" selected="0">
            <x v="5"/>
          </reference>
          <reference field="1" count="1" selected="0">
            <x v="25"/>
          </reference>
        </references>
      </pivotArea>
    </chartFormat>
    <chartFormat chart="0" format="467">
      <pivotArea type="data" outline="0" fieldPosition="0">
        <references count="3">
          <reference field="4294967294" count="1" selected="0">
            <x v="2"/>
          </reference>
          <reference field="0" count="1" selected="0">
            <x v="5"/>
          </reference>
          <reference field="1" count="1" selected="0">
            <x v="27"/>
          </reference>
        </references>
      </pivotArea>
    </chartFormat>
    <chartFormat chart="0" format="468">
      <pivotArea type="data" outline="0" fieldPosition="0">
        <references count="3">
          <reference field="4294967294" count="1" selected="0">
            <x v="2"/>
          </reference>
          <reference field="0" count="1" selected="0">
            <x v="5"/>
          </reference>
          <reference field="1" count="1" selected="0">
            <x v="31"/>
          </reference>
        </references>
      </pivotArea>
    </chartFormat>
    <chartFormat chart="0" format="469">
      <pivotArea type="data" outline="0" fieldPosition="0">
        <references count="3">
          <reference field="4294967294" count="1" selected="0">
            <x v="0"/>
          </reference>
          <reference field="0" count="1" selected="0">
            <x v="5"/>
          </reference>
          <reference field="1" count="1" selected="0">
            <x v="33"/>
          </reference>
        </references>
      </pivotArea>
    </chartFormat>
    <chartFormat chart="0" format="470">
      <pivotArea type="data" outline="0" fieldPosition="0">
        <references count="3">
          <reference field="4294967294" count="1" selected="0">
            <x v="0"/>
          </reference>
          <reference field="0" count="1" selected="0">
            <x v="5"/>
          </reference>
          <reference field="1" count="1" selected="0">
            <x v="35"/>
          </reference>
        </references>
      </pivotArea>
    </chartFormat>
    <chartFormat chart="0" format="471">
      <pivotArea type="data" outline="0" fieldPosition="0">
        <references count="3">
          <reference field="4294967294" count="1" selected="0">
            <x v="2"/>
          </reference>
          <reference field="0" count="1" selected="0">
            <x v="5"/>
          </reference>
          <reference field="1" count="1" selected="0">
            <x v="33"/>
          </reference>
        </references>
      </pivotArea>
    </chartFormat>
    <chartFormat chart="0" format="472">
      <pivotArea type="data" outline="0" fieldPosition="0">
        <references count="3">
          <reference field="4294967294" count="1" selected="0">
            <x v="2"/>
          </reference>
          <reference field="0" count="1" selected="0">
            <x v="5"/>
          </reference>
          <reference field="1" count="1" selected="0">
            <x v="35"/>
          </reference>
        </references>
      </pivotArea>
    </chartFormat>
    <chartFormat chart="0" format="473">
      <pivotArea type="data" outline="0" fieldPosition="0">
        <references count="3">
          <reference field="4294967294" count="1" selected="0">
            <x v="0"/>
          </reference>
          <reference field="0" count="1" selected="0">
            <x v="5"/>
          </reference>
          <reference field="1" count="1" selected="0">
            <x v="37"/>
          </reference>
        </references>
      </pivotArea>
    </chartFormat>
    <chartFormat chart="0" format="474">
      <pivotArea type="data" outline="0" fieldPosition="0">
        <references count="3">
          <reference field="4294967294" count="1" selected="0">
            <x v="0"/>
          </reference>
          <reference field="0" count="1" selected="0">
            <x v="5"/>
          </reference>
          <reference field="1" count="1" selected="0">
            <x v="39"/>
          </reference>
        </references>
      </pivotArea>
    </chartFormat>
    <chartFormat chart="0" format="475">
      <pivotArea type="data" outline="0" fieldPosition="0">
        <references count="3">
          <reference field="4294967294" count="1" selected="0">
            <x v="0"/>
          </reference>
          <reference field="0" count="1" selected="0">
            <x v="5"/>
          </reference>
          <reference field="1" count="1" selected="0">
            <x v="41"/>
          </reference>
        </references>
      </pivotArea>
    </chartFormat>
    <chartFormat chart="0" format="476">
      <pivotArea type="data" outline="0" fieldPosition="0">
        <references count="3">
          <reference field="4294967294" count="1" selected="0">
            <x v="0"/>
          </reference>
          <reference field="0" count="1" selected="0">
            <x v="5"/>
          </reference>
          <reference field="1" count="1" selected="0">
            <x v="43"/>
          </reference>
        </references>
      </pivotArea>
    </chartFormat>
    <chartFormat chart="0" format="477">
      <pivotArea type="data" outline="0" fieldPosition="0">
        <references count="3">
          <reference field="4294967294" count="1" selected="0">
            <x v="0"/>
          </reference>
          <reference field="0" count="1" selected="0">
            <x v="5"/>
          </reference>
          <reference field="1" count="1" selected="0">
            <x v="45"/>
          </reference>
        </references>
      </pivotArea>
    </chartFormat>
    <chartFormat chart="0" format="478">
      <pivotArea type="data" outline="0" fieldPosition="0">
        <references count="3">
          <reference field="4294967294" count="1" selected="0">
            <x v="0"/>
          </reference>
          <reference field="0" count="1" selected="0">
            <x v="5"/>
          </reference>
          <reference field="1" count="1" selected="0">
            <x v="47"/>
          </reference>
        </references>
      </pivotArea>
    </chartFormat>
    <chartFormat chart="0" format="479">
      <pivotArea type="data" outline="0" fieldPosition="0">
        <references count="3">
          <reference field="4294967294" count="1" selected="0">
            <x v="0"/>
          </reference>
          <reference field="0" count="1" selected="0">
            <x v="5"/>
          </reference>
          <reference field="1" count="1" selected="0">
            <x v="49"/>
          </reference>
        </references>
      </pivotArea>
    </chartFormat>
    <chartFormat chart="0" format="480">
      <pivotArea type="data" outline="0" fieldPosition="0">
        <references count="3">
          <reference field="4294967294" count="1" selected="0">
            <x v="0"/>
          </reference>
          <reference field="0" count="1" selected="0">
            <x v="5"/>
          </reference>
          <reference field="1" count="1" selected="0">
            <x v="51"/>
          </reference>
        </references>
      </pivotArea>
    </chartFormat>
    <chartFormat chart="0" format="481">
      <pivotArea type="data" outline="0" fieldPosition="0">
        <references count="3">
          <reference field="4294967294" count="1" selected="0">
            <x v="0"/>
          </reference>
          <reference field="0" count="1" selected="0">
            <x v="5"/>
          </reference>
          <reference field="1" count="1" selected="0">
            <x v="53"/>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7"/>
          </reference>
        </references>
      </pivotArea>
    </chartFormat>
    <chartFormat chart="0" format="484">
      <pivotArea type="data" outline="0" fieldPosition="0">
        <references count="3">
          <reference field="4294967294" count="1" selected="0">
            <x v="0"/>
          </reference>
          <reference field="0" count="1" selected="0">
            <x v="5"/>
          </reference>
          <reference field="1" count="1" selected="0">
            <x v="59"/>
          </reference>
        </references>
      </pivotArea>
    </chartFormat>
    <chartFormat chart="0" format="485">
      <pivotArea type="data" outline="0" fieldPosition="0">
        <references count="3">
          <reference field="4294967294" count="1" selected="0">
            <x v="0"/>
          </reference>
          <reference field="0" count="1" selected="0">
            <x v="5"/>
          </reference>
          <reference field="1" count="1" selected="0">
            <x v="61"/>
          </reference>
        </references>
      </pivotArea>
    </chartFormat>
    <chartFormat chart="0" format="486">
      <pivotArea type="data" outline="0" fieldPosition="0">
        <references count="3">
          <reference field="4294967294" count="1" selected="0">
            <x v="0"/>
          </reference>
          <reference field="0" count="1" selected="0">
            <x v="5"/>
          </reference>
          <reference field="1" count="1" selected="0">
            <x v="63"/>
          </reference>
        </references>
      </pivotArea>
    </chartFormat>
    <chartFormat chart="0" format="487">
      <pivotArea type="data" outline="0" fieldPosition="0">
        <references count="3">
          <reference field="4294967294" count="1" selected="0">
            <x v="2"/>
          </reference>
          <reference field="0" count="1" selected="0">
            <x v="5"/>
          </reference>
          <reference field="1" count="1" selected="0">
            <x v="37"/>
          </reference>
        </references>
      </pivotArea>
    </chartFormat>
    <chartFormat chart="0" format="488">
      <pivotArea type="data" outline="0" fieldPosition="0">
        <references count="3">
          <reference field="4294967294" count="1" selected="0">
            <x v="2"/>
          </reference>
          <reference field="0" count="1" selected="0">
            <x v="5"/>
          </reference>
          <reference field="1" count="1" selected="0">
            <x v="39"/>
          </reference>
        </references>
      </pivotArea>
    </chartFormat>
    <chartFormat chart="0" format="489">
      <pivotArea type="data" outline="0" fieldPosition="0">
        <references count="3">
          <reference field="4294967294" count="1" selected="0">
            <x v="2"/>
          </reference>
          <reference field="0" count="1" selected="0">
            <x v="5"/>
          </reference>
          <reference field="1" count="1" selected="0">
            <x v="41"/>
          </reference>
        </references>
      </pivotArea>
    </chartFormat>
    <chartFormat chart="0" format="490">
      <pivotArea type="data" outline="0" fieldPosition="0">
        <references count="3">
          <reference field="4294967294" count="1" selected="0">
            <x v="2"/>
          </reference>
          <reference field="0" count="1" selected="0">
            <x v="5"/>
          </reference>
          <reference field="1" count="1" selected="0">
            <x v="43"/>
          </reference>
        </references>
      </pivotArea>
    </chartFormat>
    <chartFormat chart="0" format="491">
      <pivotArea type="data" outline="0" fieldPosition="0">
        <references count="3">
          <reference field="4294967294" count="1" selected="0">
            <x v="2"/>
          </reference>
          <reference field="0" count="1" selected="0">
            <x v="5"/>
          </reference>
          <reference field="1" count="1" selected="0">
            <x v="45"/>
          </reference>
        </references>
      </pivotArea>
    </chartFormat>
    <chartFormat chart="0" format="492">
      <pivotArea type="data" outline="0" fieldPosition="0">
        <references count="3">
          <reference field="4294967294" count="1" selected="0">
            <x v="2"/>
          </reference>
          <reference field="0" count="1" selected="0">
            <x v="5"/>
          </reference>
          <reference field="1" count="1" selected="0">
            <x v="47"/>
          </reference>
        </references>
      </pivotArea>
    </chartFormat>
    <chartFormat chart="0" format="493">
      <pivotArea type="data" outline="0" fieldPosition="0">
        <references count="3">
          <reference field="4294967294" count="1" selected="0">
            <x v="2"/>
          </reference>
          <reference field="0" count="1" selected="0">
            <x v="5"/>
          </reference>
          <reference field="1" count="1" selected="0">
            <x v="49"/>
          </reference>
        </references>
      </pivotArea>
    </chartFormat>
    <chartFormat chart="0" format="494">
      <pivotArea type="data" outline="0" fieldPosition="0">
        <references count="3">
          <reference field="4294967294" count="1" selected="0">
            <x v="2"/>
          </reference>
          <reference field="0" count="1" selected="0">
            <x v="5"/>
          </reference>
          <reference field="1" count="1" selected="0">
            <x v="51"/>
          </reference>
        </references>
      </pivotArea>
    </chartFormat>
    <chartFormat chart="0" format="495">
      <pivotArea type="data" outline="0" fieldPosition="0">
        <references count="3">
          <reference field="4294967294" count="1" selected="0">
            <x v="2"/>
          </reference>
          <reference field="0" count="1" selected="0">
            <x v="5"/>
          </reference>
          <reference field="1" count="1" selected="0">
            <x v="53"/>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7"/>
          </reference>
        </references>
      </pivotArea>
    </chartFormat>
    <chartFormat chart="0" format="498">
      <pivotArea type="data" outline="0" fieldPosition="0">
        <references count="3">
          <reference field="4294967294" count="1" selected="0">
            <x v="2"/>
          </reference>
          <reference field="0" count="1" selected="0">
            <x v="5"/>
          </reference>
          <reference field="1" count="1" selected="0">
            <x v="59"/>
          </reference>
        </references>
      </pivotArea>
    </chartFormat>
    <chartFormat chart="0" format="499">
      <pivotArea type="data" outline="0" fieldPosition="0">
        <references count="3">
          <reference field="4294967294" count="1" selected="0">
            <x v="2"/>
          </reference>
          <reference field="0" count="1" selected="0">
            <x v="5"/>
          </reference>
          <reference field="1" count="1" selected="0">
            <x v="61"/>
          </reference>
        </references>
      </pivotArea>
    </chartFormat>
    <chartFormat chart="0" format="500">
      <pivotArea type="data" outline="0" fieldPosition="0">
        <references count="3">
          <reference field="4294967294" count="1" selected="0">
            <x v="2"/>
          </reference>
          <reference field="0" count="1" selected="0">
            <x v="5"/>
          </reference>
          <reference field="1" count="1" selected="0">
            <x v="63"/>
          </reference>
        </references>
      </pivotArea>
    </chartFormat>
    <chartFormat chart="0" format="501">
      <pivotArea type="data" outline="0" fieldPosition="0">
        <references count="3">
          <reference field="4294967294" count="1" selected="0">
            <x v="0"/>
          </reference>
          <reference field="0" count="1" selected="0">
            <x v="5"/>
          </reference>
          <reference field="1" count="1" selected="0">
            <x v="65"/>
          </reference>
        </references>
      </pivotArea>
    </chartFormat>
    <chartFormat chart="0" format="502">
      <pivotArea type="data" outline="0" fieldPosition="0">
        <references count="3">
          <reference field="4294967294" count="1" selected="0">
            <x v="0"/>
          </reference>
          <reference field="0" count="1" selected="0">
            <x v="5"/>
          </reference>
          <reference field="1" count="1" selected="0">
            <x v="67"/>
          </reference>
        </references>
      </pivotArea>
    </chartFormat>
    <chartFormat chart="0" format="503">
      <pivotArea type="data" outline="0" fieldPosition="0">
        <references count="3">
          <reference field="4294967294" count="1" selected="0">
            <x v="0"/>
          </reference>
          <reference field="0" count="1" selected="0">
            <x v="5"/>
          </reference>
          <reference field="1" count="1" selected="0">
            <x v="69"/>
          </reference>
        </references>
      </pivotArea>
    </chartFormat>
    <chartFormat chart="0" format="504">
      <pivotArea type="data" outline="0" fieldPosition="0">
        <references count="3">
          <reference field="4294967294" count="1" selected="0">
            <x v="0"/>
          </reference>
          <reference field="0" count="1" selected="0">
            <x v="5"/>
          </reference>
          <reference field="1" count="1" selected="0">
            <x v="70"/>
          </reference>
        </references>
      </pivotArea>
    </chartFormat>
    <chartFormat chart="0" format="505">
      <pivotArea type="data" outline="0" fieldPosition="0">
        <references count="3">
          <reference field="4294967294" count="1" selected="0">
            <x v="0"/>
          </reference>
          <reference field="0" count="1" selected="0">
            <x v="5"/>
          </reference>
          <reference field="1" count="1" selected="0">
            <x v="71"/>
          </reference>
        </references>
      </pivotArea>
    </chartFormat>
    <chartFormat chart="0" format="506">
      <pivotArea type="data" outline="0" fieldPosition="0">
        <references count="3">
          <reference field="4294967294" count="1" selected="0">
            <x v="0"/>
          </reference>
          <reference field="0" count="1" selected="0">
            <x v="5"/>
          </reference>
          <reference field="1" count="1" selected="0">
            <x v="73"/>
          </reference>
        </references>
      </pivotArea>
    </chartFormat>
    <chartFormat chart="0" format="507">
      <pivotArea type="data" outline="0" fieldPosition="0">
        <references count="3">
          <reference field="4294967294" count="1" selected="0">
            <x v="0"/>
          </reference>
          <reference field="0" count="1" selected="0">
            <x v="6"/>
          </reference>
          <reference field="1" count="1" selected="0">
            <x v="1"/>
          </reference>
        </references>
      </pivotArea>
    </chartFormat>
    <chartFormat chart="0" format="508">
      <pivotArea type="data" outline="0" fieldPosition="0">
        <references count="3">
          <reference field="4294967294" count="1" selected="0">
            <x v="0"/>
          </reference>
          <reference field="0" count="1" selected="0">
            <x v="6"/>
          </reference>
          <reference field="1" count="1" selected="0">
            <x v="2"/>
          </reference>
        </references>
      </pivotArea>
    </chartFormat>
    <chartFormat chart="0" format="509">
      <pivotArea type="data" outline="0" fieldPosition="0">
        <references count="3">
          <reference field="4294967294" count="1" selected="0">
            <x v="2"/>
          </reference>
          <reference field="0" count="1" selected="0">
            <x v="5"/>
          </reference>
          <reference field="1" count="1" selected="0">
            <x v="65"/>
          </reference>
        </references>
      </pivotArea>
    </chartFormat>
    <chartFormat chart="0" format="510">
      <pivotArea type="data" outline="0" fieldPosition="0">
        <references count="3">
          <reference field="4294967294" count="1" selected="0">
            <x v="2"/>
          </reference>
          <reference field="0" count="1" selected="0">
            <x v="5"/>
          </reference>
          <reference field="1" count="1" selected="0">
            <x v="67"/>
          </reference>
        </references>
      </pivotArea>
    </chartFormat>
    <chartFormat chart="0" format="511">
      <pivotArea type="data" outline="0" fieldPosition="0">
        <references count="3">
          <reference field="4294967294" count="1" selected="0">
            <x v="2"/>
          </reference>
          <reference field="0" count="1" selected="0">
            <x v="5"/>
          </reference>
          <reference field="1" count="1" selected="0">
            <x v="69"/>
          </reference>
        </references>
      </pivotArea>
    </chartFormat>
    <chartFormat chart="0" format="512">
      <pivotArea type="data" outline="0" fieldPosition="0">
        <references count="3">
          <reference field="4294967294" count="1" selected="0">
            <x v="2"/>
          </reference>
          <reference field="0" count="1" selected="0">
            <x v="5"/>
          </reference>
          <reference field="1" count="1" selected="0">
            <x v="70"/>
          </reference>
        </references>
      </pivotArea>
    </chartFormat>
    <chartFormat chart="0" format="513">
      <pivotArea type="data" outline="0" fieldPosition="0">
        <references count="3">
          <reference field="4294967294" count="1" selected="0">
            <x v="2"/>
          </reference>
          <reference field="0" count="1" selected="0">
            <x v="5"/>
          </reference>
          <reference field="1" count="1" selected="0">
            <x v="71"/>
          </reference>
        </references>
      </pivotArea>
    </chartFormat>
    <chartFormat chart="0" format="514">
      <pivotArea type="data" outline="0" fieldPosition="0">
        <references count="3">
          <reference field="4294967294" count="1" selected="0">
            <x v="2"/>
          </reference>
          <reference field="0" count="1" selected="0">
            <x v="5"/>
          </reference>
          <reference field="1" count="1" selected="0">
            <x v="73"/>
          </reference>
        </references>
      </pivotArea>
    </chartFormat>
    <chartFormat chart="0" format="515">
      <pivotArea type="data" outline="0" fieldPosition="0">
        <references count="3">
          <reference field="4294967294" count="1" selected="0">
            <x v="2"/>
          </reference>
          <reference field="0" count="1" selected="0">
            <x v="6"/>
          </reference>
          <reference field="1" count="1" selected="0">
            <x v="1"/>
          </reference>
        </references>
      </pivotArea>
    </chartFormat>
    <chartFormat chart="0" format="516">
      <pivotArea type="data" outline="0" fieldPosition="0">
        <references count="3">
          <reference field="4294967294" count="1" selected="0">
            <x v="2"/>
          </reference>
          <reference field="0" count="1" selected="0">
            <x v="6"/>
          </reference>
          <reference field="1" count="1" selected="0">
            <x v="2"/>
          </reference>
        </references>
      </pivotArea>
    </chartFormat>
    <chartFormat chart="0" format="517">
      <pivotArea type="data" outline="0" fieldPosition="0">
        <references count="3">
          <reference field="4294967294" count="1" selected="0">
            <x v="0"/>
          </reference>
          <reference field="0" count="1" selected="0">
            <x v="6"/>
          </reference>
          <reference field="1" count="1" selected="0">
            <x v="3"/>
          </reference>
        </references>
      </pivotArea>
    </chartFormat>
    <chartFormat chart="0" format="518">
      <pivotArea type="data" outline="0" fieldPosition="0">
        <references count="3">
          <reference field="4294967294" count="1" selected="0">
            <x v="0"/>
          </reference>
          <reference field="0" count="1" selected="0">
            <x v="6"/>
          </reference>
          <reference field="1" count="1" selected="0">
            <x v="4"/>
          </reference>
        </references>
      </pivotArea>
    </chartFormat>
    <chartFormat chart="0" format="519">
      <pivotArea type="data" outline="0" fieldPosition="0">
        <references count="3">
          <reference field="4294967294" count="1" selected="0">
            <x v="0"/>
          </reference>
          <reference field="0" count="1" selected="0">
            <x v="6"/>
          </reference>
          <reference field="1" count="1" selected="0">
            <x v="5"/>
          </reference>
        </references>
      </pivotArea>
    </chartFormat>
    <chartFormat chart="0" format="520">
      <pivotArea type="data" outline="0" fieldPosition="0">
        <references count="3">
          <reference field="4294967294" count="1" selected="0">
            <x v="0"/>
          </reference>
          <reference field="0" count="1" selected="0">
            <x v="6"/>
          </reference>
          <reference field="1" count="1" selected="0">
            <x v="6"/>
          </reference>
        </references>
      </pivotArea>
    </chartFormat>
    <chartFormat chart="0" format="521">
      <pivotArea type="data" outline="0" fieldPosition="0">
        <references count="3">
          <reference field="4294967294" count="1" selected="0">
            <x v="2"/>
          </reference>
          <reference field="0" count="1" selected="0">
            <x v="6"/>
          </reference>
          <reference field="1" count="1" selected="0">
            <x v="3"/>
          </reference>
        </references>
      </pivotArea>
    </chartFormat>
    <chartFormat chart="0" format="522">
      <pivotArea type="data" outline="0" fieldPosition="0">
        <references count="3">
          <reference field="4294967294" count="1" selected="0">
            <x v="2"/>
          </reference>
          <reference field="0" count="1" selected="0">
            <x v="6"/>
          </reference>
          <reference field="1" count="1" selected="0">
            <x v="4"/>
          </reference>
        </references>
      </pivotArea>
    </chartFormat>
    <chartFormat chart="0" format="523">
      <pivotArea type="data" outline="0" fieldPosition="0">
        <references count="3">
          <reference field="4294967294" count="1" selected="0">
            <x v="2"/>
          </reference>
          <reference field="0" count="1" selected="0">
            <x v="6"/>
          </reference>
          <reference field="1" count="1" selected="0">
            <x v="5"/>
          </reference>
        </references>
      </pivotArea>
    </chartFormat>
    <chartFormat chart="0" format="524">
      <pivotArea type="data" outline="0" fieldPosition="0">
        <references count="3">
          <reference field="4294967294" count="1" selected="0">
            <x v="2"/>
          </reference>
          <reference field="0" count="1" selected="0">
            <x v="6"/>
          </reference>
          <reference field="1" count="1" selected="0">
            <x v="6"/>
          </reference>
        </references>
      </pivotArea>
    </chartFormat>
    <chartFormat chart="0" format="525">
      <pivotArea type="data" outline="0" fieldPosition="0">
        <references count="3">
          <reference field="4294967294" count="1" selected="0">
            <x v="0"/>
          </reference>
          <reference field="0" count="1" selected="0">
            <x v="6"/>
          </reference>
          <reference field="1" count="1" selected="0">
            <x v="7"/>
          </reference>
        </references>
      </pivotArea>
    </chartFormat>
    <chartFormat chart="0" format="526">
      <pivotArea type="data" outline="0" fieldPosition="0">
        <references count="3">
          <reference field="4294967294" count="1" selected="0">
            <x v="0"/>
          </reference>
          <reference field="0" count="1" selected="0">
            <x v="6"/>
          </reference>
          <reference field="1" count="1" selected="0">
            <x v="8"/>
          </reference>
        </references>
      </pivotArea>
    </chartFormat>
    <chartFormat chart="0" format="527">
      <pivotArea type="data" outline="0" fieldPosition="0">
        <references count="3">
          <reference field="4294967294" count="1" selected="0">
            <x v="2"/>
          </reference>
          <reference field="0" count="1" selected="0">
            <x v="6"/>
          </reference>
          <reference field="1" count="1" selected="0">
            <x v="7"/>
          </reference>
        </references>
      </pivotArea>
    </chartFormat>
    <chartFormat chart="0" format="528">
      <pivotArea type="data" outline="0" fieldPosition="0">
        <references count="3">
          <reference field="4294967294" count="1" selected="0">
            <x v="2"/>
          </reference>
          <reference field="0" count="1" selected="0">
            <x v="6"/>
          </reference>
          <reference field="1" count="1" selected="0">
            <x v="8"/>
          </reference>
        </references>
      </pivotArea>
    </chartFormat>
    <chartFormat chart="0" format="529">
      <pivotArea type="data" outline="0" fieldPosition="0">
        <references count="3">
          <reference field="4294967294" count="1" selected="0">
            <x v="0"/>
          </reference>
          <reference field="0" count="1" selected="0">
            <x v="6"/>
          </reference>
          <reference field="1" count="1" selected="0">
            <x v="9"/>
          </reference>
        </references>
      </pivotArea>
    </chartFormat>
    <chartFormat chart="0" format="530">
      <pivotArea type="data" outline="0" fieldPosition="0">
        <references count="3">
          <reference field="4294967294" count="1" selected="0">
            <x v="0"/>
          </reference>
          <reference field="0" count="1" selected="0">
            <x v="6"/>
          </reference>
          <reference field="1" count="1" selected="0">
            <x v="10"/>
          </reference>
        </references>
      </pivotArea>
    </chartFormat>
    <chartFormat chart="0" format="531">
      <pivotArea type="data" outline="0" fieldPosition="0">
        <references count="3">
          <reference field="4294967294" count="1" selected="0">
            <x v="2"/>
          </reference>
          <reference field="0" count="1" selected="0">
            <x v="6"/>
          </reference>
          <reference field="1" count="1" selected="0">
            <x v="9"/>
          </reference>
        </references>
      </pivotArea>
    </chartFormat>
    <chartFormat chart="0" format="532">
      <pivotArea type="data" outline="0" fieldPosition="0">
        <references count="3">
          <reference field="4294967294" count="1" selected="0">
            <x v="2"/>
          </reference>
          <reference field="0" count="1" selected="0">
            <x v="6"/>
          </reference>
          <reference field="1" count="1" selected="0">
            <x v="10"/>
          </reference>
        </references>
      </pivotArea>
    </chartFormat>
    <chartFormat chart="0" format="533">
      <pivotArea type="data" outline="0" fieldPosition="0">
        <references count="3">
          <reference field="4294967294" count="1" selected="0">
            <x v="0"/>
          </reference>
          <reference field="0" count="1" selected="0">
            <x v="6"/>
          </reference>
          <reference field="1" count="1" selected="0">
            <x v="11"/>
          </reference>
        </references>
      </pivotArea>
    </chartFormat>
    <chartFormat chart="0" format="534">
      <pivotArea type="data" outline="0" fieldPosition="0">
        <references count="3">
          <reference field="4294967294" count="1" selected="0">
            <x v="0"/>
          </reference>
          <reference field="0" count="1" selected="0">
            <x v="6"/>
          </reference>
          <reference field="1" count="1" selected="0">
            <x v="12"/>
          </reference>
        </references>
      </pivotArea>
    </chartFormat>
    <chartFormat chart="0" format="535">
      <pivotArea type="data" outline="0" fieldPosition="0">
        <references count="3">
          <reference field="4294967294" count="1" selected="0">
            <x v="0"/>
          </reference>
          <reference field="0" count="1" selected="0">
            <x v="6"/>
          </reference>
          <reference field="1" count="1" selected="0">
            <x v="13"/>
          </reference>
        </references>
      </pivotArea>
    </chartFormat>
    <chartFormat chart="0" format="536">
      <pivotArea type="data" outline="0" fieldPosition="0">
        <references count="3">
          <reference field="4294967294" count="1" selected="0">
            <x v="0"/>
          </reference>
          <reference field="0" count="1" selected="0">
            <x v="6"/>
          </reference>
          <reference field="1" count="1" selected="0">
            <x v="14"/>
          </reference>
        </references>
      </pivotArea>
    </chartFormat>
    <chartFormat chart="0" format="537">
      <pivotArea type="data" outline="0" fieldPosition="0">
        <references count="3">
          <reference field="4294967294" count="1" selected="0">
            <x v="0"/>
          </reference>
          <reference field="0" count="1" selected="0">
            <x v="6"/>
          </reference>
          <reference field="1" count="1" selected="0">
            <x v="15"/>
          </reference>
        </references>
      </pivotArea>
    </chartFormat>
    <chartFormat chart="0" format="538">
      <pivotArea type="data" outline="0" fieldPosition="0">
        <references count="3">
          <reference field="4294967294" count="1" selected="0">
            <x v="0"/>
          </reference>
          <reference field="0" count="1" selected="0">
            <x v="6"/>
          </reference>
          <reference field="1" count="1" selected="0">
            <x v="16"/>
          </reference>
        </references>
      </pivotArea>
    </chartFormat>
    <chartFormat chart="0" format="539">
      <pivotArea type="data" outline="0" fieldPosition="0">
        <references count="3">
          <reference field="4294967294" count="1" selected="0">
            <x v="0"/>
          </reference>
          <reference field="0" count="1" selected="0">
            <x v="6"/>
          </reference>
          <reference field="1" count="1" selected="0">
            <x v="17"/>
          </reference>
        </references>
      </pivotArea>
    </chartFormat>
    <chartFormat chart="0" format="540">
      <pivotArea type="data" outline="0" fieldPosition="0">
        <references count="3">
          <reference field="4294967294" count="1" selected="0">
            <x v="0"/>
          </reference>
          <reference field="0" count="1" selected="0">
            <x v="6"/>
          </reference>
          <reference field="1" count="1" selected="0">
            <x v="18"/>
          </reference>
        </references>
      </pivotArea>
    </chartFormat>
    <chartFormat chart="0" format="541">
      <pivotArea type="data" outline="0" fieldPosition="0">
        <references count="3">
          <reference field="4294967294" count="1" selected="0">
            <x v="0"/>
          </reference>
          <reference field="0" count="1" selected="0">
            <x v="6"/>
          </reference>
          <reference field="1" count="1" selected="0">
            <x v="19"/>
          </reference>
        </references>
      </pivotArea>
    </chartFormat>
    <chartFormat chart="0" format="542">
      <pivotArea type="data" outline="0" fieldPosition="0">
        <references count="3">
          <reference field="4294967294" count="1" selected="0">
            <x v="0"/>
          </reference>
          <reference field="0" count="1" selected="0">
            <x v="6"/>
          </reference>
          <reference field="1" count="1" selected="0">
            <x v="20"/>
          </reference>
        </references>
      </pivotArea>
    </chartFormat>
    <chartFormat chart="0" format="543">
      <pivotArea type="data" outline="0" fieldPosition="0">
        <references count="3">
          <reference field="4294967294" count="1" selected="0">
            <x v="0"/>
          </reference>
          <reference field="0" count="1" selected="0">
            <x v="6"/>
          </reference>
          <reference field="1" count="1" selected="0">
            <x v="21"/>
          </reference>
        </references>
      </pivotArea>
    </chartFormat>
    <chartFormat chart="0" format="544">
      <pivotArea type="data" outline="0" fieldPosition="0">
        <references count="3">
          <reference field="4294967294" count="1" selected="0">
            <x v="0"/>
          </reference>
          <reference field="0" count="1" selected="0">
            <x v="6"/>
          </reference>
          <reference field="1" count="1" selected="0">
            <x v="23"/>
          </reference>
        </references>
      </pivotArea>
    </chartFormat>
    <chartFormat chart="0" format="545">
      <pivotArea type="data" outline="0" fieldPosition="0">
        <references count="3">
          <reference field="4294967294" count="1" selected="0">
            <x v="0"/>
          </reference>
          <reference field="0" count="1" selected="0">
            <x v="6"/>
          </reference>
          <reference field="1" count="1" selected="0">
            <x v="25"/>
          </reference>
        </references>
      </pivotArea>
    </chartFormat>
    <chartFormat chart="0" format="546">
      <pivotArea type="data" outline="0" fieldPosition="0">
        <references count="3">
          <reference field="4294967294" count="1" selected="0">
            <x v="0"/>
          </reference>
          <reference field="0" count="1" selected="0">
            <x v="6"/>
          </reference>
          <reference field="1" count="1" selected="0">
            <x v="27"/>
          </reference>
        </references>
      </pivotArea>
    </chartFormat>
    <chartFormat chart="0" format="547">
      <pivotArea type="data" outline="0" fieldPosition="0">
        <references count="3">
          <reference field="4294967294" count="1" selected="0">
            <x v="0"/>
          </reference>
          <reference field="0" count="1" selected="0">
            <x v="6"/>
          </reference>
          <reference field="1" count="1" selected="0">
            <x v="29"/>
          </reference>
        </references>
      </pivotArea>
    </chartFormat>
    <chartFormat chart="0" format="548">
      <pivotArea type="data" outline="0" fieldPosition="0">
        <references count="3">
          <reference field="4294967294" count="1" selected="0">
            <x v="0"/>
          </reference>
          <reference field="0" count="1" selected="0">
            <x v="6"/>
          </reference>
          <reference field="1" count="1" selected="0">
            <x v="31"/>
          </reference>
        </references>
      </pivotArea>
    </chartFormat>
    <chartFormat chart="0" format="549">
      <pivotArea type="data" outline="0" fieldPosition="0">
        <references count="3">
          <reference field="4294967294" count="1" selected="0">
            <x v="0"/>
          </reference>
          <reference field="0" count="1" selected="0">
            <x v="6"/>
          </reference>
          <reference field="1" count="1" selected="0">
            <x v="33"/>
          </reference>
        </references>
      </pivotArea>
    </chartFormat>
    <chartFormat chart="0" format="550">
      <pivotArea type="data" outline="0" fieldPosition="0">
        <references count="3">
          <reference field="4294967294" count="1" selected="0">
            <x v="0"/>
          </reference>
          <reference field="0" count="1" selected="0">
            <x v="6"/>
          </reference>
          <reference field="1" count="1" selected="0">
            <x v="35"/>
          </reference>
        </references>
      </pivotArea>
    </chartFormat>
    <chartFormat chart="0" format="551">
      <pivotArea type="data" outline="0" fieldPosition="0">
        <references count="3">
          <reference field="4294967294" count="1" selected="0">
            <x v="0"/>
          </reference>
          <reference field="0" count="1" selected="0">
            <x v="6"/>
          </reference>
          <reference field="1" count="1" selected="0">
            <x v="37"/>
          </reference>
        </references>
      </pivotArea>
    </chartFormat>
    <chartFormat chart="0" format="552">
      <pivotArea type="data" outline="0" fieldPosition="0">
        <references count="3">
          <reference field="4294967294" count="1" selected="0">
            <x v="0"/>
          </reference>
          <reference field="0" count="1" selected="0">
            <x v="6"/>
          </reference>
          <reference field="1" count="1" selected="0">
            <x v="39"/>
          </reference>
        </references>
      </pivotArea>
    </chartFormat>
    <chartFormat chart="0" format="553">
      <pivotArea type="data" outline="0" fieldPosition="0">
        <references count="3">
          <reference field="4294967294" count="1" selected="0">
            <x v="0"/>
          </reference>
          <reference field="0" count="1" selected="0">
            <x v="6"/>
          </reference>
          <reference field="1" count="1" selected="0">
            <x v="41"/>
          </reference>
        </references>
      </pivotArea>
    </chartFormat>
    <chartFormat chart="0" format="554">
      <pivotArea type="data" outline="0" fieldPosition="0">
        <references count="3">
          <reference field="4294967294" count="1" selected="0">
            <x v="0"/>
          </reference>
          <reference field="0" count="1" selected="0">
            <x v="6"/>
          </reference>
          <reference field="1" count="1" selected="0">
            <x v="43"/>
          </reference>
        </references>
      </pivotArea>
    </chartFormat>
    <chartFormat chart="0" format="555">
      <pivotArea type="data" outline="0" fieldPosition="0">
        <references count="3">
          <reference field="4294967294" count="1" selected="0">
            <x v="0"/>
          </reference>
          <reference field="0" count="1" selected="0">
            <x v="6"/>
          </reference>
          <reference field="1" count="1" selected="0">
            <x v="45"/>
          </reference>
        </references>
      </pivotArea>
    </chartFormat>
    <chartFormat chart="0" format="556">
      <pivotArea type="data" outline="0" fieldPosition="0">
        <references count="3">
          <reference field="4294967294" count="1" selected="0">
            <x v="0"/>
          </reference>
          <reference field="0" count="1" selected="0">
            <x v="6"/>
          </reference>
          <reference field="1" count="1" selected="0">
            <x v="47"/>
          </reference>
        </references>
      </pivotArea>
    </chartFormat>
    <chartFormat chart="0" format="557">
      <pivotArea type="data" outline="0" fieldPosition="0">
        <references count="3">
          <reference field="4294967294" count="1" selected="0">
            <x v="0"/>
          </reference>
          <reference field="0" count="1" selected="0">
            <x v="6"/>
          </reference>
          <reference field="1" count="1" selected="0">
            <x v="49"/>
          </reference>
        </references>
      </pivotArea>
    </chartFormat>
    <chartFormat chart="0" format="558">
      <pivotArea type="data" outline="0" fieldPosition="0">
        <references count="3">
          <reference field="4294967294" count="1" selected="0">
            <x v="0"/>
          </reference>
          <reference field="0" count="1" selected="0">
            <x v="6"/>
          </reference>
          <reference field="1" count="1" selected="0">
            <x v="51"/>
          </reference>
        </references>
      </pivotArea>
    </chartFormat>
    <chartFormat chart="0" format="559">
      <pivotArea type="data" outline="0" fieldPosition="0">
        <references count="3">
          <reference field="4294967294" count="1" selected="0">
            <x v="0"/>
          </reference>
          <reference field="0" count="1" selected="0">
            <x v="6"/>
          </reference>
          <reference field="1" count="1" selected="0">
            <x v="53"/>
          </reference>
        </references>
      </pivotArea>
    </chartFormat>
    <chartFormat chart="0" format="560">
      <pivotArea type="data" outline="0" fieldPosition="0">
        <references count="3">
          <reference field="4294967294" count="1" selected="0">
            <x v="0"/>
          </reference>
          <reference field="0" count="1" selected="0">
            <x v="6"/>
          </reference>
          <reference field="1" count="1" selected="0">
            <x v="55"/>
          </reference>
        </references>
      </pivotArea>
    </chartFormat>
    <chartFormat chart="0" format="561">
      <pivotArea type="data" outline="0" fieldPosition="0">
        <references count="3">
          <reference field="4294967294" count="1" selected="0">
            <x v="0"/>
          </reference>
          <reference field="0" count="1" selected="0">
            <x v="6"/>
          </reference>
          <reference field="1" count="1" selected="0">
            <x v="57"/>
          </reference>
        </references>
      </pivotArea>
    </chartFormat>
    <chartFormat chart="0" format="562">
      <pivotArea type="data" outline="0" fieldPosition="0">
        <references count="3">
          <reference field="4294967294" count="1" selected="0">
            <x v="0"/>
          </reference>
          <reference field="0" count="1" selected="0">
            <x v="6"/>
          </reference>
          <reference field="1" count="1" selected="0">
            <x v="59"/>
          </reference>
        </references>
      </pivotArea>
    </chartFormat>
    <chartFormat chart="0" format="563">
      <pivotArea type="data" outline="0" fieldPosition="0">
        <references count="3">
          <reference field="4294967294" count="1" selected="0">
            <x v="0"/>
          </reference>
          <reference field="0" count="1" selected="0">
            <x v="6"/>
          </reference>
          <reference field="1" count="1" selected="0">
            <x v="61"/>
          </reference>
        </references>
      </pivotArea>
    </chartFormat>
    <chartFormat chart="0" format="564">
      <pivotArea type="data" outline="0" fieldPosition="0">
        <references count="3">
          <reference field="4294967294" count="1" selected="0">
            <x v="0"/>
          </reference>
          <reference field="0" count="1" selected="0">
            <x v="6"/>
          </reference>
          <reference field="1" count="1" selected="0">
            <x v="63"/>
          </reference>
        </references>
      </pivotArea>
    </chartFormat>
    <chartFormat chart="0" format="565">
      <pivotArea type="data" outline="0" fieldPosition="0">
        <references count="3">
          <reference field="4294967294" count="1" selected="0">
            <x v="0"/>
          </reference>
          <reference field="0" count="1" selected="0">
            <x v="6"/>
          </reference>
          <reference field="1" count="1" selected="0">
            <x v="65"/>
          </reference>
        </references>
      </pivotArea>
    </chartFormat>
    <chartFormat chart="0" format="566">
      <pivotArea type="data" outline="0" fieldPosition="0">
        <references count="3">
          <reference field="4294967294" count="1" selected="0">
            <x v="0"/>
          </reference>
          <reference field="0" count="1" selected="0">
            <x v="6"/>
          </reference>
          <reference field="1" count="1" selected="0">
            <x v="67"/>
          </reference>
        </references>
      </pivotArea>
    </chartFormat>
    <chartFormat chart="0" format="567">
      <pivotArea type="data" outline="0" fieldPosition="0">
        <references count="3">
          <reference field="4294967294" count="1" selected="0">
            <x v="0"/>
          </reference>
          <reference field="0" count="1" selected="0">
            <x v="6"/>
          </reference>
          <reference field="1" count="1" selected="0">
            <x v="69"/>
          </reference>
        </references>
      </pivotArea>
    </chartFormat>
    <chartFormat chart="0" format="568">
      <pivotArea type="data" outline="0" fieldPosition="0">
        <references count="3">
          <reference field="4294967294" count="1" selected="0">
            <x v="0"/>
          </reference>
          <reference field="0" count="1" selected="0">
            <x v="6"/>
          </reference>
          <reference field="1" count="1" selected="0">
            <x v="70"/>
          </reference>
        </references>
      </pivotArea>
    </chartFormat>
    <chartFormat chart="0" format="569">
      <pivotArea type="data" outline="0" fieldPosition="0">
        <references count="3">
          <reference field="4294967294" count="1" selected="0">
            <x v="0"/>
          </reference>
          <reference field="0" count="1" selected="0">
            <x v="6"/>
          </reference>
          <reference field="1" count="1" selected="0">
            <x v="71"/>
          </reference>
        </references>
      </pivotArea>
    </chartFormat>
    <chartFormat chart="0" format="570">
      <pivotArea type="data" outline="0" fieldPosition="0">
        <references count="3">
          <reference field="4294967294" count="1" selected="0">
            <x v="0"/>
          </reference>
          <reference field="0" count="1" selected="0">
            <x v="6"/>
          </reference>
          <reference field="1" count="1" selected="0">
            <x v="73"/>
          </reference>
        </references>
      </pivotArea>
    </chartFormat>
    <chartFormat chart="0" format="571">
      <pivotArea type="data" outline="0" fieldPosition="0">
        <references count="3">
          <reference field="4294967294" count="1" selected="0">
            <x v="0"/>
          </reference>
          <reference field="0" count="1" selected="0">
            <x v="7"/>
          </reference>
          <reference field="1" count="1" selected="0">
            <x v="1"/>
          </reference>
        </references>
      </pivotArea>
    </chartFormat>
    <chartFormat chart="0" format="572">
      <pivotArea type="data" outline="0" fieldPosition="0">
        <references count="3">
          <reference field="4294967294" count="1" selected="0">
            <x v="0"/>
          </reference>
          <reference field="0" count="1" selected="0">
            <x v="7"/>
          </reference>
          <reference field="1" count="1" selected="0">
            <x v="2"/>
          </reference>
        </references>
      </pivotArea>
    </chartFormat>
    <chartFormat chart="0" format="573">
      <pivotArea type="data" outline="0" fieldPosition="0">
        <references count="3">
          <reference field="4294967294" count="1" selected="0">
            <x v="0"/>
          </reference>
          <reference field="0" count="1" selected="0">
            <x v="7"/>
          </reference>
          <reference field="1" count="1" selected="0">
            <x v="3"/>
          </reference>
        </references>
      </pivotArea>
    </chartFormat>
    <chartFormat chart="0" format="574">
      <pivotArea type="data" outline="0" fieldPosition="0">
        <references count="3">
          <reference field="4294967294" count="1" selected="0">
            <x v="0"/>
          </reference>
          <reference field="0" count="1" selected="0">
            <x v="7"/>
          </reference>
          <reference field="1" count="1" selected="0">
            <x v="4"/>
          </reference>
        </references>
      </pivotArea>
    </chartFormat>
    <chartFormat chart="0" format="575">
      <pivotArea type="data" outline="0" fieldPosition="0">
        <references count="3">
          <reference field="4294967294" count="1" selected="0">
            <x v="0"/>
          </reference>
          <reference field="0" count="1" selected="0">
            <x v="7"/>
          </reference>
          <reference field="1" count="1" selected="0">
            <x v="5"/>
          </reference>
        </references>
      </pivotArea>
    </chartFormat>
    <chartFormat chart="0" format="576">
      <pivotArea type="data" outline="0" fieldPosition="0">
        <references count="3">
          <reference field="4294967294" count="1" selected="0">
            <x v="0"/>
          </reference>
          <reference field="0" count="1" selected="0">
            <x v="7"/>
          </reference>
          <reference field="1" count="1" selected="0">
            <x v="6"/>
          </reference>
        </references>
      </pivotArea>
    </chartFormat>
    <chartFormat chart="0" format="577">
      <pivotArea type="data" outline="0" fieldPosition="0">
        <references count="3">
          <reference field="4294967294" count="1" selected="0">
            <x v="0"/>
          </reference>
          <reference field="0" count="1" selected="0">
            <x v="7"/>
          </reference>
          <reference field="1" count="1" selected="0">
            <x v="7"/>
          </reference>
        </references>
      </pivotArea>
    </chartFormat>
    <chartFormat chart="0" format="578">
      <pivotArea type="data" outline="0" fieldPosition="0">
        <references count="3">
          <reference field="4294967294" count="1" selected="0">
            <x v="0"/>
          </reference>
          <reference field="0" count="1" selected="0">
            <x v="7"/>
          </reference>
          <reference field="1" count="1" selected="0">
            <x v="8"/>
          </reference>
        </references>
      </pivotArea>
    </chartFormat>
    <chartFormat chart="0" format="579">
      <pivotArea type="data" outline="0" fieldPosition="0">
        <references count="3">
          <reference field="4294967294" count="1" selected="0">
            <x v="0"/>
          </reference>
          <reference field="0" count="1" selected="0">
            <x v="7"/>
          </reference>
          <reference field="1" count="1" selected="0">
            <x v="9"/>
          </reference>
        </references>
      </pivotArea>
    </chartFormat>
    <chartFormat chart="0" format="580">
      <pivotArea type="data" outline="0" fieldPosition="0">
        <references count="3">
          <reference field="4294967294" count="1" selected="0">
            <x v="0"/>
          </reference>
          <reference field="0" count="1" selected="0">
            <x v="7"/>
          </reference>
          <reference field="1" count="1" selected="0">
            <x v="10"/>
          </reference>
        </references>
      </pivotArea>
    </chartFormat>
    <chartFormat chart="0" format="581">
      <pivotArea type="data" outline="0" fieldPosition="0">
        <references count="3">
          <reference field="4294967294" count="1" selected="0">
            <x v="0"/>
          </reference>
          <reference field="0" count="1" selected="0">
            <x v="7"/>
          </reference>
          <reference field="1" count="1" selected="0">
            <x v="11"/>
          </reference>
        </references>
      </pivotArea>
    </chartFormat>
    <chartFormat chart="0" format="582">
      <pivotArea type="data" outline="0" fieldPosition="0">
        <references count="3">
          <reference field="4294967294" count="1" selected="0">
            <x v="0"/>
          </reference>
          <reference field="0" count="1" selected="0">
            <x v="7"/>
          </reference>
          <reference field="1" count="1" selected="0">
            <x v="12"/>
          </reference>
        </references>
      </pivotArea>
    </chartFormat>
    <chartFormat chart="0" format="583">
      <pivotArea type="data" outline="0" fieldPosition="0">
        <references count="3">
          <reference field="4294967294" count="1" selected="0">
            <x v="0"/>
          </reference>
          <reference field="0" count="1" selected="0">
            <x v="7"/>
          </reference>
          <reference field="1" count="1" selected="0">
            <x v="13"/>
          </reference>
        </references>
      </pivotArea>
    </chartFormat>
    <chartFormat chart="0" format="584">
      <pivotArea type="data" outline="0" fieldPosition="0">
        <references count="3">
          <reference field="4294967294" count="1" selected="0">
            <x v="0"/>
          </reference>
          <reference field="0" count="1" selected="0">
            <x v="7"/>
          </reference>
          <reference field="1" count="1" selected="0">
            <x v="14"/>
          </reference>
        </references>
      </pivotArea>
    </chartFormat>
    <chartFormat chart="0" format="585">
      <pivotArea type="data" outline="0" fieldPosition="0">
        <references count="3">
          <reference field="4294967294" count="1" selected="0">
            <x v="0"/>
          </reference>
          <reference field="0" count="1" selected="0">
            <x v="7"/>
          </reference>
          <reference field="1" count="1" selected="0">
            <x v="15"/>
          </reference>
        </references>
      </pivotArea>
    </chartFormat>
    <chartFormat chart="0" format="586">
      <pivotArea type="data" outline="0" fieldPosition="0">
        <references count="3">
          <reference field="4294967294" count="1" selected="0">
            <x v="0"/>
          </reference>
          <reference field="0" count="1" selected="0">
            <x v="7"/>
          </reference>
          <reference field="1" count="1" selected="0">
            <x v="16"/>
          </reference>
        </references>
      </pivotArea>
    </chartFormat>
    <chartFormat chart="0" format="587">
      <pivotArea type="data" outline="0" fieldPosition="0">
        <references count="3">
          <reference field="4294967294" count="1" selected="0">
            <x v="0"/>
          </reference>
          <reference field="0" count="1" selected="0">
            <x v="7"/>
          </reference>
          <reference field="1" count="1" selected="0">
            <x v="17"/>
          </reference>
        </references>
      </pivotArea>
    </chartFormat>
    <chartFormat chart="0" format="588">
      <pivotArea type="data" outline="0" fieldPosition="0">
        <references count="3">
          <reference field="4294967294" count="1" selected="0">
            <x v="0"/>
          </reference>
          <reference field="0" count="1" selected="0">
            <x v="7"/>
          </reference>
          <reference field="1" count="1" selected="0">
            <x v="18"/>
          </reference>
        </references>
      </pivotArea>
    </chartFormat>
    <chartFormat chart="0" format="589">
      <pivotArea type="data" outline="0" fieldPosition="0">
        <references count="3">
          <reference field="4294967294" count="1" selected="0">
            <x v="0"/>
          </reference>
          <reference field="0" count="1" selected="0">
            <x v="7"/>
          </reference>
          <reference field="1" count="1" selected="0">
            <x v="19"/>
          </reference>
        </references>
      </pivotArea>
    </chartFormat>
    <chartFormat chart="0" format="590">
      <pivotArea type="data" outline="0" fieldPosition="0">
        <references count="3">
          <reference field="4294967294" count="1" selected="0">
            <x v="0"/>
          </reference>
          <reference field="0" count="1" selected="0">
            <x v="7"/>
          </reference>
          <reference field="1" count="1" selected="0">
            <x v="20"/>
          </reference>
        </references>
      </pivotArea>
    </chartFormat>
    <chartFormat chart="0" format="591">
      <pivotArea type="data" outline="0" fieldPosition="0">
        <references count="3">
          <reference field="4294967294" count="1" selected="0">
            <x v="0"/>
          </reference>
          <reference field="0" count="1" selected="0">
            <x v="7"/>
          </reference>
          <reference field="1" count="1" selected="0">
            <x v="21"/>
          </reference>
        </references>
      </pivotArea>
    </chartFormat>
    <chartFormat chart="0" format="592">
      <pivotArea type="data" outline="0" fieldPosition="0">
        <references count="3">
          <reference field="4294967294" count="1" selected="0">
            <x v="0"/>
          </reference>
          <reference field="0" count="1" selected="0">
            <x v="7"/>
          </reference>
          <reference field="1" count="1" selected="0">
            <x v="23"/>
          </reference>
        </references>
      </pivotArea>
    </chartFormat>
    <chartFormat chart="0" format="593">
      <pivotArea type="data" outline="0" fieldPosition="0">
        <references count="3">
          <reference field="4294967294" count="1" selected="0">
            <x v="0"/>
          </reference>
          <reference field="0" count="1" selected="0">
            <x v="7"/>
          </reference>
          <reference field="1" count="1" selected="0">
            <x v="25"/>
          </reference>
        </references>
      </pivotArea>
    </chartFormat>
    <chartFormat chart="0" format="594">
      <pivotArea type="data" outline="0" fieldPosition="0">
        <references count="3">
          <reference field="4294967294" count="1" selected="0">
            <x v="0"/>
          </reference>
          <reference field="0" count="1" selected="0">
            <x v="7"/>
          </reference>
          <reference field="1" count="1" selected="0">
            <x v="27"/>
          </reference>
        </references>
      </pivotArea>
    </chartFormat>
    <chartFormat chart="0" format="595">
      <pivotArea type="data" outline="0" fieldPosition="0">
        <references count="3">
          <reference field="4294967294" count="1" selected="0">
            <x v="0"/>
          </reference>
          <reference field="0" count="1" selected="0">
            <x v="7"/>
          </reference>
          <reference field="1" count="1" selected="0">
            <x v="29"/>
          </reference>
        </references>
      </pivotArea>
    </chartFormat>
    <chartFormat chart="0" format="596">
      <pivotArea type="data" outline="0" fieldPosition="0">
        <references count="3">
          <reference field="4294967294" count="1" selected="0">
            <x v="0"/>
          </reference>
          <reference field="0" count="1" selected="0">
            <x v="7"/>
          </reference>
          <reference field="1" count="1" selected="0">
            <x v="31"/>
          </reference>
        </references>
      </pivotArea>
    </chartFormat>
    <chartFormat chart="0" format="597">
      <pivotArea type="data" outline="0" fieldPosition="0">
        <references count="3">
          <reference field="4294967294" count="1" selected="0">
            <x v="0"/>
          </reference>
          <reference field="0" count="1" selected="0">
            <x v="7"/>
          </reference>
          <reference field="1" count="1" selected="0">
            <x v="33"/>
          </reference>
        </references>
      </pivotArea>
    </chartFormat>
    <chartFormat chart="0" format="598">
      <pivotArea type="data" outline="0" fieldPosition="0">
        <references count="3">
          <reference field="4294967294" count="1" selected="0">
            <x v="0"/>
          </reference>
          <reference field="0" count="1" selected="0">
            <x v="7"/>
          </reference>
          <reference field="1" count="1" selected="0">
            <x v="35"/>
          </reference>
        </references>
      </pivotArea>
    </chartFormat>
    <chartFormat chart="0" format="599">
      <pivotArea type="data" outline="0" fieldPosition="0">
        <references count="3">
          <reference field="4294967294" count="1" selected="0">
            <x v="0"/>
          </reference>
          <reference field="0" count="1" selected="0">
            <x v="7"/>
          </reference>
          <reference field="1" count="1" selected="0">
            <x v="37"/>
          </reference>
        </references>
      </pivotArea>
    </chartFormat>
    <chartFormat chart="0" format="600">
      <pivotArea type="data" outline="0" fieldPosition="0">
        <references count="3">
          <reference field="4294967294" count="1" selected="0">
            <x v="0"/>
          </reference>
          <reference field="0" count="1" selected="0">
            <x v="7"/>
          </reference>
          <reference field="1" count="1" selected="0">
            <x v="39"/>
          </reference>
        </references>
      </pivotArea>
    </chartFormat>
    <chartFormat chart="0" format="601">
      <pivotArea type="data" outline="0" fieldPosition="0">
        <references count="3">
          <reference field="4294967294" count="1" selected="0">
            <x v="0"/>
          </reference>
          <reference field="0" count="1" selected="0">
            <x v="7"/>
          </reference>
          <reference field="1" count="1" selected="0">
            <x v="41"/>
          </reference>
        </references>
      </pivotArea>
    </chartFormat>
    <chartFormat chart="0" format="602">
      <pivotArea type="data" outline="0" fieldPosition="0">
        <references count="3">
          <reference field="4294967294" count="1" selected="0">
            <x v="0"/>
          </reference>
          <reference field="0" count="1" selected="0">
            <x v="7"/>
          </reference>
          <reference field="1" count="1" selected="0">
            <x v="43"/>
          </reference>
        </references>
      </pivotArea>
    </chartFormat>
    <chartFormat chart="0" format="603">
      <pivotArea type="data" outline="0" fieldPosition="0">
        <references count="3">
          <reference field="4294967294" count="1" selected="0">
            <x v="0"/>
          </reference>
          <reference field="0" count="1" selected="0">
            <x v="7"/>
          </reference>
          <reference field="1" count="1" selected="0">
            <x v="45"/>
          </reference>
        </references>
      </pivotArea>
    </chartFormat>
    <chartFormat chart="0" format="604">
      <pivotArea type="data" outline="0" fieldPosition="0">
        <references count="3">
          <reference field="4294967294" count="1" selected="0">
            <x v="0"/>
          </reference>
          <reference field="0" count="1" selected="0">
            <x v="7"/>
          </reference>
          <reference field="1" count="1" selected="0">
            <x v="47"/>
          </reference>
        </references>
      </pivotArea>
    </chartFormat>
    <chartFormat chart="0" format="605">
      <pivotArea type="data" outline="0" fieldPosition="0">
        <references count="3">
          <reference field="4294967294" count="1" selected="0">
            <x v="0"/>
          </reference>
          <reference field="0" count="1" selected="0">
            <x v="7"/>
          </reference>
          <reference field="1" count="1" selected="0">
            <x v="49"/>
          </reference>
        </references>
      </pivotArea>
    </chartFormat>
    <chartFormat chart="0" format="606">
      <pivotArea type="data" outline="0" fieldPosition="0">
        <references count="3">
          <reference field="4294967294" count="1" selected="0">
            <x v="0"/>
          </reference>
          <reference field="0" count="1" selected="0">
            <x v="7"/>
          </reference>
          <reference field="1" count="1" selected="0">
            <x v="51"/>
          </reference>
        </references>
      </pivotArea>
    </chartFormat>
    <chartFormat chart="0" format="607">
      <pivotArea type="data" outline="0" fieldPosition="0">
        <references count="3">
          <reference field="4294967294" count="1" selected="0">
            <x v="0"/>
          </reference>
          <reference field="0" count="1" selected="0">
            <x v="7"/>
          </reference>
          <reference field="1" count="1" selected="0">
            <x v="53"/>
          </reference>
        </references>
      </pivotArea>
    </chartFormat>
    <chartFormat chart="0" format="608">
      <pivotArea type="data" outline="0" fieldPosition="0">
        <references count="3">
          <reference field="4294967294" count="1" selected="0">
            <x v="0"/>
          </reference>
          <reference field="0" count="1" selected="0">
            <x v="7"/>
          </reference>
          <reference field="1" count="1" selected="0">
            <x v="55"/>
          </reference>
        </references>
      </pivotArea>
    </chartFormat>
    <chartFormat chart="0" format="609">
      <pivotArea type="data" outline="0" fieldPosition="0">
        <references count="3">
          <reference field="4294967294" count="1" selected="0">
            <x v="0"/>
          </reference>
          <reference field="0" count="1" selected="0">
            <x v="7"/>
          </reference>
          <reference field="1" count="1" selected="0">
            <x v="57"/>
          </reference>
        </references>
      </pivotArea>
    </chartFormat>
    <chartFormat chart="0" format="610">
      <pivotArea type="data" outline="0" fieldPosition="0">
        <references count="3">
          <reference field="4294967294" count="1" selected="0">
            <x v="0"/>
          </reference>
          <reference field="0" count="1" selected="0">
            <x v="7"/>
          </reference>
          <reference field="1" count="1" selected="0">
            <x v="59"/>
          </reference>
        </references>
      </pivotArea>
    </chartFormat>
    <chartFormat chart="0" format="611">
      <pivotArea type="data" outline="0" fieldPosition="0">
        <references count="3">
          <reference field="4294967294" count="1" selected="0">
            <x v="0"/>
          </reference>
          <reference field="0" count="1" selected="0">
            <x v="7"/>
          </reference>
          <reference field="1" count="1" selected="0">
            <x v="61"/>
          </reference>
        </references>
      </pivotArea>
    </chartFormat>
    <chartFormat chart="0" format="612">
      <pivotArea type="data" outline="0" fieldPosition="0">
        <references count="3">
          <reference field="4294967294" count="1" selected="0">
            <x v="0"/>
          </reference>
          <reference field="0" count="1" selected="0">
            <x v="7"/>
          </reference>
          <reference field="1" count="1" selected="0">
            <x v="63"/>
          </reference>
        </references>
      </pivotArea>
    </chartFormat>
    <chartFormat chart="0" format="613">
      <pivotArea type="data" outline="0" fieldPosition="0">
        <references count="3">
          <reference field="4294967294" count="1" selected="0">
            <x v="0"/>
          </reference>
          <reference field="0" count="1" selected="0">
            <x v="7"/>
          </reference>
          <reference field="1" count="1" selected="0">
            <x v="65"/>
          </reference>
        </references>
      </pivotArea>
    </chartFormat>
    <chartFormat chart="0" format="614">
      <pivotArea type="data" outline="0" fieldPosition="0">
        <references count="3">
          <reference field="4294967294" count="1" selected="0">
            <x v="0"/>
          </reference>
          <reference field="0" count="1" selected="0">
            <x v="7"/>
          </reference>
          <reference field="1" count="1" selected="0">
            <x v="67"/>
          </reference>
        </references>
      </pivotArea>
    </chartFormat>
    <chartFormat chart="0" format="615">
      <pivotArea type="data" outline="0" fieldPosition="0">
        <references count="3">
          <reference field="4294967294" count="1" selected="0">
            <x v="0"/>
          </reference>
          <reference field="0" count="1" selected="0">
            <x v="7"/>
          </reference>
          <reference field="1" count="1" selected="0">
            <x v="69"/>
          </reference>
        </references>
      </pivotArea>
    </chartFormat>
    <chartFormat chart="0" format="616">
      <pivotArea type="data" outline="0" fieldPosition="0">
        <references count="3">
          <reference field="4294967294" count="1" selected="0">
            <x v="0"/>
          </reference>
          <reference field="0" count="1" selected="0">
            <x v="7"/>
          </reference>
          <reference field="1" count="1" selected="0">
            <x v="70"/>
          </reference>
        </references>
      </pivotArea>
    </chartFormat>
    <chartFormat chart="0" format="617">
      <pivotArea type="data" outline="0" fieldPosition="0">
        <references count="3">
          <reference field="4294967294" count="1" selected="0">
            <x v="0"/>
          </reference>
          <reference field="0" count="1" selected="0">
            <x v="7"/>
          </reference>
          <reference field="1" count="1" selected="0">
            <x v="71"/>
          </reference>
        </references>
      </pivotArea>
    </chartFormat>
    <chartFormat chart="0" format="618">
      <pivotArea type="data" outline="0" fieldPosition="0">
        <references count="3">
          <reference field="4294967294" count="1" selected="0">
            <x v="0"/>
          </reference>
          <reference field="0" count="1" selected="0">
            <x v="7"/>
          </reference>
          <reference field="1" count="1" selected="0">
            <x v="73"/>
          </reference>
        </references>
      </pivotArea>
    </chartFormat>
    <chartFormat chart="0" format="619">
      <pivotArea type="data" outline="0" fieldPosition="0">
        <references count="3">
          <reference field="4294967294" count="1" selected="0">
            <x v="0"/>
          </reference>
          <reference field="0" count="1" selected="0">
            <x v="8"/>
          </reference>
          <reference field="1" count="1" selected="0">
            <x v="1"/>
          </reference>
        </references>
      </pivotArea>
    </chartFormat>
    <chartFormat chart="0" format="620">
      <pivotArea type="data" outline="0" fieldPosition="0">
        <references count="3">
          <reference field="4294967294" count="1" selected="0">
            <x v="0"/>
          </reference>
          <reference field="0" count="1" selected="0">
            <x v="8"/>
          </reference>
          <reference field="1" count="1" selected="0">
            <x v="2"/>
          </reference>
        </references>
      </pivotArea>
    </chartFormat>
    <chartFormat chart="0" format="621">
      <pivotArea type="data" outline="0" fieldPosition="0">
        <references count="3">
          <reference field="4294967294" count="1" selected="0">
            <x v="0"/>
          </reference>
          <reference field="0" count="1" selected="0">
            <x v="8"/>
          </reference>
          <reference field="1" count="1" selected="0">
            <x v="3"/>
          </reference>
        </references>
      </pivotArea>
    </chartFormat>
    <chartFormat chart="0" format="622">
      <pivotArea type="data" outline="0" fieldPosition="0">
        <references count="3">
          <reference field="4294967294" count="1" selected="0">
            <x v="0"/>
          </reference>
          <reference field="0" count="1" selected="0">
            <x v="8"/>
          </reference>
          <reference field="1" count="1" selected="0">
            <x v="4"/>
          </reference>
        </references>
      </pivotArea>
    </chartFormat>
    <chartFormat chart="0" format="623">
      <pivotArea type="data" outline="0" fieldPosition="0">
        <references count="3">
          <reference field="4294967294" count="1" selected="0">
            <x v="0"/>
          </reference>
          <reference field="0" count="1" selected="0">
            <x v="8"/>
          </reference>
          <reference field="1" count="1" selected="0">
            <x v="5"/>
          </reference>
        </references>
      </pivotArea>
    </chartFormat>
    <chartFormat chart="0" format="624">
      <pivotArea type="data" outline="0" fieldPosition="0">
        <references count="3">
          <reference field="4294967294" count="1" selected="0">
            <x v="0"/>
          </reference>
          <reference field="0" count="1" selected="0">
            <x v="8"/>
          </reference>
          <reference field="1" count="1" selected="0">
            <x v="6"/>
          </reference>
        </references>
      </pivotArea>
    </chartFormat>
    <chartFormat chart="0" format="625">
      <pivotArea type="data" outline="0" fieldPosition="0">
        <references count="3">
          <reference field="4294967294" count="1" selected="0">
            <x v="0"/>
          </reference>
          <reference field="0" count="1" selected="0">
            <x v="8"/>
          </reference>
          <reference field="1" count="1" selected="0">
            <x v="7"/>
          </reference>
        </references>
      </pivotArea>
    </chartFormat>
    <chartFormat chart="0" format="626">
      <pivotArea type="data" outline="0" fieldPosition="0">
        <references count="3">
          <reference field="4294967294" count="1" selected="0">
            <x v="0"/>
          </reference>
          <reference field="0" count="1" selected="0">
            <x v="8"/>
          </reference>
          <reference field="1" count="1" selected="0">
            <x v="8"/>
          </reference>
        </references>
      </pivotArea>
    </chartFormat>
    <chartFormat chart="0" format="627">
      <pivotArea type="data" outline="0" fieldPosition="0">
        <references count="3">
          <reference field="4294967294" count="1" selected="0">
            <x v="0"/>
          </reference>
          <reference field="0" count="1" selected="0">
            <x v="8"/>
          </reference>
          <reference field="1" count="1" selected="0">
            <x v="9"/>
          </reference>
        </references>
      </pivotArea>
    </chartFormat>
    <chartFormat chart="0" format="628">
      <pivotArea type="data" outline="0" fieldPosition="0">
        <references count="3">
          <reference field="4294967294" count="1" selected="0">
            <x v="0"/>
          </reference>
          <reference field="0" count="1" selected="0">
            <x v="8"/>
          </reference>
          <reference field="1" count="1" selected="0">
            <x v="10"/>
          </reference>
        </references>
      </pivotArea>
    </chartFormat>
    <chartFormat chart="0" format="629">
      <pivotArea type="data" outline="0" fieldPosition="0">
        <references count="3">
          <reference field="4294967294" count="1" selected="0">
            <x v="0"/>
          </reference>
          <reference field="0" count="1" selected="0">
            <x v="8"/>
          </reference>
          <reference field="1" count="1" selected="0">
            <x v="11"/>
          </reference>
        </references>
      </pivotArea>
    </chartFormat>
    <chartFormat chart="0" format="630">
      <pivotArea type="data" outline="0" fieldPosition="0">
        <references count="3">
          <reference field="4294967294" count="1" selected="0">
            <x v="0"/>
          </reference>
          <reference field="0" count="1" selected="0">
            <x v="8"/>
          </reference>
          <reference field="1" count="1" selected="0">
            <x v="12"/>
          </reference>
        </references>
      </pivotArea>
    </chartFormat>
    <chartFormat chart="0" format="631">
      <pivotArea type="data" outline="0" fieldPosition="0">
        <references count="3">
          <reference field="4294967294" count="1" selected="0">
            <x v="0"/>
          </reference>
          <reference field="0" count="1" selected="0">
            <x v="8"/>
          </reference>
          <reference field="1" count="1" selected="0">
            <x v="13"/>
          </reference>
        </references>
      </pivotArea>
    </chartFormat>
    <chartFormat chart="0" format="632">
      <pivotArea type="data" outline="0" fieldPosition="0">
        <references count="3">
          <reference field="4294967294" count="1" selected="0">
            <x v="0"/>
          </reference>
          <reference field="0" count="1" selected="0">
            <x v="8"/>
          </reference>
          <reference field="1" count="1" selected="0">
            <x v="14"/>
          </reference>
        </references>
      </pivotArea>
    </chartFormat>
    <chartFormat chart="0" format="633">
      <pivotArea type="data" outline="0" fieldPosition="0">
        <references count="3">
          <reference field="4294967294" count="1" selected="0">
            <x v="0"/>
          </reference>
          <reference field="0" count="1" selected="0">
            <x v="8"/>
          </reference>
          <reference field="1" count="1" selected="0">
            <x v="15"/>
          </reference>
        </references>
      </pivotArea>
    </chartFormat>
    <chartFormat chart="0" format="634">
      <pivotArea type="data" outline="0" fieldPosition="0">
        <references count="3">
          <reference field="4294967294" count="1" selected="0">
            <x v="0"/>
          </reference>
          <reference field="0" count="1" selected="0">
            <x v="8"/>
          </reference>
          <reference field="1" count="1" selected="0">
            <x v="16"/>
          </reference>
        </references>
      </pivotArea>
    </chartFormat>
    <chartFormat chart="0" format="635">
      <pivotArea type="data" outline="0" fieldPosition="0">
        <references count="3">
          <reference field="4294967294" count="1" selected="0">
            <x v="0"/>
          </reference>
          <reference field="0" count="1" selected="0">
            <x v="8"/>
          </reference>
          <reference field="1" count="1" selected="0">
            <x v="17"/>
          </reference>
        </references>
      </pivotArea>
    </chartFormat>
    <chartFormat chart="0" format="636">
      <pivotArea type="data" outline="0" fieldPosition="0">
        <references count="3">
          <reference field="4294967294" count="1" selected="0">
            <x v="0"/>
          </reference>
          <reference field="0" count="1" selected="0">
            <x v="8"/>
          </reference>
          <reference field="1" count="1" selected="0">
            <x v="18"/>
          </reference>
        </references>
      </pivotArea>
    </chartFormat>
    <chartFormat chart="0" format="637">
      <pivotArea type="data" outline="0" fieldPosition="0">
        <references count="3">
          <reference field="4294967294" count="1" selected="0">
            <x v="0"/>
          </reference>
          <reference field="0" count="1" selected="0">
            <x v="8"/>
          </reference>
          <reference field="1" count="1" selected="0">
            <x v="19"/>
          </reference>
        </references>
      </pivotArea>
    </chartFormat>
    <chartFormat chart="0" format="638">
      <pivotArea type="data" outline="0" fieldPosition="0">
        <references count="3">
          <reference field="4294967294" count="1" selected="0">
            <x v="0"/>
          </reference>
          <reference field="0" count="1" selected="0">
            <x v="8"/>
          </reference>
          <reference field="1" count="1" selected="0">
            <x v="20"/>
          </reference>
        </references>
      </pivotArea>
    </chartFormat>
    <chartFormat chart="0" format="639">
      <pivotArea type="data" outline="0" fieldPosition="0">
        <references count="3">
          <reference field="4294967294" count="1" selected="0">
            <x v="0"/>
          </reference>
          <reference field="0" count="1" selected="0">
            <x v="8"/>
          </reference>
          <reference field="1" count="1" selected="0">
            <x v="21"/>
          </reference>
        </references>
      </pivotArea>
    </chartFormat>
    <chartFormat chart="0" format="640">
      <pivotArea type="data" outline="0" fieldPosition="0">
        <references count="3">
          <reference field="4294967294" count="1" selected="0">
            <x v="0"/>
          </reference>
          <reference field="0" count="1" selected="0">
            <x v="8"/>
          </reference>
          <reference field="1" count="1" selected="0">
            <x v="23"/>
          </reference>
        </references>
      </pivotArea>
    </chartFormat>
    <chartFormat chart="0" format="641">
      <pivotArea type="data" outline="0" fieldPosition="0">
        <references count="3">
          <reference field="4294967294" count="1" selected="0">
            <x v="0"/>
          </reference>
          <reference field="0" count="1" selected="0">
            <x v="8"/>
          </reference>
          <reference field="1" count="1" selected="0">
            <x v="25"/>
          </reference>
        </references>
      </pivotArea>
    </chartFormat>
    <chartFormat chart="0" format="642">
      <pivotArea type="data" outline="0" fieldPosition="0">
        <references count="3">
          <reference field="4294967294" count="1" selected="0">
            <x v="0"/>
          </reference>
          <reference field="0" count="1" selected="0">
            <x v="8"/>
          </reference>
          <reference field="1" count="1" selected="0">
            <x v="27"/>
          </reference>
        </references>
      </pivotArea>
    </chartFormat>
    <chartFormat chart="0" format="643">
      <pivotArea type="data" outline="0" fieldPosition="0">
        <references count="3">
          <reference field="4294967294" count="1" selected="0">
            <x v="0"/>
          </reference>
          <reference field="0" count="1" selected="0">
            <x v="8"/>
          </reference>
          <reference field="1" count="1" selected="0">
            <x v="29"/>
          </reference>
        </references>
      </pivotArea>
    </chartFormat>
    <chartFormat chart="0" format="644">
      <pivotArea type="data" outline="0" fieldPosition="0">
        <references count="3">
          <reference field="4294967294" count="1" selected="0">
            <x v="0"/>
          </reference>
          <reference field="0" count="1" selected="0">
            <x v="8"/>
          </reference>
          <reference field="1" count="1" selected="0">
            <x v="31"/>
          </reference>
        </references>
      </pivotArea>
    </chartFormat>
    <chartFormat chart="0" format="645">
      <pivotArea type="data" outline="0" fieldPosition="0">
        <references count="3">
          <reference field="4294967294" count="1" selected="0">
            <x v="0"/>
          </reference>
          <reference field="0" count="1" selected="0">
            <x v="8"/>
          </reference>
          <reference field="1" count="1" selected="0">
            <x v="33"/>
          </reference>
        </references>
      </pivotArea>
    </chartFormat>
    <chartFormat chart="0" format="646">
      <pivotArea type="data" outline="0" fieldPosition="0">
        <references count="3">
          <reference field="4294967294" count="1" selected="0">
            <x v="0"/>
          </reference>
          <reference field="0" count="1" selected="0">
            <x v="8"/>
          </reference>
          <reference field="1" count="1" selected="0">
            <x v="35"/>
          </reference>
        </references>
      </pivotArea>
    </chartFormat>
    <chartFormat chart="0" format="647">
      <pivotArea type="data" outline="0" fieldPosition="0">
        <references count="3">
          <reference field="4294967294" count="1" selected="0">
            <x v="0"/>
          </reference>
          <reference field="0" count="1" selected="0">
            <x v="8"/>
          </reference>
          <reference field="1" count="1" selected="0">
            <x v="37"/>
          </reference>
        </references>
      </pivotArea>
    </chartFormat>
    <chartFormat chart="0" format="648">
      <pivotArea type="data" outline="0" fieldPosition="0">
        <references count="3">
          <reference field="4294967294" count="1" selected="0">
            <x v="0"/>
          </reference>
          <reference field="0" count="1" selected="0">
            <x v="8"/>
          </reference>
          <reference field="1" count="1" selected="0">
            <x v="39"/>
          </reference>
        </references>
      </pivotArea>
    </chartFormat>
    <chartFormat chart="0" format="649">
      <pivotArea type="data" outline="0" fieldPosition="0">
        <references count="3">
          <reference field="4294967294" count="1" selected="0">
            <x v="0"/>
          </reference>
          <reference field="0" count="1" selected="0">
            <x v="8"/>
          </reference>
          <reference field="1" count="1" selected="0">
            <x v="41"/>
          </reference>
        </references>
      </pivotArea>
    </chartFormat>
    <chartFormat chart="0" format="650">
      <pivotArea type="data" outline="0" fieldPosition="0">
        <references count="3">
          <reference field="4294967294" count="1" selected="0">
            <x v="0"/>
          </reference>
          <reference field="0" count="1" selected="0">
            <x v="8"/>
          </reference>
          <reference field="1" count="1" selected="0">
            <x v="43"/>
          </reference>
        </references>
      </pivotArea>
    </chartFormat>
    <chartFormat chart="0" format="651">
      <pivotArea type="data" outline="0" fieldPosition="0">
        <references count="3">
          <reference field="4294967294" count="1" selected="0">
            <x v="0"/>
          </reference>
          <reference field="0" count="1" selected="0">
            <x v="8"/>
          </reference>
          <reference field="1" count="1" selected="0">
            <x v="45"/>
          </reference>
        </references>
      </pivotArea>
    </chartFormat>
    <chartFormat chart="0" format="652">
      <pivotArea type="data" outline="0" fieldPosition="0">
        <references count="3">
          <reference field="4294967294" count="1" selected="0">
            <x v="0"/>
          </reference>
          <reference field="0" count="1" selected="0">
            <x v="8"/>
          </reference>
          <reference field="1" count="1" selected="0">
            <x v="47"/>
          </reference>
        </references>
      </pivotArea>
    </chartFormat>
    <chartFormat chart="0" format="653">
      <pivotArea type="data" outline="0" fieldPosition="0">
        <references count="3">
          <reference field="4294967294" count="1" selected="0">
            <x v="0"/>
          </reference>
          <reference field="0" count="1" selected="0">
            <x v="8"/>
          </reference>
          <reference field="1" count="1" selected="0">
            <x v="49"/>
          </reference>
        </references>
      </pivotArea>
    </chartFormat>
    <chartFormat chart="0" format="654">
      <pivotArea type="data" outline="0" fieldPosition="0">
        <references count="3">
          <reference field="4294967294" count="1" selected="0">
            <x v="0"/>
          </reference>
          <reference field="0" count="1" selected="0">
            <x v="8"/>
          </reference>
          <reference field="1" count="1" selected="0">
            <x v="51"/>
          </reference>
        </references>
      </pivotArea>
    </chartFormat>
    <chartFormat chart="0" format="655">
      <pivotArea type="data" outline="0" fieldPosition="0">
        <references count="3">
          <reference field="4294967294" count="1" selected="0">
            <x v="0"/>
          </reference>
          <reference field="0" count="1" selected="0">
            <x v="8"/>
          </reference>
          <reference field="1" count="1" selected="0">
            <x v="53"/>
          </reference>
        </references>
      </pivotArea>
    </chartFormat>
    <chartFormat chart="0" format="656">
      <pivotArea type="data" outline="0" fieldPosition="0">
        <references count="3">
          <reference field="4294967294" count="1" selected="0">
            <x v="0"/>
          </reference>
          <reference field="0" count="1" selected="0">
            <x v="8"/>
          </reference>
          <reference field="1" count="1" selected="0">
            <x v="55"/>
          </reference>
        </references>
      </pivotArea>
    </chartFormat>
    <chartFormat chart="0" format="657">
      <pivotArea type="data" outline="0" fieldPosition="0">
        <references count="3">
          <reference field="4294967294" count="1" selected="0">
            <x v="0"/>
          </reference>
          <reference field="0" count="1" selected="0">
            <x v="8"/>
          </reference>
          <reference field="1" count="1" selected="0">
            <x v="57"/>
          </reference>
        </references>
      </pivotArea>
    </chartFormat>
    <chartFormat chart="0" format="658">
      <pivotArea type="data" outline="0" fieldPosition="0">
        <references count="3">
          <reference field="4294967294" count="1" selected="0">
            <x v="0"/>
          </reference>
          <reference field="0" count="1" selected="0">
            <x v="8"/>
          </reference>
          <reference field="1" count="1" selected="0">
            <x v="59"/>
          </reference>
        </references>
      </pivotArea>
    </chartFormat>
    <chartFormat chart="0" format="659">
      <pivotArea type="data" outline="0" fieldPosition="0">
        <references count="3">
          <reference field="4294967294" count="1" selected="0">
            <x v="0"/>
          </reference>
          <reference field="0" count="1" selected="0">
            <x v="8"/>
          </reference>
          <reference field="1" count="1" selected="0">
            <x v="61"/>
          </reference>
        </references>
      </pivotArea>
    </chartFormat>
    <chartFormat chart="0" format="660">
      <pivotArea type="data" outline="0" fieldPosition="0">
        <references count="3">
          <reference field="4294967294" count="1" selected="0">
            <x v="0"/>
          </reference>
          <reference field="0" count="1" selected="0">
            <x v="8"/>
          </reference>
          <reference field="1" count="1" selected="0">
            <x v="63"/>
          </reference>
        </references>
      </pivotArea>
    </chartFormat>
    <chartFormat chart="0" format="661">
      <pivotArea type="data" outline="0" fieldPosition="0">
        <references count="3">
          <reference field="4294967294" count="1" selected="0">
            <x v="0"/>
          </reference>
          <reference field="0" count="1" selected="0">
            <x v="8"/>
          </reference>
          <reference field="1" count="1" selected="0">
            <x v="65"/>
          </reference>
        </references>
      </pivotArea>
    </chartFormat>
    <chartFormat chart="0" format="662">
      <pivotArea type="data" outline="0" fieldPosition="0">
        <references count="3">
          <reference field="4294967294" count="1" selected="0">
            <x v="0"/>
          </reference>
          <reference field="0" count="1" selected="0">
            <x v="8"/>
          </reference>
          <reference field="1" count="1" selected="0">
            <x v="67"/>
          </reference>
        </references>
      </pivotArea>
    </chartFormat>
    <chartFormat chart="0" format="663">
      <pivotArea type="data" outline="0" fieldPosition="0">
        <references count="3">
          <reference field="4294967294" count="1" selected="0">
            <x v="0"/>
          </reference>
          <reference field="0" count="1" selected="0">
            <x v="8"/>
          </reference>
          <reference field="1" count="1" selected="0">
            <x v="69"/>
          </reference>
        </references>
      </pivotArea>
    </chartFormat>
    <chartFormat chart="0" format="664">
      <pivotArea type="data" outline="0" fieldPosition="0">
        <references count="3">
          <reference field="4294967294" count="1" selected="0">
            <x v="0"/>
          </reference>
          <reference field="0" count="1" selected="0">
            <x v="8"/>
          </reference>
          <reference field="1" count="1" selected="0">
            <x v="70"/>
          </reference>
        </references>
      </pivotArea>
    </chartFormat>
    <chartFormat chart="0" format="665">
      <pivotArea type="data" outline="0" fieldPosition="0">
        <references count="3">
          <reference field="4294967294" count="1" selected="0">
            <x v="0"/>
          </reference>
          <reference field="0" count="1" selected="0">
            <x v="8"/>
          </reference>
          <reference field="1" count="1" selected="0">
            <x v="71"/>
          </reference>
        </references>
      </pivotArea>
    </chartFormat>
    <chartFormat chart="0" format="666">
      <pivotArea type="data" outline="0" fieldPosition="0">
        <references count="3">
          <reference field="4294967294" count="1" selected="0">
            <x v="0"/>
          </reference>
          <reference field="0" count="1" selected="0">
            <x v="8"/>
          </reference>
          <reference field="1" count="1" selected="0">
            <x v="73"/>
          </reference>
        </references>
      </pivotArea>
    </chartFormat>
    <chartFormat chart="0" format="667">
      <pivotArea type="data" outline="0" fieldPosition="0">
        <references count="3">
          <reference field="4294967294" count="1" selected="0">
            <x v="0"/>
          </reference>
          <reference field="0" count="1" selected="0">
            <x v="9"/>
          </reference>
          <reference field="1" count="1" selected="0">
            <x v="1"/>
          </reference>
        </references>
      </pivotArea>
    </chartFormat>
    <chartFormat chart="0" format="668">
      <pivotArea type="data" outline="0" fieldPosition="0">
        <references count="3">
          <reference field="4294967294" count="1" selected="0">
            <x v="0"/>
          </reference>
          <reference field="0" count="1" selected="0">
            <x v="9"/>
          </reference>
          <reference field="1" count="1" selected="0">
            <x v="2"/>
          </reference>
        </references>
      </pivotArea>
    </chartFormat>
    <chartFormat chart="0" format="669">
      <pivotArea type="data" outline="0" fieldPosition="0">
        <references count="3">
          <reference field="4294967294" count="1" selected="0">
            <x v="0"/>
          </reference>
          <reference field="0" count="1" selected="0">
            <x v="9"/>
          </reference>
          <reference field="1" count="1" selected="0">
            <x v="3"/>
          </reference>
        </references>
      </pivotArea>
    </chartFormat>
    <chartFormat chart="0" format="670">
      <pivotArea type="data" outline="0" fieldPosition="0">
        <references count="3">
          <reference field="4294967294" count="1" selected="0">
            <x v="0"/>
          </reference>
          <reference field="0" count="1" selected="0">
            <x v="9"/>
          </reference>
          <reference field="1" count="1" selected="0">
            <x v="4"/>
          </reference>
        </references>
      </pivotArea>
    </chartFormat>
    <chartFormat chart="0" format="671">
      <pivotArea type="data" outline="0" fieldPosition="0">
        <references count="3">
          <reference field="4294967294" count="1" selected="0">
            <x v="0"/>
          </reference>
          <reference field="0" count="1" selected="0">
            <x v="9"/>
          </reference>
          <reference field="1" count="1" selected="0">
            <x v="5"/>
          </reference>
        </references>
      </pivotArea>
    </chartFormat>
    <chartFormat chart="0" format="672">
      <pivotArea type="data" outline="0" fieldPosition="0">
        <references count="3">
          <reference field="4294967294" count="1" selected="0">
            <x v="0"/>
          </reference>
          <reference field="0" count="1" selected="0">
            <x v="9"/>
          </reference>
          <reference field="1" count="1" selected="0">
            <x v="6"/>
          </reference>
        </references>
      </pivotArea>
    </chartFormat>
    <chartFormat chart="0" format="673">
      <pivotArea type="data" outline="0" fieldPosition="0">
        <references count="3">
          <reference field="4294967294" count="1" selected="0">
            <x v="0"/>
          </reference>
          <reference field="0" count="1" selected="0">
            <x v="9"/>
          </reference>
          <reference field="1" count="1" selected="0">
            <x v="7"/>
          </reference>
        </references>
      </pivotArea>
    </chartFormat>
    <chartFormat chart="0" format="674">
      <pivotArea type="data" outline="0" fieldPosition="0">
        <references count="3">
          <reference field="4294967294" count="1" selected="0">
            <x v="0"/>
          </reference>
          <reference field="0" count="1" selected="0">
            <x v="9"/>
          </reference>
          <reference field="1" count="1" selected="0">
            <x v="8"/>
          </reference>
        </references>
      </pivotArea>
    </chartFormat>
    <chartFormat chart="0" format="675">
      <pivotArea type="data" outline="0" fieldPosition="0">
        <references count="3">
          <reference field="4294967294" count="1" selected="0">
            <x v="0"/>
          </reference>
          <reference field="0" count="1" selected="0">
            <x v="9"/>
          </reference>
          <reference field="1" count="1" selected="0">
            <x v="9"/>
          </reference>
        </references>
      </pivotArea>
    </chartFormat>
    <chartFormat chart="0" format="676">
      <pivotArea type="data" outline="0" fieldPosition="0">
        <references count="3">
          <reference field="4294967294" count="1" selected="0">
            <x v="0"/>
          </reference>
          <reference field="0" count="1" selected="0">
            <x v="9"/>
          </reference>
          <reference field="1" count="1" selected="0">
            <x v="10"/>
          </reference>
        </references>
      </pivotArea>
    </chartFormat>
    <chartFormat chart="0" format="677">
      <pivotArea type="data" outline="0" fieldPosition="0">
        <references count="3">
          <reference field="4294967294" count="1" selected="0">
            <x v="0"/>
          </reference>
          <reference field="0" count="1" selected="0">
            <x v="9"/>
          </reference>
          <reference field="1" count="1" selected="0">
            <x v="11"/>
          </reference>
        </references>
      </pivotArea>
    </chartFormat>
    <chartFormat chart="0" format="678">
      <pivotArea type="data" outline="0" fieldPosition="0">
        <references count="3">
          <reference field="4294967294" count="1" selected="0">
            <x v="0"/>
          </reference>
          <reference field="0" count="1" selected="0">
            <x v="9"/>
          </reference>
          <reference field="1" count="1" selected="0">
            <x v="12"/>
          </reference>
        </references>
      </pivotArea>
    </chartFormat>
    <chartFormat chart="0" format="679">
      <pivotArea type="data" outline="0" fieldPosition="0">
        <references count="3">
          <reference field="4294967294" count="1" selected="0">
            <x v="0"/>
          </reference>
          <reference field="0" count="1" selected="0">
            <x v="9"/>
          </reference>
          <reference field="1" count="1" selected="0">
            <x v="13"/>
          </reference>
        </references>
      </pivotArea>
    </chartFormat>
    <chartFormat chart="0" format="680">
      <pivotArea type="data" outline="0" fieldPosition="0">
        <references count="3">
          <reference field="4294967294" count="1" selected="0">
            <x v="0"/>
          </reference>
          <reference field="0" count="1" selected="0">
            <x v="9"/>
          </reference>
          <reference field="1" count="1" selected="0">
            <x v="14"/>
          </reference>
        </references>
      </pivotArea>
    </chartFormat>
    <chartFormat chart="0" format="681">
      <pivotArea type="data" outline="0" fieldPosition="0">
        <references count="3">
          <reference field="4294967294" count="1" selected="0">
            <x v="0"/>
          </reference>
          <reference field="0" count="1" selected="0">
            <x v="9"/>
          </reference>
          <reference field="1" count="1" selected="0">
            <x v="15"/>
          </reference>
        </references>
      </pivotArea>
    </chartFormat>
    <chartFormat chart="0" format="682">
      <pivotArea type="data" outline="0" fieldPosition="0">
        <references count="3">
          <reference field="4294967294" count="1" selected="0">
            <x v="0"/>
          </reference>
          <reference field="0" count="1" selected="0">
            <x v="9"/>
          </reference>
          <reference field="1" count="1" selected="0">
            <x v="16"/>
          </reference>
        </references>
      </pivotArea>
    </chartFormat>
    <chartFormat chart="0" format="683">
      <pivotArea type="data" outline="0" fieldPosition="0">
        <references count="3">
          <reference field="4294967294" count="1" selected="0">
            <x v="0"/>
          </reference>
          <reference field="0" count="1" selected="0">
            <x v="9"/>
          </reference>
          <reference field="1" count="1" selected="0">
            <x v="17"/>
          </reference>
        </references>
      </pivotArea>
    </chartFormat>
    <chartFormat chart="0" format="684">
      <pivotArea type="data" outline="0" fieldPosition="0">
        <references count="3">
          <reference field="4294967294" count="1" selected="0">
            <x v="0"/>
          </reference>
          <reference field="0" count="1" selected="0">
            <x v="9"/>
          </reference>
          <reference field="1" count="1" selected="0">
            <x v="18"/>
          </reference>
        </references>
      </pivotArea>
    </chartFormat>
    <chartFormat chart="0" format="685">
      <pivotArea type="data" outline="0" fieldPosition="0">
        <references count="3">
          <reference field="4294967294" count="1" selected="0">
            <x v="0"/>
          </reference>
          <reference field="0" count="1" selected="0">
            <x v="9"/>
          </reference>
          <reference field="1" count="1" selected="0">
            <x v="19"/>
          </reference>
        </references>
      </pivotArea>
    </chartFormat>
    <chartFormat chart="0" format="686">
      <pivotArea type="data" outline="0" fieldPosition="0">
        <references count="3">
          <reference field="4294967294" count="1" selected="0">
            <x v="0"/>
          </reference>
          <reference field="0" count="1" selected="0">
            <x v="9"/>
          </reference>
          <reference field="1" count="1" selected="0">
            <x v="20"/>
          </reference>
        </references>
      </pivotArea>
    </chartFormat>
    <chartFormat chart="0" format="687">
      <pivotArea type="data" outline="0" fieldPosition="0">
        <references count="3">
          <reference field="4294967294" count="1" selected="0">
            <x v="0"/>
          </reference>
          <reference field="0" count="1" selected="0">
            <x v="9"/>
          </reference>
          <reference field="1" count="1" selected="0">
            <x v="21"/>
          </reference>
        </references>
      </pivotArea>
    </chartFormat>
    <chartFormat chart="0" format="688">
      <pivotArea type="data" outline="0" fieldPosition="0">
        <references count="3">
          <reference field="4294967294" count="1" selected="0">
            <x v="0"/>
          </reference>
          <reference field="0" count="1" selected="0">
            <x v="9"/>
          </reference>
          <reference field="1" count="1" selected="0">
            <x v="23"/>
          </reference>
        </references>
      </pivotArea>
    </chartFormat>
    <chartFormat chart="0" format="689">
      <pivotArea type="data" outline="0" fieldPosition="0">
        <references count="3">
          <reference field="4294967294" count="1" selected="0">
            <x v="0"/>
          </reference>
          <reference field="0" count="1" selected="0">
            <x v="9"/>
          </reference>
          <reference field="1" count="1" selected="0">
            <x v="25"/>
          </reference>
        </references>
      </pivotArea>
    </chartFormat>
    <chartFormat chart="0" format="690">
      <pivotArea type="data" outline="0" fieldPosition="0">
        <references count="3">
          <reference field="4294967294" count="1" selected="0">
            <x v="0"/>
          </reference>
          <reference field="0" count="1" selected="0">
            <x v="9"/>
          </reference>
          <reference field="1" count="1" selected="0">
            <x v="27"/>
          </reference>
        </references>
      </pivotArea>
    </chartFormat>
    <chartFormat chart="0" format="691">
      <pivotArea type="data" outline="0" fieldPosition="0">
        <references count="3">
          <reference field="4294967294" count="1" selected="0">
            <x v="0"/>
          </reference>
          <reference field="0" count="1" selected="0">
            <x v="9"/>
          </reference>
          <reference field="1" count="1" selected="0">
            <x v="29"/>
          </reference>
        </references>
      </pivotArea>
    </chartFormat>
    <chartFormat chart="0" format="692">
      <pivotArea type="data" outline="0" fieldPosition="0">
        <references count="3">
          <reference field="4294967294" count="1" selected="0">
            <x v="0"/>
          </reference>
          <reference field="0" count="1" selected="0">
            <x v="9"/>
          </reference>
          <reference field="1" count="1" selected="0">
            <x v="31"/>
          </reference>
        </references>
      </pivotArea>
    </chartFormat>
    <chartFormat chart="0" format="693">
      <pivotArea type="data" outline="0" fieldPosition="0">
        <references count="3">
          <reference field="4294967294" count="1" selected="0">
            <x v="0"/>
          </reference>
          <reference field="0" count="1" selected="0">
            <x v="9"/>
          </reference>
          <reference field="1" count="1" selected="0">
            <x v="33"/>
          </reference>
        </references>
      </pivotArea>
    </chartFormat>
    <chartFormat chart="0" format="694">
      <pivotArea type="data" outline="0" fieldPosition="0">
        <references count="3">
          <reference field="4294967294" count="1" selected="0">
            <x v="0"/>
          </reference>
          <reference field="0" count="1" selected="0">
            <x v="9"/>
          </reference>
          <reference field="1" count="1" selected="0">
            <x v="35"/>
          </reference>
        </references>
      </pivotArea>
    </chartFormat>
    <chartFormat chart="0" format="695">
      <pivotArea type="data" outline="0" fieldPosition="0">
        <references count="3">
          <reference field="4294967294" count="1" selected="0">
            <x v="0"/>
          </reference>
          <reference field="0" count="1" selected="0">
            <x v="9"/>
          </reference>
          <reference field="1" count="1" selected="0">
            <x v="37"/>
          </reference>
        </references>
      </pivotArea>
    </chartFormat>
    <chartFormat chart="0" format="696">
      <pivotArea type="data" outline="0" fieldPosition="0">
        <references count="3">
          <reference field="4294967294" count="1" selected="0">
            <x v="0"/>
          </reference>
          <reference field="0" count="1" selected="0">
            <x v="9"/>
          </reference>
          <reference field="1" count="1" selected="0">
            <x v="39"/>
          </reference>
        </references>
      </pivotArea>
    </chartFormat>
    <chartFormat chart="0" format="697">
      <pivotArea type="data" outline="0" fieldPosition="0">
        <references count="3">
          <reference field="4294967294" count="1" selected="0">
            <x v="0"/>
          </reference>
          <reference field="0" count="1" selected="0">
            <x v="9"/>
          </reference>
          <reference field="1" count="1" selected="0">
            <x v="41"/>
          </reference>
        </references>
      </pivotArea>
    </chartFormat>
    <chartFormat chart="0" format="698">
      <pivotArea type="data" outline="0" fieldPosition="0">
        <references count="3">
          <reference field="4294967294" count="1" selected="0">
            <x v="0"/>
          </reference>
          <reference field="0" count="1" selected="0">
            <x v="9"/>
          </reference>
          <reference field="1" count="1" selected="0">
            <x v="43"/>
          </reference>
        </references>
      </pivotArea>
    </chartFormat>
    <chartFormat chart="0" format="699">
      <pivotArea type="data" outline="0" fieldPosition="0">
        <references count="3">
          <reference field="4294967294" count="1" selected="0">
            <x v="0"/>
          </reference>
          <reference field="0" count="1" selected="0">
            <x v="9"/>
          </reference>
          <reference field="1" count="1" selected="0">
            <x v="45"/>
          </reference>
        </references>
      </pivotArea>
    </chartFormat>
    <chartFormat chart="0" format="700">
      <pivotArea type="data" outline="0" fieldPosition="0">
        <references count="3">
          <reference field="4294967294" count="1" selected="0">
            <x v="0"/>
          </reference>
          <reference field="0" count="1" selected="0">
            <x v="9"/>
          </reference>
          <reference field="1" count="1" selected="0">
            <x v="47"/>
          </reference>
        </references>
      </pivotArea>
    </chartFormat>
    <chartFormat chart="0" format="701">
      <pivotArea type="data" outline="0" fieldPosition="0">
        <references count="3">
          <reference field="4294967294" count="1" selected="0">
            <x v="0"/>
          </reference>
          <reference field="0" count="1" selected="0">
            <x v="9"/>
          </reference>
          <reference field="1" count="1" selected="0">
            <x v="49"/>
          </reference>
        </references>
      </pivotArea>
    </chartFormat>
    <chartFormat chart="0" format="702">
      <pivotArea type="data" outline="0" fieldPosition="0">
        <references count="3">
          <reference field="4294967294" count="1" selected="0">
            <x v="0"/>
          </reference>
          <reference field="0" count="1" selected="0">
            <x v="9"/>
          </reference>
          <reference field="1" count="1" selected="0">
            <x v="51"/>
          </reference>
        </references>
      </pivotArea>
    </chartFormat>
    <chartFormat chart="0" format="703">
      <pivotArea type="data" outline="0" fieldPosition="0">
        <references count="3">
          <reference field="4294967294" count="1" selected="0">
            <x v="0"/>
          </reference>
          <reference field="0" count="1" selected="0">
            <x v="9"/>
          </reference>
          <reference field="1" count="1" selected="0">
            <x v="53"/>
          </reference>
        </references>
      </pivotArea>
    </chartFormat>
    <chartFormat chart="0" format="704">
      <pivotArea type="data" outline="0" fieldPosition="0">
        <references count="3">
          <reference field="4294967294" count="1" selected="0">
            <x v="0"/>
          </reference>
          <reference field="0" count="1" selected="0">
            <x v="9"/>
          </reference>
          <reference field="1" count="1" selected="0">
            <x v="55"/>
          </reference>
        </references>
      </pivotArea>
    </chartFormat>
    <chartFormat chart="0" format="705">
      <pivotArea type="data" outline="0" fieldPosition="0">
        <references count="3">
          <reference field="4294967294" count="1" selected="0">
            <x v="0"/>
          </reference>
          <reference field="0" count="1" selected="0">
            <x v="9"/>
          </reference>
          <reference field="1" count="1" selected="0">
            <x v="57"/>
          </reference>
        </references>
      </pivotArea>
    </chartFormat>
    <chartFormat chart="0" format="706">
      <pivotArea type="data" outline="0" fieldPosition="0">
        <references count="3">
          <reference field="4294967294" count="1" selected="0">
            <x v="0"/>
          </reference>
          <reference field="0" count="1" selected="0">
            <x v="9"/>
          </reference>
          <reference field="1" count="1" selected="0">
            <x v="59"/>
          </reference>
        </references>
      </pivotArea>
    </chartFormat>
    <chartFormat chart="0" format="707">
      <pivotArea type="data" outline="0" fieldPosition="0">
        <references count="3">
          <reference field="4294967294" count="1" selected="0">
            <x v="0"/>
          </reference>
          <reference field="0" count="1" selected="0">
            <x v="9"/>
          </reference>
          <reference field="1" count="1" selected="0">
            <x v="61"/>
          </reference>
        </references>
      </pivotArea>
    </chartFormat>
    <chartFormat chart="0" format="708">
      <pivotArea type="data" outline="0" fieldPosition="0">
        <references count="3">
          <reference field="4294967294" count="1" selected="0">
            <x v="0"/>
          </reference>
          <reference field="0" count="1" selected="0">
            <x v="9"/>
          </reference>
          <reference field="1" count="1" selected="0">
            <x v="63"/>
          </reference>
        </references>
      </pivotArea>
    </chartFormat>
    <chartFormat chart="0" format="709">
      <pivotArea type="data" outline="0" fieldPosition="0">
        <references count="3">
          <reference field="4294967294" count="1" selected="0">
            <x v="0"/>
          </reference>
          <reference field="0" count="1" selected="0">
            <x v="9"/>
          </reference>
          <reference field="1" count="1" selected="0">
            <x v="65"/>
          </reference>
        </references>
      </pivotArea>
    </chartFormat>
    <chartFormat chart="0" format="710">
      <pivotArea type="data" outline="0" fieldPosition="0">
        <references count="3">
          <reference field="4294967294" count="1" selected="0">
            <x v="0"/>
          </reference>
          <reference field="0" count="1" selected="0">
            <x v="9"/>
          </reference>
          <reference field="1" count="1" selected="0">
            <x v="67"/>
          </reference>
        </references>
      </pivotArea>
    </chartFormat>
    <chartFormat chart="0" format="711">
      <pivotArea type="data" outline="0" fieldPosition="0">
        <references count="3">
          <reference field="4294967294" count="1" selected="0">
            <x v="0"/>
          </reference>
          <reference field="0" count="1" selected="0">
            <x v="9"/>
          </reference>
          <reference field="1" count="1" selected="0">
            <x v="69"/>
          </reference>
        </references>
      </pivotArea>
    </chartFormat>
    <chartFormat chart="0" format="712">
      <pivotArea type="data" outline="0" fieldPosition="0">
        <references count="3">
          <reference field="4294967294" count="1" selected="0">
            <x v="0"/>
          </reference>
          <reference field="0" count="1" selected="0">
            <x v="9"/>
          </reference>
          <reference field="1" count="1" selected="0">
            <x v="70"/>
          </reference>
        </references>
      </pivotArea>
    </chartFormat>
    <chartFormat chart="0" format="713">
      <pivotArea type="data" outline="0" fieldPosition="0">
        <references count="3">
          <reference field="4294967294" count="1" selected="0">
            <x v="0"/>
          </reference>
          <reference field="0" count="1" selected="0">
            <x v="9"/>
          </reference>
          <reference field="1" count="1" selected="0">
            <x v="71"/>
          </reference>
        </references>
      </pivotArea>
    </chartFormat>
    <chartFormat chart="0" format="714">
      <pivotArea type="data" outline="0" fieldPosition="0">
        <references count="3">
          <reference field="4294967294" count="1" selected="0">
            <x v="0"/>
          </reference>
          <reference field="0" count="1" selected="0">
            <x v="9"/>
          </reference>
          <reference field="1" count="1" selected="0">
            <x v="73"/>
          </reference>
        </references>
      </pivotArea>
    </chartFormat>
    <chartFormat chart="0" format="715">
      <pivotArea type="data" outline="0" fieldPosition="0">
        <references count="3">
          <reference field="4294967294" count="1" selected="0">
            <x v="0"/>
          </reference>
          <reference field="0" count="1" selected="0">
            <x v="10"/>
          </reference>
          <reference field="1" count="1" selected="0">
            <x v="1"/>
          </reference>
        </references>
      </pivotArea>
    </chartFormat>
    <chartFormat chart="0" format="716">
      <pivotArea type="data" outline="0" fieldPosition="0">
        <references count="3">
          <reference field="4294967294" count="1" selected="0">
            <x v="0"/>
          </reference>
          <reference field="0" count="1" selected="0">
            <x v="10"/>
          </reference>
          <reference field="1" count="1" selected="0">
            <x v="2"/>
          </reference>
        </references>
      </pivotArea>
    </chartFormat>
    <chartFormat chart="0" format="717">
      <pivotArea type="data" outline="0" fieldPosition="0">
        <references count="3">
          <reference field="4294967294" count="1" selected="0">
            <x v="0"/>
          </reference>
          <reference field="0" count="1" selected="0">
            <x v="10"/>
          </reference>
          <reference field="1" count="1" selected="0">
            <x v="3"/>
          </reference>
        </references>
      </pivotArea>
    </chartFormat>
    <chartFormat chart="0" format="718">
      <pivotArea type="data" outline="0" fieldPosition="0">
        <references count="3">
          <reference field="4294967294" count="1" selected="0">
            <x v="0"/>
          </reference>
          <reference field="0" count="1" selected="0">
            <x v="10"/>
          </reference>
          <reference field="1" count="1" selected="0">
            <x v="4"/>
          </reference>
        </references>
      </pivotArea>
    </chartFormat>
    <chartFormat chart="0" format="719">
      <pivotArea type="data" outline="0" fieldPosition="0">
        <references count="3">
          <reference field="4294967294" count="1" selected="0">
            <x v="0"/>
          </reference>
          <reference field="0" count="1" selected="0">
            <x v="10"/>
          </reference>
          <reference field="1" count="1" selected="0">
            <x v="5"/>
          </reference>
        </references>
      </pivotArea>
    </chartFormat>
    <chartFormat chart="0" format="720">
      <pivotArea type="data" outline="0" fieldPosition="0">
        <references count="3">
          <reference field="4294967294" count="1" selected="0">
            <x v="0"/>
          </reference>
          <reference field="0" count="1" selected="0">
            <x v="10"/>
          </reference>
          <reference field="1" count="1" selected="0">
            <x v="6"/>
          </reference>
        </references>
      </pivotArea>
    </chartFormat>
    <chartFormat chart="0" format="721">
      <pivotArea type="data" outline="0" fieldPosition="0">
        <references count="3">
          <reference field="4294967294" count="1" selected="0">
            <x v="0"/>
          </reference>
          <reference field="0" count="1" selected="0">
            <x v="10"/>
          </reference>
          <reference field="1" count="1" selected="0">
            <x v="7"/>
          </reference>
        </references>
      </pivotArea>
    </chartFormat>
    <chartFormat chart="0" format="722">
      <pivotArea type="data" outline="0" fieldPosition="0">
        <references count="3">
          <reference field="4294967294" count="1" selected="0">
            <x v="0"/>
          </reference>
          <reference field="0" count="1" selected="0">
            <x v="10"/>
          </reference>
          <reference field="1" count="1" selected="0">
            <x v="8"/>
          </reference>
        </references>
      </pivotArea>
    </chartFormat>
    <chartFormat chart="0" format="723">
      <pivotArea type="data" outline="0" fieldPosition="0">
        <references count="3">
          <reference field="4294967294" count="1" selected="0">
            <x v="0"/>
          </reference>
          <reference field="0" count="1" selected="0">
            <x v="10"/>
          </reference>
          <reference field="1" count="1" selected="0">
            <x v="9"/>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0"/>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1"/>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2"/>
          </reference>
        </references>
      </pivotArea>
    </chartFormat>
    <chartFormat chart="0" format="727">
      <pivotArea type="data" outline="0" fieldPosition="0">
        <references count="3">
          <reference field="4294967294" count="1" selected="0">
            <x v="0"/>
          </reference>
          <reference field="0" count="1" selected="0">
            <x v="10"/>
          </reference>
          <reference field="1" count="1" selected="0">
            <x v="13"/>
          </reference>
        </references>
      </pivotArea>
    </chartFormat>
    <chartFormat chart="0" format="728">
      <pivotArea type="data" outline="0" fieldPosition="0">
        <references count="3">
          <reference field="4294967294" count="1" selected="0">
            <x v="0"/>
          </reference>
          <reference field="0" count="1" selected="0">
            <x v="10"/>
          </reference>
          <reference field="1" count="1" selected="0">
            <x v="14"/>
          </reference>
        </references>
      </pivotArea>
    </chartFormat>
    <chartFormat chart="0" format="729">
      <pivotArea type="data" outline="0" fieldPosition="0">
        <references count="3">
          <reference field="4294967294" count="1" selected="0">
            <x v="0"/>
          </reference>
          <reference field="0" count="1" selected="0">
            <x v="10"/>
          </reference>
          <reference field="1" count="1" selected="0">
            <x v="15"/>
          </reference>
        </references>
      </pivotArea>
    </chartFormat>
    <chartFormat chart="0" format="730">
      <pivotArea type="data" outline="0" fieldPosition="0">
        <references count="3">
          <reference field="4294967294" count="1" selected="0">
            <x v="0"/>
          </reference>
          <reference field="0" count="1" selected="0">
            <x v="10"/>
          </reference>
          <reference field="1" count="1" selected="0">
            <x v="16"/>
          </reference>
        </references>
      </pivotArea>
    </chartFormat>
    <chartFormat chart="0" format="731">
      <pivotArea type="data" outline="0" fieldPosition="0">
        <references count="3">
          <reference field="4294967294" count="1" selected="0">
            <x v="0"/>
          </reference>
          <reference field="0" count="1" selected="0">
            <x v="10"/>
          </reference>
          <reference field="1" count="1" selected="0">
            <x v="17"/>
          </reference>
        </references>
      </pivotArea>
    </chartFormat>
    <chartFormat chart="0" format="732">
      <pivotArea type="data" outline="0" fieldPosition="0">
        <references count="3">
          <reference field="4294967294" count="1" selected="0">
            <x v="0"/>
          </reference>
          <reference field="0" count="1" selected="0">
            <x v="10"/>
          </reference>
          <reference field="1" count="1" selected="0">
            <x v="18"/>
          </reference>
        </references>
      </pivotArea>
    </chartFormat>
    <chartFormat chart="0" format="733">
      <pivotArea type="data" outline="0" fieldPosition="0">
        <references count="3">
          <reference field="4294967294" count="1" selected="0">
            <x v="0"/>
          </reference>
          <reference field="0" count="1" selected="0">
            <x v="10"/>
          </reference>
          <reference field="1" count="1" selected="0">
            <x v="19"/>
          </reference>
        </references>
      </pivotArea>
    </chartFormat>
    <chartFormat chart="0" format="734">
      <pivotArea type="data" outline="0" fieldPosition="0">
        <references count="3">
          <reference field="4294967294" count="1" selected="0">
            <x v="0"/>
          </reference>
          <reference field="0" count="1" selected="0">
            <x v="10"/>
          </reference>
          <reference field="1" count="1" selected="0">
            <x v="20"/>
          </reference>
        </references>
      </pivotArea>
    </chartFormat>
    <chartFormat chart="0" format="735">
      <pivotArea type="data" outline="0" fieldPosition="0">
        <references count="3">
          <reference field="4294967294" count="1" selected="0">
            <x v="0"/>
          </reference>
          <reference field="0" count="1" selected="0">
            <x v="10"/>
          </reference>
          <reference field="1" count="1" selected="0">
            <x v="21"/>
          </reference>
        </references>
      </pivotArea>
    </chartFormat>
    <chartFormat chart="0" format="736">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7">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8">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9">
      <pivotArea type="data" outline="0" fieldPosition="0">
        <references count="3">
          <reference field="4294967294" count="1" selected="0">
            <x v="0"/>
          </reference>
          <reference field="0" count="1" selected="0">
            <x v="10"/>
          </reference>
          <reference field="1" count="1" selected="0">
            <x v="29"/>
          </reference>
        </references>
      </pivotArea>
    </chartFormat>
    <chartFormat chart="0" format="740">
      <pivotArea type="data" outline="0" fieldPosition="0">
        <references count="3">
          <reference field="4294967294" count="1" selected="0">
            <x v="0"/>
          </reference>
          <reference field="0" count="1" selected="0">
            <x v="10"/>
          </reference>
          <reference field="1" count="1" selected="0">
            <x v="31"/>
          </reference>
        </references>
      </pivotArea>
    </chartFormat>
    <chartFormat chart="0" format="741">
      <pivotArea type="data" outline="0" fieldPosition="0">
        <references count="3">
          <reference field="4294967294" count="1" selected="0">
            <x v="0"/>
          </reference>
          <reference field="0" count="1" selected="0">
            <x v="10"/>
          </reference>
          <reference field="1" count="1" selected="0">
            <x v="33"/>
          </reference>
        </references>
      </pivotArea>
    </chartFormat>
    <chartFormat chart="0" format="742">
      <pivotArea type="data" outline="0" fieldPosition="0">
        <references count="3">
          <reference field="4294967294" count="1" selected="0">
            <x v="0"/>
          </reference>
          <reference field="0" count="1" selected="0">
            <x v="10"/>
          </reference>
          <reference field="1" count="1" selected="0">
            <x v="35"/>
          </reference>
        </references>
      </pivotArea>
    </chartFormat>
    <chartFormat chart="0" format="743">
      <pivotArea type="data" outline="0" fieldPosition="0">
        <references count="3">
          <reference field="4294967294" count="1" selected="0">
            <x v="0"/>
          </reference>
          <reference field="0" count="1" selected="0">
            <x v="10"/>
          </reference>
          <reference field="1" count="1" selected="0">
            <x v="37"/>
          </reference>
        </references>
      </pivotArea>
    </chartFormat>
    <chartFormat chart="0" format="744">
      <pivotArea type="data" outline="0" fieldPosition="0">
        <references count="3">
          <reference field="4294967294" count="1" selected="0">
            <x v="0"/>
          </reference>
          <reference field="0" count="1" selected="0">
            <x v="10"/>
          </reference>
          <reference field="1" count="1" selected="0">
            <x v="39"/>
          </reference>
        </references>
      </pivotArea>
    </chartFormat>
    <chartFormat chart="0" format="745">
      <pivotArea type="data" outline="0" fieldPosition="0">
        <references count="3">
          <reference field="4294967294" count="1" selected="0">
            <x v="0"/>
          </reference>
          <reference field="0" count="1" selected="0">
            <x v="10"/>
          </reference>
          <reference field="1" count="1" selected="0">
            <x v="41"/>
          </reference>
        </references>
      </pivotArea>
    </chartFormat>
    <chartFormat chart="0" format="746">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7">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8">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9">
      <pivotArea type="data" outline="0" fieldPosition="0">
        <references count="3">
          <reference field="4294967294" count="1" selected="0">
            <x v="0"/>
          </reference>
          <reference field="0" count="1" selected="0">
            <x v="10"/>
          </reference>
          <reference field="1" count="1" selected="0">
            <x v="49"/>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1"/>
          </reference>
        </references>
      </pivotArea>
    </chartFormat>
    <chartFormat chart="0" format="751">
      <pivotArea type="data" outline="0" fieldPosition="0">
        <references count="3">
          <reference field="4294967294" count="1" selected="0">
            <x v="0"/>
          </reference>
          <reference field="0" count="1" selected="0">
            <x v="10"/>
          </reference>
          <reference field="1" count="1" selected="0">
            <x v="53"/>
          </reference>
        </references>
      </pivotArea>
    </chartFormat>
    <chartFormat chart="0" format="752">
      <pivotArea type="data" outline="0" fieldPosition="0">
        <references count="3">
          <reference field="4294967294" count="1" selected="0">
            <x v="0"/>
          </reference>
          <reference field="0" count="1" selected="0">
            <x v="10"/>
          </reference>
          <reference field="1" count="1" selected="0">
            <x v="55"/>
          </reference>
        </references>
      </pivotArea>
    </chartFormat>
    <chartFormat chart="0" format="753">
      <pivotArea type="data" outline="0" fieldPosition="0">
        <references count="3">
          <reference field="4294967294" count="1" selected="0">
            <x v="0"/>
          </reference>
          <reference field="0" count="1" selected="0">
            <x v="10"/>
          </reference>
          <reference field="1" count="1" selected="0">
            <x v="57"/>
          </reference>
        </references>
      </pivotArea>
    </chartFormat>
    <chartFormat chart="0" format="754">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8">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9"/>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0"/>
          </reference>
        </references>
      </pivotArea>
    </chartFormat>
    <chartFormat chart="0" format="761">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2">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3">
      <pivotArea type="data" outline="0" fieldPosition="0">
        <references count="3">
          <reference field="4294967294" count="1" selected="0">
            <x v="0"/>
          </reference>
          <reference field="0" count="1" selected="0">
            <x v="11"/>
          </reference>
          <reference field="1" count="1" selected="0">
            <x v="1"/>
          </reference>
        </references>
      </pivotArea>
    </chartFormat>
    <chartFormat chart="0" format="764">
      <pivotArea type="data" outline="0" fieldPosition="0">
        <references count="3">
          <reference field="4294967294" count="1" selected="0">
            <x v="0"/>
          </reference>
          <reference field="0" count="1" selected="0">
            <x v="11"/>
          </reference>
          <reference field="1" count="1" selected="0">
            <x v="2"/>
          </reference>
        </references>
      </pivotArea>
    </chartFormat>
    <chartFormat chart="0" format="765">
      <pivotArea type="data" outline="0" fieldPosition="0">
        <references count="3">
          <reference field="4294967294" count="1" selected="0">
            <x v="0"/>
          </reference>
          <reference field="0" count="1" selected="0">
            <x v="11"/>
          </reference>
          <reference field="1" count="1" selected="0">
            <x v="3"/>
          </reference>
        </references>
      </pivotArea>
    </chartFormat>
    <chartFormat chart="0" format="766">
      <pivotArea type="data" outline="0" fieldPosition="0">
        <references count="3">
          <reference field="4294967294" count="1" selected="0">
            <x v="0"/>
          </reference>
          <reference field="0" count="1" selected="0">
            <x v="11"/>
          </reference>
          <reference field="1" count="1" selected="0">
            <x v="4"/>
          </reference>
        </references>
      </pivotArea>
    </chartFormat>
    <chartFormat chart="0" format="767">
      <pivotArea type="data" outline="0" fieldPosition="0">
        <references count="3">
          <reference field="4294967294" count="1" selected="0">
            <x v="0"/>
          </reference>
          <reference field="0" count="1" selected="0">
            <x v="11"/>
          </reference>
          <reference field="1" count="1" selected="0">
            <x v="5"/>
          </reference>
        </references>
      </pivotArea>
    </chartFormat>
    <chartFormat chart="0" format="768">
      <pivotArea type="data" outline="0" fieldPosition="0">
        <references count="3">
          <reference field="4294967294" count="1" selected="0">
            <x v="0"/>
          </reference>
          <reference field="0" count="1" selected="0">
            <x v="11"/>
          </reference>
          <reference field="1" count="1" selected="0">
            <x v="6"/>
          </reference>
        </references>
      </pivotArea>
    </chartFormat>
    <chartFormat chart="0" format="769">
      <pivotArea type="data" outline="0" fieldPosition="0">
        <references count="3">
          <reference field="4294967294" count="1" selected="0">
            <x v="0"/>
          </reference>
          <reference field="0" count="1" selected="0">
            <x v="11"/>
          </reference>
          <reference field="1" count="1" selected="0">
            <x v="7"/>
          </reference>
        </references>
      </pivotArea>
    </chartFormat>
    <chartFormat chart="0" format="770">
      <pivotArea type="data" outline="0" fieldPosition="0">
        <references count="3">
          <reference field="4294967294" count="1" selected="0">
            <x v="0"/>
          </reference>
          <reference field="0" count="1" selected="0">
            <x v="11"/>
          </reference>
          <reference field="1" count="1" selected="0">
            <x v="8"/>
          </reference>
        </references>
      </pivotArea>
    </chartFormat>
    <chartFormat chart="0" format="771">
      <pivotArea type="data" outline="0" fieldPosition="0">
        <references count="3">
          <reference field="4294967294" count="1" selected="0">
            <x v="0"/>
          </reference>
          <reference field="0" count="1" selected="0">
            <x v="11"/>
          </reference>
          <reference field="1" count="1" selected="0">
            <x v="9"/>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0"/>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1"/>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2"/>
          </reference>
        </references>
      </pivotArea>
    </chartFormat>
    <chartFormat chart="0" format="775">
      <pivotArea type="data" outline="0" fieldPosition="0">
        <references count="3">
          <reference field="4294967294" count="1" selected="0">
            <x v="0"/>
          </reference>
          <reference field="0" count="1" selected="0">
            <x v="11"/>
          </reference>
          <reference field="1" count="1" selected="0">
            <x v="13"/>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4"/>
          </reference>
        </references>
      </pivotArea>
    </chartFormat>
    <chartFormat chart="0" format="777">
      <pivotArea type="data" outline="0" fieldPosition="0">
        <references count="3">
          <reference field="4294967294" count="1" selected="0">
            <x v="0"/>
          </reference>
          <reference field="0" count="1" selected="0">
            <x v="11"/>
          </reference>
          <reference field="1" count="1" selected="0">
            <x v="15"/>
          </reference>
        </references>
      </pivotArea>
    </chartFormat>
    <chartFormat chart="0" format="778">
      <pivotArea type="data" outline="0" fieldPosition="0">
        <references count="3">
          <reference field="4294967294" count="1" selected="0">
            <x v="0"/>
          </reference>
          <reference field="0" count="1" selected="0">
            <x v="11"/>
          </reference>
          <reference field="1" count="1" selected="0">
            <x v="16"/>
          </reference>
        </references>
      </pivotArea>
    </chartFormat>
    <chartFormat chart="0" format="779">
      <pivotArea type="data" outline="0" fieldPosition="0">
        <references count="3">
          <reference field="4294967294" count="1" selected="0">
            <x v="0"/>
          </reference>
          <reference field="0" count="1" selected="0">
            <x v="11"/>
          </reference>
          <reference field="1" count="1" selected="0">
            <x v="17"/>
          </reference>
        </references>
      </pivotArea>
    </chartFormat>
    <chartFormat chart="0" format="780">
      <pivotArea type="data" outline="0" fieldPosition="0">
        <references count="3">
          <reference field="4294967294" count="1" selected="0">
            <x v="0"/>
          </reference>
          <reference field="0" count="1" selected="0">
            <x v="11"/>
          </reference>
          <reference field="1" count="1" selected="0">
            <x v="18"/>
          </reference>
        </references>
      </pivotArea>
    </chartFormat>
    <chartFormat chart="0" format="781">
      <pivotArea type="data" outline="0" fieldPosition="0">
        <references count="3">
          <reference field="4294967294" count="1" selected="0">
            <x v="0"/>
          </reference>
          <reference field="0" count="1" selected="0">
            <x v="11"/>
          </reference>
          <reference field="1" count="1" selected="0">
            <x v="19"/>
          </reference>
        </references>
      </pivotArea>
    </chartFormat>
    <chartFormat chart="0" format="782">
      <pivotArea type="data" outline="0" fieldPosition="0">
        <references count="3">
          <reference field="4294967294" count="1" selected="0">
            <x v="0"/>
          </reference>
          <reference field="0" count="1" selected="0">
            <x v="11"/>
          </reference>
          <reference field="1" count="1" selected="0">
            <x v="20"/>
          </reference>
        </references>
      </pivotArea>
    </chartFormat>
    <chartFormat chart="0" format="783">
      <pivotArea type="data" outline="0" fieldPosition="0">
        <references count="3">
          <reference field="4294967294" count="1" selected="0">
            <x v="2"/>
          </reference>
          <reference field="0" count="1" selected="0">
            <x v="6"/>
          </reference>
          <reference field="1" count="1" selected="0">
            <x v="11"/>
          </reference>
        </references>
      </pivotArea>
    </chartFormat>
    <chartFormat chart="0" format="784">
      <pivotArea type="data" outline="0" fieldPosition="0">
        <references count="3">
          <reference field="4294967294" count="1" selected="0">
            <x v="2"/>
          </reference>
          <reference field="0" count="1" selected="0">
            <x v="6"/>
          </reference>
          <reference field="1" count="1" selected="0">
            <x v="12"/>
          </reference>
        </references>
      </pivotArea>
    </chartFormat>
    <chartFormat chart="0" format="785">
      <pivotArea type="data" outline="0" fieldPosition="0">
        <references count="3">
          <reference field="4294967294" count="1" selected="0">
            <x v="2"/>
          </reference>
          <reference field="0" count="1" selected="0">
            <x v="6"/>
          </reference>
          <reference field="1" count="1" selected="0">
            <x v="13"/>
          </reference>
        </references>
      </pivotArea>
    </chartFormat>
    <chartFormat chart="0" format="786">
      <pivotArea type="data" outline="0" fieldPosition="0">
        <references count="3">
          <reference field="4294967294" count="1" selected="0">
            <x v="2"/>
          </reference>
          <reference field="0" count="1" selected="0">
            <x v="6"/>
          </reference>
          <reference field="1" count="1" selected="0">
            <x v="14"/>
          </reference>
        </references>
      </pivotArea>
    </chartFormat>
    <chartFormat chart="0" format="787">
      <pivotArea type="data" outline="0" fieldPosition="0">
        <references count="3">
          <reference field="4294967294" count="1" selected="0">
            <x v="2"/>
          </reference>
          <reference field="0" count="1" selected="0">
            <x v="6"/>
          </reference>
          <reference field="1" count="1" selected="0">
            <x v="15"/>
          </reference>
        </references>
      </pivotArea>
    </chartFormat>
    <chartFormat chart="0" format="788">
      <pivotArea type="data" outline="0" fieldPosition="0">
        <references count="3">
          <reference field="4294967294" count="1" selected="0">
            <x v="2"/>
          </reference>
          <reference field="0" count="1" selected="0">
            <x v="6"/>
          </reference>
          <reference field="1" count="1" selected="0">
            <x v="16"/>
          </reference>
        </references>
      </pivotArea>
    </chartFormat>
    <chartFormat chart="0" format="789">
      <pivotArea type="data" outline="0" fieldPosition="0">
        <references count="3">
          <reference field="4294967294" count="1" selected="0">
            <x v="2"/>
          </reference>
          <reference field="0" count="1" selected="0">
            <x v="6"/>
          </reference>
          <reference field="1" count="1" selected="0">
            <x v="17"/>
          </reference>
        </references>
      </pivotArea>
    </chartFormat>
    <chartFormat chart="0" format="790">
      <pivotArea type="data" outline="0" fieldPosition="0">
        <references count="3">
          <reference field="4294967294" count="1" selected="0">
            <x v="2"/>
          </reference>
          <reference field="0" count="1" selected="0">
            <x v="6"/>
          </reference>
          <reference field="1" count="1" selected="0">
            <x v="18"/>
          </reference>
        </references>
      </pivotArea>
    </chartFormat>
    <chartFormat chart="0" format="791">
      <pivotArea type="data" outline="0" fieldPosition="0">
        <references count="3">
          <reference field="4294967294" count="1" selected="0">
            <x v="2"/>
          </reference>
          <reference field="0" count="1" selected="0">
            <x v="6"/>
          </reference>
          <reference field="1" count="1" selected="0">
            <x v="19"/>
          </reference>
        </references>
      </pivotArea>
    </chartFormat>
    <chartFormat chart="0" format="792">
      <pivotArea type="data" outline="0" fieldPosition="0">
        <references count="3">
          <reference field="4294967294" count="1" selected="0">
            <x v="2"/>
          </reference>
          <reference field="0" count="1" selected="0">
            <x v="6"/>
          </reference>
          <reference field="1" count="1" selected="0">
            <x v="20"/>
          </reference>
        </references>
      </pivotArea>
    </chartFormat>
    <chartFormat chart="0" format="793">
      <pivotArea type="data" outline="0" fieldPosition="0">
        <references count="3">
          <reference field="4294967294" count="1" selected="0">
            <x v="2"/>
          </reference>
          <reference field="0" count="1" selected="0">
            <x v="6"/>
          </reference>
          <reference field="1" count="1" selected="0">
            <x v="21"/>
          </reference>
        </references>
      </pivotArea>
    </chartFormat>
    <chartFormat chart="0" format="794">
      <pivotArea type="data" outline="0" fieldPosition="0">
        <references count="3">
          <reference field="4294967294" count="1" selected="0">
            <x v="2"/>
          </reference>
          <reference field="0" count="1" selected="0">
            <x v="6"/>
          </reference>
          <reference field="1" count="1" selected="0">
            <x v="23"/>
          </reference>
        </references>
      </pivotArea>
    </chartFormat>
    <chartFormat chart="0" format="795">
      <pivotArea type="data" outline="0" fieldPosition="0">
        <references count="3">
          <reference field="4294967294" count="1" selected="0">
            <x v="2"/>
          </reference>
          <reference field="0" count="1" selected="0">
            <x v="6"/>
          </reference>
          <reference field="1" count="1" selected="0">
            <x v="25"/>
          </reference>
        </references>
      </pivotArea>
    </chartFormat>
    <chartFormat chart="0" format="796">
      <pivotArea type="data" outline="0" fieldPosition="0">
        <references count="3">
          <reference field="4294967294" count="1" selected="0">
            <x v="2"/>
          </reference>
          <reference field="0" count="1" selected="0">
            <x v="6"/>
          </reference>
          <reference field="1" count="1" selected="0">
            <x v="27"/>
          </reference>
        </references>
      </pivotArea>
    </chartFormat>
    <chartFormat chart="0" format="797">
      <pivotArea type="data" outline="0" fieldPosition="0">
        <references count="3">
          <reference field="4294967294" count="1" selected="0">
            <x v="2"/>
          </reference>
          <reference field="0" count="1" selected="0">
            <x v="6"/>
          </reference>
          <reference field="1" count="1" selected="0">
            <x v="29"/>
          </reference>
        </references>
      </pivotArea>
    </chartFormat>
    <chartFormat chart="0" format="798">
      <pivotArea type="data" outline="0" fieldPosition="0">
        <references count="3">
          <reference field="4294967294" count="1" selected="0">
            <x v="2"/>
          </reference>
          <reference field="0" count="1" selected="0">
            <x v="6"/>
          </reference>
          <reference field="1" count="1" selected="0">
            <x v="31"/>
          </reference>
        </references>
      </pivotArea>
    </chartFormat>
    <chartFormat chart="0" format="799">
      <pivotArea type="data" outline="0" fieldPosition="0">
        <references count="3">
          <reference field="4294967294" count="1" selected="0">
            <x v="2"/>
          </reference>
          <reference field="0" count="1" selected="0">
            <x v="6"/>
          </reference>
          <reference field="1" count="1" selected="0">
            <x v="33"/>
          </reference>
        </references>
      </pivotArea>
    </chartFormat>
    <chartFormat chart="0" format="800">
      <pivotArea type="data" outline="0" fieldPosition="0">
        <references count="3">
          <reference field="4294967294" count="1" selected="0">
            <x v="2"/>
          </reference>
          <reference field="0" count="1" selected="0">
            <x v="6"/>
          </reference>
          <reference field="1" count="1" selected="0">
            <x v="35"/>
          </reference>
        </references>
      </pivotArea>
    </chartFormat>
    <chartFormat chart="0" format="801">
      <pivotArea type="data" outline="0" fieldPosition="0">
        <references count="3">
          <reference field="4294967294" count="1" selected="0">
            <x v="2"/>
          </reference>
          <reference field="0" count="1" selected="0">
            <x v="6"/>
          </reference>
          <reference field="1" count="1" selected="0">
            <x v="37"/>
          </reference>
        </references>
      </pivotArea>
    </chartFormat>
    <chartFormat chart="0" format="802">
      <pivotArea type="data" outline="0" fieldPosition="0">
        <references count="3">
          <reference field="4294967294" count="1" selected="0">
            <x v="2"/>
          </reference>
          <reference field="0" count="1" selected="0">
            <x v="6"/>
          </reference>
          <reference field="1" count="1" selected="0">
            <x v="39"/>
          </reference>
        </references>
      </pivotArea>
    </chartFormat>
    <chartFormat chart="0" format="803">
      <pivotArea type="data" outline="0" fieldPosition="0">
        <references count="3">
          <reference field="4294967294" count="1" selected="0">
            <x v="2"/>
          </reference>
          <reference field="0" count="1" selected="0">
            <x v="6"/>
          </reference>
          <reference field="1" count="1" selected="0">
            <x v="41"/>
          </reference>
        </references>
      </pivotArea>
    </chartFormat>
    <chartFormat chart="0" format="804">
      <pivotArea type="data" outline="0" fieldPosition="0">
        <references count="3">
          <reference field="4294967294" count="1" selected="0">
            <x v="2"/>
          </reference>
          <reference field="0" count="1" selected="0">
            <x v="6"/>
          </reference>
          <reference field="1" count="1" selected="0">
            <x v="43"/>
          </reference>
        </references>
      </pivotArea>
    </chartFormat>
    <chartFormat chart="0" format="805">
      <pivotArea type="data" outline="0" fieldPosition="0">
        <references count="3">
          <reference field="4294967294" count="1" selected="0">
            <x v="2"/>
          </reference>
          <reference field="0" count="1" selected="0">
            <x v="6"/>
          </reference>
          <reference field="1" count="1" selected="0">
            <x v="45"/>
          </reference>
        </references>
      </pivotArea>
    </chartFormat>
    <chartFormat chart="0" format="806">
      <pivotArea type="data" outline="0" fieldPosition="0">
        <references count="3">
          <reference field="4294967294" count="1" selected="0">
            <x v="2"/>
          </reference>
          <reference field="0" count="1" selected="0">
            <x v="6"/>
          </reference>
          <reference field="1" count="1" selected="0">
            <x v="47"/>
          </reference>
        </references>
      </pivotArea>
    </chartFormat>
    <chartFormat chart="0" format="807">
      <pivotArea type="data" outline="0" fieldPosition="0">
        <references count="3">
          <reference field="4294967294" count="1" selected="0">
            <x v="2"/>
          </reference>
          <reference field="0" count="1" selected="0">
            <x v="6"/>
          </reference>
          <reference field="1" count="1" selected="0">
            <x v="49"/>
          </reference>
        </references>
      </pivotArea>
    </chartFormat>
    <chartFormat chart="0" format="808">
      <pivotArea type="data" outline="0" fieldPosition="0">
        <references count="3">
          <reference field="4294967294" count="1" selected="0">
            <x v="2"/>
          </reference>
          <reference field="0" count="1" selected="0">
            <x v="6"/>
          </reference>
          <reference field="1" count="1" selected="0">
            <x v="51"/>
          </reference>
        </references>
      </pivotArea>
    </chartFormat>
    <chartFormat chart="0" format="809">
      <pivotArea type="data" outline="0" fieldPosition="0">
        <references count="3">
          <reference field="4294967294" count="1" selected="0">
            <x v="2"/>
          </reference>
          <reference field="0" count="1" selected="0">
            <x v="6"/>
          </reference>
          <reference field="1" count="1" selected="0">
            <x v="53"/>
          </reference>
        </references>
      </pivotArea>
    </chartFormat>
    <chartFormat chart="0" format="810">
      <pivotArea type="data" outline="0" fieldPosition="0">
        <references count="3">
          <reference field="4294967294" count="1" selected="0">
            <x v="2"/>
          </reference>
          <reference field="0" count="1" selected="0">
            <x v="6"/>
          </reference>
          <reference field="1" count="1" selected="0">
            <x v="55"/>
          </reference>
        </references>
      </pivotArea>
    </chartFormat>
    <chartFormat chart="0" format="811">
      <pivotArea type="data" outline="0" fieldPosition="0">
        <references count="3">
          <reference field="4294967294" count="1" selected="0">
            <x v="2"/>
          </reference>
          <reference field="0" count="1" selected="0">
            <x v="6"/>
          </reference>
          <reference field="1" count="1" selected="0">
            <x v="57"/>
          </reference>
        </references>
      </pivotArea>
    </chartFormat>
    <chartFormat chart="0" format="812">
      <pivotArea type="data" outline="0" fieldPosition="0">
        <references count="3">
          <reference field="4294967294" count="1" selected="0">
            <x v="2"/>
          </reference>
          <reference field="0" count="1" selected="0">
            <x v="6"/>
          </reference>
          <reference field="1" count="1" selected="0">
            <x v="59"/>
          </reference>
        </references>
      </pivotArea>
    </chartFormat>
    <chartFormat chart="0" format="813">
      <pivotArea type="data" outline="0" fieldPosition="0">
        <references count="3">
          <reference field="4294967294" count="1" selected="0">
            <x v="2"/>
          </reference>
          <reference field="0" count="1" selected="0">
            <x v="6"/>
          </reference>
          <reference field="1" count="1" selected="0">
            <x v="61"/>
          </reference>
        </references>
      </pivotArea>
    </chartFormat>
    <chartFormat chart="0" format="814">
      <pivotArea type="data" outline="0" fieldPosition="0">
        <references count="3">
          <reference field="4294967294" count="1" selected="0">
            <x v="2"/>
          </reference>
          <reference field="0" count="1" selected="0">
            <x v="6"/>
          </reference>
          <reference field="1" count="1" selected="0">
            <x v="63"/>
          </reference>
        </references>
      </pivotArea>
    </chartFormat>
    <chartFormat chart="0" format="815">
      <pivotArea type="data" outline="0" fieldPosition="0">
        <references count="3">
          <reference field="4294967294" count="1" selected="0">
            <x v="2"/>
          </reference>
          <reference field="0" count="1" selected="0">
            <x v="6"/>
          </reference>
          <reference field="1" count="1" selected="0">
            <x v="65"/>
          </reference>
        </references>
      </pivotArea>
    </chartFormat>
    <chartFormat chart="0" format="816">
      <pivotArea type="data" outline="0" fieldPosition="0">
        <references count="3">
          <reference field="4294967294" count="1" selected="0">
            <x v="2"/>
          </reference>
          <reference field="0" count="1" selected="0">
            <x v="6"/>
          </reference>
          <reference field="1" count="1" selected="0">
            <x v="67"/>
          </reference>
        </references>
      </pivotArea>
    </chartFormat>
    <chartFormat chart="0" format="817">
      <pivotArea type="data" outline="0" fieldPosition="0">
        <references count="3">
          <reference field="4294967294" count="1" selected="0">
            <x v="2"/>
          </reference>
          <reference field="0" count="1" selected="0">
            <x v="6"/>
          </reference>
          <reference field="1" count="1" selected="0">
            <x v="69"/>
          </reference>
        </references>
      </pivotArea>
    </chartFormat>
    <chartFormat chart="0" format="818">
      <pivotArea type="data" outline="0" fieldPosition="0">
        <references count="3">
          <reference field="4294967294" count="1" selected="0">
            <x v="2"/>
          </reference>
          <reference field="0" count="1" selected="0">
            <x v="6"/>
          </reference>
          <reference field="1" count="1" selected="0">
            <x v="70"/>
          </reference>
        </references>
      </pivotArea>
    </chartFormat>
    <chartFormat chart="0" format="819">
      <pivotArea type="data" outline="0" fieldPosition="0">
        <references count="3">
          <reference field="4294967294" count="1" selected="0">
            <x v="2"/>
          </reference>
          <reference field="0" count="1" selected="0">
            <x v="6"/>
          </reference>
          <reference field="1" count="1" selected="0">
            <x v="71"/>
          </reference>
        </references>
      </pivotArea>
    </chartFormat>
    <chartFormat chart="0" format="820">
      <pivotArea type="data" outline="0" fieldPosition="0">
        <references count="3">
          <reference field="4294967294" count="1" selected="0">
            <x v="2"/>
          </reference>
          <reference field="0" count="1" selected="0">
            <x v="6"/>
          </reference>
          <reference field="1" count="1" selected="0">
            <x v="73"/>
          </reference>
        </references>
      </pivotArea>
    </chartFormat>
    <chartFormat chart="0" format="821">
      <pivotArea type="data" outline="0" fieldPosition="0">
        <references count="3">
          <reference field="4294967294" count="1" selected="0">
            <x v="2"/>
          </reference>
          <reference field="0" count="1" selected="0">
            <x v="7"/>
          </reference>
          <reference field="1" count="1" selected="0">
            <x v="1"/>
          </reference>
        </references>
      </pivotArea>
    </chartFormat>
    <chartFormat chart="0" format="822">
      <pivotArea type="data" outline="0" fieldPosition="0">
        <references count="3">
          <reference field="4294967294" count="1" selected="0">
            <x v="2"/>
          </reference>
          <reference field="0" count="1" selected="0">
            <x v="7"/>
          </reference>
          <reference field="1" count="1" selected="0">
            <x v="2"/>
          </reference>
        </references>
      </pivotArea>
    </chartFormat>
    <chartFormat chart="0" format="823">
      <pivotArea type="data" outline="0" fieldPosition="0">
        <references count="3">
          <reference field="4294967294" count="1" selected="0">
            <x v="2"/>
          </reference>
          <reference field="0" count="1" selected="0">
            <x v="7"/>
          </reference>
          <reference field="1" count="1" selected="0">
            <x v="3"/>
          </reference>
        </references>
      </pivotArea>
    </chartFormat>
    <chartFormat chart="0" format="824">
      <pivotArea type="data" outline="0" fieldPosition="0">
        <references count="3">
          <reference field="4294967294" count="1" selected="0">
            <x v="2"/>
          </reference>
          <reference field="0" count="1" selected="0">
            <x v="7"/>
          </reference>
          <reference field="1" count="1" selected="0">
            <x v="4"/>
          </reference>
        </references>
      </pivotArea>
    </chartFormat>
    <chartFormat chart="0" format="825">
      <pivotArea type="data" outline="0" fieldPosition="0">
        <references count="3">
          <reference field="4294967294" count="1" selected="0">
            <x v="2"/>
          </reference>
          <reference field="0" count="1" selected="0">
            <x v="7"/>
          </reference>
          <reference field="1" count="1" selected="0">
            <x v="5"/>
          </reference>
        </references>
      </pivotArea>
    </chartFormat>
    <chartFormat chart="0" format="826">
      <pivotArea type="data" outline="0" fieldPosition="0">
        <references count="3">
          <reference field="4294967294" count="1" selected="0">
            <x v="2"/>
          </reference>
          <reference field="0" count="1" selected="0">
            <x v="7"/>
          </reference>
          <reference field="1" count="1" selected="0">
            <x v="6"/>
          </reference>
        </references>
      </pivotArea>
    </chartFormat>
    <chartFormat chart="0" format="827">
      <pivotArea type="data" outline="0" fieldPosition="0">
        <references count="3">
          <reference field="4294967294" count="1" selected="0">
            <x v="2"/>
          </reference>
          <reference field="0" count="1" selected="0">
            <x v="7"/>
          </reference>
          <reference field="1" count="1" selected="0">
            <x v="7"/>
          </reference>
        </references>
      </pivotArea>
    </chartFormat>
    <chartFormat chart="0" format="828">
      <pivotArea type="data" outline="0" fieldPosition="0">
        <references count="3">
          <reference field="4294967294" count="1" selected="0">
            <x v="2"/>
          </reference>
          <reference field="0" count="1" selected="0">
            <x v="7"/>
          </reference>
          <reference field="1" count="1" selected="0">
            <x v="8"/>
          </reference>
        </references>
      </pivotArea>
    </chartFormat>
    <chartFormat chart="0" format="829">
      <pivotArea type="data" outline="0" fieldPosition="0">
        <references count="3">
          <reference field="4294967294" count="1" selected="0">
            <x v="2"/>
          </reference>
          <reference field="0" count="1" selected="0">
            <x v="7"/>
          </reference>
          <reference field="1" count="1" selected="0">
            <x v="9"/>
          </reference>
        </references>
      </pivotArea>
    </chartFormat>
    <chartFormat chart="0" format="830">
      <pivotArea type="data" outline="0" fieldPosition="0">
        <references count="3">
          <reference field="4294967294" count="1" selected="0">
            <x v="2"/>
          </reference>
          <reference field="0" count="1" selected="0">
            <x v="7"/>
          </reference>
          <reference field="1" count="1" selected="0">
            <x v="10"/>
          </reference>
        </references>
      </pivotArea>
    </chartFormat>
    <chartFormat chart="0" format="831">
      <pivotArea type="data" outline="0" fieldPosition="0">
        <references count="3">
          <reference field="4294967294" count="1" selected="0">
            <x v="2"/>
          </reference>
          <reference field="0" count="1" selected="0">
            <x v="7"/>
          </reference>
          <reference field="1" count="1" selected="0">
            <x v="11"/>
          </reference>
        </references>
      </pivotArea>
    </chartFormat>
    <chartFormat chart="0" format="832">
      <pivotArea type="data" outline="0" fieldPosition="0">
        <references count="3">
          <reference field="4294967294" count="1" selected="0">
            <x v="2"/>
          </reference>
          <reference field="0" count="1" selected="0">
            <x v="7"/>
          </reference>
          <reference field="1" count="1" selected="0">
            <x v="12"/>
          </reference>
        </references>
      </pivotArea>
    </chartFormat>
    <chartFormat chart="0" format="833">
      <pivotArea type="data" outline="0" fieldPosition="0">
        <references count="3">
          <reference field="4294967294" count="1" selected="0">
            <x v="2"/>
          </reference>
          <reference field="0" count="1" selected="0">
            <x v="7"/>
          </reference>
          <reference field="1" count="1" selected="0">
            <x v="13"/>
          </reference>
        </references>
      </pivotArea>
    </chartFormat>
    <chartFormat chart="0" format="834">
      <pivotArea type="data" outline="0" fieldPosition="0">
        <references count="3">
          <reference field="4294967294" count="1" selected="0">
            <x v="2"/>
          </reference>
          <reference field="0" count="1" selected="0">
            <x v="7"/>
          </reference>
          <reference field="1" count="1" selected="0">
            <x v="14"/>
          </reference>
        </references>
      </pivotArea>
    </chartFormat>
    <chartFormat chart="0" format="835">
      <pivotArea type="data" outline="0" fieldPosition="0">
        <references count="3">
          <reference field="4294967294" count="1" selected="0">
            <x v="2"/>
          </reference>
          <reference field="0" count="1" selected="0">
            <x v="7"/>
          </reference>
          <reference field="1" count="1" selected="0">
            <x v="15"/>
          </reference>
        </references>
      </pivotArea>
    </chartFormat>
    <chartFormat chart="0" format="836">
      <pivotArea type="data" outline="0" fieldPosition="0">
        <references count="3">
          <reference field="4294967294" count="1" selected="0">
            <x v="2"/>
          </reference>
          <reference field="0" count="1" selected="0">
            <x v="7"/>
          </reference>
          <reference field="1" count="1" selected="0">
            <x v="16"/>
          </reference>
        </references>
      </pivotArea>
    </chartFormat>
    <chartFormat chart="0" format="837">
      <pivotArea type="data" outline="0" fieldPosition="0">
        <references count="3">
          <reference field="4294967294" count="1" selected="0">
            <x v="2"/>
          </reference>
          <reference field="0" count="1" selected="0">
            <x v="7"/>
          </reference>
          <reference field="1" count="1" selected="0">
            <x v="17"/>
          </reference>
        </references>
      </pivotArea>
    </chartFormat>
    <chartFormat chart="0" format="838">
      <pivotArea type="data" outline="0" fieldPosition="0">
        <references count="3">
          <reference field="4294967294" count="1" selected="0">
            <x v="2"/>
          </reference>
          <reference field="0" count="1" selected="0">
            <x v="7"/>
          </reference>
          <reference field="1" count="1" selected="0">
            <x v="18"/>
          </reference>
        </references>
      </pivotArea>
    </chartFormat>
    <chartFormat chart="0" format="839">
      <pivotArea type="data" outline="0" fieldPosition="0">
        <references count="3">
          <reference field="4294967294" count="1" selected="0">
            <x v="2"/>
          </reference>
          <reference field="0" count="1" selected="0">
            <x v="7"/>
          </reference>
          <reference field="1" count="1" selected="0">
            <x v="19"/>
          </reference>
        </references>
      </pivotArea>
    </chartFormat>
    <chartFormat chart="0" format="840">
      <pivotArea type="data" outline="0" fieldPosition="0">
        <references count="3">
          <reference field="4294967294" count="1" selected="0">
            <x v="2"/>
          </reference>
          <reference field="0" count="1" selected="0">
            <x v="7"/>
          </reference>
          <reference field="1" count="1" selected="0">
            <x v="20"/>
          </reference>
        </references>
      </pivotArea>
    </chartFormat>
    <chartFormat chart="0" format="841">
      <pivotArea type="data" outline="0" fieldPosition="0">
        <references count="3">
          <reference field="4294967294" count="1" selected="0">
            <x v="2"/>
          </reference>
          <reference field="0" count="1" selected="0">
            <x v="7"/>
          </reference>
          <reference field="1" count="1" selected="0">
            <x v="21"/>
          </reference>
        </references>
      </pivotArea>
    </chartFormat>
    <chartFormat chart="0" format="842">
      <pivotArea type="data" outline="0" fieldPosition="0">
        <references count="3">
          <reference field="4294967294" count="1" selected="0">
            <x v="2"/>
          </reference>
          <reference field="0" count="1" selected="0">
            <x v="7"/>
          </reference>
          <reference field="1" count="1" selected="0">
            <x v="23"/>
          </reference>
        </references>
      </pivotArea>
    </chartFormat>
    <chartFormat chart="0" format="843">
      <pivotArea type="data" outline="0" fieldPosition="0">
        <references count="3">
          <reference field="4294967294" count="1" selected="0">
            <x v="2"/>
          </reference>
          <reference field="0" count="1" selected="0">
            <x v="7"/>
          </reference>
          <reference field="1" count="1" selected="0">
            <x v="25"/>
          </reference>
        </references>
      </pivotArea>
    </chartFormat>
    <chartFormat chart="0" format="844">
      <pivotArea type="data" outline="0" fieldPosition="0">
        <references count="3">
          <reference field="4294967294" count="1" selected="0">
            <x v="2"/>
          </reference>
          <reference field="0" count="1" selected="0">
            <x v="7"/>
          </reference>
          <reference field="1" count="1" selected="0">
            <x v="27"/>
          </reference>
        </references>
      </pivotArea>
    </chartFormat>
    <chartFormat chart="0" format="845">
      <pivotArea type="data" outline="0" fieldPosition="0">
        <references count="3">
          <reference field="4294967294" count="1" selected="0">
            <x v="2"/>
          </reference>
          <reference field="0" count="1" selected="0">
            <x v="7"/>
          </reference>
          <reference field="1" count="1" selected="0">
            <x v="29"/>
          </reference>
        </references>
      </pivotArea>
    </chartFormat>
    <chartFormat chart="0" format="846">
      <pivotArea type="data" outline="0" fieldPosition="0">
        <references count="3">
          <reference field="4294967294" count="1" selected="0">
            <x v="2"/>
          </reference>
          <reference field="0" count="1" selected="0">
            <x v="7"/>
          </reference>
          <reference field="1" count="1" selected="0">
            <x v="31"/>
          </reference>
        </references>
      </pivotArea>
    </chartFormat>
    <chartFormat chart="0" format="847">
      <pivotArea type="data" outline="0" fieldPosition="0">
        <references count="3">
          <reference field="4294967294" count="1" selected="0">
            <x v="2"/>
          </reference>
          <reference field="0" count="1" selected="0">
            <x v="7"/>
          </reference>
          <reference field="1" count="1" selected="0">
            <x v="33"/>
          </reference>
        </references>
      </pivotArea>
    </chartFormat>
    <chartFormat chart="0" format="848">
      <pivotArea type="data" outline="0" fieldPosition="0">
        <references count="3">
          <reference field="4294967294" count="1" selected="0">
            <x v="2"/>
          </reference>
          <reference field="0" count="1" selected="0">
            <x v="7"/>
          </reference>
          <reference field="1" count="1" selected="0">
            <x v="35"/>
          </reference>
        </references>
      </pivotArea>
    </chartFormat>
    <chartFormat chart="0" format="849">
      <pivotArea type="data" outline="0" fieldPosition="0">
        <references count="3">
          <reference field="4294967294" count="1" selected="0">
            <x v="2"/>
          </reference>
          <reference field="0" count="1" selected="0">
            <x v="7"/>
          </reference>
          <reference field="1" count="1" selected="0">
            <x v="37"/>
          </reference>
        </references>
      </pivotArea>
    </chartFormat>
    <chartFormat chart="0" format="850">
      <pivotArea type="data" outline="0" fieldPosition="0">
        <references count="3">
          <reference field="4294967294" count="1" selected="0">
            <x v="2"/>
          </reference>
          <reference field="0" count="1" selected="0">
            <x v="7"/>
          </reference>
          <reference field="1" count="1" selected="0">
            <x v="39"/>
          </reference>
        </references>
      </pivotArea>
    </chartFormat>
    <chartFormat chart="0" format="851">
      <pivotArea type="data" outline="0" fieldPosition="0">
        <references count="3">
          <reference field="4294967294" count="1" selected="0">
            <x v="2"/>
          </reference>
          <reference field="0" count="1" selected="0">
            <x v="7"/>
          </reference>
          <reference field="1" count="1" selected="0">
            <x v="41"/>
          </reference>
        </references>
      </pivotArea>
    </chartFormat>
    <chartFormat chart="0" format="852">
      <pivotArea type="data" outline="0" fieldPosition="0">
        <references count="3">
          <reference field="4294967294" count="1" selected="0">
            <x v="2"/>
          </reference>
          <reference field="0" count="1" selected="0">
            <x v="7"/>
          </reference>
          <reference field="1" count="1" selected="0">
            <x v="43"/>
          </reference>
        </references>
      </pivotArea>
    </chartFormat>
    <chartFormat chart="0" format="853">
      <pivotArea type="data" outline="0" fieldPosition="0">
        <references count="3">
          <reference field="4294967294" count="1" selected="0">
            <x v="2"/>
          </reference>
          <reference field="0" count="1" selected="0">
            <x v="7"/>
          </reference>
          <reference field="1" count="1" selected="0">
            <x v="45"/>
          </reference>
        </references>
      </pivotArea>
    </chartFormat>
    <chartFormat chart="0" format="854">
      <pivotArea type="data" outline="0" fieldPosition="0">
        <references count="3">
          <reference field="4294967294" count="1" selected="0">
            <x v="2"/>
          </reference>
          <reference field="0" count="1" selected="0">
            <x v="7"/>
          </reference>
          <reference field="1" count="1" selected="0">
            <x v="47"/>
          </reference>
        </references>
      </pivotArea>
    </chartFormat>
    <chartFormat chart="0" format="855">
      <pivotArea type="data" outline="0" fieldPosition="0">
        <references count="3">
          <reference field="4294967294" count="1" selected="0">
            <x v="2"/>
          </reference>
          <reference field="0" count="1" selected="0">
            <x v="7"/>
          </reference>
          <reference field="1" count="1" selected="0">
            <x v="49"/>
          </reference>
        </references>
      </pivotArea>
    </chartFormat>
    <chartFormat chart="0" format="856">
      <pivotArea type="data" outline="0" fieldPosition="0">
        <references count="3">
          <reference field="4294967294" count="1" selected="0">
            <x v="2"/>
          </reference>
          <reference field="0" count="1" selected="0">
            <x v="7"/>
          </reference>
          <reference field="1" count="1" selected="0">
            <x v="51"/>
          </reference>
        </references>
      </pivotArea>
    </chartFormat>
    <chartFormat chart="0" format="857">
      <pivotArea type="data" outline="0" fieldPosition="0">
        <references count="3">
          <reference field="4294967294" count="1" selected="0">
            <x v="2"/>
          </reference>
          <reference field="0" count="1" selected="0">
            <x v="7"/>
          </reference>
          <reference field="1" count="1" selected="0">
            <x v="53"/>
          </reference>
        </references>
      </pivotArea>
    </chartFormat>
    <chartFormat chart="0" format="858">
      <pivotArea type="data" outline="0" fieldPosition="0">
        <references count="3">
          <reference field="4294967294" count="1" selected="0">
            <x v="2"/>
          </reference>
          <reference field="0" count="1" selected="0">
            <x v="7"/>
          </reference>
          <reference field="1" count="1" selected="0">
            <x v="55"/>
          </reference>
        </references>
      </pivotArea>
    </chartFormat>
    <chartFormat chart="0" format="859">
      <pivotArea type="data" outline="0" fieldPosition="0">
        <references count="3">
          <reference field="4294967294" count="1" selected="0">
            <x v="2"/>
          </reference>
          <reference field="0" count="1" selected="0">
            <x v="7"/>
          </reference>
          <reference field="1" count="1" selected="0">
            <x v="57"/>
          </reference>
        </references>
      </pivotArea>
    </chartFormat>
    <chartFormat chart="0" format="860">
      <pivotArea type="data" outline="0" fieldPosition="0">
        <references count="3">
          <reference field="4294967294" count="1" selected="0">
            <x v="2"/>
          </reference>
          <reference field="0" count="1" selected="0">
            <x v="7"/>
          </reference>
          <reference field="1" count="1" selected="0">
            <x v="59"/>
          </reference>
        </references>
      </pivotArea>
    </chartFormat>
    <chartFormat chart="0" format="861">
      <pivotArea type="data" outline="0" fieldPosition="0">
        <references count="3">
          <reference field="4294967294" count="1" selected="0">
            <x v="2"/>
          </reference>
          <reference field="0" count="1" selected="0">
            <x v="7"/>
          </reference>
          <reference field="1" count="1" selected="0">
            <x v="61"/>
          </reference>
        </references>
      </pivotArea>
    </chartFormat>
    <chartFormat chart="0" format="862">
      <pivotArea type="data" outline="0" fieldPosition="0">
        <references count="3">
          <reference field="4294967294" count="1" selected="0">
            <x v="2"/>
          </reference>
          <reference field="0" count="1" selected="0">
            <x v="7"/>
          </reference>
          <reference field="1" count="1" selected="0">
            <x v="63"/>
          </reference>
        </references>
      </pivotArea>
    </chartFormat>
    <chartFormat chart="0" format="863">
      <pivotArea type="data" outline="0" fieldPosition="0">
        <references count="3">
          <reference field="4294967294" count="1" selected="0">
            <x v="2"/>
          </reference>
          <reference field="0" count="1" selected="0">
            <x v="7"/>
          </reference>
          <reference field="1" count="1" selected="0">
            <x v="65"/>
          </reference>
        </references>
      </pivotArea>
    </chartFormat>
    <chartFormat chart="0" format="864">
      <pivotArea type="data" outline="0" fieldPosition="0">
        <references count="3">
          <reference field="4294967294" count="1" selected="0">
            <x v="2"/>
          </reference>
          <reference field="0" count="1" selected="0">
            <x v="7"/>
          </reference>
          <reference field="1" count="1" selected="0">
            <x v="67"/>
          </reference>
        </references>
      </pivotArea>
    </chartFormat>
    <chartFormat chart="0" format="865">
      <pivotArea type="data" outline="0" fieldPosition="0">
        <references count="3">
          <reference field="4294967294" count="1" selected="0">
            <x v="2"/>
          </reference>
          <reference field="0" count="1" selected="0">
            <x v="7"/>
          </reference>
          <reference field="1" count="1" selected="0">
            <x v="69"/>
          </reference>
        </references>
      </pivotArea>
    </chartFormat>
    <chartFormat chart="0" format="866">
      <pivotArea type="data" outline="0" fieldPosition="0">
        <references count="3">
          <reference field="4294967294" count="1" selected="0">
            <x v="2"/>
          </reference>
          <reference field="0" count="1" selected="0">
            <x v="7"/>
          </reference>
          <reference field="1" count="1" selected="0">
            <x v="70"/>
          </reference>
        </references>
      </pivotArea>
    </chartFormat>
    <chartFormat chart="0" format="867">
      <pivotArea type="data" outline="0" fieldPosition="0">
        <references count="3">
          <reference field="4294967294" count="1" selected="0">
            <x v="2"/>
          </reference>
          <reference field="0" count="1" selected="0">
            <x v="7"/>
          </reference>
          <reference field="1" count="1" selected="0">
            <x v="71"/>
          </reference>
        </references>
      </pivotArea>
    </chartFormat>
    <chartFormat chart="0" format="868">
      <pivotArea type="data" outline="0" fieldPosition="0">
        <references count="3">
          <reference field="4294967294" count="1" selected="0">
            <x v="2"/>
          </reference>
          <reference field="0" count="1" selected="0">
            <x v="7"/>
          </reference>
          <reference field="1" count="1" selected="0">
            <x v="73"/>
          </reference>
        </references>
      </pivotArea>
    </chartFormat>
    <chartFormat chart="0" format="869">
      <pivotArea type="data" outline="0" fieldPosition="0">
        <references count="3">
          <reference field="4294967294" count="1" selected="0">
            <x v="2"/>
          </reference>
          <reference field="0" count="1" selected="0">
            <x v="8"/>
          </reference>
          <reference field="1" count="1" selected="0">
            <x v="1"/>
          </reference>
        </references>
      </pivotArea>
    </chartFormat>
    <chartFormat chart="0" format="870">
      <pivotArea type="data" outline="0" fieldPosition="0">
        <references count="3">
          <reference field="4294967294" count="1" selected="0">
            <x v="2"/>
          </reference>
          <reference field="0" count="1" selected="0">
            <x v="8"/>
          </reference>
          <reference field="1" count="1" selected="0">
            <x v="2"/>
          </reference>
        </references>
      </pivotArea>
    </chartFormat>
    <chartFormat chart="0" format="871">
      <pivotArea type="data" outline="0" fieldPosition="0">
        <references count="3">
          <reference field="4294967294" count="1" selected="0">
            <x v="2"/>
          </reference>
          <reference field="0" count="1" selected="0">
            <x v="8"/>
          </reference>
          <reference field="1" count="1" selected="0">
            <x v="3"/>
          </reference>
        </references>
      </pivotArea>
    </chartFormat>
    <chartFormat chart="0" format="872">
      <pivotArea type="data" outline="0" fieldPosition="0">
        <references count="3">
          <reference field="4294967294" count="1" selected="0">
            <x v="2"/>
          </reference>
          <reference field="0" count="1" selected="0">
            <x v="8"/>
          </reference>
          <reference field="1" count="1" selected="0">
            <x v="4"/>
          </reference>
        </references>
      </pivotArea>
    </chartFormat>
    <chartFormat chart="0" format="873">
      <pivotArea type="data" outline="0" fieldPosition="0">
        <references count="3">
          <reference field="4294967294" count="1" selected="0">
            <x v="2"/>
          </reference>
          <reference field="0" count="1" selected="0">
            <x v="8"/>
          </reference>
          <reference field="1" count="1" selected="0">
            <x v="5"/>
          </reference>
        </references>
      </pivotArea>
    </chartFormat>
    <chartFormat chart="0" format="874">
      <pivotArea type="data" outline="0" fieldPosition="0">
        <references count="3">
          <reference field="4294967294" count="1" selected="0">
            <x v="2"/>
          </reference>
          <reference field="0" count="1" selected="0">
            <x v="8"/>
          </reference>
          <reference field="1" count="1" selected="0">
            <x v="6"/>
          </reference>
        </references>
      </pivotArea>
    </chartFormat>
    <chartFormat chart="0" format="875">
      <pivotArea type="data" outline="0" fieldPosition="0">
        <references count="3">
          <reference field="4294967294" count="1" selected="0">
            <x v="2"/>
          </reference>
          <reference field="0" count="1" selected="0">
            <x v="8"/>
          </reference>
          <reference field="1" count="1" selected="0">
            <x v="7"/>
          </reference>
        </references>
      </pivotArea>
    </chartFormat>
    <chartFormat chart="0" format="876">
      <pivotArea type="data" outline="0" fieldPosition="0">
        <references count="3">
          <reference field="4294967294" count="1" selected="0">
            <x v="2"/>
          </reference>
          <reference field="0" count="1" selected="0">
            <x v="8"/>
          </reference>
          <reference field="1" count="1" selected="0">
            <x v="8"/>
          </reference>
        </references>
      </pivotArea>
    </chartFormat>
    <chartFormat chart="0" format="877">
      <pivotArea type="data" outline="0" fieldPosition="0">
        <references count="3">
          <reference field="4294967294" count="1" selected="0">
            <x v="2"/>
          </reference>
          <reference field="0" count="1" selected="0">
            <x v="8"/>
          </reference>
          <reference field="1" count="1" selected="0">
            <x v="9"/>
          </reference>
        </references>
      </pivotArea>
    </chartFormat>
    <chartFormat chart="0" format="878">
      <pivotArea type="data" outline="0" fieldPosition="0">
        <references count="3">
          <reference field="4294967294" count="1" selected="0">
            <x v="2"/>
          </reference>
          <reference field="0" count="1" selected="0">
            <x v="8"/>
          </reference>
          <reference field="1" count="1" selected="0">
            <x v="10"/>
          </reference>
        </references>
      </pivotArea>
    </chartFormat>
    <chartFormat chart="0" format="879">
      <pivotArea type="data" outline="0" fieldPosition="0">
        <references count="3">
          <reference field="4294967294" count="1" selected="0">
            <x v="2"/>
          </reference>
          <reference field="0" count="1" selected="0">
            <x v="8"/>
          </reference>
          <reference field="1" count="1" selected="0">
            <x v="11"/>
          </reference>
        </references>
      </pivotArea>
    </chartFormat>
    <chartFormat chart="0" format="880">
      <pivotArea type="data" outline="0" fieldPosition="0">
        <references count="3">
          <reference field="4294967294" count="1" selected="0">
            <x v="2"/>
          </reference>
          <reference field="0" count="1" selected="0">
            <x v="8"/>
          </reference>
          <reference field="1" count="1" selected="0">
            <x v="12"/>
          </reference>
        </references>
      </pivotArea>
    </chartFormat>
    <chartFormat chart="0" format="881">
      <pivotArea type="data" outline="0" fieldPosition="0">
        <references count="3">
          <reference field="4294967294" count="1" selected="0">
            <x v="2"/>
          </reference>
          <reference field="0" count="1" selected="0">
            <x v="8"/>
          </reference>
          <reference field="1" count="1" selected="0">
            <x v="13"/>
          </reference>
        </references>
      </pivotArea>
    </chartFormat>
    <chartFormat chart="0" format="882">
      <pivotArea type="data" outline="0" fieldPosition="0">
        <references count="3">
          <reference field="4294967294" count="1" selected="0">
            <x v="2"/>
          </reference>
          <reference field="0" count="1" selected="0">
            <x v="8"/>
          </reference>
          <reference field="1" count="1" selected="0">
            <x v="14"/>
          </reference>
        </references>
      </pivotArea>
    </chartFormat>
    <chartFormat chart="0" format="883">
      <pivotArea type="data" outline="0" fieldPosition="0">
        <references count="3">
          <reference field="4294967294" count="1" selected="0">
            <x v="2"/>
          </reference>
          <reference field="0" count="1" selected="0">
            <x v="8"/>
          </reference>
          <reference field="1" count="1" selected="0">
            <x v="15"/>
          </reference>
        </references>
      </pivotArea>
    </chartFormat>
    <chartFormat chart="0" format="884">
      <pivotArea type="data" outline="0" fieldPosition="0">
        <references count="3">
          <reference field="4294967294" count="1" selected="0">
            <x v="2"/>
          </reference>
          <reference field="0" count="1" selected="0">
            <x v="8"/>
          </reference>
          <reference field="1" count="1" selected="0">
            <x v="16"/>
          </reference>
        </references>
      </pivotArea>
    </chartFormat>
    <chartFormat chart="0" format="885">
      <pivotArea type="data" outline="0" fieldPosition="0">
        <references count="3">
          <reference field="4294967294" count="1" selected="0">
            <x v="2"/>
          </reference>
          <reference field="0" count="1" selected="0">
            <x v="8"/>
          </reference>
          <reference field="1" count="1" selected="0">
            <x v="17"/>
          </reference>
        </references>
      </pivotArea>
    </chartFormat>
    <chartFormat chart="0" format="886">
      <pivotArea type="data" outline="0" fieldPosition="0">
        <references count="3">
          <reference field="4294967294" count="1" selected="0">
            <x v="2"/>
          </reference>
          <reference field="0" count="1" selected="0">
            <x v="8"/>
          </reference>
          <reference field="1" count="1" selected="0">
            <x v="18"/>
          </reference>
        </references>
      </pivotArea>
    </chartFormat>
    <chartFormat chart="0" format="887">
      <pivotArea type="data" outline="0" fieldPosition="0">
        <references count="3">
          <reference field="4294967294" count="1" selected="0">
            <x v="2"/>
          </reference>
          <reference field="0" count="1" selected="0">
            <x v="8"/>
          </reference>
          <reference field="1" count="1" selected="0">
            <x v="19"/>
          </reference>
        </references>
      </pivotArea>
    </chartFormat>
    <chartFormat chart="0" format="888">
      <pivotArea type="data" outline="0" fieldPosition="0">
        <references count="3">
          <reference field="4294967294" count="1" selected="0">
            <x v="2"/>
          </reference>
          <reference field="0" count="1" selected="0">
            <x v="8"/>
          </reference>
          <reference field="1" count="1" selected="0">
            <x v="20"/>
          </reference>
        </references>
      </pivotArea>
    </chartFormat>
    <chartFormat chart="0" format="889">
      <pivotArea type="data" outline="0" fieldPosition="0">
        <references count="3">
          <reference field="4294967294" count="1" selected="0">
            <x v="2"/>
          </reference>
          <reference field="0" count="1" selected="0">
            <x v="8"/>
          </reference>
          <reference field="1" count="1" selected="0">
            <x v="21"/>
          </reference>
        </references>
      </pivotArea>
    </chartFormat>
    <chartFormat chart="0" format="890">
      <pivotArea type="data" outline="0" fieldPosition="0">
        <references count="3">
          <reference field="4294967294" count="1" selected="0">
            <x v="2"/>
          </reference>
          <reference field="0" count="1" selected="0">
            <x v="8"/>
          </reference>
          <reference field="1" count="1" selected="0">
            <x v="23"/>
          </reference>
        </references>
      </pivotArea>
    </chartFormat>
    <chartFormat chart="0" format="891">
      <pivotArea type="data" outline="0" fieldPosition="0">
        <references count="3">
          <reference field="4294967294" count="1" selected="0">
            <x v="2"/>
          </reference>
          <reference field="0" count="1" selected="0">
            <x v="8"/>
          </reference>
          <reference field="1" count="1" selected="0">
            <x v="25"/>
          </reference>
        </references>
      </pivotArea>
    </chartFormat>
    <chartFormat chart="0" format="892">
      <pivotArea type="data" outline="0" fieldPosition="0">
        <references count="3">
          <reference field="4294967294" count="1" selected="0">
            <x v="2"/>
          </reference>
          <reference field="0" count="1" selected="0">
            <x v="8"/>
          </reference>
          <reference field="1" count="1" selected="0">
            <x v="27"/>
          </reference>
        </references>
      </pivotArea>
    </chartFormat>
    <chartFormat chart="0" format="893">
      <pivotArea type="data" outline="0" fieldPosition="0">
        <references count="3">
          <reference field="4294967294" count="1" selected="0">
            <x v="2"/>
          </reference>
          <reference field="0" count="1" selected="0">
            <x v="8"/>
          </reference>
          <reference field="1" count="1" selected="0">
            <x v="29"/>
          </reference>
        </references>
      </pivotArea>
    </chartFormat>
    <chartFormat chart="0" format="894">
      <pivotArea type="data" outline="0" fieldPosition="0">
        <references count="3">
          <reference field="4294967294" count="1" selected="0">
            <x v="2"/>
          </reference>
          <reference field="0" count="1" selected="0">
            <x v="8"/>
          </reference>
          <reference field="1" count="1" selected="0">
            <x v="31"/>
          </reference>
        </references>
      </pivotArea>
    </chartFormat>
    <chartFormat chart="0" format="895">
      <pivotArea type="data" outline="0" fieldPosition="0">
        <references count="3">
          <reference field="4294967294" count="1" selected="0">
            <x v="2"/>
          </reference>
          <reference field="0" count="1" selected="0">
            <x v="8"/>
          </reference>
          <reference field="1" count="1" selected="0">
            <x v="33"/>
          </reference>
        </references>
      </pivotArea>
    </chartFormat>
    <chartFormat chart="0" format="896">
      <pivotArea type="data" outline="0" fieldPosition="0">
        <references count="3">
          <reference field="4294967294" count="1" selected="0">
            <x v="2"/>
          </reference>
          <reference field="0" count="1" selected="0">
            <x v="8"/>
          </reference>
          <reference field="1" count="1" selected="0">
            <x v="35"/>
          </reference>
        </references>
      </pivotArea>
    </chartFormat>
    <chartFormat chart="0" format="897">
      <pivotArea type="data" outline="0" fieldPosition="0">
        <references count="3">
          <reference field="4294967294" count="1" selected="0">
            <x v="2"/>
          </reference>
          <reference field="0" count="1" selected="0">
            <x v="8"/>
          </reference>
          <reference field="1" count="1" selected="0">
            <x v="37"/>
          </reference>
        </references>
      </pivotArea>
    </chartFormat>
    <chartFormat chart="0" format="898">
      <pivotArea type="data" outline="0" fieldPosition="0">
        <references count="3">
          <reference field="4294967294" count="1" selected="0">
            <x v="2"/>
          </reference>
          <reference field="0" count="1" selected="0">
            <x v="8"/>
          </reference>
          <reference field="1" count="1" selected="0">
            <x v="39"/>
          </reference>
        </references>
      </pivotArea>
    </chartFormat>
    <chartFormat chart="0" format="899">
      <pivotArea type="data" outline="0" fieldPosition="0">
        <references count="3">
          <reference field="4294967294" count="1" selected="0">
            <x v="2"/>
          </reference>
          <reference field="0" count="1" selected="0">
            <x v="8"/>
          </reference>
          <reference field="1" count="1" selected="0">
            <x v="41"/>
          </reference>
        </references>
      </pivotArea>
    </chartFormat>
    <chartFormat chart="0" format="900">
      <pivotArea type="data" outline="0" fieldPosition="0">
        <references count="3">
          <reference field="4294967294" count="1" selected="0">
            <x v="2"/>
          </reference>
          <reference field="0" count="1" selected="0">
            <x v="8"/>
          </reference>
          <reference field="1" count="1" selected="0">
            <x v="43"/>
          </reference>
        </references>
      </pivotArea>
    </chartFormat>
    <chartFormat chart="0" format="901">
      <pivotArea type="data" outline="0" fieldPosition="0">
        <references count="3">
          <reference field="4294967294" count="1" selected="0">
            <x v="2"/>
          </reference>
          <reference field="0" count="1" selected="0">
            <x v="8"/>
          </reference>
          <reference field="1" count="1" selected="0">
            <x v="45"/>
          </reference>
        </references>
      </pivotArea>
    </chartFormat>
    <chartFormat chart="0" format="902">
      <pivotArea type="data" outline="0" fieldPosition="0">
        <references count="3">
          <reference field="4294967294" count="1" selected="0">
            <x v="2"/>
          </reference>
          <reference field="0" count="1" selected="0">
            <x v="8"/>
          </reference>
          <reference field="1" count="1" selected="0">
            <x v="47"/>
          </reference>
        </references>
      </pivotArea>
    </chartFormat>
    <chartFormat chart="0" format="903">
      <pivotArea type="data" outline="0" fieldPosition="0">
        <references count="3">
          <reference field="4294967294" count="1" selected="0">
            <x v="2"/>
          </reference>
          <reference field="0" count="1" selected="0">
            <x v="8"/>
          </reference>
          <reference field="1" count="1" selected="0">
            <x v="49"/>
          </reference>
        </references>
      </pivotArea>
    </chartFormat>
    <chartFormat chart="0" format="904">
      <pivotArea type="data" outline="0" fieldPosition="0">
        <references count="3">
          <reference field="4294967294" count="1" selected="0">
            <x v="2"/>
          </reference>
          <reference field="0" count="1" selected="0">
            <x v="8"/>
          </reference>
          <reference field="1" count="1" selected="0">
            <x v="51"/>
          </reference>
        </references>
      </pivotArea>
    </chartFormat>
    <chartFormat chart="0" format="905">
      <pivotArea type="data" outline="0" fieldPosition="0">
        <references count="3">
          <reference field="4294967294" count="1" selected="0">
            <x v="2"/>
          </reference>
          <reference field="0" count="1" selected="0">
            <x v="8"/>
          </reference>
          <reference field="1" count="1" selected="0">
            <x v="53"/>
          </reference>
        </references>
      </pivotArea>
    </chartFormat>
    <chartFormat chart="0" format="906">
      <pivotArea type="data" outline="0" fieldPosition="0">
        <references count="3">
          <reference field="4294967294" count="1" selected="0">
            <x v="2"/>
          </reference>
          <reference field="0" count="1" selected="0">
            <x v="8"/>
          </reference>
          <reference field="1" count="1" selected="0">
            <x v="55"/>
          </reference>
        </references>
      </pivotArea>
    </chartFormat>
    <chartFormat chart="0" format="907">
      <pivotArea type="data" outline="0" fieldPosition="0">
        <references count="3">
          <reference field="4294967294" count="1" selected="0">
            <x v="2"/>
          </reference>
          <reference field="0" count="1" selected="0">
            <x v="8"/>
          </reference>
          <reference field="1" count="1" selected="0">
            <x v="57"/>
          </reference>
        </references>
      </pivotArea>
    </chartFormat>
    <chartFormat chart="0" format="908">
      <pivotArea type="data" outline="0" fieldPosition="0">
        <references count="3">
          <reference field="4294967294" count="1" selected="0">
            <x v="2"/>
          </reference>
          <reference field="0" count="1" selected="0">
            <x v="8"/>
          </reference>
          <reference field="1" count="1" selected="0">
            <x v="59"/>
          </reference>
        </references>
      </pivotArea>
    </chartFormat>
    <chartFormat chart="0" format="909">
      <pivotArea type="data" outline="0" fieldPosition="0">
        <references count="3">
          <reference field="4294967294" count="1" selected="0">
            <x v="2"/>
          </reference>
          <reference field="0" count="1" selected="0">
            <x v="8"/>
          </reference>
          <reference field="1" count="1" selected="0">
            <x v="61"/>
          </reference>
        </references>
      </pivotArea>
    </chartFormat>
    <chartFormat chart="0" format="910">
      <pivotArea type="data" outline="0" fieldPosition="0">
        <references count="3">
          <reference field="4294967294" count="1" selected="0">
            <x v="2"/>
          </reference>
          <reference field="0" count="1" selected="0">
            <x v="8"/>
          </reference>
          <reference field="1" count="1" selected="0">
            <x v="63"/>
          </reference>
        </references>
      </pivotArea>
    </chartFormat>
    <chartFormat chart="0" format="911">
      <pivotArea type="data" outline="0" fieldPosition="0">
        <references count="3">
          <reference field="4294967294" count="1" selected="0">
            <x v="2"/>
          </reference>
          <reference field="0" count="1" selected="0">
            <x v="8"/>
          </reference>
          <reference field="1" count="1" selected="0">
            <x v="65"/>
          </reference>
        </references>
      </pivotArea>
    </chartFormat>
    <chartFormat chart="0" format="912">
      <pivotArea type="data" outline="0" fieldPosition="0">
        <references count="3">
          <reference field="4294967294" count="1" selected="0">
            <x v="2"/>
          </reference>
          <reference field="0" count="1" selected="0">
            <x v="8"/>
          </reference>
          <reference field="1" count="1" selected="0">
            <x v="67"/>
          </reference>
        </references>
      </pivotArea>
    </chartFormat>
    <chartFormat chart="0" format="913">
      <pivotArea type="data" outline="0" fieldPosition="0">
        <references count="3">
          <reference field="4294967294" count="1" selected="0">
            <x v="2"/>
          </reference>
          <reference field="0" count="1" selected="0">
            <x v="8"/>
          </reference>
          <reference field="1" count="1" selected="0">
            <x v="69"/>
          </reference>
        </references>
      </pivotArea>
    </chartFormat>
    <chartFormat chart="0" format="914">
      <pivotArea type="data" outline="0" fieldPosition="0">
        <references count="3">
          <reference field="4294967294" count="1" selected="0">
            <x v="2"/>
          </reference>
          <reference field="0" count="1" selected="0">
            <x v="8"/>
          </reference>
          <reference field="1" count="1" selected="0">
            <x v="70"/>
          </reference>
        </references>
      </pivotArea>
    </chartFormat>
    <chartFormat chart="0" format="915">
      <pivotArea type="data" outline="0" fieldPosition="0">
        <references count="3">
          <reference field="4294967294" count="1" selected="0">
            <x v="2"/>
          </reference>
          <reference field="0" count="1" selected="0">
            <x v="8"/>
          </reference>
          <reference field="1" count="1" selected="0">
            <x v="71"/>
          </reference>
        </references>
      </pivotArea>
    </chartFormat>
    <chartFormat chart="0" format="916">
      <pivotArea type="data" outline="0" fieldPosition="0">
        <references count="3">
          <reference field="4294967294" count="1" selected="0">
            <x v="2"/>
          </reference>
          <reference field="0" count="1" selected="0">
            <x v="8"/>
          </reference>
          <reference field="1" count="1" selected="0">
            <x v="73"/>
          </reference>
        </references>
      </pivotArea>
    </chartFormat>
    <chartFormat chart="0" format="917">
      <pivotArea type="data" outline="0" fieldPosition="0">
        <references count="3">
          <reference field="4294967294" count="1" selected="0">
            <x v="2"/>
          </reference>
          <reference field="0" count="1" selected="0">
            <x v="9"/>
          </reference>
          <reference field="1" count="1" selected="0">
            <x v="1"/>
          </reference>
        </references>
      </pivotArea>
    </chartFormat>
    <chartFormat chart="0" format="918">
      <pivotArea type="data" outline="0" fieldPosition="0">
        <references count="3">
          <reference field="4294967294" count="1" selected="0">
            <x v="2"/>
          </reference>
          <reference field="0" count="1" selected="0">
            <x v="9"/>
          </reference>
          <reference field="1" count="1" selected="0">
            <x v="2"/>
          </reference>
        </references>
      </pivotArea>
    </chartFormat>
    <chartFormat chart="0" format="919">
      <pivotArea type="data" outline="0" fieldPosition="0">
        <references count="3">
          <reference field="4294967294" count="1" selected="0">
            <x v="2"/>
          </reference>
          <reference field="0" count="1" selected="0">
            <x v="9"/>
          </reference>
          <reference field="1" count="1" selected="0">
            <x v="3"/>
          </reference>
        </references>
      </pivotArea>
    </chartFormat>
    <chartFormat chart="0" format="920">
      <pivotArea type="data" outline="0" fieldPosition="0">
        <references count="3">
          <reference field="4294967294" count="1" selected="0">
            <x v="2"/>
          </reference>
          <reference field="0" count="1" selected="0">
            <x v="9"/>
          </reference>
          <reference field="1" count="1" selected="0">
            <x v="4"/>
          </reference>
        </references>
      </pivotArea>
    </chartFormat>
    <chartFormat chart="0" format="921">
      <pivotArea type="data" outline="0" fieldPosition="0">
        <references count="3">
          <reference field="4294967294" count="1" selected="0">
            <x v="2"/>
          </reference>
          <reference field="0" count="1" selected="0">
            <x v="9"/>
          </reference>
          <reference field="1" count="1" selected="0">
            <x v="5"/>
          </reference>
        </references>
      </pivotArea>
    </chartFormat>
    <chartFormat chart="0" format="922">
      <pivotArea type="data" outline="0" fieldPosition="0">
        <references count="3">
          <reference field="4294967294" count="1" selected="0">
            <x v="2"/>
          </reference>
          <reference field="0" count="1" selected="0">
            <x v="9"/>
          </reference>
          <reference field="1" count="1" selected="0">
            <x v="6"/>
          </reference>
        </references>
      </pivotArea>
    </chartFormat>
    <chartFormat chart="0" format="923">
      <pivotArea type="data" outline="0" fieldPosition="0">
        <references count="3">
          <reference field="4294967294" count="1" selected="0">
            <x v="2"/>
          </reference>
          <reference field="0" count="1" selected="0">
            <x v="9"/>
          </reference>
          <reference field="1" count="1" selected="0">
            <x v="7"/>
          </reference>
        </references>
      </pivotArea>
    </chartFormat>
    <chartFormat chart="0" format="924">
      <pivotArea type="data" outline="0" fieldPosition="0">
        <references count="3">
          <reference field="4294967294" count="1" selected="0">
            <x v="2"/>
          </reference>
          <reference field="0" count="1" selected="0">
            <x v="9"/>
          </reference>
          <reference field="1" count="1" selected="0">
            <x v="8"/>
          </reference>
        </references>
      </pivotArea>
    </chartFormat>
    <chartFormat chart="0" format="925">
      <pivotArea type="data" outline="0" fieldPosition="0">
        <references count="3">
          <reference field="4294967294" count="1" selected="0">
            <x v="2"/>
          </reference>
          <reference field="0" count="1" selected="0">
            <x v="9"/>
          </reference>
          <reference field="1" count="1" selected="0">
            <x v="9"/>
          </reference>
        </references>
      </pivotArea>
    </chartFormat>
    <chartFormat chart="0" format="926">
      <pivotArea type="data" outline="0" fieldPosition="0">
        <references count="3">
          <reference field="4294967294" count="1" selected="0">
            <x v="2"/>
          </reference>
          <reference field="0" count="1" selected="0">
            <x v="9"/>
          </reference>
          <reference field="1" count="1" selected="0">
            <x v="10"/>
          </reference>
        </references>
      </pivotArea>
    </chartFormat>
    <chartFormat chart="0" format="927">
      <pivotArea type="data" outline="0" fieldPosition="0">
        <references count="3">
          <reference field="4294967294" count="1" selected="0">
            <x v="2"/>
          </reference>
          <reference field="0" count="1" selected="0">
            <x v="9"/>
          </reference>
          <reference field="1" count="1" selected="0">
            <x v="11"/>
          </reference>
        </references>
      </pivotArea>
    </chartFormat>
    <chartFormat chart="0" format="928">
      <pivotArea type="data" outline="0" fieldPosition="0">
        <references count="3">
          <reference field="4294967294" count="1" selected="0">
            <x v="2"/>
          </reference>
          <reference field="0" count="1" selected="0">
            <x v="9"/>
          </reference>
          <reference field="1" count="1" selected="0">
            <x v="12"/>
          </reference>
        </references>
      </pivotArea>
    </chartFormat>
    <chartFormat chart="0" format="929">
      <pivotArea type="data" outline="0" fieldPosition="0">
        <references count="3">
          <reference field="4294967294" count="1" selected="0">
            <x v="2"/>
          </reference>
          <reference field="0" count="1" selected="0">
            <x v="9"/>
          </reference>
          <reference field="1" count="1" selected="0">
            <x v="13"/>
          </reference>
        </references>
      </pivotArea>
    </chartFormat>
    <chartFormat chart="0" format="930">
      <pivotArea type="data" outline="0" fieldPosition="0">
        <references count="3">
          <reference field="4294967294" count="1" selected="0">
            <x v="2"/>
          </reference>
          <reference field="0" count="1" selected="0">
            <x v="9"/>
          </reference>
          <reference field="1" count="1" selected="0">
            <x v="14"/>
          </reference>
        </references>
      </pivotArea>
    </chartFormat>
    <chartFormat chart="0" format="931">
      <pivotArea type="data" outline="0" fieldPosition="0">
        <references count="3">
          <reference field="4294967294" count="1" selected="0">
            <x v="2"/>
          </reference>
          <reference field="0" count="1" selected="0">
            <x v="9"/>
          </reference>
          <reference field="1" count="1" selected="0">
            <x v="15"/>
          </reference>
        </references>
      </pivotArea>
    </chartFormat>
    <chartFormat chart="0" format="932">
      <pivotArea type="data" outline="0" fieldPosition="0">
        <references count="3">
          <reference field="4294967294" count="1" selected="0">
            <x v="2"/>
          </reference>
          <reference field="0" count="1" selected="0">
            <x v="9"/>
          </reference>
          <reference field="1" count="1" selected="0">
            <x v="16"/>
          </reference>
        </references>
      </pivotArea>
    </chartFormat>
    <chartFormat chart="0" format="933">
      <pivotArea type="data" outline="0" fieldPosition="0">
        <references count="3">
          <reference field="4294967294" count="1" selected="0">
            <x v="2"/>
          </reference>
          <reference field="0" count="1" selected="0">
            <x v="9"/>
          </reference>
          <reference field="1" count="1" selected="0">
            <x v="17"/>
          </reference>
        </references>
      </pivotArea>
    </chartFormat>
    <chartFormat chart="0" format="934">
      <pivotArea type="data" outline="0" fieldPosition="0">
        <references count="3">
          <reference field="4294967294" count="1" selected="0">
            <x v="2"/>
          </reference>
          <reference field="0" count="1" selected="0">
            <x v="9"/>
          </reference>
          <reference field="1" count="1" selected="0">
            <x v="18"/>
          </reference>
        </references>
      </pivotArea>
    </chartFormat>
    <chartFormat chart="0" format="935">
      <pivotArea type="data" outline="0" fieldPosition="0">
        <references count="3">
          <reference field="4294967294" count="1" selected="0">
            <x v="2"/>
          </reference>
          <reference field="0" count="1" selected="0">
            <x v="9"/>
          </reference>
          <reference field="1" count="1" selected="0">
            <x v="19"/>
          </reference>
        </references>
      </pivotArea>
    </chartFormat>
    <chartFormat chart="0" format="936">
      <pivotArea type="data" outline="0" fieldPosition="0">
        <references count="3">
          <reference field="4294967294" count="1" selected="0">
            <x v="2"/>
          </reference>
          <reference field="0" count="1" selected="0">
            <x v="9"/>
          </reference>
          <reference field="1" count="1" selected="0">
            <x v="20"/>
          </reference>
        </references>
      </pivotArea>
    </chartFormat>
    <chartFormat chart="0" format="937">
      <pivotArea type="data" outline="0" fieldPosition="0">
        <references count="3">
          <reference field="4294967294" count="1" selected="0">
            <x v="2"/>
          </reference>
          <reference field="0" count="1" selected="0">
            <x v="9"/>
          </reference>
          <reference field="1" count="1" selected="0">
            <x v="21"/>
          </reference>
        </references>
      </pivotArea>
    </chartFormat>
    <chartFormat chart="0" format="938">
      <pivotArea type="data" outline="0" fieldPosition="0">
        <references count="3">
          <reference field="4294967294" count="1" selected="0">
            <x v="2"/>
          </reference>
          <reference field="0" count="1" selected="0">
            <x v="9"/>
          </reference>
          <reference field="1" count="1" selected="0">
            <x v="23"/>
          </reference>
        </references>
      </pivotArea>
    </chartFormat>
    <chartFormat chart="0" format="939">
      <pivotArea type="data" outline="0" fieldPosition="0">
        <references count="3">
          <reference field="4294967294" count="1" selected="0">
            <x v="2"/>
          </reference>
          <reference field="0" count="1" selected="0">
            <x v="9"/>
          </reference>
          <reference field="1" count="1" selected="0">
            <x v="25"/>
          </reference>
        </references>
      </pivotArea>
    </chartFormat>
    <chartFormat chart="0" format="940">
      <pivotArea type="data" outline="0" fieldPosition="0">
        <references count="3">
          <reference field="4294967294" count="1" selected="0">
            <x v="2"/>
          </reference>
          <reference field="0" count="1" selected="0">
            <x v="9"/>
          </reference>
          <reference field="1" count="1" selected="0">
            <x v="27"/>
          </reference>
        </references>
      </pivotArea>
    </chartFormat>
    <chartFormat chart="0" format="941">
      <pivotArea type="data" outline="0" fieldPosition="0">
        <references count="3">
          <reference field="4294967294" count="1" selected="0">
            <x v="2"/>
          </reference>
          <reference field="0" count="1" selected="0">
            <x v="9"/>
          </reference>
          <reference field="1" count="1" selected="0">
            <x v="29"/>
          </reference>
        </references>
      </pivotArea>
    </chartFormat>
    <chartFormat chart="0" format="942">
      <pivotArea type="data" outline="0" fieldPosition="0">
        <references count="3">
          <reference field="4294967294" count="1" selected="0">
            <x v="2"/>
          </reference>
          <reference field="0" count="1" selected="0">
            <x v="9"/>
          </reference>
          <reference field="1" count="1" selected="0">
            <x v="31"/>
          </reference>
        </references>
      </pivotArea>
    </chartFormat>
    <chartFormat chart="0" format="943">
      <pivotArea type="data" outline="0" fieldPosition="0">
        <references count="3">
          <reference field="4294967294" count="1" selected="0">
            <x v="2"/>
          </reference>
          <reference field="0" count="1" selected="0">
            <x v="9"/>
          </reference>
          <reference field="1" count="1" selected="0">
            <x v="33"/>
          </reference>
        </references>
      </pivotArea>
    </chartFormat>
    <chartFormat chart="0" format="944">
      <pivotArea type="data" outline="0" fieldPosition="0">
        <references count="3">
          <reference field="4294967294" count="1" selected="0">
            <x v="2"/>
          </reference>
          <reference field="0" count="1" selected="0">
            <x v="9"/>
          </reference>
          <reference field="1" count="1" selected="0">
            <x v="35"/>
          </reference>
        </references>
      </pivotArea>
    </chartFormat>
    <chartFormat chart="0" format="945">
      <pivotArea type="data" outline="0" fieldPosition="0">
        <references count="3">
          <reference field="4294967294" count="1" selected="0">
            <x v="2"/>
          </reference>
          <reference field="0" count="1" selected="0">
            <x v="9"/>
          </reference>
          <reference field="1" count="1" selected="0">
            <x v="37"/>
          </reference>
        </references>
      </pivotArea>
    </chartFormat>
    <chartFormat chart="0" format="946">
      <pivotArea type="data" outline="0" fieldPosition="0">
        <references count="3">
          <reference field="4294967294" count="1" selected="0">
            <x v="2"/>
          </reference>
          <reference field="0" count="1" selected="0">
            <x v="9"/>
          </reference>
          <reference field="1" count="1" selected="0">
            <x v="39"/>
          </reference>
        </references>
      </pivotArea>
    </chartFormat>
    <chartFormat chart="0" format="947">
      <pivotArea type="data" outline="0" fieldPosition="0">
        <references count="3">
          <reference field="4294967294" count="1" selected="0">
            <x v="2"/>
          </reference>
          <reference field="0" count="1" selected="0">
            <x v="9"/>
          </reference>
          <reference field="1" count="1" selected="0">
            <x v="41"/>
          </reference>
        </references>
      </pivotArea>
    </chartFormat>
    <chartFormat chart="0" format="948">
      <pivotArea type="data" outline="0" fieldPosition="0">
        <references count="3">
          <reference field="4294967294" count="1" selected="0">
            <x v="2"/>
          </reference>
          <reference field="0" count="1" selected="0">
            <x v="9"/>
          </reference>
          <reference field="1" count="1" selected="0">
            <x v="43"/>
          </reference>
        </references>
      </pivotArea>
    </chartFormat>
    <chartFormat chart="0" format="949">
      <pivotArea type="data" outline="0" fieldPosition="0">
        <references count="3">
          <reference field="4294967294" count="1" selected="0">
            <x v="2"/>
          </reference>
          <reference field="0" count="1" selected="0">
            <x v="9"/>
          </reference>
          <reference field="1" count="1" selected="0">
            <x v="45"/>
          </reference>
        </references>
      </pivotArea>
    </chartFormat>
    <chartFormat chart="0" format="950">
      <pivotArea type="data" outline="0" fieldPosition="0">
        <references count="3">
          <reference field="4294967294" count="1" selected="0">
            <x v="2"/>
          </reference>
          <reference field="0" count="1" selected="0">
            <x v="9"/>
          </reference>
          <reference field="1" count="1" selected="0">
            <x v="47"/>
          </reference>
        </references>
      </pivotArea>
    </chartFormat>
    <chartFormat chart="0" format="951">
      <pivotArea type="data" outline="0" fieldPosition="0">
        <references count="3">
          <reference field="4294967294" count="1" selected="0">
            <x v="2"/>
          </reference>
          <reference field="0" count="1" selected="0">
            <x v="9"/>
          </reference>
          <reference field="1" count="1" selected="0">
            <x v="49"/>
          </reference>
        </references>
      </pivotArea>
    </chartFormat>
    <chartFormat chart="0" format="952">
      <pivotArea type="data" outline="0" fieldPosition="0">
        <references count="3">
          <reference field="4294967294" count="1" selected="0">
            <x v="2"/>
          </reference>
          <reference field="0" count="1" selected="0">
            <x v="9"/>
          </reference>
          <reference field="1" count="1" selected="0">
            <x v="51"/>
          </reference>
        </references>
      </pivotArea>
    </chartFormat>
    <chartFormat chart="0" format="953">
      <pivotArea type="data" outline="0" fieldPosition="0">
        <references count="3">
          <reference field="4294967294" count="1" selected="0">
            <x v="2"/>
          </reference>
          <reference field="0" count="1" selected="0">
            <x v="9"/>
          </reference>
          <reference field="1" count="1" selected="0">
            <x v="53"/>
          </reference>
        </references>
      </pivotArea>
    </chartFormat>
    <chartFormat chart="0" format="954">
      <pivotArea type="data" outline="0" fieldPosition="0">
        <references count="3">
          <reference field="4294967294" count="1" selected="0">
            <x v="2"/>
          </reference>
          <reference field="0" count="1" selected="0">
            <x v="9"/>
          </reference>
          <reference field="1" count="1" selected="0">
            <x v="55"/>
          </reference>
        </references>
      </pivotArea>
    </chartFormat>
    <chartFormat chart="0" format="955">
      <pivotArea type="data" outline="0" fieldPosition="0">
        <references count="3">
          <reference field="4294967294" count="1" selected="0">
            <x v="2"/>
          </reference>
          <reference field="0" count="1" selected="0">
            <x v="9"/>
          </reference>
          <reference field="1" count="1" selected="0">
            <x v="57"/>
          </reference>
        </references>
      </pivotArea>
    </chartFormat>
    <chartFormat chart="0" format="956">
      <pivotArea type="data" outline="0" fieldPosition="0">
        <references count="3">
          <reference field="4294967294" count="1" selected="0">
            <x v="2"/>
          </reference>
          <reference field="0" count="1" selected="0">
            <x v="9"/>
          </reference>
          <reference field="1" count="1" selected="0">
            <x v="59"/>
          </reference>
        </references>
      </pivotArea>
    </chartFormat>
    <chartFormat chart="0" format="957">
      <pivotArea type="data" outline="0" fieldPosition="0">
        <references count="3">
          <reference field="4294967294" count="1" selected="0">
            <x v="2"/>
          </reference>
          <reference field="0" count="1" selected="0">
            <x v="9"/>
          </reference>
          <reference field="1" count="1" selected="0">
            <x v="61"/>
          </reference>
        </references>
      </pivotArea>
    </chartFormat>
    <chartFormat chart="0" format="958">
      <pivotArea type="data" outline="0" fieldPosition="0">
        <references count="3">
          <reference field="4294967294" count="1" selected="0">
            <x v="2"/>
          </reference>
          <reference field="0" count="1" selected="0">
            <x v="9"/>
          </reference>
          <reference field="1" count="1" selected="0">
            <x v="63"/>
          </reference>
        </references>
      </pivotArea>
    </chartFormat>
    <chartFormat chart="0" format="959">
      <pivotArea type="data" outline="0" fieldPosition="0">
        <references count="3">
          <reference field="4294967294" count="1" selected="0">
            <x v="2"/>
          </reference>
          <reference field="0" count="1" selected="0">
            <x v="9"/>
          </reference>
          <reference field="1" count="1" selected="0">
            <x v="65"/>
          </reference>
        </references>
      </pivotArea>
    </chartFormat>
    <chartFormat chart="0" format="960">
      <pivotArea type="data" outline="0" fieldPosition="0">
        <references count="3">
          <reference field="4294967294" count="1" selected="0">
            <x v="2"/>
          </reference>
          <reference field="0" count="1" selected="0">
            <x v="9"/>
          </reference>
          <reference field="1" count="1" selected="0">
            <x v="67"/>
          </reference>
        </references>
      </pivotArea>
    </chartFormat>
    <chartFormat chart="0" format="961">
      <pivotArea type="data" outline="0" fieldPosition="0">
        <references count="3">
          <reference field="4294967294" count="1" selected="0">
            <x v="2"/>
          </reference>
          <reference field="0" count="1" selected="0">
            <x v="9"/>
          </reference>
          <reference field="1" count="1" selected="0">
            <x v="69"/>
          </reference>
        </references>
      </pivotArea>
    </chartFormat>
    <chartFormat chart="0" format="962">
      <pivotArea type="data" outline="0" fieldPosition="0">
        <references count="3">
          <reference field="4294967294" count="1" selected="0">
            <x v="2"/>
          </reference>
          <reference field="0" count="1" selected="0">
            <x v="9"/>
          </reference>
          <reference field="1" count="1" selected="0">
            <x v="70"/>
          </reference>
        </references>
      </pivotArea>
    </chartFormat>
    <chartFormat chart="0" format="963">
      <pivotArea type="data" outline="0" fieldPosition="0">
        <references count="3">
          <reference field="4294967294" count="1" selected="0">
            <x v="2"/>
          </reference>
          <reference field="0" count="1" selected="0">
            <x v="9"/>
          </reference>
          <reference field="1" count="1" selected="0">
            <x v="71"/>
          </reference>
        </references>
      </pivotArea>
    </chartFormat>
    <chartFormat chart="0" format="964">
      <pivotArea type="data" outline="0" fieldPosition="0">
        <references count="3">
          <reference field="4294967294" count="1" selected="0">
            <x v="2"/>
          </reference>
          <reference field="0" count="1" selected="0">
            <x v="9"/>
          </reference>
          <reference field="1" count="1" selected="0">
            <x v="73"/>
          </reference>
        </references>
      </pivotArea>
    </chartFormat>
    <chartFormat chart="0" format="965">
      <pivotArea type="data" outline="0" fieldPosition="0">
        <references count="3">
          <reference field="4294967294" count="1" selected="0">
            <x v="2"/>
          </reference>
          <reference field="0" count="1" selected="0">
            <x v="10"/>
          </reference>
          <reference field="1" count="1" selected="0">
            <x v="1"/>
          </reference>
        </references>
      </pivotArea>
    </chartFormat>
    <chartFormat chart="0" format="966">
      <pivotArea type="data" outline="0" fieldPosition="0">
        <references count="3">
          <reference field="4294967294" count="1" selected="0">
            <x v="2"/>
          </reference>
          <reference field="0" count="1" selected="0">
            <x v="10"/>
          </reference>
          <reference field="1" count="1" selected="0">
            <x v="2"/>
          </reference>
        </references>
      </pivotArea>
    </chartFormat>
    <chartFormat chart="0" format="967">
      <pivotArea type="data" outline="0" fieldPosition="0">
        <references count="3">
          <reference field="4294967294" count="1" selected="0">
            <x v="2"/>
          </reference>
          <reference field="0" count="1" selected="0">
            <x v="10"/>
          </reference>
          <reference field="1" count="1" selected="0">
            <x v="3"/>
          </reference>
        </references>
      </pivotArea>
    </chartFormat>
    <chartFormat chart="0" format="968">
      <pivotArea type="data" outline="0" fieldPosition="0">
        <references count="3">
          <reference field="4294967294" count="1" selected="0">
            <x v="2"/>
          </reference>
          <reference field="0" count="1" selected="0">
            <x v="10"/>
          </reference>
          <reference field="1" count="1" selected="0">
            <x v="4"/>
          </reference>
        </references>
      </pivotArea>
    </chartFormat>
    <chartFormat chart="0" format="969">
      <pivotArea type="data" outline="0" fieldPosition="0">
        <references count="3">
          <reference field="4294967294" count="1" selected="0">
            <x v="2"/>
          </reference>
          <reference field="0" count="1" selected="0">
            <x v="10"/>
          </reference>
          <reference field="1" count="1" selected="0">
            <x v="5"/>
          </reference>
        </references>
      </pivotArea>
    </chartFormat>
    <chartFormat chart="0" format="970">
      <pivotArea type="data" outline="0" fieldPosition="0">
        <references count="3">
          <reference field="4294967294" count="1" selected="0">
            <x v="2"/>
          </reference>
          <reference field="0" count="1" selected="0">
            <x v="10"/>
          </reference>
          <reference field="1" count="1" selected="0">
            <x v="6"/>
          </reference>
        </references>
      </pivotArea>
    </chartFormat>
    <chartFormat chart="0" format="971">
      <pivotArea type="data" outline="0" fieldPosition="0">
        <references count="3">
          <reference field="4294967294" count="1" selected="0">
            <x v="2"/>
          </reference>
          <reference field="0" count="1" selected="0">
            <x v="10"/>
          </reference>
          <reference field="1" count="1" selected="0">
            <x v="7"/>
          </reference>
        </references>
      </pivotArea>
    </chartFormat>
    <chartFormat chart="0" format="972">
      <pivotArea type="data" outline="0" fieldPosition="0">
        <references count="3">
          <reference field="4294967294" count="1" selected="0">
            <x v="2"/>
          </reference>
          <reference field="0" count="1" selected="0">
            <x v="10"/>
          </reference>
          <reference field="1" count="1" selected="0">
            <x v="8"/>
          </reference>
        </references>
      </pivotArea>
    </chartFormat>
    <chartFormat chart="0" format="973">
      <pivotArea type="data" outline="0" fieldPosition="0">
        <references count="3">
          <reference field="4294967294" count="1" selected="0">
            <x v="2"/>
          </reference>
          <reference field="0" count="1" selected="0">
            <x v="10"/>
          </reference>
          <reference field="1" count="1" selected="0">
            <x v="9"/>
          </reference>
        </references>
      </pivotArea>
    </chartFormat>
    <chartFormat chart="0" format="974">
      <pivotArea type="data" outline="0" fieldPosition="0">
        <references count="3">
          <reference field="4294967294" count="1" selected="0">
            <x v="2"/>
          </reference>
          <reference field="0" count="1" selected="0">
            <x v="10"/>
          </reference>
          <reference field="1" count="1" selected="0">
            <x v="10"/>
          </reference>
        </references>
      </pivotArea>
    </chartFormat>
    <chartFormat chart="0" format="975">
      <pivotArea type="data" outline="0" fieldPosition="0">
        <references count="3">
          <reference field="4294967294" count="1" selected="0">
            <x v="2"/>
          </reference>
          <reference field="0" count="1" selected="0">
            <x v="10"/>
          </reference>
          <reference field="1" count="1" selected="0">
            <x v="11"/>
          </reference>
        </references>
      </pivotArea>
    </chartFormat>
    <chartFormat chart="0" format="976">
      <pivotArea type="data" outline="0" fieldPosition="0">
        <references count="3">
          <reference field="4294967294" count="1" selected="0">
            <x v="2"/>
          </reference>
          <reference field="0" count="1" selected="0">
            <x v="10"/>
          </reference>
          <reference field="1" count="1" selected="0">
            <x v="12"/>
          </reference>
        </references>
      </pivotArea>
    </chartFormat>
    <chartFormat chart="0" format="977">
      <pivotArea type="data" outline="0" fieldPosition="0">
        <references count="3">
          <reference field="4294967294" count="1" selected="0">
            <x v="2"/>
          </reference>
          <reference field="0" count="1" selected="0">
            <x v="10"/>
          </reference>
          <reference field="1" count="1" selected="0">
            <x v="13"/>
          </reference>
        </references>
      </pivotArea>
    </chartFormat>
    <chartFormat chart="0" format="978">
      <pivotArea type="data" outline="0" fieldPosition="0">
        <references count="3">
          <reference field="4294967294" count="1" selected="0">
            <x v="2"/>
          </reference>
          <reference field="0" count="1" selected="0">
            <x v="10"/>
          </reference>
          <reference field="1" count="1" selected="0">
            <x v="14"/>
          </reference>
        </references>
      </pivotArea>
    </chartFormat>
    <chartFormat chart="0" format="979">
      <pivotArea type="data" outline="0" fieldPosition="0">
        <references count="3">
          <reference field="4294967294" count="1" selected="0">
            <x v="2"/>
          </reference>
          <reference field="0" count="1" selected="0">
            <x v="10"/>
          </reference>
          <reference field="1" count="1" selected="0">
            <x v="15"/>
          </reference>
        </references>
      </pivotArea>
    </chartFormat>
    <chartFormat chart="0" format="980">
      <pivotArea type="data" outline="0" fieldPosition="0">
        <references count="3">
          <reference field="4294967294" count="1" selected="0">
            <x v="2"/>
          </reference>
          <reference field="0" count="1" selected="0">
            <x v="10"/>
          </reference>
          <reference field="1" count="1" selected="0">
            <x v="16"/>
          </reference>
        </references>
      </pivotArea>
    </chartFormat>
    <chartFormat chart="0" format="981">
      <pivotArea type="data" outline="0" fieldPosition="0">
        <references count="3">
          <reference field="4294967294" count="1" selected="0">
            <x v="2"/>
          </reference>
          <reference field="0" count="1" selected="0">
            <x v="10"/>
          </reference>
          <reference field="1" count="1" selected="0">
            <x v="17"/>
          </reference>
        </references>
      </pivotArea>
    </chartFormat>
    <chartFormat chart="0" format="982">
      <pivotArea type="data" outline="0" fieldPosition="0">
        <references count="3">
          <reference field="4294967294" count="1" selected="0">
            <x v="2"/>
          </reference>
          <reference field="0" count="1" selected="0">
            <x v="10"/>
          </reference>
          <reference field="1" count="1" selected="0">
            <x v="18"/>
          </reference>
        </references>
      </pivotArea>
    </chartFormat>
    <chartFormat chart="0" format="983">
      <pivotArea type="data" outline="0" fieldPosition="0">
        <references count="3">
          <reference field="4294967294" count="1" selected="0">
            <x v="2"/>
          </reference>
          <reference field="0" count="1" selected="0">
            <x v="10"/>
          </reference>
          <reference field="1" count="1" selected="0">
            <x v="19"/>
          </reference>
        </references>
      </pivotArea>
    </chartFormat>
    <chartFormat chart="0" format="984">
      <pivotArea type="data" outline="0" fieldPosition="0">
        <references count="3">
          <reference field="4294967294" count="1" selected="0">
            <x v="2"/>
          </reference>
          <reference field="0" count="1" selected="0">
            <x v="10"/>
          </reference>
          <reference field="1" count="1" selected="0">
            <x v="20"/>
          </reference>
        </references>
      </pivotArea>
    </chartFormat>
    <chartFormat chart="0" format="985">
      <pivotArea type="data" outline="0" fieldPosition="0">
        <references count="3">
          <reference field="4294967294" count="1" selected="0">
            <x v="2"/>
          </reference>
          <reference field="0" count="1" selected="0">
            <x v="10"/>
          </reference>
          <reference field="1" count="1" selected="0">
            <x v="21"/>
          </reference>
        </references>
      </pivotArea>
    </chartFormat>
    <chartFormat chart="0" format="986">
      <pivotArea type="data" outline="0" fieldPosition="0">
        <references count="3">
          <reference field="4294967294" count="1" selected="0">
            <x v="2"/>
          </reference>
          <reference field="0" count="1" selected="0">
            <x v="10"/>
          </reference>
          <reference field="1" count="1" selected="0">
            <x v="23"/>
          </reference>
        </references>
      </pivotArea>
    </chartFormat>
    <chartFormat chart="0" format="987">
      <pivotArea type="data" outline="0" fieldPosition="0">
        <references count="3">
          <reference field="4294967294" count="1" selected="0">
            <x v="2"/>
          </reference>
          <reference field="0" count="1" selected="0">
            <x v="10"/>
          </reference>
          <reference field="1" count="1" selected="0">
            <x v="25"/>
          </reference>
        </references>
      </pivotArea>
    </chartFormat>
    <chartFormat chart="0" format="988">
      <pivotArea type="data" outline="0" fieldPosition="0">
        <references count="3">
          <reference field="4294967294" count="1" selected="0">
            <x v="2"/>
          </reference>
          <reference field="0" count="1" selected="0">
            <x v="10"/>
          </reference>
          <reference field="1" count="1" selected="0">
            <x v="27"/>
          </reference>
        </references>
      </pivotArea>
    </chartFormat>
    <chartFormat chart="0" format="989">
      <pivotArea type="data" outline="0" fieldPosition="0">
        <references count="3">
          <reference field="4294967294" count="1" selected="0">
            <x v="2"/>
          </reference>
          <reference field="0" count="1" selected="0">
            <x v="10"/>
          </reference>
          <reference field="1" count="1" selected="0">
            <x v="29"/>
          </reference>
        </references>
      </pivotArea>
    </chartFormat>
    <chartFormat chart="0" format="990">
      <pivotArea type="data" outline="0" fieldPosition="0">
        <references count="3">
          <reference field="4294967294" count="1" selected="0">
            <x v="2"/>
          </reference>
          <reference field="0" count="1" selected="0">
            <x v="10"/>
          </reference>
          <reference field="1" count="1" selected="0">
            <x v="31"/>
          </reference>
        </references>
      </pivotArea>
    </chartFormat>
    <chartFormat chart="0" format="991">
      <pivotArea type="data" outline="0" fieldPosition="0">
        <references count="3">
          <reference field="4294967294" count="1" selected="0">
            <x v="2"/>
          </reference>
          <reference field="0" count="1" selected="0">
            <x v="10"/>
          </reference>
          <reference field="1" count="1" selected="0">
            <x v="33"/>
          </reference>
        </references>
      </pivotArea>
    </chartFormat>
    <chartFormat chart="0" format="992">
      <pivotArea type="data" outline="0" fieldPosition="0">
        <references count="3">
          <reference field="4294967294" count="1" selected="0">
            <x v="2"/>
          </reference>
          <reference field="0" count="1" selected="0">
            <x v="10"/>
          </reference>
          <reference field="1" count="1" selected="0">
            <x v="35"/>
          </reference>
        </references>
      </pivotArea>
    </chartFormat>
    <chartFormat chart="0" format="993">
      <pivotArea type="data" outline="0" fieldPosition="0">
        <references count="3">
          <reference field="4294967294" count="1" selected="0">
            <x v="2"/>
          </reference>
          <reference field="0" count="1" selected="0">
            <x v="10"/>
          </reference>
          <reference field="1" count="1" selected="0">
            <x v="37"/>
          </reference>
        </references>
      </pivotArea>
    </chartFormat>
    <chartFormat chart="0" format="994">
      <pivotArea type="data" outline="0" fieldPosition="0">
        <references count="3">
          <reference field="4294967294" count="1" selected="0">
            <x v="2"/>
          </reference>
          <reference field="0" count="1" selected="0">
            <x v="10"/>
          </reference>
          <reference field="1" count="1" selected="0">
            <x v="39"/>
          </reference>
        </references>
      </pivotArea>
    </chartFormat>
    <chartFormat chart="0" format="995">
      <pivotArea type="data" outline="0" fieldPosition="0">
        <references count="3">
          <reference field="4294967294" count="1" selected="0">
            <x v="2"/>
          </reference>
          <reference field="0" count="1" selected="0">
            <x v="10"/>
          </reference>
          <reference field="1" count="1" selected="0">
            <x v="41"/>
          </reference>
        </references>
      </pivotArea>
    </chartFormat>
    <chartFormat chart="0" format="996">
      <pivotArea type="data" outline="0" fieldPosition="0">
        <references count="3">
          <reference field="4294967294" count="1" selected="0">
            <x v="2"/>
          </reference>
          <reference field="0" count="1" selected="0">
            <x v="10"/>
          </reference>
          <reference field="1" count="1" selected="0">
            <x v="4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5"/>
          </reference>
        </references>
      </pivotArea>
    </chartFormat>
    <chartFormat chart="0" format="998">
      <pivotArea type="data" outline="0" fieldPosition="0">
        <references count="3">
          <reference field="4294967294" count="1" selected="0">
            <x v="2"/>
          </reference>
          <reference field="0" count="1" selected="0">
            <x v="10"/>
          </reference>
          <reference field="1" count="1" selected="0">
            <x v="47"/>
          </reference>
        </references>
      </pivotArea>
    </chartFormat>
    <chartFormat chart="0" format="999">
      <pivotArea type="data" outline="0" fieldPosition="0">
        <references count="3">
          <reference field="4294967294" count="1" selected="0">
            <x v="2"/>
          </reference>
          <reference field="0" count="1" selected="0">
            <x v="10"/>
          </reference>
          <reference field="1" count="1" selected="0">
            <x v="49"/>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1"/>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53"/>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55"/>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57"/>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59"/>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61"/>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6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65"/>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67"/>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11">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12">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6"/>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31">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32">
      <pivotArea type="data" outline="0" fieldPosition="0">
        <references count="3">
          <reference field="4294967294" count="1" selected="0">
            <x v="2"/>
          </reference>
          <reference field="0" count="1" selected="0">
            <x v="11"/>
          </reference>
          <reference field="1" count="1" selected="0">
            <x v="2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t.lvl3_generic_3"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6" firstHeaderRow="0" firstDataRow="1" firstDataCol="2" rowPageCount="5" colPageCount="1"/>
  <pivotFields count="13">
    <pivotField axis="axisRow" compact="0" outline="0" showAll="0" defaultSubtotal="0">
      <items count="12">
        <item x="0"/>
        <item m="1" x="5"/>
        <item m="1" x="9"/>
        <item x="1"/>
        <item x="2"/>
        <item m="1" x="11"/>
        <item m="1" x="6"/>
        <item m="1" x="7"/>
        <item m="1" x="3"/>
        <item m="1" x="8"/>
        <item m="1" x="4"/>
        <item m="1" x="10"/>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49">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1" baseItem="4"/>
  </dataFields>
  <chartFormats count="841">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23">
      <pivotArea type="data" outline="0" fieldPosition="0">
        <references count="1">
          <reference field="4294967294" count="1" selected="0">
            <x v="0"/>
          </reference>
        </references>
      </pivotArea>
    </chartFormat>
    <chartFormat chart="0" format="143" series="1">
      <pivotArea type="data" outline="0" fieldPosition="0">
        <references count="1">
          <reference field="4294967294" count="1" selected="0">
            <x v="2"/>
          </reference>
        </references>
      </pivotArea>
    </chartFormat>
    <chartFormat chart="0" format="144">
      <pivotArea type="data" outline="0" fieldPosition="0">
        <references count="1">
          <reference field="4294967294" count="1" selected="0">
            <x v="2"/>
          </reference>
        </references>
      </pivotArea>
    </chartFormat>
    <chartFormat chart="0" format="145">
      <pivotArea type="data" outline="0" fieldPosition="0">
        <references count="3">
          <reference field="4294967294" count="1" selected="0">
            <x v="0"/>
          </reference>
          <reference field="0" count="1" selected="0">
            <x v="0"/>
          </reference>
          <reference field="1" count="1" selected="0">
            <x v="0"/>
          </reference>
        </references>
      </pivotArea>
    </chartFormat>
    <chartFormat chart="0" format="146">
      <pivotArea type="data" outline="0" fieldPosition="0">
        <references count="3">
          <reference field="4294967294" count="1" selected="0">
            <x v="2"/>
          </reference>
          <reference field="0" count="1" selected="0">
            <x v="0"/>
          </reference>
          <reference field="1" count="1" selected="0">
            <x v="0"/>
          </reference>
        </references>
      </pivotArea>
    </chartFormat>
    <chartFormat chart="0" format="147">
      <pivotArea type="data" outline="0" fieldPosition="0">
        <references count="3">
          <reference field="4294967294" count="1" selected="0">
            <x v="0"/>
          </reference>
          <reference field="0" count="1" selected="0">
            <x v="1"/>
          </reference>
          <reference field="1" count="1" selected="0">
            <x v="1"/>
          </reference>
        </references>
      </pivotArea>
    </chartFormat>
    <chartFormat chart="0" format="148">
      <pivotArea type="data" outline="0" fieldPosition="0">
        <references count="3">
          <reference field="4294967294" count="1" selected="0">
            <x v="0"/>
          </reference>
          <reference field="0" count="1" selected="0">
            <x v="1"/>
          </reference>
          <reference field="1" count="1" selected="0">
            <x v="2"/>
          </reference>
        </references>
      </pivotArea>
    </chartFormat>
    <chartFormat chart="0" format="149">
      <pivotArea type="data" outline="0" fieldPosition="0">
        <references count="3">
          <reference field="4294967294" count="1" selected="0">
            <x v="2"/>
          </reference>
          <reference field="0" count="1" selected="0">
            <x v="1"/>
          </reference>
          <reference field="1" count="1" selected="0">
            <x v="1"/>
          </reference>
        </references>
      </pivotArea>
    </chartFormat>
    <chartFormat chart="0" format="150">
      <pivotArea type="data" outline="0" fieldPosition="0">
        <references count="3">
          <reference field="4294967294" count="1" selected="0">
            <x v="2"/>
          </reference>
          <reference field="0" count="1" selected="0">
            <x v="1"/>
          </reference>
          <reference field="1" count="1" selected="0">
            <x v="2"/>
          </reference>
        </references>
      </pivotArea>
    </chartFormat>
    <chartFormat chart="0" format="151">
      <pivotArea type="data" outline="0" fieldPosition="0">
        <references count="3">
          <reference field="4294967294" count="1" selected="0">
            <x v="0"/>
          </reference>
          <reference field="0" count="1" selected="0">
            <x v="2"/>
          </reference>
          <reference field="1" count="1" selected="0">
            <x v="3"/>
          </reference>
        </references>
      </pivotArea>
    </chartFormat>
    <chartFormat chart="0" format="152">
      <pivotArea type="data" outline="0" fieldPosition="0">
        <references count="3">
          <reference field="4294967294" count="1" selected="0">
            <x v="0"/>
          </reference>
          <reference field="0" count="1" selected="0">
            <x v="2"/>
          </reference>
          <reference field="1" count="1" selected="0">
            <x v="4"/>
          </reference>
        </references>
      </pivotArea>
    </chartFormat>
    <chartFormat chart="0" format="153">
      <pivotArea type="data" outline="0" fieldPosition="0">
        <references count="3">
          <reference field="4294967294" count="1" selected="0">
            <x v="0"/>
          </reference>
          <reference field="0" count="1" selected="0">
            <x v="2"/>
          </reference>
          <reference field="1" count="1" selected="0">
            <x v="5"/>
          </reference>
        </references>
      </pivotArea>
    </chartFormat>
    <chartFormat chart="0" format="154">
      <pivotArea type="data" outline="0" fieldPosition="0">
        <references count="3">
          <reference field="4294967294" count="1" selected="0">
            <x v="0"/>
          </reference>
          <reference field="0" count="1" selected="0">
            <x v="2"/>
          </reference>
          <reference field="1" count="1" selected="0">
            <x v="6"/>
          </reference>
        </references>
      </pivotArea>
    </chartFormat>
    <chartFormat chart="0" format="155">
      <pivotArea type="data" outline="0" fieldPosition="0">
        <references count="3">
          <reference field="4294967294" count="1" selected="0">
            <x v="0"/>
          </reference>
          <reference field="0" count="1" selected="0">
            <x v="2"/>
          </reference>
          <reference field="1" count="1" selected="0">
            <x v="7"/>
          </reference>
        </references>
      </pivotArea>
    </chartFormat>
    <chartFormat chart="0" format="156">
      <pivotArea type="data" outline="0" fieldPosition="0">
        <references count="3">
          <reference field="4294967294" count="1" selected="0">
            <x v="0"/>
          </reference>
          <reference field="0" count="1" selected="0">
            <x v="2"/>
          </reference>
          <reference field="1" count="1" selected="0">
            <x v="8"/>
          </reference>
        </references>
      </pivotArea>
    </chartFormat>
    <chartFormat chart="0" format="157">
      <pivotArea type="data" outline="0" fieldPosition="0">
        <references count="3">
          <reference field="4294967294" count="1" selected="0">
            <x v="0"/>
          </reference>
          <reference field="0" count="1" selected="0">
            <x v="2"/>
          </reference>
          <reference field="1" count="1" selected="0">
            <x v="9"/>
          </reference>
        </references>
      </pivotArea>
    </chartFormat>
    <chartFormat chart="0" format="158">
      <pivotArea type="data" outline="0" fieldPosition="0">
        <references count="3">
          <reference field="4294967294" count="1" selected="0">
            <x v="0"/>
          </reference>
          <reference field="0" count="1" selected="0">
            <x v="2"/>
          </reference>
          <reference field="1" count="1" selected="0">
            <x v="10"/>
          </reference>
        </references>
      </pivotArea>
    </chartFormat>
    <chartFormat chart="0" format="159">
      <pivotArea type="data" outline="0" fieldPosition="0">
        <references count="3">
          <reference field="4294967294" count="1" selected="0">
            <x v="0"/>
          </reference>
          <reference field="0" count="1" selected="0">
            <x v="2"/>
          </reference>
          <reference field="1" count="1" selected="0">
            <x v="11"/>
          </reference>
        </references>
      </pivotArea>
    </chartFormat>
    <chartFormat chart="0" format="160">
      <pivotArea type="data" outline="0" fieldPosition="0">
        <references count="3">
          <reference field="4294967294" count="1" selected="0">
            <x v="0"/>
          </reference>
          <reference field="0" count="1" selected="0">
            <x v="2"/>
          </reference>
          <reference field="1" count="1" selected="0">
            <x v="12"/>
          </reference>
        </references>
      </pivotArea>
    </chartFormat>
    <chartFormat chart="0" format="161">
      <pivotArea type="data" outline="0" fieldPosition="0">
        <references count="3">
          <reference field="4294967294" count="1" selected="0">
            <x v="0"/>
          </reference>
          <reference field="0" count="1" selected="0">
            <x v="2"/>
          </reference>
          <reference field="1" count="1" selected="0">
            <x v="13"/>
          </reference>
        </references>
      </pivotArea>
    </chartFormat>
    <chartFormat chart="0" format="162">
      <pivotArea type="data" outline="0" fieldPosition="0">
        <references count="3">
          <reference field="4294967294" count="1" selected="0">
            <x v="0"/>
          </reference>
          <reference field="0" count="1" selected="0">
            <x v="2"/>
          </reference>
          <reference field="1" count="1" selected="0">
            <x v="14"/>
          </reference>
        </references>
      </pivotArea>
    </chartFormat>
    <chartFormat chart="0" format="163">
      <pivotArea type="data" outline="0" fieldPosition="0">
        <references count="3">
          <reference field="4294967294" count="1" selected="0">
            <x v="0"/>
          </reference>
          <reference field="0" count="1" selected="0">
            <x v="2"/>
          </reference>
          <reference field="1" count="1" selected="0">
            <x v="15"/>
          </reference>
        </references>
      </pivotArea>
    </chartFormat>
    <chartFormat chart="0" format="164">
      <pivotArea type="data" outline="0" fieldPosition="0">
        <references count="3">
          <reference field="4294967294" count="1" selected="0">
            <x v="0"/>
          </reference>
          <reference field="0" count="1" selected="0">
            <x v="2"/>
          </reference>
          <reference field="1" count="1" selected="0">
            <x v="16"/>
          </reference>
        </references>
      </pivotArea>
    </chartFormat>
    <chartFormat chart="0" format="165">
      <pivotArea type="data" outline="0" fieldPosition="0">
        <references count="3">
          <reference field="4294967294" count="1" selected="0">
            <x v="0"/>
          </reference>
          <reference field="0" count="1" selected="0">
            <x v="2"/>
          </reference>
          <reference field="1" count="1" selected="0">
            <x v="17"/>
          </reference>
        </references>
      </pivotArea>
    </chartFormat>
    <chartFormat chart="0" format="166">
      <pivotArea type="data" outline="0" fieldPosition="0">
        <references count="3">
          <reference field="4294967294" count="1" selected="0">
            <x v="0"/>
          </reference>
          <reference field="0" count="1" selected="0">
            <x v="2"/>
          </reference>
          <reference field="1" count="1" selected="0">
            <x v="18"/>
          </reference>
        </references>
      </pivotArea>
    </chartFormat>
    <chartFormat chart="0" format="167">
      <pivotArea type="data" outline="0" fieldPosition="0">
        <references count="3">
          <reference field="4294967294" count="1" selected="0">
            <x v="0"/>
          </reference>
          <reference field="0" count="1" selected="0">
            <x v="2"/>
          </reference>
          <reference field="1" count="1" selected="0">
            <x v="19"/>
          </reference>
        </references>
      </pivotArea>
    </chartFormat>
    <chartFormat chart="0" format="168">
      <pivotArea type="data" outline="0" fieldPosition="0">
        <references count="3">
          <reference field="4294967294" count="1" selected="0">
            <x v="0"/>
          </reference>
          <reference field="0" count="1" selected="0">
            <x v="2"/>
          </reference>
          <reference field="1" count="1" selected="0">
            <x v="20"/>
          </reference>
        </references>
      </pivotArea>
    </chartFormat>
    <chartFormat chart="0" format="169">
      <pivotArea type="data" outline="0" fieldPosition="0">
        <references count="3">
          <reference field="4294967294" count="1" selected="0">
            <x v="0"/>
          </reference>
          <reference field="0" count="1" selected="0">
            <x v="2"/>
          </reference>
          <reference field="1" count="1" selected="0">
            <x v="21"/>
          </reference>
        </references>
      </pivotArea>
    </chartFormat>
    <chartFormat chart="0" format="170">
      <pivotArea type="data" outline="0" fieldPosition="0">
        <references count="3">
          <reference field="4294967294" count="1" selected="0">
            <x v="0"/>
          </reference>
          <reference field="0" count="1" selected="0">
            <x v="2"/>
          </reference>
          <reference field="1" count="1" selected="0">
            <x v="22"/>
          </reference>
        </references>
      </pivotArea>
    </chartFormat>
    <chartFormat chart="0" format="171">
      <pivotArea type="data" outline="0" fieldPosition="0">
        <references count="3">
          <reference field="4294967294" count="1" selected="0">
            <x v="0"/>
          </reference>
          <reference field="0" count="1" selected="0">
            <x v="2"/>
          </reference>
          <reference field="1" count="1" selected="0">
            <x v="23"/>
          </reference>
        </references>
      </pivotArea>
    </chartFormat>
    <chartFormat chart="0" format="172">
      <pivotArea type="data" outline="0" fieldPosition="0">
        <references count="3">
          <reference field="4294967294" count="1" selected="0">
            <x v="0"/>
          </reference>
          <reference field="0" count="1" selected="0">
            <x v="2"/>
          </reference>
          <reference field="1" count="1" selected="0">
            <x v="24"/>
          </reference>
        </references>
      </pivotArea>
    </chartFormat>
    <chartFormat chart="0" format="173">
      <pivotArea type="data" outline="0" fieldPosition="0">
        <references count="3">
          <reference field="4294967294" count="1" selected="0">
            <x v="0"/>
          </reference>
          <reference field="0" count="1" selected="0">
            <x v="2"/>
          </reference>
          <reference field="1" count="1" selected="0">
            <x v="25"/>
          </reference>
        </references>
      </pivotArea>
    </chartFormat>
    <chartFormat chart="0" format="174">
      <pivotArea type="data" outline="0" fieldPosition="0">
        <references count="3">
          <reference field="4294967294" count="1" selected="0">
            <x v="0"/>
          </reference>
          <reference field="0" count="1" selected="0">
            <x v="2"/>
          </reference>
          <reference field="1" count="1" selected="0">
            <x v="26"/>
          </reference>
        </references>
      </pivotArea>
    </chartFormat>
    <chartFormat chart="0" format="175">
      <pivotArea type="data" outline="0" fieldPosition="0">
        <references count="3">
          <reference field="4294967294" count="1" selected="0">
            <x v="2"/>
          </reference>
          <reference field="0" count="1" selected="0">
            <x v="2"/>
          </reference>
          <reference field="1" count="1" selected="0">
            <x v="3"/>
          </reference>
        </references>
      </pivotArea>
    </chartFormat>
    <chartFormat chart="0" format="176">
      <pivotArea type="data" outline="0" fieldPosition="0">
        <references count="3">
          <reference field="4294967294" count="1" selected="0">
            <x v="2"/>
          </reference>
          <reference field="0" count="1" selected="0">
            <x v="2"/>
          </reference>
          <reference field="1" count="1" selected="0">
            <x v="4"/>
          </reference>
        </references>
      </pivotArea>
    </chartFormat>
    <chartFormat chart="0" format="177">
      <pivotArea type="data" outline="0" fieldPosition="0">
        <references count="3">
          <reference field="4294967294" count="1" selected="0">
            <x v="2"/>
          </reference>
          <reference field="0" count="1" selected="0">
            <x v="2"/>
          </reference>
          <reference field="1" count="1" selected="0">
            <x v="5"/>
          </reference>
        </references>
      </pivotArea>
    </chartFormat>
    <chartFormat chart="0" format="178">
      <pivotArea type="data" outline="0" fieldPosition="0">
        <references count="3">
          <reference field="4294967294" count="1" selected="0">
            <x v="2"/>
          </reference>
          <reference field="0" count="1" selected="0">
            <x v="2"/>
          </reference>
          <reference field="1" count="1" selected="0">
            <x v="6"/>
          </reference>
        </references>
      </pivotArea>
    </chartFormat>
    <chartFormat chart="0" format="179">
      <pivotArea type="data" outline="0" fieldPosition="0">
        <references count="3">
          <reference field="4294967294" count="1" selected="0">
            <x v="2"/>
          </reference>
          <reference field="0" count="1" selected="0">
            <x v="2"/>
          </reference>
          <reference field="1" count="1" selected="0">
            <x v="7"/>
          </reference>
        </references>
      </pivotArea>
    </chartFormat>
    <chartFormat chart="0" format="180">
      <pivotArea type="data" outline="0" fieldPosition="0">
        <references count="3">
          <reference field="4294967294" count="1" selected="0">
            <x v="2"/>
          </reference>
          <reference field="0" count="1" selected="0">
            <x v="2"/>
          </reference>
          <reference field="1" count="1" selected="0">
            <x v="8"/>
          </reference>
        </references>
      </pivotArea>
    </chartFormat>
    <chartFormat chart="0" format="181">
      <pivotArea type="data" outline="0" fieldPosition="0">
        <references count="3">
          <reference field="4294967294" count="1" selected="0">
            <x v="2"/>
          </reference>
          <reference field="0" count="1" selected="0">
            <x v="2"/>
          </reference>
          <reference field="1" count="1" selected="0">
            <x v="9"/>
          </reference>
        </references>
      </pivotArea>
    </chartFormat>
    <chartFormat chart="0" format="182">
      <pivotArea type="data" outline="0" fieldPosition="0">
        <references count="3">
          <reference field="4294967294" count="1" selected="0">
            <x v="2"/>
          </reference>
          <reference field="0" count="1" selected="0">
            <x v="2"/>
          </reference>
          <reference field="1" count="1" selected="0">
            <x v="10"/>
          </reference>
        </references>
      </pivotArea>
    </chartFormat>
    <chartFormat chart="0" format="183">
      <pivotArea type="data" outline="0" fieldPosition="0">
        <references count="3">
          <reference field="4294967294" count="1" selected="0">
            <x v="2"/>
          </reference>
          <reference field="0" count="1" selected="0">
            <x v="2"/>
          </reference>
          <reference field="1" count="1" selected="0">
            <x v="11"/>
          </reference>
        </references>
      </pivotArea>
    </chartFormat>
    <chartFormat chart="0" format="184">
      <pivotArea type="data" outline="0" fieldPosition="0">
        <references count="3">
          <reference field="4294967294" count="1" selected="0">
            <x v="2"/>
          </reference>
          <reference field="0" count="1" selected="0">
            <x v="2"/>
          </reference>
          <reference field="1" count="1" selected="0">
            <x v="12"/>
          </reference>
        </references>
      </pivotArea>
    </chartFormat>
    <chartFormat chart="0" format="185">
      <pivotArea type="data" outline="0" fieldPosition="0">
        <references count="3">
          <reference field="4294967294" count="1" selected="0">
            <x v="2"/>
          </reference>
          <reference field="0" count="1" selected="0">
            <x v="2"/>
          </reference>
          <reference field="1" count="1" selected="0">
            <x v="13"/>
          </reference>
        </references>
      </pivotArea>
    </chartFormat>
    <chartFormat chart="0" format="186">
      <pivotArea type="data" outline="0" fieldPosition="0">
        <references count="3">
          <reference field="4294967294" count="1" selected="0">
            <x v="2"/>
          </reference>
          <reference field="0" count="1" selected="0">
            <x v="2"/>
          </reference>
          <reference field="1" count="1" selected="0">
            <x v="14"/>
          </reference>
        </references>
      </pivotArea>
    </chartFormat>
    <chartFormat chart="0" format="187">
      <pivotArea type="data" outline="0" fieldPosition="0">
        <references count="3">
          <reference field="4294967294" count="1" selected="0">
            <x v="2"/>
          </reference>
          <reference field="0" count="1" selected="0">
            <x v="2"/>
          </reference>
          <reference field="1" count="1" selected="0">
            <x v="15"/>
          </reference>
        </references>
      </pivotArea>
    </chartFormat>
    <chartFormat chart="0" format="188">
      <pivotArea type="data" outline="0" fieldPosition="0">
        <references count="3">
          <reference field="4294967294" count="1" selected="0">
            <x v="2"/>
          </reference>
          <reference field="0" count="1" selected="0">
            <x v="2"/>
          </reference>
          <reference field="1" count="1" selected="0">
            <x v="16"/>
          </reference>
        </references>
      </pivotArea>
    </chartFormat>
    <chartFormat chart="0" format="189">
      <pivotArea type="data" outline="0" fieldPosition="0">
        <references count="3">
          <reference field="4294967294" count="1" selected="0">
            <x v="2"/>
          </reference>
          <reference field="0" count="1" selected="0">
            <x v="2"/>
          </reference>
          <reference field="1" count="1" selected="0">
            <x v="17"/>
          </reference>
        </references>
      </pivotArea>
    </chartFormat>
    <chartFormat chart="0" format="190">
      <pivotArea type="data" outline="0" fieldPosition="0">
        <references count="3">
          <reference field="4294967294" count="1" selected="0">
            <x v="2"/>
          </reference>
          <reference field="0" count="1" selected="0">
            <x v="2"/>
          </reference>
          <reference field="1" count="1" selected="0">
            <x v="18"/>
          </reference>
        </references>
      </pivotArea>
    </chartFormat>
    <chartFormat chart="0" format="191">
      <pivotArea type="data" outline="0" fieldPosition="0">
        <references count="3">
          <reference field="4294967294" count="1" selected="0">
            <x v="2"/>
          </reference>
          <reference field="0" count="1" selected="0">
            <x v="2"/>
          </reference>
          <reference field="1" count="1" selected="0">
            <x v="19"/>
          </reference>
        </references>
      </pivotArea>
    </chartFormat>
    <chartFormat chart="0" format="192">
      <pivotArea type="data" outline="0" fieldPosition="0">
        <references count="3">
          <reference field="4294967294" count="1" selected="0">
            <x v="2"/>
          </reference>
          <reference field="0" count="1" selected="0">
            <x v="2"/>
          </reference>
          <reference field="1" count="1" selected="0">
            <x v="20"/>
          </reference>
        </references>
      </pivotArea>
    </chartFormat>
    <chartFormat chart="0" format="193">
      <pivotArea type="data" outline="0" fieldPosition="0">
        <references count="3">
          <reference field="4294967294" count="1" selected="0">
            <x v="2"/>
          </reference>
          <reference field="0" count="1" selected="0">
            <x v="2"/>
          </reference>
          <reference field="1" count="1" selected="0">
            <x v="21"/>
          </reference>
        </references>
      </pivotArea>
    </chartFormat>
    <chartFormat chart="0" format="194">
      <pivotArea type="data" outline="0" fieldPosition="0">
        <references count="3">
          <reference field="4294967294" count="1" selected="0">
            <x v="2"/>
          </reference>
          <reference field="0" count="1" selected="0">
            <x v="2"/>
          </reference>
          <reference field="1" count="1" selected="0">
            <x v="22"/>
          </reference>
        </references>
      </pivotArea>
    </chartFormat>
    <chartFormat chart="0" format="195">
      <pivotArea type="data" outline="0" fieldPosition="0">
        <references count="3">
          <reference field="4294967294" count="1" selected="0">
            <x v="2"/>
          </reference>
          <reference field="0" count="1" selected="0">
            <x v="2"/>
          </reference>
          <reference field="1" count="1" selected="0">
            <x v="23"/>
          </reference>
        </references>
      </pivotArea>
    </chartFormat>
    <chartFormat chart="0" format="196">
      <pivotArea type="data" outline="0" fieldPosition="0">
        <references count="3">
          <reference field="4294967294" count="1" selected="0">
            <x v="2"/>
          </reference>
          <reference field="0" count="1" selected="0">
            <x v="2"/>
          </reference>
          <reference field="1" count="1" selected="0">
            <x v="24"/>
          </reference>
        </references>
      </pivotArea>
    </chartFormat>
    <chartFormat chart="0" format="197">
      <pivotArea type="data" outline="0" fieldPosition="0">
        <references count="3">
          <reference field="4294967294" count="1" selected="0">
            <x v="2"/>
          </reference>
          <reference field="0" count="1" selected="0">
            <x v="2"/>
          </reference>
          <reference field="1" count="1" selected="0">
            <x v="25"/>
          </reference>
        </references>
      </pivotArea>
    </chartFormat>
    <chartFormat chart="0" format="198">
      <pivotArea type="data" outline="0" fieldPosition="0">
        <references count="3">
          <reference field="4294967294" count="1" selected="0">
            <x v="2"/>
          </reference>
          <reference field="0" count="1" selected="0">
            <x v="2"/>
          </reference>
          <reference field="1" count="1" selected="0">
            <x v="26"/>
          </reference>
        </references>
      </pivotArea>
    </chartFormat>
    <chartFormat chart="0" format="199">
      <pivotArea type="data" outline="0" fieldPosition="0">
        <references count="3">
          <reference field="4294967294" count="1" selected="0">
            <x v="0"/>
          </reference>
          <reference field="0" count="1" selected="0">
            <x v="2"/>
          </reference>
          <reference field="1" count="1" selected="0">
            <x v="27"/>
          </reference>
        </references>
      </pivotArea>
    </chartFormat>
    <chartFormat chart="0" format="200">
      <pivotArea type="data" outline="0" fieldPosition="0">
        <references count="3">
          <reference field="4294967294" count="1" selected="0">
            <x v="0"/>
          </reference>
          <reference field="0" count="1" selected="0">
            <x v="2"/>
          </reference>
          <reference field="1" count="1" selected="0">
            <x v="28"/>
          </reference>
        </references>
      </pivotArea>
    </chartFormat>
    <chartFormat chart="0" format="201">
      <pivotArea type="data" outline="0" fieldPosition="0">
        <references count="3">
          <reference field="4294967294" count="1" selected="0">
            <x v="2"/>
          </reference>
          <reference field="0" count="1" selected="0">
            <x v="2"/>
          </reference>
          <reference field="1" count="1" selected="0">
            <x v="27"/>
          </reference>
        </references>
      </pivotArea>
    </chartFormat>
    <chartFormat chart="0" format="202">
      <pivotArea type="data" outline="0" fieldPosition="0">
        <references count="3">
          <reference field="4294967294" count="1" selected="0">
            <x v="2"/>
          </reference>
          <reference field="0" count="1" selected="0">
            <x v="2"/>
          </reference>
          <reference field="1" count="1" selected="0">
            <x v="28"/>
          </reference>
        </references>
      </pivotArea>
    </chartFormat>
    <chartFormat chart="0" format="203">
      <pivotArea type="data" outline="0" fieldPosition="0">
        <references count="3">
          <reference field="4294967294" count="1" selected="0">
            <x v="0"/>
          </reference>
          <reference field="0" count="1" selected="0">
            <x v="2"/>
          </reference>
          <reference field="1" count="1" selected="0">
            <x v="29"/>
          </reference>
        </references>
      </pivotArea>
    </chartFormat>
    <chartFormat chart="0" format="204">
      <pivotArea type="data" outline="0" fieldPosition="0">
        <references count="3">
          <reference field="4294967294" count="1" selected="0">
            <x v="0"/>
          </reference>
          <reference field="0" count="1" selected="0">
            <x v="2"/>
          </reference>
          <reference field="1" count="1" selected="0">
            <x v="30"/>
          </reference>
        </references>
      </pivotArea>
    </chartFormat>
    <chartFormat chart="0" format="205">
      <pivotArea type="data" outline="0" fieldPosition="0">
        <references count="3">
          <reference field="4294967294" count="1" selected="0">
            <x v="2"/>
          </reference>
          <reference field="0" count="1" selected="0">
            <x v="2"/>
          </reference>
          <reference field="1" count="1" selected="0">
            <x v="29"/>
          </reference>
        </references>
      </pivotArea>
    </chartFormat>
    <chartFormat chart="0" format="206">
      <pivotArea type="data" outline="0" fieldPosition="0">
        <references count="3">
          <reference field="4294967294" count="1" selected="0">
            <x v="2"/>
          </reference>
          <reference field="0" count="1" selected="0">
            <x v="2"/>
          </reference>
          <reference field="1" count="1" selected="0">
            <x v="30"/>
          </reference>
        </references>
      </pivotArea>
    </chartFormat>
    <chartFormat chart="0" format="207">
      <pivotArea type="data" outline="0" fieldPosition="0">
        <references count="3">
          <reference field="4294967294" count="1" selected="0">
            <x v="0"/>
          </reference>
          <reference field="0" count="1" selected="0">
            <x v="3"/>
          </reference>
          <reference field="1" count="1" selected="0">
            <x v="33"/>
          </reference>
        </references>
      </pivotArea>
    </chartFormat>
    <chartFormat chart="0" format="208">
      <pivotArea type="data" outline="0" fieldPosition="0">
        <references count="3">
          <reference field="4294967294" count="1" selected="0">
            <x v="0"/>
          </reference>
          <reference field="0" count="1" selected="0">
            <x v="3"/>
          </reference>
          <reference field="1" count="1" selected="0">
            <x v="34"/>
          </reference>
        </references>
      </pivotArea>
    </chartFormat>
    <chartFormat chart="0" format="209">
      <pivotArea type="data" outline="0" fieldPosition="0">
        <references count="3">
          <reference field="4294967294" count="1" selected="0">
            <x v="0"/>
          </reference>
          <reference field="0" count="1" selected="0">
            <x v="3"/>
          </reference>
          <reference field="1" count="1" selected="0">
            <x v="35"/>
          </reference>
        </references>
      </pivotArea>
    </chartFormat>
    <chartFormat chart="0" format="210">
      <pivotArea type="data" outline="0" fieldPosition="0">
        <references count="3">
          <reference field="4294967294" count="1" selected="0">
            <x v="0"/>
          </reference>
          <reference field="0" count="1" selected="0">
            <x v="3"/>
          </reference>
          <reference field="1" count="1" selected="0">
            <x v="36"/>
          </reference>
        </references>
      </pivotArea>
    </chartFormat>
    <chartFormat chart="0" format="211">
      <pivotArea type="data" outline="0" fieldPosition="0">
        <references count="3">
          <reference field="4294967294" count="1" selected="0">
            <x v="0"/>
          </reference>
          <reference field="0" count="1" selected="0">
            <x v="3"/>
          </reference>
          <reference field="1" count="1" selected="0">
            <x v="37"/>
          </reference>
        </references>
      </pivotArea>
    </chartFormat>
    <chartFormat chart="0" format="212">
      <pivotArea type="data" outline="0" fieldPosition="0">
        <references count="3">
          <reference field="4294967294" count="1" selected="0">
            <x v="0"/>
          </reference>
          <reference field="0" count="1" selected="0">
            <x v="3"/>
          </reference>
          <reference field="1" count="1" selected="0">
            <x v="38"/>
          </reference>
        </references>
      </pivotArea>
    </chartFormat>
    <chartFormat chart="0" format="213">
      <pivotArea type="data" outline="0" fieldPosition="0">
        <references count="3">
          <reference field="4294967294" count="1" selected="0">
            <x v="0"/>
          </reference>
          <reference field="0" count="1" selected="0">
            <x v="3"/>
          </reference>
          <reference field="1" count="1" selected="0">
            <x v="39"/>
          </reference>
        </references>
      </pivotArea>
    </chartFormat>
    <chartFormat chart="0" format="214">
      <pivotArea type="data" outline="0" fieldPosition="0">
        <references count="3">
          <reference field="4294967294" count="1" selected="0">
            <x v="0"/>
          </reference>
          <reference field="0" count="1" selected="0">
            <x v="3"/>
          </reference>
          <reference field="1" count="1" selected="0">
            <x v="40"/>
          </reference>
        </references>
      </pivotArea>
    </chartFormat>
    <chartFormat chart="0" format="215">
      <pivotArea type="data" outline="0" fieldPosition="0">
        <references count="3">
          <reference field="4294967294" count="1" selected="0">
            <x v="0"/>
          </reference>
          <reference field="0" count="1" selected="0">
            <x v="3"/>
          </reference>
          <reference field="1" count="1" selected="0">
            <x v="41"/>
          </reference>
        </references>
      </pivotArea>
    </chartFormat>
    <chartFormat chart="0" format="216">
      <pivotArea type="data" outline="0" fieldPosition="0">
        <references count="3">
          <reference field="4294967294" count="1" selected="0">
            <x v="0"/>
          </reference>
          <reference field="0" count="1" selected="0">
            <x v="3"/>
          </reference>
          <reference field="1" count="1" selected="0">
            <x v="42"/>
          </reference>
        </references>
      </pivotArea>
    </chartFormat>
    <chartFormat chart="0" format="217">
      <pivotArea type="data" outline="0" fieldPosition="0">
        <references count="3">
          <reference field="4294967294" count="1" selected="0">
            <x v="0"/>
          </reference>
          <reference field="0" count="1" selected="0">
            <x v="3"/>
          </reference>
          <reference field="1" count="1" selected="0">
            <x v="43"/>
          </reference>
        </references>
      </pivotArea>
    </chartFormat>
    <chartFormat chart="0" format="218">
      <pivotArea type="data" outline="0" fieldPosition="0">
        <references count="3">
          <reference field="4294967294" count="1" selected="0">
            <x v="0"/>
          </reference>
          <reference field="0" count="1" selected="0">
            <x v="3"/>
          </reference>
          <reference field="1" count="1" selected="0">
            <x v="44"/>
          </reference>
        </references>
      </pivotArea>
    </chartFormat>
    <chartFormat chart="0" format="219">
      <pivotArea type="data" outline="0" fieldPosition="0">
        <references count="3">
          <reference field="4294967294" count="1" selected="0">
            <x v="2"/>
          </reference>
          <reference field="0" count="1" selected="0">
            <x v="3"/>
          </reference>
          <reference field="1" count="1" selected="0">
            <x v="33"/>
          </reference>
        </references>
      </pivotArea>
    </chartFormat>
    <chartFormat chart="0" format="220">
      <pivotArea type="data" outline="0" fieldPosition="0">
        <references count="3">
          <reference field="4294967294" count="1" selected="0">
            <x v="2"/>
          </reference>
          <reference field="0" count="1" selected="0">
            <x v="3"/>
          </reference>
          <reference field="1" count="1" selected="0">
            <x v="34"/>
          </reference>
        </references>
      </pivotArea>
    </chartFormat>
    <chartFormat chart="0" format="221">
      <pivotArea type="data" outline="0" fieldPosition="0">
        <references count="3">
          <reference field="4294967294" count="1" selected="0">
            <x v="2"/>
          </reference>
          <reference field="0" count="1" selected="0">
            <x v="3"/>
          </reference>
          <reference field="1" count="1" selected="0">
            <x v="35"/>
          </reference>
        </references>
      </pivotArea>
    </chartFormat>
    <chartFormat chart="0" format="222">
      <pivotArea type="data" outline="0" fieldPosition="0">
        <references count="3">
          <reference field="4294967294" count="1" selected="0">
            <x v="2"/>
          </reference>
          <reference field="0" count="1" selected="0">
            <x v="3"/>
          </reference>
          <reference field="1" count="1" selected="0">
            <x v="36"/>
          </reference>
        </references>
      </pivotArea>
    </chartFormat>
    <chartFormat chart="0" format="223">
      <pivotArea type="data" outline="0" fieldPosition="0">
        <references count="3">
          <reference field="4294967294" count="1" selected="0">
            <x v="2"/>
          </reference>
          <reference field="0" count="1" selected="0">
            <x v="3"/>
          </reference>
          <reference field="1" count="1" selected="0">
            <x v="37"/>
          </reference>
        </references>
      </pivotArea>
    </chartFormat>
    <chartFormat chart="0" format="224">
      <pivotArea type="data" outline="0" fieldPosition="0">
        <references count="3">
          <reference field="4294967294" count="1" selected="0">
            <x v="2"/>
          </reference>
          <reference field="0" count="1" selected="0">
            <x v="3"/>
          </reference>
          <reference field="1" count="1" selected="0">
            <x v="38"/>
          </reference>
        </references>
      </pivotArea>
    </chartFormat>
    <chartFormat chart="0" format="225">
      <pivotArea type="data" outline="0" fieldPosition="0">
        <references count="3">
          <reference field="4294967294" count="1" selected="0">
            <x v="2"/>
          </reference>
          <reference field="0" count="1" selected="0">
            <x v="3"/>
          </reference>
          <reference field="1" count="1" selected="0">
            <x v="39"/>
          </reference>
        </references>
      </pivotArea>
    </chartFormat>
    <chartFormat chart="0" format="226">
      <pivotArea type="data" outline="0" fieldPosition="0">
        <references count="3">
          <reference field="4294967294" count="1" selected="0">
            <x v="2"/>
          </reference>
          <reference field="0" count="1" selected="0">
            <x v="3"/>
          </reference>
          <reference field="1" count="1" selected="0">
            <x v="40"/>
          </reference>
        </references>
      </pivotArea>
    </chartFormat>
    <chartFormat chart="0" format="227">
      <pivotArea type="data" outline="0" fieldPosition="0">
        <references count="3">
          <reference field="4294967294" count="1" selected="0">
            <x v="2"/>
          </reference>
          <reference field="0" count="1" selected="0">
            <x v="3"/>
          </reference>
          <reference field="1" count="1" selected="0">
            <x v="41"/>
          </reference>
        </references>
      </pivotArea>
    </chartFormat>
    <chartFormat chart="0" format="228">
      <pivotArea type="data" outline="0" fieldPosition="0">
        <references count="3">
          <reference field="4294967294" count="1" selected="0">
            <x v="2"/>
          </reference>
          <reference field="0" count="1" selected="0">
            <x v="3"/>
          </reference>
          <reference field="1" count="1" selected="0">
            <x v="42"/>
          </reference>
        </references>
      </pivotArea>
    </chartFormat>
    <chartFormat chart="0" format="229">
      <pivotArea type="data" outline="0" fieldPosition="0">
        <references count="3">
          <reference field="4294967294" count="1" selected="0">
            <x v="2"/>
          </reference>
          <reference field="0" count="1" selected="0">
            <x v="3"/>
          </reference>
          <reference field="1" count="1" selected="0">
            <x v="43"/>
          </reference>
        </references>
      </pivotArea>
    </chartFormat>
    <chartFormat chart="0" format="230">
      <pivotArea type="data" outline="0" fieldPosition="0">
        <references count="3">
          <reference field="4294967294" count="1" selected="0">
            <x v="2"/>
          </reference>
          <reference field="0" count="1" selected="0">
            <x v="3"/>
          </reference>
          <reference field="1" count="1" selected="0">
            <x v="44"/>
          </reference>
        </references>
      </pivotArea>
    </chartFormat>
    <chartFormat chart="0" format="231">
      <pivotArea type="data" outline="0" fieldPosition="0">
        <references count="3">
          <reference field="4294967294" count="1" selected="0">
            <x v="0"/>
          </reference>
          <reference field="0" count="1" selected="0">
            <x v="3"/>
          </reference>
          <reference field="1" count="1" selected="0">
            <x v="31"/>
          </reference>
        </references>
      </pivotArea>
    </chartFormat>
    <chartFormat chart="0" format="232">
      <pivotArea type="data" outline="0" fieldPosition="0">
        <references count="3">
          <reference field="4294967294" count="1" selected="0">
            <x v="0"/>
          </reference>
          <reference field="0" count="1" selected="0">
            <x v="3"/>
          </reference>
          <reference field="1" count="1" selected="0">
            <x v="32"/>
          </reference>
        </references>
      </pivotArea>
    </chartFormat>
    <chartFormat chart="0" format="233">
      <pivotArea type="data" outline="0" fieldPosition="0">
        <references count="3">
          <reference field="4294967294" count="1" selected="0">
            <x v="2"/>
          </reference>
          <reference field="0" count="1" selected="0">
            <x v="3"/>
          </reference>
          <reference field="1" count="1" selected="0">
            <x v="31"/>
          </reference>
        </references>
      </pivotArea>
    </chartFormat>
    <chartFormat chart="0" format="234">
      <pivotArea type="data" outline="0" fieldPosition="0">
        <references count="3">
          <reference field="4294967294" count="1" selected="0">
            <x v="2"/>
          </reference>
          <reference field="0" count="1" selected="0">
            <x v="3"/>
          </reference>
          <reference field="1" count="1" selected="0">
            <x v="32"/>
          </reference>
        </references>
      </pivotArea>
    </chartFormat>
    <chartFormat chart="0" format="235">
      <pivotArea type="data" outline="0" fieldPosition="0">
        <references count="3">
          <reference field="4294967294" count="1" selected="0">
            <x v="0"/>
          </reference>
          <reference field="0" count="1" selected="0">
            <x v="3"/>
          </reference>
          <reference field="1" count="1" selected="0">
            <x v="45"/>
          </reference>
        </references>
      </pivotArea>
    </chartFormat>
    <chartFormat chart="0" format="236">
      <pivotArea type="data" outline="0" fieldPosition="0">
        <references count="3">
          <reference field="4294967294" count="1" selected="0">
            <x v="0"/>
          </reference>
          <reference field="0" count="1" selected="0">
            <x v="3"/>
          </reference>
          <reference field="1" count="1" selected="0">
            <x v="46"/>
          </reference>
        </references>
      </pivotArea>
    </chartFormat>
    <chartFormat chart="0" format="237">
      <pivotArea type="data" outline="0" fieldPosition="0">
        <references count="3">
          <reference field="4294967294" count="1" selected="0">
            <x v="0"/>
          </reference>
          <reference field="0" count="1" selected="0">
            <x v="3"/>
          </reference>
          <reference field="1" count="1" selected="0">
            <x v="47"/>
          </reference>
        </references>
      </pivotArea>
    </chartFormat>
    <chartFormat chart="0" format="238">
      <pivotArea type="data" outline="0" fieldPosition="0">
        <references count="3">
          <reference field="4294967294" count="1" selected="0">
            <x v="0"/>
          </reference>
          <reference field="0" count="1" selected="0">
            <x v="3"/>
          </reference>
          <reference field="1" count="1" selected="0">
            <x v="48"/>
          </reference>
        </references>
      </pivotArea>
    </chartFormat>
    <chartFormat chart="0" format="239">
      <pivotArea type="data" outline="0" fieldPosition="0">
        <references count="3">
          <reference field="4294967294" count="1" selected="0">
            <x v="0"/>
          </reference>
          <reference field="0" count="1" selected="0">
            <x v="3"/>
          </reference>
          <reference field="1" count="1" selected="0">
            <x v="49"/>
          </reference>
        </references>
      </pivotArea>
    </chartFormat>
    <chartFormat chart="0" format="240">
      <pivotArea type="data" outline="0" fieldPosition="0">
        <references count="3">
          <reference field="4294967294" count="1" selected="0">
            <x v="0"/>
          </reference>
          <reference field="0" count="1" selected="0">
            <x v="3"/>
          </reference>
          <reference field="1" count="1" selected="0">
            <x v="50"/>
          </reference>
        </references>
      </pivotArea>
    </chartFormat>
    <chartFormat chart="0" format="241">
      <pivotArea type="data" outline="0" fieldPosition="0">
        <references count="3">
          <reference field="4294967294" count="1" selected="0">
            <x v="0"/>
          </reference>
          <reference field="0" count="1" selected="0">
            <x v="3"/>
          </reference>
          <reference field="1" count="1" selected="0">
            <x v="51"/>
          </reference>
        </references>
      </pivotArea>
    </chartFormat>
    <chartFormat chart="0" format="242">
      <pivotArea type="data" outline="0" fieldPosition="0">
        <references count="3">
          <reference field="4294967294" count="1" selected="0">
            <x v="0"/>
          </reference>
          <reference field="0" count="1" selected="0">
            <x v="3"/>
          </reference>
          <reference field="1" count="1" selected="0">
            <x v="52"/>
          </reference>
        </references>
      </pivotArea>
    </chartFormat>
    <chartFormat chart="0" format="243">
      <pivotArea type="data" outline="0" fieldPosition="0">
        <references count="3">
          <reference field="4294967294" count="1" selected="0">
            <x v="0"/>
          </reference>
          <reference field="0" count="1" selected="0">
            <x v="3"/>
          </reference>
          <reference field="1" count="1" selected="0">
            <x v="53"/>
          </reference>
        </references>
      </pivotArea>
    </chartFormat>
    <chartFormat chart="0" format="244">
      <pivotArea type="data" outline="0" fieldPosition="0">
        <references count="3">
          <reference field="4294967294" count="1" selected="0">
            <x v="0"/>
          </reference>
          <reference field="0" count="1" selected="0">
            <x v="3"/>
          </reference>
          <reference field="1" count="1" selected="0">
            <x v="54"/>
          </reference>
        </references>
      </pivotArea>
    </chartFormat>
    <chartFormat chart="0" format="245">
      <pivotArea type="data" outline="0" fieldPosition="0">
        <references count="3">
          <reference field="4294967294" count="1" selected="0">
            <x v="0"/>
          </reference>
          <reference field="0" count="1" selected="0">
            <x v="3"/>
          </reference>
          <reference field="1" count="1" selected="0">
            <x v="55"/>
          </reference>
        </references>
      </pivotArea>
    </chartFormat>
    <chartFormat chart="0" format="246">
      <pivotArea type="data" outline="0" fieldPosition="0">
        <references count="3">
          <reference field="4294967294" count="1" selected="0">
            <x v="0"/>
          </reference>
          <reference field="0" count="1" selected="0">
            <x v="3"/>
          </reference>
          <reference field="1" count="1" selected="0">
            <x v="56"/>
          </reference>
        </references>
      </pivotArea>
    </chartFormat>
    <chartFormat chart="0" format="247">
      <pivotArea type="data" outline="0" fieldPosition="0">
        <references count="3">
          <reference field="4294967294" count="1" selected="0">
            <x v="0"/>
          </reference>
          <reference field="0" count="1" selected="0">
            <x v="3"/>
          </reference>
          <reference field="1" count="1" selected="0">
            <x v="57"/>
          </reference>
        </references>
      </pivotArea>
    </chartFormat>
    <chartFormat chart="0" format="248">
      <pivotArea type="data" outline="0" fieldPosition="0">
        <references count="3">
          <reference field="4294967294" count="1" selected="0">
            <x v="0"/>
          </reference>
          <reference field="0" count="1" selected="0">
            <x v="3"/>
          </reference>
          <reference field="1" count="1" selected="0">
            <x v="58"/>
          </reference>
        </references>
      </pivotArea>
    </chartFormat>
    <chartFormat chart="0" format="249">
      <pivotArea type="data" outline="0" fieldPosition="0">
        <references count="3">
          <reference field="4294967294" count="1" selected="0">
            <x v="0"/>
          </reference>
          <reference field="0" count="1" selected="0">
            <x v="3"/>
          </reference>
          <reference field="1" count="1" selected="0">
            <x v="59"/>
          </reference>
        </references>
      </pivotArea>
    </chartFormat>
    <chartFormat chart="0" format="250">
      <pivotArea type="data" outline="0" fieldPosition="0">
        <references count="3">
          <reference field="4294967294" count="1" selected="0">
            <x v="0"/>
          </reference>
          <reference field="0" count="1" selected="0">
            <x v="3"/>
          </reference>
          <reference field="1" count="1" selected="0">
            <x v="60"/>
          </reference>
        </references>
      </pivotArea>
    </chartFormat>
    <chartFormat chart="0" format="251">
      <pivotArea type="data" outline="0" fieldPosition="0">
        <references count="3">
          <reference field="4294967294" count="1" selected="0">
            <x v="0"/>
          </reference>
          <reference field="0" count="1" selected="0">
            <x v="3"/>
          </reference>
          <reference field="1" count="1" selected="0">
            <x v="61"/>
          </reference>
        </references>
      </pivotArea>
    </chartFormat>
    <chartFormat chart="0" format="252">
      <pivotArea type="data" outline="0" fieldPosition="0">
        <references count="3">
          <reference field="4294967294" count="1" selected="0">
            <x v="0"/>
          </reference>
          <reference field="0" count="1" selected="0">
            <x v="3"/>
          </reference>
          <reference field="1" count="1" selected="0">
            <x v="62"/>
          </reference>
        </references>
      </pivotArea>
    </chartFormat>
    <chartFormat chart="0" format="253">
      <pivotArea type="data" outline="0" fieldPosition="0">
        <references count="3">
          <reference field="4294967294" count="1" selected="0">
            <x v="0"/>
          </reference>
          <reference field="0" count="1" selected="0">
            <x v="4"/>
          </reference>
          <reference field="1" count="1" selected="0">
            <x v="31"/>
          </reference>
        </references>
      </pivotArea>
    </chartFormat>
    <chartFormat chart="0" format="254">
      <pivotArea type="data" outline="0" fieldPosition="0">
        <references count="3">
          <reference field="4294967294" count="1" selected="0">
            <x v="0"/>
          </reference>
          <reference field="0" count="1" selected="0">
            <x v="4"/>
          </reference>
          <reference field="1" count="1" selected="0">
            <x v="32"/>
          </reference>
        </references>
      </pivotArea>
    </chartFormat>
    <chartFormat chart="0" format="255">
      <pivotArea type="data" outline="0" fieldPosition="0">
        <references count="3">
          <reference field="4294967294" count="1" selected="0">
            <x v="0"/>
          </reference>
          <reference field="0" count="1" selected="0">
            <x v="4"/>
          </reference>
          <reference field="1" count="1" selected="0">
            <x v="33"/>
          </reference>
        </references>
      </pivotArea>
    </chartFormat>
    <chartFormat chart="0" format="256">
      <pivotArea type="data" outline="0" fieldPosition="0">
        <references count="3">
          <reference field="4294967294" count="1" selected="0">
            <x v="0"/>
          </reference>
          <reference field="0" count="1" selected="0">
            <x v="4"/>
          </reference>
          <reference field="1" count="1" selected="0">
            <x v="34"/>
          </reference>
        </references>
      </pivotArea>
    </chartFormat>
    <chartFormat chart="0" format="257">
      <pivotArea type="data" outline="0" fieldPosition="0">
        <references count="3">
          <reference field="4294967294" count="1" selected="0">
            <x v="0"/>
          </reference>
          <reference field="0" count="1" selected="0">
            <x v="4"/>
          </reference>
          <reference field="1" count="1" selected="0">
            <x v="35"/>
          </reference>
        </references>
      </pivotArea>
    </chartFormat>
    <chartFormat chart="0" format="258">
      <pivotArea type="data" outline="0" fieldPosition="0">
        <references count="3">
          <reference field="4294967294" count="1" selected="0">
            <x v="0"/>
          </reference>
          <reference field="0" count="1" selected="0">
            <x v="4"/>
          </reference>
          <reference field="1" count="1" selected="0">
            <x v="36"/>
          </reference>
        </references>
      </pivotArea>
    </chartFormat>
    <chartFormat chart="0" format="259">
      <pivotArea type="data" outline="0" fieldPosition="0">
        <references count="3">
          <reference field="4294967294" count="1" selected="0">
            <x v="0"/>
          </reference>
          <reference field="0" count="1" selected="0">
            <x v="4"/>
          </reference>
          <reference field="1" count="1" selected="0">
            <x v="37"/>
          </reference>
        </references>
      </pivotArea>
    </chartFormat>
    <chartFormat chart="0" format="260">
      <pivotArea type="data" outline="0" fieldPosition="0">
        <references count="3">
          <reference field="4294967294" count="1" selected="0">
            <x v="0"/>
          </reference>
          <reference field="0" count="1" selected="0">
            <x v="4"/>
          </reference>
          <reference field="1" count="1" selected="0">
            <x v="38"/>
          </reference>
        </references>
      </pivotArea>
    </chartFormat>
    <chartFormat chart="0" format="261">
      <pivotArea type="data" outline="0" fieldPosition="0">
        <references count="3">
          <reference field="4294967294" count="1" selected="0">
            <x v="0"/>
          </reference>
          <reference field="0" count="1" selected="0">
            <x v="4"/>
          </reference>
          <reference field="1" count="1" selected="0">
            <x v="39"/>
          </reference>
        </references>
      </pivotArea>
    </chartFormat>
    <chartFormat chart="0" format="262">
      <pivotArea type="data" outline="0" fieldPosition="0">
        <references count="3">
          <reference field="4294967294" count="1" selected="0">
            <x v="0"/>
          </reference>
          <reference field="0" count="1" selected="0">
            <x v="4"/>
          </reference>
          <reference field="1" count="1" selected="0">
            <x v="40"/>
          </reference>
        </references>
      </pivotArea>
    </chartFormat>
    <chartFormat chart="0" format="263">
      <pivotArea type="data" outline="0" fieldPosition="0">
        <references count="3">
          <reference field="4294967294" count="1" selected="0">
            <x v="0"/>
          </reference>
          <reference field="0" count="1" selected="0">
            <x v="4"/>
          </reference>
          <reference field="1" count="1" selected="0">
            <x v="41"/>
          </reference>
        </references>
      </pivotArea>
    </chartFormat>
    <chartFormat chart="0" format="264">
      <pivotArea type="data" outline="0" fieldPosition="0">
        <references count="3">
          <reference field="4294967294" count="1" selected="0">
            <x v="0"/>
          </reference>
          <reference field="0" count="1" selected="0">
            <x v="4"/>
          </reference>
          <reference field="1" count="1" selected="0">
            <x v="42"/>
          </reference>
        </references>
      </pivotArea>
    </chartFormat>
    <chartFormat chart="0" format="265">
      <pivotArea type="data" outline="0" fieldPosition="0">
        <references count="3">
          <reference field="4294967294" count="1" selected="0">
            <x v="0"/>
          </reference>
          <reference field="0" count="1" selected="0">
            <x v="4"/>
          </reference>
          <reference field="1" count="1" selected="0">
            <x v="43"/>
          </reference>
        </references>
      </pivotArea>
    </chartFormat>
    <chartFormat chart="0" format="266">
      <pivotArea type="data" outline="0" fieldPosition="0">
        <references count="3">
          <reference field="4294967294" count="1" selected="0">
            <x v="0"/>
          </reference>
          <reference field="0" count="1" selected="0">
            <x v="4"/>
          </reference>
          <reference field="1" count="1" selected="0">
            <x v="44"/>
          </reference>
        </references>
      </pivotArea>
    </chartFormat>
    <chartFormat chart="0" format="267">
      <pivotArea type="data" outline="0" fieldPosition="0">
        <references count="3">
          <reference field="4294967294" count="1" selected="0">
            <x v="0"/>
          </reference>
          <reference field="0" count="1" selected="0">
            <x v="4"/>
          </reference>
          <reference field="1" count="1" selected="0">
            <x v="45"/>
          </reference>
        </references>
      </pivotArea>
    </chartFormat>
    <chartFormat chart="0" format="268">
      <pivotArea type="data" outline="0" fieldPosition="0">
        <references count="3">
          <reference field="4294967294" count="1" selected="0">
            <x v="0"/>
          </reference>
          <reference field="0" count="1" selected="0">
            <x v="4"/>
          </reference>
          <reference field="1" count="1" selected="0">
            <x v="46"/>
          </reference>
        </references>
      </pivotArea>
    </chartFormat>
    <chartFormat chart="0" format="269">
      <pivotArea type="data" outline="0" fieldPosition="0">
        <references count="3">
          <reference field="4294967294" count="1" selected="0">
            <x v="0"/>
          </reference>
          <reference field="0" count="1" selected="0">
            <x v="4"/>
          </reference>
          <reference field="1" count="1" selected="0">
            <x v="47"/>
          </reference>
        </references>
      </pivotArea>
    </chartFormat>
    <chartFormat chart="0" format="270">
      <pivotArea type="data" outline="0" fieldPosition="0">
        <references count="3">
          <reference field="4294967294" count="1" selected="0">
            <x v="0"/>
          </reference>
          <reference field="0" count="1" selected="0">
            <x v="4"/>
          </reference>
          <reference field="1" count="1" selected="0">
            <x v="48"/>
          </reference>
        </references>
      </pivotArea>
    </chartFormat>
    <chartFormat chart="0" format="271">
      <pivotArea type="data" outline="0" fieldPosition="0">
        <references count="3">
          <reference field="4294967294" count="1" selected="0">
            <x v="0"/>
          </reference>
          <reference field="0" count="1" selected="0">
            <x v="4"/>
          </reference>
          <reference field="1" count="1" selected="0">
            <x v="49"/>
          </reference>
        </references>
      </pivotArea>
    </chartFormat>
    <chartFormat chart="0" format="272">
      <pivotArea type="data" outline="0" fieldPosition="0">
        <references count="3">
          <reference field="4294967294" count="1" selected="0">
            <x v="0"/>
          </reference>
          <reference field="0" count="1" selected="0">
            <x v="4"/>
          </reference>
          <reference field="1" count="1" selected="0">
            <x v="50"/>
          </reference>
        </references>
      </pivotArea>
    </chartFormat>
    <chartFormat chart="0" format="273">
      <pivotArea type="data" outline="0" fieldPosition="0">
        <references count="3">
          <reference field="4294967294" count="1" selected="0">
            <x v="0"/>
          </reference>
          <reference field="0" count="1" selected="0">
            <x v="4"/>
          </reference>
          <reference field="1" count="1" selected="0">
            <x v="51"/>
          </reference>
        </references>
      </pivotArea>
    </chartFormat>
    <chartFormat chart="0" format="274">
      <pivotArea type="data" outline="0" fieldPosition="0">
        <references count="3">
          <reference field="4294967294" count="1" selected="0">
            <x v="0"/>
          </reference>
          <reference field="0" count="1" selected="0">
            <x v="4"/>
          </reference>
          <reference field="1" count="1" selected="0">
            <x v="52"/>
          </reference>
        </references>
      </pivotArea>
    </chartFormat>
    <chartFormat chart="0" format="275">
      <pivotArea type="data" outline="0" fieldPosition="0">
        <references count="3">
          <reference field="4294967294" count="1" selected="0">
            <x v="0"/>
          </reference>
          <reference field="0" count="1" selected="0">
            <x v="4"/>
          </reference>
          <reference field="1" count="1" selected="0">
            <x v="53"/>
          </reference>
        </references>
      </pivotArea>
    </chartFormat>
    <chartFormat chart="0" format="276">
      <pivotArea type="data" outline="0" fieldPosition="0">
        <references count="3">
          <reference field="4294967294" count="1" selected="0">
            <x v="0"/>
          </reference>
          <reference field="0" count="1" selected="0">
            <x v="4"/>
          </reference>
          <reference field="1" count="1" selected="0">
            <x v="54"/>
          </reference>
        </references>
      </pivotArea>
    </chartFormat>
    <chartFormat chart="0" format="277">
      <pivotArea type="data" outline="0" fieldPosition="0">
        <references count="3">
          <reference field="4294967294" count="1" selected="0">
            <x v="0"/>
          </reference>
          <reference field="0" count="1" selected="0">
            <x v="4"/>
          </reference>
          <reference field="1" count="1" selected="0">
            <x v="55"/>
          </reference>
        </references>
      </pivotArea>
    </chartFormat>
    <chartFormat chart="0" format="278">
      <pivotArea type="data" outline="0" fieldPosition="0">
        <references count="3">
          <reference field="4294967294" count="1" selected="0">
            <x v="0"/>
          </reference>
          <reference field="0" count="1" selected="0">
            <x v="4"/>
          </reference>
          <reference field="1" count="1" selected="0">
            <x v="56"/>
          </reference>
        </references>
      </pivotArea>
    </chartFormat>
    <chartFormat chart="0" format="279">
      <pivotArea type="data" outline="0" fieldPosition="0">
        <references count="3">
          <reference field="4294967294" count="1" selected="0">
            <x v="0"/>
          </reference>
          <reference field="0" count="1" selected="0">
            <x v="4"/>
          </reference>
          <reference field="1" count="1" selected="0">
            <x v="57"/>
          </reference>
        </references>
      </pivotArea>
    </chartFormat>
    <chartFormat chart="0" format="280">
      <pivotArea type="data" outline="0" fieldPosition="0">
        <references count="3">
          <reference field="4294967294" count="1" selected="0">
            <x v="0"/>
          </reference>
          <reference field="0" count="1" selected="0">
            <x v="4"/>
          </reference>
          <reference field="1" count="1" selected="0">
            <x v="58"/>
          </reference>
        </references>
      </pivotArea>
    </chartFormat>
    <chartFormat chart="0" format="281">
      <pivotArea type="data" outline="0" fieldPosition="0">
        <references count="3">
          <reference field="4294967294" count="1" selected="0">
            <x v="0"/>
          </reference>
          <reference field="0" count="1" selected="0">
            <x v="4"/>
          </reference>
          <reference field="1" count="1" selected="0">
            <x v="59"/>
          </reference>
        </references>
      </pivotArea>
    </chartFormat>
    <chartFormat chart="0" format="282">
      <pivotArea type="data" outline="0" fieldPosition="0">
        <references count="3">
          <reference field="4294967294" count="1" selected="0">
            <x v="0"/>
          </reference>
          <reference field="0" count="1" selected="0">
            <x v="4"/>
          </reference>
          <reference field="1" count="1" selected="0">
            <x v="60"/>
          </reference>
        </references>
      </pivotArea>
    </chartFormat>
    <chartFormat chart="0" format="283">
      <pivotArea type="data" outline="0" fieldPosition="0">
        <references count="3">
          <reference field="4294967294" count="1" selected="0">
            <x v="0"/>
          </reference>
          <reference field="0" count="1" selected="0">
            <x v="4"/>
          </reference>
          <reference field="1" count="1" selected="0">
            <x v="63"/>
          </reference>
        </references>
      </pivotArea>
    </chartFormat>
    <chartFormat chart="0" format="284">
      <pivotArea type="data" outline="0" fieldPosition="0">
        <references count="3">
          <reference field="4294967294" count="1" selected="0">
            <x v="0"/>
          </reference>
          <reference field="0" count="1" selected="0">
            <x v="4"/>
          </reference>
          <reference field="1" count="1" selected="0">
            <x v="64"/>
          </reference>
        </references>
      </pivotArea>
    </chartFormat>
    <chartFormat chart="0" format="285">
      <pivotArea type="data" outline="0" fieldPosition="0">
        <references count="3">
          <reference field="4294967294" count="1" selected="0">
            <x v="0"/>
          </reference>
          <reference field="0" count="1" selected="0">
            <x v="4"/>
          </reference>
          <reference field="1" count="1" selected="0">
            <x v="65"/>
          </reference>
        </references>
      </pivotArea>
    </chartFormat>
    <chartFormat chart="0" format="286">
      <pivotArea type="data" outline="0" fieldPosition="0">
        <references count="3">
          <reference field="4294967294" count="1" selected="0">
            <x v="0"/>
          </reference>
          <reference field="0" count="1" selected="0">
            <x v="4"/>
          </reference>
          <reference field="1" count="1" selected="0">
            <x v="66"/>
          </reference>
        </references>
      </pivotArea>
    </chartFormat>
    <chartFormat chart="0" format="287">
      <pivotArea type="data" outline="0" fieldPosition="0">
        <references count="3">
          <reference field="4294967294" count="1" selected="0">
            <x v="0"/>
          </reference>
          <reference field="0" count="1" selected="0">
            <x v="4"/>
          </reference>
          <reference field="1" count="1" selected="0">
            <x v="67"/>
          </reference>
        </references>
      </pivotArea>
    </chartFormat>
    <chartFormat chart="0" format="288">
      <pivotArea type="data" outline="0" fieldPosition="0">
        <references count="3">
          <reference field="4294967294" count="1" selected="0">
            <x v="0"/>
          </reference>
          <reference field="0" count="1" selected="0">
            <x v="4"/>
          </reference>
          <reference field="1" count="1" selected="0">
            <x v="68"/>
          </reference>
        </references>
      </pivotArea>
    </chartFormat>
    <chartFormat chart="0" format="289">
      <pivotArea type="data" outline="0" fieldPosition="0">
        <references count="3">
          <reference field="4294967294" count="1" selected="0">
            <x v="0"/>
          </reference>
          <reference field="0" count="1" selected="0">
            <x v="4"/>
          </reference>
          <reference field="1" count="1" selected="0">
            <x v="69"/>
          </reference>
        </references>
      </pivotArea>
    </chartFormat>
    <chartFormat chart="0" format="290">
      <pivotArea type="data" outline="0" fieldPosition="0">
        <references count="3">
          <reference field="4294967294" count="1" selected="0">
            <x v="0"/>
          </reference>
          <reference field="0" count="1" selected="0">
            <x v="4"/>
          </reference>
          <reference field="1" count="1" selected="0">
            <x v="70"/>
          </reference>
        </references>
      </pivotArea>
    </chartFormat>
    <chartFormat chart="0" format="291">
      <pivotArea type="data" outline="0" fieldPosition="0">
        <references count="3">
          <reference field="4294967294" count="1" selected="0">
            <x v="0"/>
          </reference>
          <reference field="0" count="1" selected="0">
            <x v="4"/>
          </reference>
          <reference field="1" count="1" selected="0">
            <x v="71"/>
          </reference>
        </references>
      </pivotArea>
    </chartFormat>
    <chartFormat chart="0" format="292">
      <pivotArea type="data" outline="0" fieldPosition="0">
        <references count="3">
          <reference field="4294967294" count="1" selected="0">
            <x v="0"/>
          </reference>
          <reference field="0" count="1" selected="0">
            <x v="4"/>
          </reference>
          <reference field="1" count="1" selected="0">
            <x v="72"/>
          </reference>
        </references>
      </pivotArea>
    </chartFormat>
    <chartFormat chart="0" format="293">
      <pivotArea type="data" outline="0" fieldPosition="0">
        <references count="3">
          <reference field="4294967294" count="1" selected="0">
            <x v="0"/>
          </reference>
          <reference field="0" count="1" selected="0">
            <x v="4"/>
          </reference>
          <reference field="1" count="1" selected="0">
            <x v="73"/>
          </reference>
        </references>
      </pivotArea>
    </chartFormat>
    <chartFormat chart="0" format="294">
      <pivotArea type="data" outline="0" fieldPosition="0">
        <references count="3">
          <reference field="4294967294" count="1" selected="0">
            <x v="0"/>
          </reference>
          <reference field="0" count="1" selected="0">
            <x v="4"/>
          </reference>
          <reference field="1" count="1" selected="0">
            <x v="74"/>
          </reference>
        </references>
      </pivotArea>
    </chartFormat>
    <chartFormat chart="0" format="295">
      <pivotArea type="data" outline="0" fieldPosition="0">
        <references count="3">
          <reference field="4294967294" count="1" selected="0">
            <x v="0"/>
          </reference>
          <reference field="0" count="1" selected="0">
            <x v="4"/>
          </reference>
          <reference field="1" count="1" selected="0">
            <x v="75"/>
          </reference>
        </references>
      </pivotArea>
    </chartFormat>
    <chartFormat chart="0" format="296">
      <pivotArea type="data" outline="0" fieldPosition="0">
        <references count="3">
          <reference field="4294967294" count="1" selected="0">
            <x v="0"/>
          </reference>
          <reference field="0" count="1" selected="0">
            <x v="4"/>
          </reference>
          <reference field="1" count="1" selected="0">
            <x v="76"/>
          </reference>
        </references>
      </pivotArea>
    </chartFormat>
    <chartFormat chart="0" format="297">
      <pivotArea type="data" outline="0" fieldPosition="0">
        <references count="3">
          <reference field="4294967294" count="1" selected="0">
            <x v="0"/>
          </reference>
          <reference field="0" count="1" selected="0">
            <x v="4"/>
          </reference>
          <reference field="1" count="1" selected="0">
            <x v="77"/>
          </reference>
        </references>
      </pivotArea>
    </chartFormat>
    <chartFormat chart="0" format="298">
      <pivotArea type="data" outline="0" fieldPosition="0">
        <references count="3">
          <reference field="4294967294" count="1" selected="0">
            <x v="0"/>
          </reference>
          <reference field="0" count="1" selected="0">
            <x v="4"/>
          </reference>
          <reference field="1" count="1" selected="0">
            <x v="78"/>
          </reference>
        </references>
      </pivotArea>
    </chartFormat>
    <chartFormat chart="0" format="299">
      <pivotArea type="data" outline="0" fieldPosition="0">
        <references count="3">
          <reference field="4294967294" count="1" selected="0">
            <x v="2"/>
          </reference>
          <reference field="0" count="1" selected="0">
            <x v="3"/>
          </reference>
          <reference field="1" count="1" selected="0">
            <x v="45"/>
          </reference>
        </references>
      </pivotArea>
    </chartFormat>
    <chartFormat chart="0" format="300">
      <pivotArea type="data" outline="0" fieldPosition="0">
        <references count="3">
          <reference field="4294967294" count="1" selected="0">
            <x v="2"/>
          </reference>
          <reference field="0" count="1" selected="0">
            <x v="3"/>
          </reference>
          <reference field="1" count="1" selected="0">
            <x v="46"/>
          </reference>
        </references>
      </pivotArea>
    </chartFormat>
    <chartFormat chart="0" format="301">
      <pivotArea type="data" outline="0" fieldPosition="0">
        <references count="3">
          <reference field="4294967294" count="1" selected="0">
            <x v="2"/>
          </reference>
          <reference field="0" count="1" selected="0">
            <x v="3"/>
          </reference>
          <reference field="1" count="1" selected="0">
            <x v="47"/>
          </reference>
        </references>
      </pivotArea>
    </chartFormat>
    <chartFormat chart="0" format="302">
      <pivotArea type="data" outline="0" fieldPosition="0">
        <references count="3">
          <reference field="4294967294" count="1" selected="0">
            <x v="2"/>
          </reference>
          <reference field="0" count="1" selected="0">
            <x v="3"/>
          </reference>
          <reference field="1" count="1" selected="0">
            <x v="48"/>
          </reference>
        </references>
      </pivotArea>
    </chartFormat>
    <chartFormat chart="0" format="303">
      <pivotArea type="data" outline="0" fieldPosition="0">
        <references count="3">
          <reference field="4294967294" count="1" selected="0">
            <x v="2"/>
          </reference>
          <reference field="0" count="1" selected="0">
            <x v="3"/>
          </reference>
          <reference field="1" count="1" selected="0">
            <x v="49"/>
          </reference>
        </references>
      </pivotArea>
    </chartFormat>
    <chartFormat chart="0" format="304">
      <pivotArea type="data" outline="0" fieldPosition="0">
        <references count="3">
          <reference field="4294967294" count="1" selected="0">
            <x v="2"/>
          </reference>
          <reference field="0" count="1" selected="0">
            <x v="3"/>
          </reference>
          <reference field="1" count="1" selected="0">
            <x v="50"/>
          </reference>
        </references>
      </pivotArea>
    </chartFormat>
    <chartFormat chart="0" format="305">
      <pivotArea type="data" outline="0" fieldPosition="0">
        <references count="3">
          <reference field="4294967294" count="1" selected="0">
            <x v="2"/>
          </reference>
          <reference field="0" count="1" selected="0">
            <x v="3"/>
          </reference>
          <reference field="1" count="1" selected="0">
            <x v="51"/>
          </reference>
        </references>
      </pivotArea>
    </chartFormat>
    <chartFormat chart="0" format="306">
      <pivotArea type="data" outline="0" fieldPosition="0">
        <references count="3">
          <reference field="4294967294" count="1" selected="0">
            <x v="2"/>
          </reference>
          <reference field="0" count="1" selected="0">
            <x v="3"/>
          </reference>
          <reference field="1" count="1" selected="0">
            <x v="52"/>
          </reference>
        </references>
      </pivotArea>
    </chartFormat>
    <chartFormat chart="0" format="307">
      <pivotArea type="data" outline="0" fieldPosition="0">
        <references count="3">
          <reference field="4294967294" count="1" selected="0">
            <x v="2"/>
          </reference>
          <reference field="0" count="1" selected="0">
            <x v="3"/>
          </reference>
          <reference field="1" count="1" selected="0">
            <x v="53"/>
          </reference>
        </references>
      </pivotArea>
    </chartFormat>
    <chartFormat chart="0" format="308">
      <pivotArea type="data" outline="0" fieldPosition="0">
        <references count="3">
          <reference field="4294967294" count="1" selected="0">
            <x v="2"/>
          </reference>
          <reference field="0" count="1" selected="0">
            <x v="3"/>
          </reference>
          <reference field="1" count="1" selected="0">
            <x v="54"/>
          </reference>
        </references>
      </pivotArea>
    </chartFormat>
    <chartFormat chart="0" format="309">
      <pivotArea type="data" outline="0" fieldPosition="0">
        <references count="3">
          <reference field="4294967294" count="1" selected="0">
            <x v="2"/>
          </reference>
          <reference field="0" count="1" selected="0">
            <x v="3"/>
          </reference>
          <reference field="1" count="1" selected="0">
            <x v="55"/>
          </reference>
        </references>
      </pivotArea>
    </chartFormat>
    <chartFormat chart="0" format="310">
      <pivotArea type="data" outline="0" fieldPosition="0">
        <references count="3">
          <reference field="4294967294" count="1" selected="0">
            <x v="2"/>
          </reference>
          <reference field="0" count="1" selected="0">
            <x v="3"/>
          </reference>
          <reference field="1" count="1" selected="0">
            <x v="56"/>
          </reference>
        </references>
      </pivotArea>
    </chartFormat>
    <chartFormat chart="0" format="311">
      <pivotArea type="data" outline="0" fieldPosition="0">
        <references count="3">
          <reference field="4294967294" count="1" selected="0">
            <x v="2"/>
          </reference>
          <reference field="0" count="1" selected="0">
            <x v="3"/>
          </reference>
          <reference field="1" count="1" selected="0">
            <x v="57"/>
          </reference>
        </references>
      </pivotArea>
    </chartFormat>
    <chartFormat chart="0" format="312">
      <pivotArea type="data" outline="0" fieldPosition="0">
        <references count="3">
          <reference field="4294967294" count="1" selected="0">
            <x v="2"/>
          </reference>
          <reference field="0" count="1" selected="0">
            <x v="3"/>
          </reference>
          <reference field="1" count="1" selected="0">
            <x v="58"/>
          </reference>
        </references>
      </pivotArea>
    </chartFormat>
    <chartFormat chart="0" format="313">
      <pivotArea type="data" outline="0" fieldPosition="0">
        <references count="3">
          <reference field="4294967294" count="1" selected="0">
            <x v="2"/>
          </reference>
          <reference field="0" count="1" selected="0">
            <x v="3"/>
          </reference>
          <reference field="1" count="1" selected="0">
            <x v="59"/>
          </reference>
        </references>
      </pivotArea>
    </chartFormat>
    <chartFormat chart="0" format="314">
      <pivotArea type="data" outline="0" fieldPosition="0">
        <references count="3">
          <reference field="4294967294" count="1" selected="0">
            <x v="2"/>
          </reference>
          <reference field="0" count="1" selected="0">
            <x v="3"/>
          </reference>
          <reference field="1" count="1" selected="0">
            <x v="60"/>
          </reference>
        </references>
      </pivotArea>
    </chartFormat>
    <chartFormat chart="0" format="315">
      <pivotArea type="data" outline="0" fieldPosition="0">
        <references count="3">
          <reference field="4294967294" count="1" selected="0">
            <x v="2"/>
          </reference>
          <reference field="0" count="1" selected="0">
            <x v="3"/>
          </reference>
          <reference field="1" count="1" selected="0">
            <x v="61"/>
          </reference>
        </references>
      </pivotArea>
    </chartFormat>
    <chartFormat chart="0" format="316">
      <pivotArea type="data" outline="0" fieldPosition="0">
        <references count="3">
          <reference field="4294967294" count="1" selected="0">
            <x v="2"/>
          </reference>
          <reference field="0" count="1" selected="0">
            <x v="3"/>
          </reference>
          <reference field="1" count="1" selected="0">
            <x v="62"/>
          </reference>
        </references>
      </pivotArea>
    </chartFormat>
    <chartFormat chart="0" format="317">
      <pivotArea type="data" outline="0" fieldPosition="0">
        <references count="3">
          <reference field="4294967294" count="1" selected="0">
            <x v="2"/>
          </reference>
          <reference field="0" count="1" selected="0">
            <x v="4"/>
          </reference>
          <reference field="1" count="1" selected="0">
            <x v="31"/>
          </reference>
        </references>
      </pivotArea>
    </chartFormat>
    <chartFormat chart="0" format="318">
      <pivotArea type="data" outline="0" fieldPosition="0">
        <references count="3">
          <reference field="4294967294" count="1" selected="0">
            <x v="2"/>
          </reference>
          <reference field="0" count="1" selected="0">
            <x v="4"/>
          </reference>
          <reference field="1" count="1" selected="0">
            <x v="32"/>
          </reference>
        </references>
      </pivotArea>
    </chartFormat>
    <chartFormat chart="0" format="319">
      <pivotArea type="data" outline="0" fieldPosition="0">
        <references count="3">
          <reference field="4294967294" count="1" selected="0">
            <x v="2"/>
          </reference>
          <reference field="0" count="1" selected="0">
            <x v="4"/>
          </reference>
          <reference field="1" count="1" selected="0">
            <x v="33"/>
          </reference>
        </references>
      </pivotArea>
    </chartFormat>
    <chartFormat chart="0" format="320">
      <pivotArea type="data" outline="0" fieldPosition="0">
        <references count="3">
          <reference field="4294967294" count="1" selected="0">
            <x v="2"/>
          </reference>
          <reference field="0" count="1" selected="0">
            <x v="4"/>
          </reference>
          <reference field="1" count="1" selected="0">
            <x v="34"/>
          </reference>
        </references>
      </pivotArea>
    </chartFormat>
    <chartFormat chart="0" format="321">
      <pivotArea type="data" outline="0" fieldPosition="0">
        <references count="3">
          <reference field="4294967294" count="1" selected="0">
            <x v="2"/>
          </reference>
          <reference field="0" count="1" selected="0">
            <x v="4"/>
          </reference>
          <reference field="1" count="1" selected="0">
            <x v="35"/>
          </reference>
        </references>
      </pivotArea>
    </chartFormat>
    <chartFormat chart="0" format="322">
      <pivotArea type="data" outline="0" fieldPosition="0">
        <references count="3">
          <reference field="4294967294" count="1" selected="0">
            <x v="2"/>
          </reference>
          <reference field="0" count="1" selected="0">
            <x v="4"/>
          </reference>
          <reference field="1" count="1" selected="0">
            <x v="36"/>
          </reference>
        </references>
      </pivotArea>
    </chartFormat>
    <chartFormat chart="0" format="323">
      <pivotArea type="data" outline="0" fieldPosition="0">
        <references count="3">
          <reference field="4294967294" count="1" selected="0">
            <x v="2"/>
          </reference>
          <reference field="0" count="1" selected="0">
            <x v="4"/>
          </reference>
          <reference field="1" count="1" selected="0">
            <x v="37"/>
          </reference>
        </references>
      </pivotArea>
    </chartFormat>
    <chartFormat chart="0" format="324">
      <pivotArea type="data" outline="0" fieldPosition="0">
        <references count="3">
          <reference field="4294967294" count="1" selected="0">
            <x v="2"/>
          </reference>
          <reference field="0" count="1" selected="0">
            <x v="4"/>
          </reference>
          <reference field="1" count="1" selected="0">
            <x v="38"/>
          </reference>
        </references>
      </pivotArea>
    </chartFormat>
    <chartFormat chart="0" format="325">
      <pivotArea type="data" outline="0" fieldPosition="0">
        <references count="3">
          <reference field="4294967294" count="1" selected="0">
            <x v="2"/>
          </reference>
          <reference field="0" count="1" selected="0">
            <x v="4"/>
          </reference>
          <reference field="1" count="1" selected="0">
            <x v="39"/>
          </reference>
        </references>
      </pivotArea>
    </chartFormat>
    <chartFormat chart="0" format="326">
      <pivotArea type="data" outline="0" fieldPosition="0">
        <references count="3">
          <reference field="4294967294" count="1" selected="0">
            <x v="2"/>
          </reference>
          <reference field="0" count="1" selected="0">
            <x v="4"/>
          </reference>
          <reference field="1" count="1" selected="0">
            <x v="40"/>
          </reference>
        </references>
      </pivotArea>
    </chartFormat>
    <chartFormat chart="0" format="327">
      <pivotArea type="data" outline="0" fieldPosition="0">
        <references count="3">
          <reference field="4294967294" count="1" selected="0">
            <x v="2"/>
          </reference>
          <reference field="0" count="1" selected="0">
            <x v="4"/>
          </reference>
          <reference field="1" count="1" selected="0">
            <x v="41"/>
          </reference>
        </references>
      </pivotArea>
    </chartFormat>
    <chartFormat chart="0" format="328">
      <pivotArea type="data" outline="0" fieldPosition="0">
        <references count="3">
          <reference field="4294967294" count="1" selected="0">
            <x v="2"/>
          </reference>
          <reference field="0" count="1" selected="0">
            <x v="4"/>
          </reference>
          <reference field="1" count="1" selected="0">
            <x v="42"/>
          </reference>
        </references>
      </pivotArea>
    </chartFormat>
    <chartFormat chart="0" format="329">
      <pivotArea type="data" outline="0" fieldPosition="0">
        <references count="3">
          <reference field="4294967294" count="1" selected="0">
            <x v="2"/>
          </reference>
          <reference field="0" count="1" selected="0">
            <x v="4"/>
          </reference>
          <reference field="1" count="1" selected="0">
            <x v="43"/>
          </reference>
        </references>
      </pivotArea>
    </chartFormat>
    <chartFormat chart="0" format="330">
      <pivotArea type="data" outline="0" fieldPosition="0">
        <references count="3">
          <reference field="4294967294" count="1" selected="0">
            <x v="2"/>
          </reference>
          <reference field="0" count="1" selected="0">
            <x v="4"/>
          </reference>
          <reference field="1" count="1" selected="0">
            <x v="44"/>
          </reference>
        </references>
      </pivotArea>
    </chartFormat>
    <chartFormat chart="0" format="331">
      <pivotArea type="data" outline="0" fieldPosition="0">
        <references count="3">
          <reference field="4294967294" count="1" selected="0">
            <x v="2"/>
          </reference>
          <reference field="0" count="1" selected="0">
            <x v="4"/>
          </reference>
          <reference field="1" count="1" selected="0">
            <x v="45"/>
          </reference>
        </references>
      </pivotArea>
    </chartFormat>
    <chartFormat chart="0" format="332">
      <pivotArea type="data" outline="0" fieldPosition="0">
        <references count="3">
          <reference field="4294967294" count="1" selected="0">
            <x v="2"/>
          </reference>
          <reference field="0" count="1" selected="0">
            <x v="4"/>
          </reference>
          <reference field="1" count="1" selected="0">
            <x v="46"/>
          </reference>
        </references>
      </pivotArea>
    </chartFormat>
    <chartFormat chart="0" format="333">
      <pivotArea type="data" outline="0" fieldPosition="0">
        <references count="3">
          <reference field="4294967294" count="1" selected="0">
            <x v="2"/>
          </reference>
          <reference field="0" count="1" selected="0">
            <x v="4"/>
          </reference>
          <reference field="1" count="1" selected="0">
            <x v="47"/>
          </reference>
        </references>
      </pivotArea>
    </chartFormat>
    <chartFormat chart="0" format="334">
      <pivotArea type="data" outline="0" fieldPosition="0">
        <references count="3">
          <reference field="4294967294" count="1" selected="0">
            <x v="2"/>
          </reference>
          <reference field="0" count="1" selected="0">
            <x v="4"/>
          </reference>
          <reference field="1" count="1" selected="0">
            <x v="48"/>
          </reference>
        </references>
      </pivotArea>
    </chartFormat>
    <chartFormat chart="0" format="335">
      <pivotArea type="data" outline="0" fieldPosition="0">
        <references count="3">
          <reference field="4294967294" count="1" selected="0">
            <x v="2"/>
          </reference>
          <reference field="0" count="1" selected="0">
            <x v="4"/>
          </reference>
          <reference field="1" count="1" selected="0">
            <x v="49"/>
          </reference>
        </references>
      </pivotArea>
    </chartFormat>
    <chartFormat chart="0" format="336">
      <pivotArea type="data" outline="0" fieldPosition="0">
        <references count="3">
          <reference field="4294967294" count="1" selected="0">
            <x v="2"/>
          </reference>
          <reference field="0" count="1" selected="0">
            <x v="4"/>
          </reference>
          <reference field="1" count="1" selected="0">
            <x v="50"/>
          </reference>
        </references>
      </pivotArea>
    </chartFormat>
    <chartFormat chart="0" format="337">
      <pivotArea type="data" outline="0" fieldPosition="0">
        <references count="3">
          <reference field="4294967294" count="1" selected="0">
            <x v="2"/>
          </reference>
          <reference field="0" count="1" selected="0">
            <x v="4"/>
          </reference>
          <reference field="1" count="1" selected="0">
            <x v="51"/>
          </reference>
        </references>
      </pivotArea>
    </chartFormat>
    <chartFormat chart="0" format="338">
      <pivotArea type="data" outline="0" fieldPosition="0">
        <references count="3">
          <reference field="4294967294" count="1" selected="0">
            <x v="2"/>
          </reference>
          <reference field="0" count="1" selected="0">
            <x v="4"/>
          </reference>
          <reference field="1" count="1" selected="0">
            <x v="52"/>
          </reference>
        </references>
      </pivotArea>
    </chartFormat>
    <chartFormat chart="0" format="339">
      <pivotArea type="data" outline="0" fieldPosition="0">
        <references count="3">
          <reference field="4294967294" count="1" selected="0">
            <x v="2"/>
          </reference>
          <reference field="0" count="1" selected="0">
            <x v="4"/>
          </reference>
          <reference field="1" count="1" selected="0">
            <x v="53"/>
          </reference>
        </references>
      </pivotArea>
    </chartFormat>
    <chartFormat chart="0" format="340">
      <pivotArea type="data" outline="0" fieldPosition="0">
        <references count="3">
          <reference field="4294967294" count="1" selected="0">
            <x v="2"/>
          </reference>
          <reference field="0" count="1" selected="0">
            <x v="4"/>
          </reference>
          <reference field="1" count="1" selected="0">
            <x v="54"/>
          </reference>
        </references>
      </pivotArea>
    </chartFormat>
    <chartFormat chart="0" format="341">
      <pivotArea type="data" outline="0" fieldPosition="0">
        <references count="3">
          <reference field="4294967294" count="1" selected="0">
            <x v="2"/>
          </reference>
          <reference field="0" count="1" selected="0">
            <x v="4"/>
          </reference>
          <reference field="1" count="1" selected="0">
            <x v="55"/>
          </reference>
        </references>
      </pivotArea>
    </chartFormat>
    <chartFormat chart="0" format="342">
      <pivotArea type="data" outline="0" fieldPosition="0">
        <references count="3">
          <reference field="4294967294" count="1" selected="0">
            <x v="2"/>
          </reference>
          <reference field="0" count="1" selected="0">
            <x v="4"/>
          </reference>
          <reference field="1" count="1" selected="0">
            <x v="56"/>
          </reference>
        </references>
      </pivotArea>
    </chartFormat>
    <chartFormat chart="0" format="343">
      <pivotArea type="data" outline="0" fieldPosition="0">
        <references count="3">
          <reference field="4294967294" count="1" selected="0">
            <x v="2"/>
          </reference>
          <reference field="0" count="1" selected="0">
            <x v="4"/>
          </reference>
          <reference field="1" count="1" selected="0">
            <x v="57"/>
          </reference>
        </references>
      </pivotArea>
    </chartFormat>
    <chartFormat chart="0" format="344">
      <pivotArea type="data" outline="0" fieldPosition="0">
        <references count="3">
          <reference field="4294967294" count="1" selected="0">
            <x v="2"/>
          </reference>
          <reference field="0" count="1" selected="0">
            <x v="4"/>
          </reference>
          <reference field="1" count="1" selected="0">
            <x v="58"/>
          </reference>
        </references>
      </pivotArea>
    </chartFormat>
    <chartFormat chart="0" format="345">
      <pivotArea type="data" outline="0" fieldPosition="0">
        <references count="3">
          <reference field="4294967294" count="1" selected="0">
            <x v="2"/>
          </reference>
          <reference field="0" count="1" selected="0">
            <x v="4"/>
          </reference>
          <reference field="1" count="1" selected="0">
            <x v="59"/>
          </reference>
        </references>
      </pivotArea>
    </chartFormat>
    <chartFormat chart="0" format="346">
      <pivotArea type="data" outline="0" fieldPosition="0">
        <references count="3">
          <reference field="4294967294" count="1" selected="0">
            <x v="2"/>
          </reference>
          <reference field="0" count="1" selected="0">
            <x v="4"/>
          </reference>
          <reference field="1" count="1" selected="0">
            <x v="60"/>
          </reference>
        </references>
      </pivotArea>
    </chartFormat>
    <chartFormat chart="0" format="347">
      <pivotArea type="data" outline="0" fieldPosition="0">
        <references count="3">
          <reference field="4294967294" count="1" selected="0">
            <x v="2"/>
          </reference>
          <reference field="0" count="1" selected="0">
            <x v="4"/>
          </reference>
          <reference field="1" count="1" selected="0">
            <x v="63"/>
          </reference>
        </references>
      </pivotArea>
    </chartFormat>
    <chartFormat chart="0" format="348">
      <pivotArea type="data" outline="0" fieldPosition="0">
        <references count="3">
          <reference field="4294967294" count="1" selected="0">
            <x v="2"/>
          </reference>
          <reference field="0" count="1" selected="0">
            <x v="4"/>
          </reference>
          <reference field="1" count="1" selected="0">
            <x v="64"/>
          </reference>
        </references>
      </pivotArea>
    </chartFormat>
    <chartFormat chart="0" format="349">
      <pivotArea type="data" outline="0" fieldPosition="0">
        <references count="3">
          <reference field="4294967294" count="1" selected="0">
            <x v="2"/>
          </reference>
          <reference field="0" count="1" selected="0">
            <x v="4"/>
          </reference>
          <reference field="1" count="1" selected="0">
            <x v="65"/>
          </reference>
        </references>
      </pivotArea>
    </chartFormat>
    <chartFormat chart="0" format="350">
      <pivotArea type="data" outline="0" fieldPosition="0">
        <references count="3">
          <reference field="4294967294" count="1" selected="0">
            <x v="2"/>
          </reference>
          <reference field="0" count="1" selected="0">
            <x v="4"/>
          </reference>
          <reference field="1" count="1" selected="0">
            <x v="66"/>
          </reference>
        </references>
      </pivotArea>
    </chartFormat>
    <chartFormat chart="0" format="351">
      <pivotArea type="data" outline="0" fieldPosition="0">
        <references count="3">
          <reference field="4294967294" count="1" selected="0">
            <x v="2"/>
          </reference>
          <reference field="0" count="1" selected="0">
            <x v="4"/>
          </reference>
          <reference field="1" count="1" selected="0">
            <x v="67"/>
          </reference>
        </references>
      </pivotArea>
    </chartFormat>
    <chartFormat chart="0" format="352">
      <pivotArea type="data" outline="0" fieldPosition="0">
        <references count="3">
          <reference field="4294967294" count="1" selected="0">
            <x v="2"/>
          </reference>
          <reference field="0" count="1" selected="0">
            <x v="4"/>
          </reference>
          <reference field="1" count="1" selected="0">
            <x v="68"/>
          </reference>
        </references>
      </pivotArea>
    </chartFormat>
    <chartFormat chart="0" format="353">
      <pivotArea type="data" outline="0" fieldPosition="0">
        <references count="3">
          <reference field="4294967294" count="1" selected="0">
            <x v="2"/>
          </reference>
          <reference field="0" count="1" selected="0">
            <x v="4"/>
          </reference>
          <reference field="1" count="1" selected="0">
            <x v="69"/>
          </reference>
        </references>
      </pivotArea>
    </chartFormat>
    <chartFormat chart="0" format="354">
      <pivotArea type="data" outline="0" fieldPosition="0">
        <references count="3">
          <reference field="4294967294" count="1" selected="0">
            <x v="2"/>
          </reference>
          <reference field="0" count="1" selected="0">
            <x v="4"/>
          </reference>
          <reference field="1" count="1" selected="0">
            <x v="70"/>
          </reference>
        </references>
      </pivotArea>
    </chartFormat>
    <chartFormat chart="0" format="355">
      <pivotArea type="data" outline="0" fieldPosition="0">
        <references count="3">
          <reference field="4294967294" count="1" selected="0">
            <x v="2"/>
          </reference>
          <reference field="0" count="1" selected="0">
            <x v="4"/>
          </reference>
          <reference field="1" count="1" selected="0">
            <x v="71"/>
          </reference>
        </references>
      </pivotArea>
    </chartFormat>
    <chartFormat chart="0" format="356">
      <pivotArea type="data" outline="0" fieldPosition="0">
        <references count="3">
          <reference field="4294967294" count="1" selected="0">
            <x v="2"/>
          </reference>
          <reference field="0" count="1" selected="0">
            <x v="4"/>
          </reference>
          <reference field="1" count="1" selected="0">
            <x v="72"/>
          </reference>
        </references>
      </pivotArea>
    </chartFormat>
    <chartFormat chart="0" format="357">
      <pivotArea type="data" outline="0" fieldPosition="0">
        <references count="3">
          <reference field="4294967294" count="1" selected="0">
            <x v="2"/>
          </reference>
          <reference field="0" count="1" selected="0">
            <x v="4"/>
          </reference>
          <reference field="1" count="1" selected="0">
            <x v="73"/>
          </reference>
        </references>
      </pivotArea>
    </chartFormat>
    <chartFormat chart="0" format="358">
      <pivotArea type="data" outline="0" fieldPosition="0">
        <references count="3">
          <reference field="4294967294" count="1" selected="0">
            <x v="2"/>
          </reference>
          <reference field="0" count="1" selected="0">
            <x v="4"/>
          </reference>
          <reference field="1" count="1" selected="0">
            <x v="74"/>
          </reference>
        </references>
      </pivotArea>
    </chartFormat>
    <chartFormat chart="0" format="359">
      <pivotArea type="data" outline="0" fieldPosition="0">
        <references count="3">
          <reference field="4294967294" count="1" selected="0">
            <x v="2"/>
          </reference>
          <reference field="0" count="1" selected="0">
            <x v="4"/>
          </reference>
          <reference field="1" count="1" selected="0">
            <x v="75"/>
          </reference>
        </references>
      </pivotArea>
    </chartFormat>
    <chartFormat chart="0" format="360">
      <pivotArea type="data" outline="0" fieldPosition="0">
        <references count="3">
          <reference field="4294967294" count="1" selected="0">
            <x v="2"/>
          </reference>
          <reference field="0" count="1" selected="0">
            <x v="4"/>
          </reference>
          <reference field="1" count="1" selected="0">
            <x v="76"/>
          </reference>
        </references>
      </pivotArea>
    </chartFormat>
    <chartFormat chart="0" format="361">
      <pivotArea type="data" outline="0" fieldPosition="0">
        <references count="3">
          <reference field="4294967294" count="1" selected="0">
            <x v="2"/>
          </reference>
          <reference field="0" count="1" selected="0">
            <x v="4"/>
          </reference>
          <reference field="1" count="1" selected="0">
            <x v="77"/>
          </reference>
        </references>
      </pivotArea>
    </chartFormat>
    <chartFormat chart="0" format="362">
      <pivotArea type="data" outline="0" fieldPosition="0">
        <references count="3">
          <reference field="4294967294" count="1" selected="0">
            <x v="2"/>
          </reference>
          <reference field="0" count="1" selected="0">
            <x v="4"/>
          </reference>
          <reference field="1" count="1" selected="0">
            <x v="78"/>
          </reference>
        </references>
      </pivotArea>
    </chartFormat>
    <chartFormat chart="0" format="363">
      <pivotArea type="data" outline="0" fieldPosition="0">
        <references count="3">
          <reference field="4294967294" count="1" selected="0">
            <x v="0"/>
          </reference>
          <reference field="0" count="1" selected="0">
            <x v="4"/>
          </reference>
          <reference field="1" count="1" selected="0">
            <x v="61"/>
          </reference>
        </references>
      </pivotArea>
    </chartFormat>
    <chartFormat chart="0" format="364">
      <pivotArea type="data" outline="0" fieldPosition="0">
        <references count="3">
          <reference field="4294967294" count="1" selected="0">
            <x v="0"/>
          </reference>
          <reference field="0" count="1" selected="0">
            <x v="4"/>
          </reference>
          <reference field="1" count="1" selected="0">
            <x v="62"/>
          </reference>
        </references>
      </pivotArea>
    </chartFormat>
    <chartFormat chart="0" format="365">
      <pivotArea type="data" outline="0" fieldPosition="0">
        <references count="3">
          <reference field="4294967294" count="1" selected="0">
            <x v="0"/>
          </reference>
          <reference field="0" count="1" selected="0">
            <x v="5"/>
          </reference>
          <reference field="1" count="1" selected="0">
            <x v="31"/>
          </reference>
        </references>
      </pivotArea>
    </chartFormat>
    <chartFormat chart="0" format="366">
      <pivotArea type="data" outline="0" fieldPosition="0">
        <references count="3">
          <reference field="4294967294" count="1" selected="0">
            <x v="0"/>
          </reference>
          <reference field="0" count="1" selected="0">
            <x v="5"/>
          </reference>
          <reference field="1" count="1" selected="0">
            <x v="32"/>
          </reference>
        </references>
      </pivotArea>
    </chartFormat>
    <chartFormat chart="0" format="367">
      <pivotArea type="data" outline="0" fieldPosition="0">
        <references count="3">
          <reference field="4294967294" count="1" selected="0">
            <x v="0"/>
          </reference>
          <reference field="0" count="1" selected="0">
            <x v="5"/>
          </reference>
          <reference field="1" count="1" selected="0">
            <x v="33"/>
          </reference>
        </references>
      </pivotArea>
    </chartFormat>
    <chartFormat chart="0" format="368">
      <pivotArea type="data" outline="0" fieldPosition="0">
        <references count="3">
          <reference field="4294967294" count="1" selected="0">
            <x v="0"/>
          </reference>
          <reference field="0" count="1" selected="0">
            <x v="5"/>
          </reference>
          <reference field="1" count="1" selected="0">
            <x v="34"/>
          </reference>
        </references>
      </pivotArea>
    </chartFormat>
    <chartFormat chart="0" format="369">
      <pivotArea type="data" outline="0" fieldPosition="0">
        <references count="3">
          <reference field="4294967294" count="1" selected="0">
            <x v="0"/>
          </reference>
          <reference field="0" count="1" selected="0">
            <x v="5"/>
          </reference>
          <reference field="1" count="1" selected="0">
            <x v="35"/>
          </reference>
        </references>
      </pivotArea>
    </chartFormat>
    <chartFormat chart="0" format="370">
      <pivotArea type="data" outline="0" fieldPosition="0">
        <references count="3">
          <reference field="4294967294" count="1" selected="0">
            <x v="0"/>
          </reference>
          <reference field="0" count="1" selected="0">
            <x v="5"/>
          </reference>
          <reference field="1" count="1" selected="0">
            <x v="36"/>
          </reference>
        </references>
      </pivotArea>
    </chartFormat>
    <chartFormat chart="0" format="371">
      <pivotArea type="data" outline="0" fieldPosition="0">
        <references count="3">
          <reference field="4294967294" count="1" selected="0">
            <x v="0"/>
          </reference>
          <reference field="0" count="1" selected="0">
            <x v="5"/>
          </reference>
          <reference field="1" count="1" selected="0">
            <x v="37"/>
          </reference>
        </references>
      </pivotArea>
    </chartFormat>
    <chartFormat chart="0" format="372">
      <pivotArea type="data" outline="0" fieldPosition="0">
        <references count="3">
          <reference field="4294967294" count="1" selected="0">
            <x v="0"/>
          </reference>
          <reference field="0" count="1" selected="0">
            <x v="5"/>
          </reference>
          <reference field="1" count="1" selected="0">
            <x v="38"/>
          </reference>
        </references>
      </pivotArea>
    </chartFormat>
    <chartFormat chart="0" format="373">
      <pivotArea type="data" outline="0" fieldPosition="0">
        <references count="3">
          <reference field="4294967294" count="1" selected="0">
            <x v="0"/>
          </reference>
          <reference field="0" count="1" selected="0">
            <x v="5"/>
          </reference>
          <reference field="1" count="1" selected="0">
            <x v="40"/>
          </reference>
        </references>
      </pivotArea>
    </chartFormat>
    <chartFormat chart="0" format="374">
      <pivotArea type="data" outline="0" fieldPosition="0">
        <references count="3">
          <reference field="4294967294" count="1" selected="0">
            <x v="0"/>
          </reference>
          <reference field="0" count="1" selected="0">
            <x v="5"/>
          </reference>
          <reference field="1" count="1" selected="0">
            <x v="63"/>
          </reference>
        </references>
      </pivotArea>
    </chartFormat>
    <chartFormat chart="0" format="375">
      <pivotArea type="data" outline="0" fieldPosition="0">
        <references count="3">
          <reference field="4294967294" count="1" selected="0">
            <x v="0"/>
          </reference>
          <reference field="0" count="1" selected="0">
            <x v="5"/>
          </reference>
          <reference field="1" count="1" selected="0">
            <x v="64"/>
          </reference>
        </references>
      </pivotArea>
    </chartFormat>
    <chartFormat chart="0" format="376">
      <pivotArea type="data" outline="0" fieldPosition="0">
        <references count="3">
          <reference field="4294967294" count="1" selected="0">
            <x v="0"/>
          </reference>
          <reference field="0" count="1" selected="0">
            <x v="5"/>
          </reference>
          <reference field="1" count="1" selected="0">
            <x v="65"/>
          </reference>
        </references>
      </pivotArea>
    </chartFormat>
    <chartFormat chart="0" format="377">
      <pivotArea type="data" outline="0" fieldPosition="0">
        <references count="3">
          <reference field="4294967294" count="1" selected="0">
            <x v="0"/>
          </reference>
          <reference field="0" count="1" selected="0">
            <x v="5"/>
          </reference>
          <reference field="1" count="1" selected="0">
            <x v="66"/>
          </reference>
        </references>
      </pivotArea>
    </chartFormat>
    <chartFormat chart="0" format="378">
      <pivotArea type="data" outline="0" fieldPosition="0">
        <references count="3">
          <reference field="4294967294" count="1" selected="0">
            <x v="0"/>
          </reference>
          <reference field="0" count="1" selected="0">
            <x v="5"/>
          </reference>
          <reference field="1" count="1" selected="0">
            <x v="67"/>
          </reference>
        </references>
      </pivotArea>
    </chartFormat>
    <chartFormat chart="0" format="379">
      <pivotArea type="data" outline="0" fieldPosition="0">
        <references count="3">
          <reference field="4294967294" count="1" selected="0">
            <x v="0"/>
          </reference>
          <reference field="0" count="1" selected="0">
            <x v="5"/>
          </reference>
          <reference field="1" count="1" selected="0">
            <x v="68"/>
          </reference>
        </references>
      </pivotArea>
    </chartFormat>
    <chartFormat chart="0" format="380">
      <pivotArea type="data" outline="0" fieldPosition="0">
        <references count="3">
          <reference field="4294967294" count="1" selected="0">
            <x v="0"/>
          </reference>
          <reference field="0" count="1" selected="0">
            <x v="5"/>
          </reference>
          <reference field="1" count="1" selected="0">
            <x v="69"/>
          </reference>
        </references>
      </pivotArea>
    </chartFormat>
    <chartFormat chart="0" format="381">
      <pivotArea type="data" outline="0" fieldPosition="0">
        <references count="3">
          <reference field="4294967294" count="1" selected="0">
            <x v="0"/>
          </reference>
          <reference field="0" count="1" selected="0">
            <x v="5"/>
          </reference>
          <reference field="1" count="1" selected="0">
            <x v="70"/>
          </reference>
        </references>
      </pivotArea>
    </chartFormat>
    <chartFormat chart="0" format="382">
      <pivotArea type="data" outline="0" fieldPosition="0">
        <references count="3">
          <reference field="4294967294" count="1" selected="0">
            <x v="0"/>
          </reference>
          <reference field="0" count="1" selected="0">
            <x v="5"/>
          </reference>
          <reference field="1" count="1" selected="0">
            <x v="71"/>
          </reference>
        </references>
      </pivotArea>
    </chartFormat>
    <chartFormat chart="0" format="383">
      <pivotArea type="data" outline="0" fieldPosition="0">
        <references count="3">
          <reference field="4294967294" count="1" selected="0">
            <x v="0"/>
          </reference>
          <reference field="0" count="1" selected="0">
            <x v="5"/>
          </reference>
          <reference field="1" count="1" selected="0">
            <x v="72"/>
          </reference>
        </references>
      </pivotArea>
    </chartFormat>
    <chartFormat chart="0" format="384">
      <pivotArea type="data" outline="0" fieldPosition="0">
        <references count="3">
          <reference field="4294967294" count="1" selected="0">
            <x v="0"/>
          </reference>
          <reference field="0" count="1" selected="0">
            <x v="5"/>
          </reference>
          <reference field="1" count="1" selected="0">
            <x v="73"/>
          </reference>
        </references>
      </pivotArea>
    </chartFormat>
    <chartFormat chart="0" format="385">
      <pivotArea type="data" outline="0" fieldPosition="0">
        <references count="3">
          <reference field="4294967294" count="1" selected="0">
            <x v="0"/>
          </reference>
          <reference field="0" count="1" selected="0">
            <x v="5"/>
          </reference>
          <reference field="1" count="1" selected="0">
            <x v="74"/>
          </reference>
        </references>
      </pivotArea>
    </chartFormat>
    <chartFormat chart="0" format="386">
      <pivotArea type="data" outline="0" fieldPosition="0">
        <references count="3">
          <reference field="4294967294" count="1" selected="0">
            <x v="0"/>
          </reference>
          <reference field="0" count="1" selected="0">
            <x v="5"/>
          </reference>
          <reference field="1" count="1" selected="0">
            <x v="75"/>
          </reference>
        </references>
      </pivotArea>
    </chartFormat>
    <chartFormat chart="0" format="387">
      <pivotArea type="data" outline="0" fieldPosition="0">
        <references count="3">
          <reference field="4294967294" count="1" selected="0">
            <x v="0"/>
          </reference>
          <reference field="0" count="1" selected="0">
            <x v="5"/>
          </reference>
          <reference field="1" count="1" selected="0">
            <x v="76"/>
          </reference>
        </references>
      </pivotArea>
    </chartFormat>
    <chartFormat chart="0" format="388">
      <pivotArea type="data" outline="0" fieldPosition="0">
        <references count="3">
          <reference field="4294967294" count="1" selected="0">
            <x v="0"/>
          </reference>
          <reference field="0" count="1" selected="0">
            <x v="5"/>
          </reference>
          <reference field="1" count="1" selected="0">
            <x v="77"/>
          </reference>
        </references>
      </pivotArea>
    </chartFormat>
    <chartFormat chart="0" format="389">
      <pivotArea type="data" outline="0" fieldPosition="0">
        <references count="3">
          <reference field="4294967294" count="1" selected="0">
            <x v="0"/>
          </reference>
          <reference field="0" count="1" selected="0">
            <x v="5"/>
          </reference>
          <reference field="1" count="1" selected="0">
            <x v="78"/>
          </reference>
        </references>
      </pivotArea>
    </chartFormat>
    <chartFormat chart="0" format="390">
      <pivotArea type="data" outline="0" fieldPosition="0">
        <references count="3">
          <reference field="4294967294" count="1" selected="0">
            <x v="2"/>
          </reference>
          <reference field="0" count="1" selected="0">
            <x v="4"/>
          </reference>
          <reference field="1" count="1" selected="0">
            <x v="61"/>
          </reference>
        </references>
      </pivotArea>
    </chartFormat>
    <chartFormat chart="0" format="391">
      <pivotArea type="data" outline="0" fieldPosition="0">
        <references count="3">
          <reference field="4294967294" count="1" selected="0">
            <x v="2"/>
          </reference>
          <reference field="0" count="1" selected="0">
            <x v="4"/>
          </reference>
          <reference field="1" count="1" selected="0">
            <x v="62"/>
          </reference>
        </references>
      </pivotArea>
    </chartFormat>
    <chartFormat chart="0" format="392">
      <pivotArea type="data" outline="0" fieldPosition="0">
        <references count="3">
          <reference field="4294967294" count="1" selected="0">
            <x v="2"/>
          </reference>
          <reference field="0" count="1" selected="0">
            <x v="5"/>
          </reference>
          <reference field="1" count="1" selected="0">
            <x v="31"/>
          </reference>
        </references>
      </pivotArea>
    </chartFormat>
    <chartFormat chart="0" format="393">
      <pivotArea type="data" outline="0" fieldPosition="0">
        <references count="3">
          <reference field="4294967294" count="1" selected="0">
            <x v="2"/>
          </reference>
          <reference field="0" count="1" selected="0">
            <x v="5"/>
          </reference>
          <reference field="1" count="1" selected="0">
            <x v="32"/>
          </reference>
        </references>
      </pivotArea>
    </chartFormat>
    <chartFormat chart="0" format="394">
      <pivotArea type="data" outline="0" fieldPosition="0">
        <references count="3">
          <reference field="4294967294" count="1" selected="0">
            <x v="2"/>
          </reference>
          <reference field="0" count="1" selected="0">
            <x v="5"/>
          </reference>
          <reference field="1" count="1" selected="0">
            <x v="33"/>
          </reference>
        </references>
      </pivotArea>
    </chartFormat>
    <chartFormat chart="0" format="395">
      <pivotArea type="data" outline="0" fieldPosition="0">
        <references count="3">
          <reference field="4294967294" count="1" selected="0">
            <x v="2"/>
          </reference>
          <reference field="0" count="1" selected="0">
            <x v="5"/>
          </reference>
          <reference field="1" count="1" selected="0">
            <x v="34"/>
          </reference>
        </references>
      </pivotArea>
    </chartFormat>
    <chartFormat chart="0" format="396">
      <pivotArea type="data" outline="0" fieldPosition="0">
        <references count="3">
          <reference field="4294967294" count="1" selected="0">
            <x v="2"/>
          </reference>
          <reference field="0" count="1" selected="0">
            <x v="5"/>
          </reference>
          <reference field="1" count="1" selected="0">
            <x v="35"/>
          </reference>
        </references>
      </pivotArea>
    </chartFormat>
    <chartFormat chart="0" format="397">
      <pivotArea type="data" outline="0" fieldPosition="0">
        <references count="3">
          <reference field="4294967294" count="1" selected="0">
            <x v="2"/>
          </reference>
          <reference field="0" count="1" selected="0">
            <x v="5"/>
          </reference>
          <reference field="1" count="1" selected="0">
            <x v="36"/>
          </reference>
        </references>
      </pivotArea>
    </chartFormat>
    <chartFormat chart="0" format="398">
      <pivotArea type="data" outline="0" fieldPosition="0">
        <references count="3">
          <reference field="4294967294" count="1" selected="0">
            <x v="2"/>
          </reference>
          <reference field="0" count="1" selected="0">
            <x v="5"/>
          </reference>
          <reference field="1" count="1" selected="0">
            <x v="37"/>
          </reference>
        </references>
      </pivotArea>
    </chartFormat>
    <chartFormat chart="0" format="399">
      <pivotArea type="data" outline="0" fieldPosition="0">
        <references count="3">
          <reference field="4294967294" count="1" selected="0">
            <x v="2"/>
          </reference>
          <reference field="0" count="1" selected="0">
            <x v="5"/>
          </reference>
          <reference field="1" count="1" selected="0">
            <x v="38"/>
          </reference>
        </references>
      </pivotArea>
    </chartFormat>
    <chartFormat chart="0" format="400">
      <pivotArea type="data" outline="0" fieldPosition="0">
        <references count="3">
          <reference field="4294967294" count="1" selected="0">
            <x v="2"/>
          </reference>
          <reference field="0" count="1" selected="0">
            <x v="5"/>
          </reference>
          <reference field="1" count="1" selected="0">
            <x v="40"/>
          </reference>
        </references>
      </pivotArea>
    </chartFormat>
    <chartFormat chart="0" format="401">
      <pivotArea type="data" outline="0" fieldPosition="0">
        <references count="3">
          <reference field="4294967294" count="1" selected="0">
            <x v="2"/>
          </reference>
          <reference field="0" count="1" selected="0">
            <x v="5"/>
          </reference>
          <reference field="1" count="1" selected="0">
            <x v="63"/>
          </reference>
        </references>
      </pivotArea>
    </chartFormat>
    <chartFormat chart="0" format="402">
      <pivotArea type="data" outline="0" fieldPosition="0">
        <references count="3">
          <reference field="4294967294" count="1" selected="0">
            <x v="2"/>
          </reference>
          <reference field="0" count="1" selected="0">
            <x v="5"/>
          </reference>
          <reference field="1" count="1" selected="0">
            <x v="64"/>
          </reference>
        </references>
      </pivotArea>
    </chartFormat>
    <chartFormat chart="0" format="403">
      <pivotArea type="data" outline="0" fieldPosition="0">
        <references count="3">
          <reference field="4294967294" count="1" selected="0">
            <x v="2"/>
          </reference>
          <reference field="0" count="1" selected="0">
            <x v="5"/>
          </reference>
          <reference field="1" count="1" selected="0">
            <x v="65"/>
          </reference>
        </references>
      </pivotArea>
    </chartFormat>
    <chartFormat chart="0" format="404">
      <pivotArea type="data" outline="0" fieldPosition="0">
        <references count="3">
          <reference field="4294967294" count="1" selected="0">
            <x v="2"/>
          </reference>
          <reference field="0" count="1" selected="0">
            <x v="5"/>
          </reference>
          <reference field="1" count="1" selected="0">
            <x v="66"/>
          </reference>
        </references>
      </pivotArea>
    </chartFormat>
    <chartFormat chart="0" format="405">
      <pivotArea type="data" outline="0" fieldPosition="0">
        <references count="3">
          <reference field="4294967294" count="1" selected="0">
            <x v="2"/>
          </reference>
          <reference field="0" count="1" selected="0">
            <x v="5"/>
          </reference>
          <reference field="1" count="1" selected="0">
            <x v="67"/>
          </reference>
        </references>
      </pivotArea>
    </chartFormat>
    <chartFormat chart="0" format="406">
      <pivotArea type="data" outline="0" fieldPosition="0">
        <references count="3">
          <reference field="4294967294" count="1" selected="0">
            <x v="2"/>
          </reference>
          <reference field="0" count="1" selected="0">
            <x v="5"/>
          </reference>
          <reference field="1" count="1" selected="0">
            <x v="68"/>
          </reference>
        </references>
      </pivotArea>
    </chartFormat>
    <chartFormat chart="0" format="407">
      <pivotArea type="data" outline="0" fieldPosition="0">
        <references count="3">
          <reference field="4294967294" count="1" selected="0">
            <x v="2"/>
          </reference>
          <reference field="0" count="1" selected="0">
            <x v="5"/>
          </reference>
          <reference field="1" count="1" selected="0">
            <x v="69"/>
          </reference>
        </references>
      </pivotArea>
    </chartFormat>
    <chartFormat chart="0" format="408">
      <pivotArea type="data" outline="0" fieldPosition="0">
        <references count="3">
          <reference field="4294967294" count="1" selected="0">
            <x v="2"/>
          </reference>
          <reference field="0" count="1" selected="0">
            <x v="5"/>
          </reference>
          <reference field="1" count="1" selected="0">
            <x v="70"/>
          </reference>
        </references>
      </pivotArea>
    </chartFormat>
    <chartFormat chart="0" format="409">
      <pivotArea type="data" outline="0" fieldPosition="0">
        <references count="3">
          <reference field="4294967294" count="1" selected="0">
            <x v="2"/>
          </reference>
          <reference field="0" count="1" selected="0">
            <x v="5"/>
          </reference>
          <reference field="1" count="1" selected="0">
            <x v="71"/>
          </reference>
        </references>
      </pivotArea>
    </chartFormat>
    <chartFormat chart="0" format="410">
      <pivotArea type="data" outline="0" fieldPosition="0">
        <references count="3">
          <reference field="4294967294" count="1" selected="0">
            <x v="2"/>
          </reference>
          <reference field="0" count="1" selected="0">
            <x v="5"/>
          </reference>
          <reference field="1" count="1" selected="0">
            <x v="72"/>
          </reference>
        </references>
      </pivotArea>
    </chartFormat>
    <chartFormat chart="0" format="411">
      <pivotArea type="data" outline="0" fieldPosition="0">
        <references count="3">
          <reference field="4294967294" count="1" selected="0">
            <x v="2"/>
          </reference>
          <reference field="0" count="1" selected="0">
            <x v="5"/>
          </reference>
          <reference field="1" count="1" selected="0">
            <x v="73"/>
          </reference>
        </references>
      </pivotArea>
    </chartFormat>
    <chartFormat chart="0" format="412">
      <pivotArea type="data" outline="0" fieldPosition="0">
        <references count="3">
          <reference field="4294967294" count="1" selected="0">
            <x v="2"/>
          </reference>
          <reference field="0" count="1" selected="0">
            <x v="5"/>
          </reference>
          <reference field="1" count="1" selected="0">
            <x v="74"/>
          </reference>
        </references>
      </pivotArea>
    </chartFormat>
    <chartFormat chart="0" format="413">
      <pivotArea type="data" outline="0" fieldPosition="0">
        <references count="3">
          <reference field="4294967294" count="1" selected="0">
            <x v="2"/>
          </reference>
          <reference field="0" count="1" selected="0">
            <x v="5"/>
          </reference>
          <reference field="1" count="1" selected="0">
            <x v="75"/>
          </reference>
        </references>
      </pivotArea>
    </chartFormat>
    <chartFormat chart="0" format="414">
      <pivotArea type="data" outline="0" fieldPosition="0">
        <references count="3">
          <reference field="4294967294" count="1" selected="0">
            <x v="2"/>
          </reference>
          <reference field="0" count="1" selected="0">
            <x v="5"/>
          </reference>
          <reference field="1" count="1" selected="0">
            <x v="76"/>
          </reference>
        </references>
      </pivotArea>
    </chartFormat>
    <chartFormat chart="0" format="415">
      <pivotArea type="data" outline="0" fieldPosition="0">
        <references count="3">
          <reference field="4294967294" count="1" selected="0">
            <x v="2"/>
          </reference>
          <reference field="0" count="1" selected="0">
            <x v="5"/>
          </reference>
          <reference field="1" count="1" selected="0">
            <x v="77"/>
          </reference>
        </references>
      </pivotArea>
    </chartFormat>
    <chartFormat chart="0" format="416">
      <pivotArea type="data" outline="0" fieldPosition="0">
        <references count="3">
          <reference field="4294967294" count="1" selected="0">
            <x v="2"/>
          </reference>
          <reference field="0" count="1" selected="0">
            <x v="5"/>
          </reference>
          <reference field="1" count="1" selected="0">
            <x v="78"/>
          </reference>
        </references>
      </pivotArea>
    </chartFormat>
    <chartFormat chart="0" format="417">
      <pivotArea type="data" outline="0" fieldPosition="0">
        <references count="3">
          <reference field="4294967294" count="1" selected="0">
            <x v="0"/>
          </reference>
          <reference field="0" count="1" selected="0">
            <x v="5"/>
          </reference>
          <reference field="1" count="1" selected="0">
            <x v="41"/>
          </reference>
        </references>
      </pivotArea>
    </chartFormat>
    <chartFormat chart="0" format="418">
      <pivotArea type="data" outline="0" fieldPosition="0">
        <references count="3">
          <reference field="4294967294" count="1" selected="0">
            <x v="0"/>
          </reference>
          <reference field="0" count="1" selected="0">
            <x v="5"/>
          </reference>
          <reference field="1" count="1" selected="0">
            <x v="42"/>
          </reference>
        </references>
      </pivotArea>
    </chartFormat>
    <chartFormat chart="0" format="419">
      <pivotArea type="data" outline="0" fieldPosition="0">
        <references count="3">
          <reference field="4294967294" count="1" selected="0">
            <x v="2"/>
          </reference>
          <reference field="0" count="1" selected="0">
            <x v="5"/>
          </reference>
          <reference field="1" count="1" selected="0">
            <x v="41"/>
          </reference>
        </references>
      </pivotArea>
    </chartFormat>
    <chartFormat chart="0" format="420">
      <pivotArea type="data" outline="0" fieldPosition="0">
        <references count="3">
          <reference field="4294967294" count="1" selected="0">
            <x v="2"/>
          </reference>
          <reference field="0" count="1" selected="0">
            <x v="5"/>
          </reference>
          <reference field="1" count="1" selected="0">
            <x v="42"/>
          </reference>
        </references>
      </pivotArea>
    </chartFormat>
    <chartFormat chart="0" format="421">
      <pivotArea type="data" outline="0" fieldPosition="0">
        <references count="3">
          <reference field="4294967294" count="1" selected="0">
            <x v="0"/>
          </reference>
          <reference field="0" count="1" selected="0">
            <x v="5"/>
          </reference>
          <reference field="1" count="1" selected="0">
            <x v="43"/>
          </reference>
        </references>
      </pivotArea>
    </chartFormat>
    <chartFormat chart="0" format="422">
      <pivotArea type="data" outline="0" fieldPosition="0">
        <references count="3">
          <reference field="4294967294" count="1" selected="0">
            <x v="0"/>
          </reference>
          <reference field="0" count="1" selected="0">
            <x v="5"/>
          </reference>
          <reference field="1" count="1" selected="0">
            <x v="44"/>
          </reference>
        </references>
      </pivotArea>
    </chartFormat>
    <chartFormat chart="0" format="423">
      <pivotArea type="data" outline="0" fieldPosition="0">
        <references count="3">
          <reference field="4294967294" count="1" selected="0">
            <x v="0"/>
          </reference>
          <reference field="0" count="1" selected="0">
            <x v="5"/>
          </reference>
          <reference field="1" count="1" selected="0">
            <x v="45"/>
          </reference>
        </references>
      </pivotArea>
    </chartFormat>
    <chartFormat chart="0" format="424">
      <pivotArea type="data" outline="0" fieldPosition="0">
        <references count="3">
          <reference field="4294967294" count="1" selected="0">
            <x v="0"/>
          </reference>
          <reference field="0" count="1" selected="0">
            <x v="5"/>
          </reference>
          <reference field="1" count="1" selected="0">
            <x v="46"/>
          </reference>
        </references>
      </pivotArea>
    </chartFormat>
    <chartFormat chart="0" format="425">
      <pivotArea type="data" outline="0" fieldPosition="0">
        <references count="3">
          <reference field="4294967294" count="1" selected="0">
            <x v="0"/>
          </reference>
          <reference field="0" count="1" selected="0">
            <x v="5"/>
          </reference>
          <reference field="1" count="1" selected="0">
            <x v="47"/>
          </reference>
        </references>
      </pivotArea>
    </chartFormat>
    <chartFormat chart="0" format="426">
      <pivotArea type="data" outline="0" fieldPosition="0">
        <references count="3">
          <reference field="4294967294" count="1" selected="0">
            <x v="0"/>
          </reference>
          <reference field="0" count="1" selected="0">
            <x v="5"/>
          </reference>
          <reference field="1" count="1" selected="0">
            <x v="48"/>
          </reference>
        </references>
      </pivotArea>
    </chartFormat>
    <chartFormat chart="0" format="427">
      <pivotArea type="data" outline="0" fieldPosition="0">
        <references count="3">
          <reference field="4294967294" count="1" selected="0">
            <x v="0"/>
          </reference>
          <reference field="0" count="1" selected="0">
            <x v="5"/>
          </reference>
          <reference field="1" count="1" selected="0">
            <x v="49"/>
          </reference>
        </references>
      </pivotArea>
    </chartFormat>
    <chartFormat chart="0" format="428">
      <pivotArea type="data" outline="0" fieldPosition="0">
        <references count="3">
          <reference field="4294967294" count="1" selected="0">
            <x v="0"/>
          </reference>
          <reference field="0" count="1" selected="0">
            <x v="5"/>
          </reference>
          <reference field="1" count="1" selected="0">
            <x v="50"/>
          </reference>
        </references>
      </pivotArea>
    </chartFormat>
    <chartFormat chart="0" format="429">
      <pivotArea type="data" outline="0" fieldPosition="0">
        <references count="3">
          <reference field="4294967294" count="1" selected="0">
            <x v="0"/>
          </reference>
          <reference field="0" count="1" selected="0">
            <x v="5"/>
          </reference>
          <reference field="1" count="1" selected="0">
            <x v="51"/>
          </reference>
        </references>
      </pivotArea>
    </chartFormat>
    <chartFormat chart="0" format="430">
      <pivotArea type="data" outline="0" fieldPosition="0">
        <references count="3">
          <reference field="4294967294" count="1" selected="0">
            <x v="0"/>
          </reference>
          <reference field="0" count="1" selected="0">
            <x v="5"/>
          </reference>
          <reference field="1" count="1" selected="0">
            <x v="52"/>
          </reference>
        </references>
      </pivotArea>
    </chartFormat>
    <chartFormat chart="0" format="431">
      <pivotArea type="data" outline="0" fieldPosition="0">
        <references count="3">
          <reference field="4294967294" count="1" selected="0">
            <x v="0"/>
          </reference>
          <reference field="0" count="1" selected="0">
            <x v="5"/>
          </reference>
          <reference field="1" count="1" selected="0">
            <x v="53"/>
          </reference>
        </references>
      </pivotArea>
    </chartFormat>
    <chartFormat chart="0" format="432">
      <pivotArea type="data" outline="0" fieldPosition="0">
        <references count="3">
          <reference field="4294967294" count="1" selected="0">
            <x v="0"/>
          </reference>
          <reference field="0" count="1" selected="0">
            <x v="5"/>
          </reference>
          <reference field="1" count="1" selected="0">
            <x v="54"/>
          </reference>
        </references>
      </pivotArea>
    </chartFormat>
    <chartFormat chart="0" format="433">
      <pivotArea type="data" outline="0" fieldPosition="0">
        <references count="3">
          <reference field="4294967294" count="1" selected="0">
            <x v="0"/>
          </reference>
          <reference field="0" count="1" selected="0">
            <x v="5"/>
          </reference>
          <reference field="1" count="1" selected="0">
            <x v="55"/>
          </reference>
        </references>
      </pivotArea>
    </chartFormat>
    <chartFormat chart="0" format="434">
      <pivotArea type="data" outline="0" fieldPosition="0">
        <references count="3">
          <reference field="4294967294" count="1" selected="0">
            <x v="0"/>
          </reference>
          <reference field="0" count="1" selected="0">
            <x v="5"/>
          </reference>
          <reference field="1" count="1" selected="0">
            <x v="56"/>
          </reference>
        </references>
      </pivotArea>
    </chartFormat>
    <chartFormat chart="0" format="435">
      <pivotArea type="data" outline="0" fieldPosition="0">
        <references count="3">
          <reference field="4294967294" count="1" selected="0">
            <x v="2"/>
          </reference>
          <reference field="0" count="1" selected="0">
            <x v="5"/>
          </reference>
          <reference field="1" count="1" selected="0">
            <x v="43"/>
          </reference>
        </references>
      </pivotArea>
    </chartFormat>
    <chartFormat chart="0" format="436">
      <pivotArea type="data" outline="0" fieldPosition="0">
        <references count="3">
          <reference field="4294967294" count="1" selected="0">
            <x v="2"/>
          </reference>
          <reference field="0" count="1" selected="0">
            <x v="5"/>
          </reference>
          <reference field="1" count="1" selected="0">
            <x v="44"/>
          </reference>
        </references>
      </pivotArea>
    </chartFormat>
    <chartFormat chart="0" format="437">
      <pivotArea type="data" outline="0" fieldPosition="0">
        <references count="3">
          <reference field="4294967294" count="1" selected="0">
            <x v="2"/>
          </reference>
          <reference field="0" count="1" selected="0">
            <x v="5"/>
          </reference>
          <reference field="1" count="1" selected="0">
            <x v="45"/>
          </reference>
        </references>
      </pivotArea>
    </chartFormat>
    <chartFormat chart="0" format="438">
      <pivotArea type="data" outline="0" fieldPosition="0">
        <references count="3">
          <reference field="4294967294" count="1" selected="0">
            <x v="2"/>
          </reference>
          <reference field="0" count="1" selected="0">
            <x v="5"/>
          </reference>
          <reference field="1" count="1" selected="0">
            <x v="46"/>
          </reference>
        </references>
      </pivotArea>
    </chartFormat>
    <chartFormat chart="0" format="439">
      <pivotArea type="data" outline="0" fieldPosition="0">
        <references count="3">
          <reference field="4294967294" count="1" selected="0">
            <x v="2"/>
          </reference>
          <reference field="0" count="1" selected="0">
            <x v="5"/>
          </reference>
          <reference field="1" count="1" selected="0">
            <x v="47"/>
          </reference>
        </references>
      </pivotArea>
    </chartFormat>
    <chartFormat chart="0" format="440">
      <pivotArea type="data" outline="0" fieldPosition="0">
        <references count="3">
          <reference field="4294967294" count="1" selected="0">
            <x v="2"/>
          </reference>
          <reference field="0" count="1" selected="0">
            <x v="5"/>
          </reference>
          <reference field="1" count="1" selected="0">
            <x v="48"/>
          </reference>
        </references>
      </pivotArea>
    </chartFormat>
    <chartFormat chart="0" format="441">
      <pivotArea type="data" outline="0" fieldPosition="0">
        <references count="3">
          <reference field="4294967294" count="1" selected="0">
            <x v="2"/>
          </reference>
          <reference field="0" count="1" selected="0">
            <x v="5"/>
          </reference>
          <reference field="1" count="1" selected="0">
            <x v="49"/>
          </reference>
        </references>
      </pivotArea>
    </chartFormat>
    <chartFormat chart="0" format="442">
      <pivotArea type="data" outline="0" fieldPosition="0">
        <references count="3">
          <reference field="4294967294" count="1" selected="0">
            <x v="2"/>
          </reference>
          <reference field="0" count="1" selected="0">
            <x v="5"/>
          </reference>
          <reference field="1" count="1" selected="0">
            <x v="50"/>
          </reference>
        </references>
      </pivotArea>
    </chartFormat>
    <chartFormat chart="0" format="443">
      <pivotArea type="data" outline="0" fieldPosition="0">
        <references count="3">
          <reference field="4294967294" count="1" selected="0">
            <x v="2"/>
          </reference>
          <reference field="0" count="1" selected="0">
            <x v="5"/>
          </reference>
          <reference field="1" count="1" selected="0">
            <x v="51"/>
          </reference>
        </references>
      </pivotArea>
    </chartFormat>
    <chartFormat chart="0" format="444">
      <pivotArea type="data" outline="0" fieldPosition="0">
        <references count="3">
          <reference field="4294967294" count="1" selected="0">
            <x v="2"/>
          </reference>
          <reference field="0" count="1" selected="0">
            <x v="5"/>
          </reference>
          <reference field="1" count="1" selected="0">
            <x v="52"/>
          </reference>
        </references>
      </pivotArea>
    </chartFormat>
    <chartFormat chart="0" format="445">
      <pivotArea type="data" outline="0" fieldPosition="0">
        <references count="3">
          <reference field="4294967294" count="1" selected="0">
            <x v="2"/>
          </reference>
          <reference field="0" count="1" selected="0">
            <x v="5"/>
          </reference>
          <reference field="1" count="1" selected="0">
            <x v="53"/>
          </reference>
        </references>
      </pivotArea>
    </chartFormat>
    <chartFormat chart="0" format="446">
      <pivotArea type="data" outline="0" fieldPosition="0">
        <references count="3">
          <reference field="4294967294" count="1" selected="0">
            <x v="2"/>
          </reference>
          <reference field="0" count="1" selected="0">
            <x v="5"/>
          </reference>
          <reference field="1" count="1" selected="0">
            <x v="54"/>
          </reference>
        </references>
      </pivotArea>
    </chartFormat>
    <chartFormat chart="0" format="447">
      <pivotArea type="data" outline="0" fieldPosition="0">
        <references count="3">
          <reference field="4294967294" count="1" selected="0">
            <x v="2"/>
          </reference>
          <reference field="0" count="1" selected="0">
            <x v="5"/>
          </reference>
          <reference field="1" count="1" selected="0">
            <x v="55"/>
          </reference>
        </references>
      </pivotArea>
    </chartFormat>
    <chartFormat chart="0" format="448">
      <pivotArea type="data" outline="0" fieldPosition="0">
        <references count="3">
          <reference field="4294967294" count="1" selected="0">
            <x v="2"/>
          </reference>
          <reference field="0" count="1" selected="0">
            <x v="5"/>
          </reference>
          <reference field="1" count="1" selected="0">
            <x v="56"/>
          </reference>
        </references>
      </pivotArea>
    </chartFormat>
    <chartFormat chart="0" format="449">
      <pivotArea type="data" outline="0" fieldPosition="0">
        <references count="3">
          <reference field="4294967294" count="1" selected="0">
            <x v="0"/>
          </reference>
          <reference field="0" count="1" selected="0">
            <x v="5"/>
          </reference>
          <reference field="1" count="1" selected="0">
            <x v="57"/>
          </reference>
        </references>
      </pivotArea>
    </chartFormat>
    <chartFormat chart="0" format="450">
      <pivotArea type="data" outline="0" fieldPosition="0">
        <references count="3">
          <reference field="4294967294" count="1" selected="0">
            <x v="0"/>
          </reference>
          <reference field="0" count="1" selected="0">
            <x v="5"/>
          </reference>
          <reference field="1" count="1" selected="0">
            <x v="58"/>
          </reference>
        </references>
      </pivotArea>
    </chartFormat>
    <chartFormat chart="0" format="451">
      <pivotArea type="data" outline="0" fieldPosition="0">
        <references count="3">
          <reference field="4294967294" count="1" selected="0">
            <x v="0"/>
          </reference>
          <reference field="0" count="1" selected="0">
            <x v="5"/>
          </reference>
          <reference field="1" count="1" selected="0">
            <x v="59"/>
          </reference>
        </references>
      </pivotArea>
    </chartFormat>
    <chartFormat chart="0" format="452">
      <pivotArea type="data" outline="0" fieldPosition="0">
        <references count="3">
          <reference field="4294967294" count="1" selected="0">
            <x v="0"/>
          </reference>
          <reference field="0" count="1" selected="0">
            <x v="5"/>
          </reference>
          <reference field="1" count="1" selected="0">
            <x v="60"/>
          </reference>
        </references>
      </pivotArea>
    </chartFormat>
    <chartFormat chart="0" format="453">
      <pivotArea type="data" outline="0" fieldPosition="0">
        <references count="3">
          <reference field="4294967294" count="1" selected="0">
            <x v="0"/>
          </reference>
          <reference field="0" count="1" selected="0">
            <x v="5"/>
          </reference>
          <reference field="1" count="1" selected="0">
            <x v="61"/>
          </reference>
        </references>
      </pivotArea>
    </chartFormat>
    <chartFormat chart="0" format="454">
      <pivotArea type="data" outline="0" fieldPosition="0">
        <references count="3">
          <reference field="4294967294" count="1" selected="0">
            <x v="0"/>
          </reference>
          <reference field="0" count="1" selected="0">
            <x v="5"/>
          </reference>
          <reference field="1" count="1" selected="0">
            <x v="62"/>
          </reference>
        </references>
      </pivotArea>
    </chartFormat>
    <chartFormat chart="0" format="455">
      <pivotArea type="data" outline="0" fieldPosition="0">
        <references count="3">
          <reference field="4294967294" count="1" selected="0">
            <x v="0"/>
          </reference>
          <reference field="0" count="1" selected="0">
            <x v="6"/>
          </reference>
          <reference field="1" count="1" selected="0">
            <x v="63"/>
          </reference>
        </references>
      </pivotArea>
    </chartFormat>
    <chartFormat chart="0" format="456">
      <pivotArea type="data" outline="0" fieldPosition="0">
        <references count="3">
          <reference field="4294967294" count="1" selected="0">
            <x v="0"/>
          </reference>
          <reference field="0" count="1" selected="0">
            <x v="6"/>
          </reference>
          <reference field="1" count="1" selected="0">
            <x v="64"/>
          </reference>
        </references>
      </pivotArea>
    </chartFormat>
    <chartFormat chart="0" format="457">
      <pivotArea type="data" outline="0" fieldPosition="0">
        <references count="3">
          <reference field="4294967294" count="1" selected="0">
            <x v="2"/>
          </reference>
          <reference field="0" count="1" selected="0">
            <x v="5"/>
          </reference>
          <reference field="1" count="1" selected="0">
            <x v="57"/>
          </reference>
        </references>
      </pivotArea>
    </chartFormat>
    <chartFormat chart="0" format="458">
      <pivotArea type="data" outline="0" fieldPosition="0">
        <references count="3">
          <reference field="4294967294" count="1" selected="0">
            <x v="2"/>
          </reference>
          <reference field="0" count="1" selected="0">
            <x v="5"/>
          </reference>
          <reference field="1" count="1" selected="0">
            <x v="58"/>
          </reference>
        </references>
      </pivotArea>
    </chartFormat>
    <chartFormat chart="0" format="459">
      <pivotArea type="data" outline="0" fieldPosition="0">
        <references count="3">
          <reference field="4294967294" count="1" selected="0">
            <x v="2"/>
          </reference>
          <reference field="0" count="1" selected="0">
            <x v="5"/>
          </reference>
          <reference field="1" count="1" selected="0">
            <x v="59"/>
          </reference>
        </references>
      </pivotArea>
    </chartFormat>
    <chartFormat chart="0" format="460">
      <pivotArea type="data" outline="0" fieldPosition="0">
        <references count="3">
          <reference field="4294967294" count="1" selected="0">
            <x v="2"/>
          </reference>
          <reference field="0" count="1" selected="0">
            <x v="5"/>
          </reference>
          <reference field="1" count="1" selected="0">
            <x v="60"/>
          </reference>
        </references>
      </pivotArea>
    </chartFormat>
    <chartFormat chart="0" format="461">
      <pivotArea type="data" outline="0" fieldPosition="0">
        <references count="3">
          <reference field="4294967294" count="1" selected="0">
            <x v="2"/>
          </reference>
          <reference field="0" count="1" selected="0">
            <x v="5"/>
          </reference>
          <reference field="1" count="1" selected="0">
            <x v="61"/>
          </reference>
        </references>
      </pivotArea>
    </chartFormat>
    <chartFormat chart="0" format="462">
      <pivotArea type="data" outline="0" fieldPosition="0">
        <references count="3">
          <reference field="4294967294" count="1" selected="0">
            <x v="2"/>
          </reference>
          <reference field="0" count="1" selected="0">
            <x v="5"/>
          </reference>
          <reference field="1" count="1" selected="0">
            <x v="62"/>
          </reference>
        </references>
      </pivotArea>
    </chartFormat>
    <chartFormat chart="0" format="463">
      <pivotArea type="data" outline="0" fieldPosition="0">
        <references count="3">
          <reference field="4294967294" count="1" selected="0">
            <x v="2"/>
          </reference>
          <reference field="0" count="1" selected="0">
            <x v="6"/>
          </reference>
          <reference field="1" count="1" selected="0">
            <x v="63"/>
          </reference>
        </references>
      </pivotArea>
    </chartFormat>
    <chartFormat chart="0" format="464">
      <pivotArea type="data" outline="0" fieldPosition="0">
        <references count="3">
          <reference field="4294967294" count="1" selected="0">
            <x v="2"/>
          </reference>
          <reference field="0" count="1" selected="0">
            <x v="6"/>
          </reference>
          <reference field="1" count="1" selected="0">
            <x v="64"/>
          </reference>
        </references>
      </pivotArea>
    </chartFormat>
    <chartFormat chart="0" format="465">
      <pivotArea type="data" outline="0" fieldPosition="0">
        <references count="3">
          <reference field="4294967294" count="1" selected="0">
            <x v="0"/>
          </reference>
          <reference field="0" count="1" selected="0">
            <x v="6"/>
          </reference>
          <reference field="1" count="1" selected="0">
            <x v="65"/>
          </reference>
        </references>
      </pivotArea>
    </chartFormat>
    <chartFormat chart="0" format="466">
      <pivotArea type="data" outline="0" fieldPosition="0">
        <references count="3">
          <reference field="4294967294" count="1" selected="0">
            <x v="0"/>
          </reference>
          <reference field="0" count="1" selected="0">
            <x v="6"/>
          </reference>
          <reference field="1" count="1" selected="0">
            <x v="66"/>
          </reference>
        </references>
      </pivotArea>
    </chartFormat>
    <chartFormat chart="0" format="467">
      <pivotArea type="data" outline="0" fieldPosition="0">
        <references count="3">
          <reference field="4294967294" count="1" selected="0">
            <x v="0"/>
          </reference>
          <reference field="0" count="1" selected="0">
            <x v="6"/>
          </reference>
          <reference field="1" count="1" selected="0">
            <x v="67"/>
          </reference>
        </references>
      </pivotArea>
    </chartFormat>
    <chartFormat chart="0" format="468">
      <pivotArea type="data" outline="0" fieldPosition="0">
        <references count="3">
          <reference field="4294967294" count="1" selected="0">
            <x v="0"/>
          </reference>
          <reference field="0" count="1" selected="0">
            <x v="6"/>
          </reference>
          <reference field="1" count="1" selected="0">
            <x v="68"/>
          </reference>
        </references>
      </pivotArea>
    </chartFormat>
    <chartFormat chart="0" format="469">
      <pivotArea type="data" outline="0" fieldPosition="0">
        <references count="3">
          <reference field="4294967294" count="1" selected="0">
            <x v="2"/>
          </reference>
          <reference field="0" count="1" selected="0">
            <x v="6"/>
          </reference>
          <reference field="1" count="1" selected="0">
            <x v="65"/>
          </reference>
        </references>
      </pivotArea>
    </chartFormat>
    <chartFormat chart="0" format="470">
      <pivotArea type="data" outline="0" fieldPosition="0">
        <references count="3">
          <reference field="4294967294" count="1" selected="0">
            <x v="2"/>
          </reference>
          <reference field="0" count="1" selected="0">
            <x v="6"/>
          </reference>
          <reference field="1" count="1" selected="0">
            <x v="66"/>
          </reference>
        </references>
      </pivotArea>
    </chartFormat>
    <chartFormat chart="0" format="471">
      <pivotArea type="data" outline="0" fieldPosition="0">
        <references count="3">
          <reference field="4294967294" count="1" selected="0">
            <x v="2"/>
          </reference>
          <reference field="0" count="1" selected="0">
            <x v="6"/>
          </reference>
          <reference field="1" count="1" selected="0">
            <x v="67"/>
          </reference>
        </references>
      </pivotArea>
    </chartFormat>
    <chartFormat chart="0" format="472">
      <pivotArea type="data" outline="0" fieldPosition="0">
        <references count="3">
          <reference field="4294967294" count="1" selected="0">
            <x v="2"/>
          </reference>
          <reference field="0" count="1" selected="0">
            <x v="6"/>
          </reference>
          <reference field="1" count="1" selected="0">
            <x v="68"/>
          </reference>
        </references>
      </pivotArea>
    </chartFormat>
    <chartFormat chart="0" format="473">
      <pivotArea type="data" outline="0" fieldPosition="0">
        <references count="3">
          <reference field="4294967294" count="1" selected="0">
            <x v="0"/>
          </reference>
          <reference field="0" count="1" selected="0">
            <x v="6"/>
          </reference>
          <reference field="1" count="1" selected="0">
            <x v="69"/>
          </reference>
        </references>
      </pivotArea>
    </chartFormat>
    <chartFormat chart="0" format="474">
      <pivotArea type="data" outline="0" fieldPosition="0">
        <references count="3">
          <reference field="4294967294" count="1" selected="0">
            <x v="0"/>
          </reference>
          <reference field="0" count="1" selected="0">
            <x v="6"/>
          </reference>
          <reference field="1" count="1" selected="0">
            <x v="70"/>
          </reference>
        </references>
      </pivotArea>
    </chartFormat>
    <chartFormat chart="0" format="475">
      <pivotArea type="data" outline="0" fieldPosition="0">
        <references count="3">
          <reference field="4294967294" count="1" selected="0">
            <x v="2"/>
          </reference>
          <reference field="0" count="1" selected="0">
            <x v="6"/>
          </reference>
          <reference field="1" count="1" selected="0">
            <x v="69"/>
          </reference>
        </references>
      </pivotArea>
    </chartFormat>
    <chartFormat chart="0" format="476">
      <pivotArea type="data" outline="0" fieldPosition="0">
        <references count="3">
          <reference field="4294967294" count="1" selected="0">
            <x v="2"/>
          </reference>
          <reference field="0" count="1" selected="0">
            <x v="6"/>
          </reference>
          <reference field="1" count="1" selected="0">
            <x v="70"/>
          </reference>
        </references>
      </pivotArea>
    </chartFormat>
    <chartFormat chart="0" format="477">
      <pivotArea type="data" outline="0" fieldPosition="0">
        <references count="3">
          <reference field="4294967294" count="1" selected="0">
            <x v="0"/>
          </reference>
          <reference field="0" count="1" selected="0">
            <x v="6"/>
          </reference>
          <reference field="1" count="1" selected="0">
            <x v="71"/>
          </reference>
        </references>
      </pivotArea>
    </chartFormat>
    <chartFormat chart="0" format="478">
      <pivotArea type="data" outline="0" fieldPosition="0">
        <references count="3">
          <reference field="4294967294" count="1" selected="0">
            <x v="0"/>
          </reference>
          <reference field="0" count="1" selected="0">
            <x v="6"/>
          </reference>
          <reference field="1" count="1" selected="0">
            <x v="72"/>
          </reference>
        </references>
      </pivotArea>
    </chartFormat>
    <chartFormat chart="0" format="479">
      <pivotArea type="data" outline="0" fieldPosition="0">
        <references count="3">
          <reference field="4294967294" count="1" selected="0">
            <x v="2"/>
          </reference>
          <reference field="0" count="1" selected="0">
            <x v="6"/>
          </reference>
          <reference field="1" count="1" selected="0">
            <x v="71"/>
          </reference>
        </references>
      </pivotArea>
    </chartFormat>
    <chartFormat chart="0" format="480">
      <pivotArea type="data" outline="0" fieldPosition="0">
        <references count="3">
          <reference field="4294967294" count="1" selected="0">
            <x v="2"/>
          </reference>
          <reference field="0" count="1" selected="0">
            <x v="6"/>
          </reference>
          <reference field="1" count="1" selected="0">
            <x v="72"/>
          </reference>
        </references>
      </pivotArea>
    </chartFormat>
    <chartFormat chart="0" format="481">
      <pivotArea type="data" outline="0" fieldPosition="0">
        <references count="3">
          <reference field="4294967294" count="1" selected="0">
            <x v="0"/>
          </reference>
          <reference field="0" count="1" selected="0">
            <x v="6"/>
          </reference>
          <reference field="1" count="1" selected="0">
            <x v="31"/>
          </reference>
        </references>
      </pivotArea>
    </chartFormat>
    <chartFormat chart="0" format="482">
      <pivotArea type="data" outline="0" fieldPosition="0">
        <references count="3">
          <reference field="4294967294" count="1" selected="0">
            <x v="0"/>
          </reference>
          <reference field="0" count="1" selected="0">
            <x v="6"/>
          </reference>
          <reference field="1" count="1" selected="0">
            <x v="32"/>
          </reference>
        </references>
      </pivotArea>
    </chartFormat>
    <chartFormat chart="0" format="483">
      <pivotArea type="data" outline="0" fieldPosition="0">
        <references count="3">
          <reference field="4294967294" count="1" selected="0">
            <x v="0"/>
          </reference>
          <reference field="0" count="1" selected="0">
            <x v="6"/>
          </reference>
          <reference field="1" count="1" selected="0">
            <x v="33"/>
          </reference>
        </references>
      </pivotArea>
    </chartFormat>
    <chartFormat chart="0" format="484">
      <pivotArea type="data" outline="0" fieldPosition="0">
        <references count="3">
          <reference field="4294967294" count="1" selected="0">
            <x v="0"/>
          </reference>
          <reference field="0" count="1" selected="0">
            <x v="6"/>
          </reference>
          <reference field="1" count="1" selected="0">
            <x v="34"/>
          </reference>
        </references>
      </pivotArea>
    </chartFormat>
    <chartFormat chart="0" format="485">
      <pivotArea type="data" outline="0" fieldPosition="0">
        <references count="3">
          <reference field="4294967294" count="1" selected="0">
            <x v="0"/>
          </reference>
          <reference field="0" count="1" selected="0">
            <x v="6"/>
          </reference>
          <reference field="1" count="1" selected="0">
            <x v="35"/>
          </reference>
        </references>
      </pivotArea>
    </chartFormat>
    <chartFormat chart="0" format="486">
      <pivotArea type="data" outline="0" fieldPosition="0">
        <references count="3">
          <reference field="4294967294" count="1" selected="0">
            <x v="0"/>
          </reference>
          <reference field="0" count="1" selected="0">
            <x v="6"/>
          </reference>
          <reference field="1" count="1" selected="0">
            <x v="36"/>
          </reference>
        </references>
      </pivotArea>
    </chartFormat>
    <chartFormat chart="0" format="487">
      <pivotArea type="data" outline="0" fieldPosition="0">
        <references count="3">
          <reference field="4294967294" count="1" selected="0">
            <x v="0"/>
          </reference>
          <reference field="0" count="1" selected="0">
            <x v="6"/>
          </reference>
          <reference field="1" count="1" selected="0">
            <x v="37"/>
          </reference>
        </references>
      </pivotArea>
    </chartFormat>
    <chartFormat chart="0" format="488">
      <pivotArea type="data" outline="0" fieldPosition="0">
        <references count="3">
          <reference field="4294967294" count="1" selected="0">
            <x v="0"/>
          </reference>
          <reference field="0" count="1" selected="0">
            <x v="6"/>
          </reference>
          <reference field="1" count="1" selected="0">
            <x v="38"/>
          </reference>
        </references>
      </pivotArea>
    </chartFormat>
    <chartFormat chart="0" format="489">
      <pivotArea type="data" outline="0" fieldPosition="0">
        <references count="3">
          <reference field="4294967294" count="1" selected="0">
            <x v="0"/>
          </reference>
          <reference field="0" count="1" selected="0">
            <x v="6"/>
          </reference>
          <reference field="1" count="1" selected="0">
            <x v="39"/>
          </reference>
        </references>
      </pivotArea>
    </chartFormat>
    <chartFormat chart="0" format="490">
      <pivotArea type="data" outline="0" fieldPosition="0">
        <references count="3">
          <reference field="4294967294" count="1" selected="0">
            <x v="0"/>
          </reference>
          <reference field="0" count="1" selected="0">
            <x v="6"/>
          </reference>
          <reference field="1" count="1" selected="0">
            <x v="40"/>
          </reference>
        </references>
      </pivotArea>
    </chartFormat>
    <chartFormat chart="0" format="491">
      <pivotArea type="data" outline="0" fieldPosition="0">
        <references count="3">
          <reference field="4294967294" count="1" selected="0">
            <x v="0"/>
          </reference>
          <reference field="0" count="1" selected="0">
            <x v="6"/>
          </reference>
          <reference field="1" count="1" selected="0">
            <x v="41"/>
          </reference>
        </references>
      </pivotArea>
    </chartFormat>
    <chartFormat chart="0" format="492">
      <pivotArea type="data" outline="0" fieldPosition="0">
        <references count="3">
          <reference field="4294967294" count="1" selected="0">
            <x v="0"/>
          </reference>
          <reference field="0" count="1" selected="0">
            <x v="6"/>
          </reference>
          <reference field="1" count="1" selected="0">
            <x v="42"/>
          </reference>
        </references>
      </pivotArea>
    </chartFormat>
    <chartFormat chart="0" format="493">
      <pivotArea type="data" outline="0" fieldPosition="0">
        <references count="3">
          <reference field="4294967294" count="1" selected="0">
            <x v="0"/>
          </reference>
          <reference field="0" count="1" selected="0">
            <x v="6"/>
          </reference>
          <reference field="1" count="1" selected="0">
            <x v="43"/>
          </reference>
        </references>
      </pivotArea>
    </chartFormat>
    <chartFormat chart="0" format="494">
      <pivotArea type="data" outline="0" fieldPosition="0">
        <references count="3">
          <reference field="4294967294" count="1" selected="0">
            <x v="0"/>
          </reference>
          <reference field="0" count="1" selected="0">
            <x v="6"/>
          </reference>
          <reference field="1" count="1" selected="0">
            <x v="44"/>
          </reference>
        </references>
      </pivotArea>
    </chartFormat>
    <chartFormat chart="0" format="495">
      <pivotArea type="data" outline="0" fieldPosition="0">
        <references count="3">
          <reference field="4294967294" count="1" selected="0">
            <x v="0"/>
          </reference>
          <reference field="0" count="1" selected="0">
            <x v="6"/>
          </reference>
          <reference field="1" count="1" selected="0">
            <x v="45"/>
          </reference>
        </references>
      </pivotArea>
    </chartFormat>
    <chartFormat chart="0" format="496">
      <pivotArea type="data" outline="0" fieldPosition="0">
        <references count="3">
          <reference field="4294967294" count="1" selected="0">
            <x v="0"/>
          </reference>
          <reference field="0" count="1" selected="0">
            <x v="6"/>
          </reference>
          <reference field="1" count="1" selected="0">
            <x v="46"/>
          </reference>
        </references>
      </pivotArea>
    </chartFormat>
    <chartFormat chart="0" format="497">
      <pivotArea type="data" outline="0" fieldPosition="0">
        <references count="3">
          <reference field="4294967294" count="1" selected="0">
            <x v="0"/>
          </reference>
          <reference field="0" count="1" selected="0">
            <x v="6"/>
          </reference>
          <reference field="1" count="1" selected="0">
            <x v="47"/>
          </reference>
        </references>
      </pivotArea>
    </chartFormat>
    <chartFormat chart="0" format="498">
      <pivotArea type="data" outline="0" fieldPosition="0">
        <references count="3">
          <reference field="4294967294" count="1" selected="0">
            <x v="0"/>
          </reference>
          <reference field="0" count="1" selected="0">
            <x v="6"/>
          </reference>
          <reference field="1" count="1" selected="0">
            <x v="48"/>
          </reference>
        </references>
      </pivotArea>
    </chartFormat>
    <chartFormat chart="0" format="499">
      <pivotArea type="data" outline="0" fieldPosition="0">
        <references count="3">
          <reference field="4294967294" count="1" selected="0">
            <x v="0"/>
          </reference>
          <reference field="0" count="1" selected="0">
            <x v="6"/>
          </reference>
          <reference field="1" count="1" selected="0">
            <x v="49"/>
          </reference>
        </references>
      </pivotArea>
    </chartFormat>
    <chartFormat chart="0" format="500">
      <pivotArea type="data" outline="0" fieldPosition="0">
        <references count="3">
          <reference field="4294967294" count="1" selected="0">
            <x v="0"/>
          </reference>
          <reference field="0" count="1" selected="0">
            <x v="6"/>
          </reference>
          <reference field="1" count="1" selected="0">
            <x v="50"/>
          </reference>
        </references>
      </pivotArea>
    </chartFormat>
    <chartFormat chart="0" format="501">
      <pivotArea type="data" outline="0" fieldPosition="0">
        <references count="3">
          <reference field="4294967294" count="1" selected="0">
            <x v="0"/>
          </reference>
          <reference field="0" count="1" selected="0">
            <x v="6"/>
          </reference>
          <reference field="1" count="1" selected="0">
            <x v="51"/>
          </reference>
        </references>
      </pivotArea>
    </chartFormat>
    <chartFormat chart="0" format="502">
      <pivotArea type="data" outline="0" fieldPosition="0">
        <references count="3">
          <reference field="4294967294" count="1" selected="0">
            <x v="0"/>
          </reference>
          <reference field="0" count="1" selected="0">
            <x v="6"/>
          </reference>
          <reference field="1" count="1" selected="0">
            <x v="52"/>
          </reference>
        </references>
      </pivotArea>
    </chartFormat>
    <chartFormat chart="0" format="503">
      <pivotArea type="data" outline="0" fieldPosition="0">
        <references count="3">
          <reference field="4294967294" count="1" selected="0">
            <x v="0"/>
          </reference>
          <reference field="0" count="1" selected="0">
            <x v="6"/>
          </reference>
          <reference field="1" count="1" selected="0">
            <x v="53"/>
          </reference>
        </references>
      </pivotArea>
    </chartFormat>
    <chartFormat chart="0" format="504">
      <pivotArea type="data" outline="0" fieldPosition="0">
        <references count="3">
          <reference field="4294967294" count="1" selected="0">
            <x v="0"/>
          </reference>
          <reference field="0" count="1" selected="0">
            <x v="6"/>
          </reference>
          <reference field="1" count="1" selected="0">
            <x v="54"/>
          </reference>
        </references>
      </pivotArea>
    </chartFormat>
    <chartFormat chart="0" format="505">
      <pivotArea type="data" outline="0" fieldPosition="0">
        <references count="3">
          <reference field="4294967294" count="1" selected="0">
            <x v="0"/>
          </reference>
          <reference field="0" count="1" selected="0">
            <x v="6"/>
          </reference>
          <reference field="1" count="1" selected="0">
            <x v="55"/>
          </reference>
        </references>
      </pivotArea>
    </chartFormat>
    <chartFormat chart="0" format="506">
      <pivotArea type="data" outline="0" fieldPosition="0">
        <references count="3">
          <reference field="4294967294" count="1" selected="0">
            <x v="0"/>
          </reference>
          <reference field="0" count="1" selected="0">
            <x v="6"/>
          </reference>
          <reference field="1" count="1" selected="0">
            <x v="56"/>
          </reference>
        </references>
      </pivotArea>
    </chartFormat>
    <chartFormat chart="0" format="507">
      <pivotArea type="data" outline="0" fieldPosition="0">
        <references count="3">
          <reference field="4294967294" count="1" selected="0">
            <x v="0"/>
          </reference>
          <reference field="0" count="1" selected="0">
            <x v="6"/>
          </reference>
          <reference field="1" count="1" selected="0">
            <x v="57"/>
          </reference>
        </references>
      </pivotArea>
    </chartFormat>
    <chartFormat chart="0" format="508">
      <pivotArea type="data" outline="0" fieldPosition="0">
        <references count="3">
          <reference field="4294967294" count="1" selected="0">
            <x v="0"/>
          </reference>
          <reference field="0" count="1" selected="0">
            <x v="6"/>
          </reference>
          <reference field="1" count="1" selected="0">
            <x v="58"/>
          </reference>
        </references>
      </pivotArea>
    </chartFormat>
    <chartFormat chart="0" format="509">
      <pivotArea type="data" outline="0" fieldPosition="0">
        <references count="3">
          <reference field="4294967294" count="1" selected="0">
            <x v="0"/>
          </reference>
          <reference field="0" count="1" selected="0">
            <x v="6"/>
          </reference>
          <reference field="1" count="1" selected="0">
            <x v="59"/>
          </reference>
        </references>
      </pivotArea>
    </chartFormat>
    <chartFormat chart="0" format="510">
      <pivotArea type="data" outline="0" fieldPosition="0">
        <references count="3">
          <reference field="4294967294" count="1" selected="0">
            <x v="0"/>
          </reference>
          <reference field="0" count="1" selected="0">
            <x v="6"/>
          </reference>
          <reference field="1" count="1" selected="0">
            <x v="60"/>
          </reference>
        </references>
      </pivotArea>
    </chartFormat>
    <chartFormat chart="0" format="511">
      <pivotArea type="data" outline="0" fieldPosition="0">
        <references count="3">
          <reference field="4294967294" count="1" selected="0">
            <x v="0"/>
          </reference>
          <reference field="0" count="1" selected="0">
            <x v="6"/>
          </reference>
          <reference field="1" count="1" selected="0">
            <x v="61"/>
          </reference>
        </references>
      </pivotArea>
    </chartFormat>
    <chartFormat chart="0" format="512">
      <pivotArea type="data" outline="0" fieldPosition="0">
        <references count="3">
          <reference field="4294967294" count="1" selected="0">
            <x v="0"/>
          </reference>
          <reference field="0" count="1" selected="0">
            <x v="6"/>
          </reference>
          <reference field="1" count="1" selected="0">
            <x v="62"/>
          </reference>
        </references>
      </pivotArea>
    </chartFormat>
    <chartFormat chart="0" format="513">
      <pivotArea type="data" outline="0" fieldPosition="0">
        <references count="3">
          <reference field="4294967294" count="1" selected="0">
            <x v="0"/>
          </reference>
          <reference field="0" count="1" selected="0">
            <x v="6"/>
          </reference>
          <reference field="1" count="1" selected="0">
            <x v="73"/>
          </reference>
        </references>
      </pivotArea>
    </chartFormat>
    <chartFormat chart="0" format="514">
      <pivotArea type="data" outline="0" fieldPosition="0">
        <references count="3">
          <reference field="4294967294" count="1" selected="0">
            <x v="0"/>
          </reference>
          <reference field="0" count="1" selected="0">
            <x v="6"/>
          </reference>
          <reference field="1" count="1" selected="0">
            <x v="74"/>
          </reference>
        </references>
      </pivotArea>
    </chartFormat>
    <chartFormat chart="0" format="515">
      <pivotArea type="data" outline="0" fieldPosition="0">
        <references count="3">
          <reference field="4294967294" count="1" selected="0">
            <x v="0"/>
          </reference>
          <reference field="0" count="1" selected="0">
            <x v="6"/>
          </reference>
          <reference field="1" count="1" selected="0">
            <x v="75"/>
          </reference>
        </references>
      </pivotArea>
    </chartFormat>
    <chartFormat chart="0" format="516">
      <pivotArea type="data" outline="0" fieldPosition="0">
        <references count="3">
          <reference field="4294967294" count="1" selected="0">
            <x v="0"/>
          </reference>
          <reference field="0" count="1" selected="0">
            <x v="6"/>
          </reference>
          <reference field="1" count="1" selected="0">
            <x v="76"/>
          </reference>
        </references>
      </pivotArea>
    </chartFormat>
    <chartFormat chart="0" format="517">
      <pivotArea type="data" outline="0" fieldPosition="0">
        <references count="3">
          <reference field="4294967294" count="1" selected="0">
            <x v="0"/>
          </reference>
          <reference field="0" count="1" selected="0">
            <x v="6"/>
          </reference>
          <reference field="1" count="1" selected="0">
            <x v="77"/>
          </reference>
        </references>
      </pivotArea>
    </chartFormat>
    <chartFormat chart="0" format="518">
      <pivotArea type="data" outline="0" fieldPosition="0">
        <references count="3">
          <reference field="4294967294" count="1" selected="0">
            <x v="0"/>
          </reference>
          <reference field="0" count="1" selected="0">
            <x v="6"/>
          </reference>
          <reference field="1" count="1" selected="0">
            <x v="78"/>
          </reference>
        </references>
      </pivotArea>
    </chartFormat>
    <chartFormat chart="0" format="519">
      <pivotArea type="data" outline="0" fieldPosition="0">
        <references count="3">
          <reference field="4294967294" count="1" selected="0">
            <x v="0"/>
          </reference>
          <reference field="0" count="1" selected="0">
            <x v="7"/>
          </reference>
          <reference field="1" count="1" selected="0">
            <x v="31"/>
          </reference>
        </references>
      </pivotArea>
    </chartFormat>
    <chartFormat chart="0" format="520">
      <pivotArea type="data" outline="0" fieldPosition="0">
        <references count="3">
          <reference field="4294967294" count="1" selected="0">
            <x v="0"/>
          </reference>
          <reference field="0" count="1" selected="0">
            <x v="7"/>
          </reference>
          <reference field="1" count="1" selected="0">
            <x v="32"/>
          </reference>
        </references>
      </pivotArea>
    </chartFormat>
    <chartFormat chart="0" format="521">
      <pivotArea type="data" outline="0" fieldPosition="0">
        <references count="3">
          <reference field="4294967294" count="1" selected="0">
            <x v="0"/>
          </reference>
          <reference field="0" count="1" selected="0">
            <x v="7"/>
          </reference>
          <reference field="1" count="1" selected="0">
            <x v="33"/>
          </reference>
        </references>
      </pivotArea>
    </chartFormat>
    <chartFormat chart="0" format="522">
      <pivotArea type="data" outline="0" fieldPosition="0">
        <references count="3">
          <reference field="4294967294" count="1" selected="0">
            <x v="0"/>
          </reference>
          <reference field="0" count="1" selected="0">
            <x v="7"/>
          </reference>
          <reference field="1" count="1" selected="0">
            <x v="34"/>
          </reference>
        </references>
      </pivotArea>
    </chartFormat>
    <chartFormat chart="0" format="523">
      <pivotArea type="data" outline="0" fieldPosition="0">
        <references count="3">
          <reference field="4294967294" count="1" selected="0">
            <x v="0"/>
          </reference>
          <reference field="0" count="1" selected="0">
            <x v="7"/>
          </reference>
          <reference field="1" count="1" selected="0">
            <x v="35"/>
          </reference>
        </references>
      </pivotArea>
    </chartFormat>
    <chartFormat chart="0" format="524">
      <pivotArea type="data" outline="0" fieldPosition="0">
        <references count="3">
          <reference field="4294967294" count="1" selected="0">
            <x v="0"/>
          </reference>
          <reference field="0" count="1" selected="0">
            <x v="7"/>
          </reference>
          <reference field="1" count="1" selected="0">
            <x v="36"/>
          </reference>
        </references>
      </pivotArea>
    </chartFormat>
    <chartFormat chart="0" format="525">
      <pivotArea type="data" outline="0" fieldPosition="0">
        <references count="3">
          <reference field="4294967294" count="1" selected="0">
            <x v="0"/>
          </reference>
          <reference field="0" count="1" selected="0">
            <x v="7"/>
          </reference>
          <reference field="1" count="1" selected="0">
            <x v="37"/>
          </reference>
        </references>
      </pivotArea>
    </chartFormat>
    <chartFormat chart="0" format="526">
      <pivotArea type="data" outline="0" fieldPosition="0">
        <references count="3">
          <reference field="4294967294" count="1" selected="0">
            <x v="0"/>
          </reference>
          <reference field="0" count="1" selected="0">
            <x v="7"/>
          </reference>
          <reference field="1" count="1" selected="0">
            <x v="38"/>
          </reference>
        </references>
      </pivotArea>
    </chartFormat>
    <chartFormat chart="0" format="527">
      <pivotArea type="data" outline="0" fieldPosition="0">
        <references count="3">
          <reference field="4294967294" count="1" selected="0">
            <x v="0"/>
          </reference>
          <reference field="0" count="1" selected="0">
            <x v="7"/>
          </reference>
          <reference field="1" count="1" selected="0">
            <x v="39"/>
          </reference>
        </references>
      </pivotArea>
    </chartFormat>
    <chartFormat chart="0" format="528">
      <pivotArea type="data" outline="0" fieldPosition="0">
        <references count="3">
          <reference field="4294967294" count="1" selected="0">
            <x v="0"/>
          </reference>
          <reference field="0" count="1" selected="0">
            <x v="7"/>
          </reference>
          <reference field="1" count="1" selected="0">
            <x v="40"/>
          </reference>
        </references>
      </pivotArea>
    </chartFormat>
    <chartFormat chart="0" format="529">
      <pivotArea type="data" outline="0" fieldPosition="0">
        <references count="3">
          <reference field="4294967294" count="1" selected="0">
            <x v="0"/>
          </reference>
          <reference field="0" count="1" selected="0">
            <x v="7"/>
          </reference>
          <reference field="1" count="1" selected="0">
            <x v="41"/>
          </reference>
        </references>
      </pivotArea>
    </chartFormat>
    <chartFormat chart="0" format="530">
      <pivotArea type="data" outline="0" fieldPosition="0">
        <references count="3">
          <reference field="4294967294" count="1" selected="0">
            <x v="0"/>
          </reference>
          <reference field="0" count="1" selected="0">
            <x v="7"/>
          </reference>
          <reference field="1" count="1" selected="0">
            <x v="42"/>
          </reference>
        </references>
      </pivotArea>
    </chartFormat>
    <chartFormat chart="0" format="531">
      <pivotArea type="data" outline="0" fieldPosition="0">
        <references count="3">
          <reference field="4294967294" count="1" selected="0">
            <x v="0"/>
          </reference>
          <reference field="0" count="1" selected="0">
            <x v="7"/>
          </reference>
          <reference field="1" count="1" selected="0">
            <x v="43"/>
          </reference>
        </references>
      </pivotArea>
    </chartFormat>
    <chartFormat chart="0" format="532">
      <pivotArea type="data" outline="0" fieldPosition="0">
        <references count="3">
          <reference field="4294967294" count="1" selected="0">
            <x v="0"/>
          </reference>
          <reference field="0" count="1" selected="0">
            <x v="7"/>
          </reference>
          <reference field="1" count="1" selected="0">
            <x v="44"/>
          </reference>
        </references>
      </pivotArea>
    </chartFormat>
    <chartFormat chart="0" format="533">
      <pivotArea type="data" outline="0" fieldPosition="0">
        <references count="3">
          <reference field="4294967294" count="1" selected="0">
            <x v="0"/>
          </reference>
          <reference field="0" count="1" selected="0">
            <x v="7"/>
          </reference>
          <reference field="1" count="1" selected="0">
            <x v="45"/>
          </reference>
        </references>
      </pivotArea>
    </chartFormat>
    <chartFormat chart="0" format="534">
      <pivotArea type="data" outline="0" fieldPosition="0">
        <references count="3">
          <reference field="4294967294" count="1" selected="0">
            <x v="0"/>
          </reference>
          <reference field="0" count="1" selected="0">
            <x v="7"/>
          </reference>
          <reference field="1" count="1" selected="0">
            <x v="46"/>
          </reference>
        </references>
      </pivotArea>
    </chartFormat>
    <chartFormat chart="0" format="535">
      <pivotArea type="data" outline="0" fieldPosition="0">
        <references count="3">
          <reference field="4294967294" count="1" selected="0">
            <x v="0"/>
          </reference>
          <reference field="0" count="1" selected="0">
            <x v="7"/>
          </reference>
          <reference field="1" count="1" selected="0">
            <x v="47"/>
          </reference>
        </references>
      </pivotArea>
    </chartFormat>
    <chartFormat chart="0" format="536">
      <pivotArea type="data" outline="0" fieldPosition="0">
        <references count="3">
          <reference field="4294967294" count="1" selected="0">
            <x v="0"/>
          </reference>
          <reference field="0" count="1" selected="0">
            <x v="7"/>
          </reference>
          <reference field="1" count="1" selected="0">
            <x v="48"/>
          </reference>
        </references>
      </pivotArea>
    </chartFormat>
    <chartFormat chart="0" format="537">
      <pivotArea type="data" outline="0" fieldPosition="0">
        <references count="3">
          <reference field="4294967294" count="1" selected="0">
            <x v="0"/>
          </reference>
          <reference field="0" count="1" selected="0">
            <x v="7"/>
          </reference>
          <reference field="1" count="1" selected="0">
            <x v="49"/>
          </reference>
        </references>
      </pivotArea>
    </chartFormat>
    <chartFormat chart="0" format="538">
      <pivotArea type="data" outline="0" fieldPosition="0">
        <references count="3">
          <reference field="4294967294" count="1" selected="0">
            <x v="0"/>
          </reference>
          <reference field="0" count="1" selected="0">
            <x v="7"/>
          </reference>
          <reference field="1" count="1" selected="0">
            <x v="50"/>
          </reference>
        </references>
      </pivotArea>
    </chartFormat>
    <chartFormat chart="0" format="539">
      <pivotArea type="data" outline="0" fieldPosition="0">
        <references count="3">
          <reference field="4294967294" count="1" selected="0">
            <x v="0"/>
          </reference>
          <reference field="0" count="1" selected="0">
            <x v="7"/>
          </reference>
          <reference field="1" count="1" selected="0">
            <x v="51"/>
          </reference>
        </references>
      </pivotArea>
    </chartFormat>
    <chartFormat chart="0" format="540">
      <pivotArea type="data" outline="0" fieldPosition="0">
        <references count="3">
          <reference field="4294967294" count="1" selected="0">
            <x v="0"/>
          </reference>
          <reference field="0" count="1" selected="0">
            <x v="7"/>
          </reference>
          <reference field="1" count="1" selected="0">
            <x v="52"/>
          </reference>
        </references>
      </pivotArea>
    </chartFormat>
    <chartFormat chart="0" format="541">
      <pivotArea type="data" outline="0" fieldPosition="0">
        <references count="3">
          <reference field="4294967294" count="1" selected="0">
            <x v="0"/>
          </reference>
          <reference field="0" count="1" selected="0">
            <x v="7"/>
          </reference>
          <reference field="1" count="1" selected="0">
            <x v="53"/>
          </reference>
        </references>
      </pivotArea>
    </chartFormat>
    <chartFormat chart="0" format="542">
      <pivotArea type="data" outline="0" fieldPosition="0">
        <references count="3">
          <reference field="4294967294" count="1" selected="0">
            <x v="0"/>
          </reference>
          <reference field="0" count="1" selected="0">
            <x v="7"/>
          </reference>
          <reference field="1" count="1" selected="0">
            <x v="54"/>
          </reference>
        </references>
      </pivotArea>
    </chartFormat>
    <chartFormat chart="0" format="543">
      <pivotArea type="data" outline="0" fieldPosition="0">
        <references count="3">
          <reference field="4294967294" count="1" selected="0">
            <x v="0"/>
          </reference>
          <reference field="0" count="1" selected="0">
            <x v="7"/>
          </reference>
          <reference field="1" count="1" selected="0">
            <x v="55"/>
          </reference>
        </references>
      </pivotArea>
    </chartFormat>
    <chartFormat chart="0" format="544">
      <pivotArea type="data" outline="0" fieldPosition="0">
        <references count="3">
          <reference field="4294967294" count="1" selected="0">
            <x v="0"/>
          </reference>
          <reference field="0" count="1" selected="0">
            <x v="7"/>
          </reference>
          <reference field="1" count="1" selected="0">
            <x v="56"/>
          </reference>
        </references>
      </pivotArea>
    </chartFormat>
    <chartFormat chart="0" format="545">
      <pivotArea type="data" outline="0" fieldPosition="0">
        <references count="3">
          <reference field="4294967294" count="1" selected="0">
            <x v="0"/>
          </reference>
          <reference field="0" count="1" selected="0">
            <x v="7"/>
          </reference>
          <reference field="1" count="1" selected="0">
            <x v="57"/>
          </reference>
        </references>
      </pivotArea>
    </chartFormat>
    <chartFormat chart="0" format="546">
      <pivotArea type="data" outline="0" fieldPosition="0">
        <references count="3">
          <reference field="4294967294" count="1" selected="0">
            <x v="0"/>
          </reference>
          <reference field="0" count="1" selected="0">
            <x v="7"/>
          </reference>
          <reference field="1" count="1" selected="0">
            <x v="58"/>
          </reference>
        </references>
      </pivotArea>
    </chartFormat>
    <chartFormat chart="0" format="547">
      <pivotArea type="data" outline="0" fieldPosition="0">
        <references count="3">
          <reference field="4294967294" count="1" selected="0">
            <x v="0"/>
          </reference>
          <reference field="0" count="1" selected="0">
            <x v="7"/>
          </reference>
          <reference field="1" count="1" selected="0">
            <x v="59"/>
          </reference>
        </references>
      </pivotArea>
    </chartFormat>
    <chartFormat chart="0" format="548">
      <pivotArea type="data" outline="0" fieldPosition="0">
        <references count="3">
          <reference field="4294967294" count="1" selected="0">
            <x v="0"/>
          </reference>
          <reference field="0" count="1" selected="0">
            <x v="7"/>
          </reference>
          <reference field="1" count="1" selected="0">
            <x v="60"/>
          </reference>
        </references>
      </pivotArea>
    </chartFormat>
    <chartFormat chart="0" format="549">
      <pivotArea type="data" outline="0" fieldPosition="0">
        <references count="3">
          <reference field="4294967294" count="1" selected="0">
            <x v="0"/>
          </reference>
          <reference field="0" count="1" selected="0">
            <x v="7"/>
          </reference>
          <reference field="1" count="1" selected="0">
            <x v="61"/>
          </reference>
        </references>
      </pivotArea>
    </chartFormat>
    <chartFormat chart="0" format="550">
      <pivotArea type="data" outline="0" fieldPosition="0">
        <references count="3">
          <reference field="4294967294" count="1" selected="0">
            <x v="0"/>
          </reference>
          <reference field="0" count="1" selected="0">
            <x v="7"/>
          </reference>
          <reference field="1" count="1" selected="0">
            <x v="62"/>
          </reference>
        </references>
      </pivotArea>
    </chartFormat>
    <chartFormat chart="0" format="551">
      <pivotArea type="data" outline="0" fieldPosition="0">
        <references count="3">
          <reference field="4294967294" count="1" selected="0">
            <x v="0"/>
          </reference>
          <reference field="0" count="1" selected="0">
            <x v="7"/>
          </reference>
          <reference field="1" count="1" selected="0">
            <x v="63"/>
          </reference>
        </references>
      </pivotArea>
    </chartFormat>
    <chartFormat chart="0" format="552">
      <pivotArea type="data" outline="0" fieldPosition="0">
        <references count="3">
          <reference field="4294967294" count="1" selected="0">
            <x v="0"/>
          </reference>
          <reference field="0" count="1" selected="0">
            <x v="7"/>
          </reference>
          <reference field="1" count="1" selected="0">
            <x v="64"/>
          </reference>
        </references>
      </pivotArea>
    </chartFormat>
    <chartFormat chart="0" format="553">
      <pivotArea type="data" outline="0" fieldPosition="0">
        <references count="3">
          <reference field="4294967294" count="1" selected="0">
            <x v="0"/>
          </reference>
          <reference field="0" count="1" selected="0">
            <x v="7"/>
          </reference>
          <reference field="1" count="1" selected="0">
            <x v="65"/>
          </reference>
        </references>
      </pivotArea>
    </chartFormat>
    <chartFormat chart="0" format="554">
      <pivotArea type="data" outline="0" fieldPosition="0">
        <references count="3">
          <reference field="4294967294" count="1" selected="0">
            <x v="0"/>
          </reference>
          <reference field="0" count="1" selected="0">
            <x v="7"/>
          </reference>
          <reference field="1" count="1" selected="0">
            <x v="66"/>
          </reference>
        </references>
      </pivotArea>
    </chartFormat>
    <chartFormat chart="0" format="555">
      <pivotArea type="data" outline="0" fieldPosition="0">
        <references count="3">
          <reference field="4294967294" count="1" selected="0">
            <x v="0"/>
          </reference>
          <reference field="0" count="1" selected="0">
            <x v="7"/>
          </reference>
          <reference field="1" count="1" selected="0">
            <x v="67"/>
          </reference>
        </references>
      </pivotArea>
    </chartFormat>
    <chartFormat chart="0" format="556">
      <pivotArea type="data" outline="0" fieldPosition="0">
        <references count="3">
          <reference field="4294967294" count="1" selected="0">
            <x v="0"/>
          </reference>
          <reference field="0" count="1" selected="0">
            <x v="7"/>
          </reference>
          <reference field="1" count="1" selected="0">
            <x v="68"/>
          </reference>
        </references>
      </pivotArea>
    </chartFormat>
    <chartFormat chart="0" format="557">
      <pivotArea type="data" outline="0" fieldPosition="0">
        <references count="3">
          <reference field="4294967294" count="1" selected="0">
            <x v="0"/>
          </reference>
          <reference field="0" count="1" selected="0">
            <x v="7"/>
          </reference>
          <reference field="1" count="1" selected="0">
            <x v="69"/>
          </reference>
        </references>
      </pivotArea>
    </chartFormat>
    <chartFormat chart="0" format="558">
      <pivotArea type="data" outline="0" fieldPosition="0">
        <references count="3">
          <reference field="4294967294" count="1" selected="0">
            <x v="0"/>
          </reference>
          <reference field="0" count="1" selected="0">
            <x v="7"/>
          </reference>
          <reference field="1" count="1" selected="0">
            <x v="70"/>
          </reference>
        </references>
      </pivotArea>
    </chartFormat>
    <chartFormat chart="0" format="559">
      <pivotArea type="data" outline="0" fieldPosition="0">
        <references count="3">
          <reference field="4294967294" count="1" selected="0">
            <x v="0"/>
          </reference>
          <reference field="0" count="1" selected="0">
            <x v="7"/>
          </reference>
          <reference field="1" count="1" selected="0">
            <x v="71"/>
          </reference>
        </references>
      </pivotArea>
    </chartFormat>
    <chartFormat chart="0" format="560">
      <pivotArea type="data" outline="0" fieldPosition="0">
        <references count="3">
          <reference field="4294967294" count="1" selected="0">
            <x v="0"/>
          </reference>
          <reference field="0" count="1" selected="0">
            <x v="7"/>
          </reference>
          <reference field="1" count="1" selected="0">
            <x v="72"/>
          </reference>
        </references>
      </pivotArea>
    </chartFormat>
    <chartFormat chart="0" format="561">
      <pivotArea type="data" outline="0" fieldPosition="0">
        <references count="3">
          <reference field="4294967294" count="1" selected="0">
            <x v="0"/>
          </reference>
          <reference field="0" count="1" selected="0">
            <x v="7"/>
          </reference>
          <reference field="1" count="1" selected="0">
            <x v="73"/>
          </reference>
        </references>
      </pivotArea>
    </chartFormat>
    <chartFormat chart="0" format="562">
      <pivotArea type="data" outline="0" fieldPosition="0">
        <references count="3">
          <reference field="4294967294" count="1" selected="0">
            <x v="0"/>
          </reference>
          <reference field="0" count="1" selected="0">
            <x v="7"/>
          </reference>
          <reference field="1" count="1" selected="0">
            <x v="74"/>
          </reference>
        </references>
      </pivotArea>
    </chartFormat>
    <chartFormat chart="0" format="563">
      <pivotArea type="data" outline="0" fieldPosition="0">
        <references count="3">
          <reference field="4294967294" count="1" selected="0">
            <x v="0"/>
          </reference>
          <reference field="0" count="1" selected="0">
            <x v="7"/>
          </reference>
          <reference field="1" count="1" selected="0">
            <x v="75"/>
          </reference>
        </references>
      </pivotArea>
    </chartFormat>
    <chartFormat chart="0" format="564">
      <pivotArea type="data" outline="0" fieldPosition="0">
        <references count="3">
          <reference field="4294967294" count="1" selected="0">
            <x v="0"/>
          </reference>
          <reference field="0" count="1" selected="0">
            <x v="7"/>
          </reference>
          <reference field="1" count="1" selected="0">
            <x v="76"/>
          </reference>
        </references>
      </pivotArea>
    </chartFormat>
    <chartFormat chart="0" format="565">
      <pivotArea type="data" outline="0" fieldPosition="0">
        <references count="3">
          <reference field="4294967294" count="1" selected="0">
            <x v="0"/>
          </reference>
          <reference field="0" count="1" selected="0">
            <x v="7"/>
          </reference>
          <reference field="1" count="1" selected="0">
            <x v="77"/>
          </reference>
        </references>
      </pivotArea>
    </chartFormat>
    <chartFormat chart="0" format="566">
      <pivotArea type="data" outline="0" fieldPosition="0">
        <references count="3">
          <reference field="4294967294" count="1" selected="0">
            <x v="0"/>
          </reference>
          <reference field="0" count="1" selected="0">
            <x v="7"/>
          </reference>
          <reference field="1" count="1" selected="0">
            <x v="78"/>
          </reference>
        </references>
      </pivotArea>
    </chartFormat>
    <chartFormat chart="0" format="567">
      <pivotArea type="data" outline="0" fieldPosition="0">
        <references count="3">
          <reference field="4294967294" count="1" selected="0">
            <x v="0"/>
          </reference>
          <reference field="0" count="1" selected="0">
            <x v="8"/>
          </reference>
          <reference field="1" count="1" selected="0">
            <x v="31"/>
          </reference>
        </references>
      </pivotArea>
    </chartFormat>
    <chartFormat chart="0" format="568">
      <pivotArea type="data" outline="0" fieldPosition="0">
        <references count="3">
          <reference field="4294967294" count="1" selected="0">
            <x v="0"/>
          </reference>
          <reference field="0" count="1" selected="0">
            <x v="8"/>
          </reference>
          <reference field="1" count="1" selected="0">
            <x v="32"/>
          </reference>
        </references>
      </pivotArea>
    </chartFormat>
    <chartFormat chart="0" format="569">
      <pivotArea type="data" outline="0" fieldPosition="0">
        <references count="3">
          <reference field="4294967294" count="1" selected="0">
            <x v="0"/>
          </reference>
          <reference field="0" count="1" selected="0">
            <x v="8"/>
          </reference>
          <reference field="1" count="1" selected="0">
            <x v="33"/>
          </reference>
        </references>
      </pivotArea>
    </chartFormat>
    <chartFormat chart="0" format="570">
      <pivotArea type="data" outline="0" fieldPosition="0">
        <references count="3">
          <reference field="4294967294" count="1" selected="0">
            <x v="0"/>
          </reference>
          <reference field="0" count="1" selected="0">
            <x v="8"/>
          </reference>
          <reference field="1" count="1" selected="0">
            <x v="34"/>
          </reference>
        </references>
      </pivotArea>
    </chartFormat>
    <chartFormat chart="0" format="571">
      <pivotArea type="data" outline="0" fieldPosition="0">
        <references count="3">
          <reference field="4294967294" count="1" selected="0">
            <x v="0"/>
          </reference>
          <reference field="0" count="1" selected="0">
            <x v="8"/>
          </reference>
          <reference field="1" count="1" selected="0">
            <x v="35"/>
          </reference>
        </references>
      </pivotArea>
    </chartFormat>
    <chartFormat chart="0" format="572">
      <pivotArea type="data" outline="0" fieldPosition="0">
        <references count="3">
          <reference field="4294967294" count="1" selected="0">
            <x v="0"/>
          </reference>
          <reference field="0" count="1" selected="0">
            <x v="8"/>
          </reference>
          <reference field="1" count="1" selected="0">
            <x v="36"/>
          </reference>
        </references>
      </pivotArea>
    </chartFormat>
    <chartFormat chart="0" format="573">
      <pivotArea type="data" outline="0" fieldPosition="0">
        <references count="3">
          <reference field="4294967294" count="1" selected="0">
            <x v="0"/>
          </reference>
          <reference field="0" count="1" selected="0">
            <x v="8"/>
          </reference>
          <reference field="1" count="1" selected="0">
            <x v="37"/>
          </reference>
        </references>
      </pivotArea>
    </chartFormat>
    <chartFormat chart="0" format="574">
      <pivotArea type="data" outline="0" fieldPosition="0">
        <references count="3">
          <reference field="4294967294" count="1" selected="0">
            <x v="0"/>
          </reference>
          <reference field="0" count="1" selected="0">
            <x v="8"/>
          </reference>
          <reference field="1" count="1" selected="0">
            <x v="38"/>
          </reference>
        </references>
      </pivotArea>
    </chartFormat>
    <chartFormat chart="0" format="575">
      <pivotArea type="data" outline="0" fieldPosition="0">
        <references count="3">
          <reference field="4294967294" count="1" selected="0">
            <x v="0"/>
          </reference>
          <reference field="0" count="1" selected="0">
            <x v="8"/>
          </reference>
          <reference field="1" count="1" selected="0">
            <x v="39"/>
          </reference>
        </references>
      </pivotArea>
    </chartFormat>
    <chartFormat chart="0" format="576">
      <pivotArea type="data" outline="0" fieldPosition="0">
        <references count="3">
          <reference field="4294967294" count="1" selected="0">
            <x v="0"/>
          </reference>
          <reference field="0" count="1" selected="0">
            <x v="8"/>
          </reference>
          <reference field="1" count="1" selected="0">
            <x v="40"/>
          </reference>
        </references>
      </pivotArea>
    </chartFormat>
    <chartFormat chart="0" format="577">
      <pivotArea type="data" outline="0" fieldPosition="0">
        <references count="3">
          <reference field="4294967294" count="1" selected="0">
            <x v="0"/>
          </reference>
          <reference field="0" count="1" selected="0">
            <x v="8"/>
          </reference>
          <reference field="1" count="1" selected="0">
            <x v="41"/>
          </reference>
        </references>
      </pivotArea>
    </chartFormat>
    <chartFormat chart="0" format="578">
      <pivotArea type="data" outline="0" fieldPosition="0">
        <references count="3">
          <reference field="4294967294" count="1" selected="0">
            <x v="0"/>
          </reference>
          <reference field="0" count="1" selected="0">
            <x v="8"/>
          </reference>
          <reference field="1" count="1" selected="0">
            <x v="42"/>
          </reference>
        </references>
      </pivotArea>
    </chartFormat>
    <chartFormat chart="0" format="579">
      <pivotArea type="data" outline="0" fieldPosition="0">
        <references count="3">
          <reference field="4294967294" count="1" selected="0">
            <x v="0"/>
          </reference>
          <reference field="0" count="1" selected="0">
            <x v="8"/>
          </reference>
          <reference field="1" count="1" selected="0">
            <x v="43"/>
          </reference>
        </references>
      </pivotArea>
    </chartFormat>
    <chartFormat chart="0" format="580">
      <pivotArea type="data" outline="0" fieldPosition="0">
        <references count="3">
          <reference field="4294967294" count="1" selected="0">
            <x v="0"/>
          </reference>
          <reference field="0" count="1" selected="0">
            <x v="8"/>
          </reference>
          <reference field="1" count="1" selected="0">
            <x v="44"/>
          </reference>
        </references>
      </pivotArea>
    </chartFormat>
    <chartFormat chart="0" format="581">
      <pivotArea type="data" outline="0" fieldPosition="0">
        <references count="3">
          <reference field="4294967294" count="1" selected="0">
            <x v="0"/>
          </reference>
          <reference field="0" count="1" selected="0">
            <x v="8"/>
          </reference>
          <reference field="1" count="1" selected="0">
            <x v="45"/>
          </reference>
        </references>
      </pivotArea>
    </chartFormat>
    <chartFormat chart="0" format="582">
      <pivotArea type="data" outline="0" fieldPosition="0">
        <references count="3">
          <reference field="4294967294" count="1" selected="0">
            <x v="0"/>
          </reference>
          <reference field="0" count="1" selected="0">
            <x v="8"/>
          </reference>
          <reference field="1" count="1" selected="0">
            <x v="46"/>
          </reference>
        </references>
      </pivotArea>
    </chartFormat>
    <chartFormat chart="0" format="583">
      <pivotArea type="data" outline="0" fieldPosition="0">
        <references count="3">
          <reference field="4294967294" count="1" selected="0">
            <x v="0"/>
          </reference>
          <reference field="0" count="1" selected="0">
            <x v="8"/>
          </reference>
          <reference field="1" count="1" selected="0">
            <x v="47"/>
          </reference>
        </references>
      </pivotArea>
    </chartFormat>
    <chartFormat chart="0" format="584">
      <pivotArea type="data" outline="0" fieldPosition="0">
        <references count="3">
          <reference field="4294967294" count="1" selected="0">
            <x v="0"/>
          </reference>
          <reference field="0" count="1" selected="0">
            <x v="8"/>
          </reference>
          <reference field="1" count="1" selected="0">
            <x v="48"/>
          </reference>
        </references>
      </pivotArea>
    </chartFormat>
    <chartFormat chart="0" format="585">
      <pivotArea type="data" outline="0" fieldPosition="0">
        <references count="3">
          <reference field="4294967294" count="1" selected="0">
            <x v="0"/>
          </reference>
          <reference field="0" count="1" selected="0">
            <x v="8"/>
          </reference>
          <reference field="1" count="1" selected="0">
            <x v="49"/>
          </reference>
        </references>
      </pivotArea>
    </chartFormat>
    <chartFormat chart="0" format="586">
      <pivotArea type="data" outline="0" fieldPosition="0">
        <references count="3">
          <reference field="4294967294" count="1" selected="0">
            <x v="0"/>
          </reference>
          <reference field="0" count="1" selected="0">
            <x v="8"/>
          </reference>
          <reference field="1" count="1" selected="0">
            <x v="50"/>
          </reference>
        </references>
      </pivotArea>
    </chartFormat>
    <chartFormat chart="0" format="587">
      <pivotArea type="data" outline="0" fieldPosition="0">
        <references count="3">
          <reference field="4294967294" count="1" selected="0">
            <x v="0"/>
          </reference>
          <reference field="0" count="1" selected="0">
            <x v="8"/>
          </reference>
          <reference field="1" count="1" selected="0">
            <x v="51"/>
          </reference>
        </references>
      </pivotArea>
    </chartFormat>
    <chartFormat chart="0" format="588">
      <pivotArea type="data" outline="0" fieldPosition="0">
        <references count="3">
          <reference field="4294967294" count="1" selected="0">
            <x v="0"/>
          </reference>
          <reference field="0" count="1" selected="0">
            <x v="8"/>
          </reference>
          <reference field="1" count="1" selected="0">
            <x v="52"/>
          </reference>
        </references>
      </pivotArea>
    </chartFormat>
    <chartFormat chart="0" format="589">
      <pivotArea type="data" outline="0" fieldPosition="0">
        <references count="3">
          <reference field="4294967294" count="1" selected="0">
            <x v="0"/>
          </reference>
          <reference field="0" count="1" selected="0">
            <x v="8"/>
          </reference>
          <reference field="1" count="1" selected="0">
            <x v="53"/>
          </reference>
        </references>
      </pivotArea>
    </chartFormat>
    <chartFormat chart="0" format="590">
      <pivotArea type="data" outline="0" fieldPosition="0">
        <references count="3">
          <reference field="4294967294" count="1" selected="0">
            <x v="0"/>
          </reference>
          <reference field="0" count="1" selected="0">
            <x v="8"/>
          </reference>
          <reference field="1" count="1" selected="0">
            <x v="54"/>
          </reference>
        </references>
      </pivotArea>
    </chartFormat>
    <chartFormat chart="0" format="591">
      <pivotArea type="data" outline="0" fieldPosition="0">
        <references count="3">
          <reference field="4294967294" count="1" selected="0">
            <x v="0"/>
          </reference>
          <reference field="0" count="1" selected="0">
            <x v="8"/>
          </reference>
          <reference field="1" count="1" selected="0">
            <x v="55"/>
          </reference>
        </references>
      </pivotArea>
    </chartFormat>
    <chartFormat chart="0" format="592">
      <pivotArea type="data" outline="0" fieldPosition="0">
        <references count="3">
          <reference field="4294967294" count="1" selected="0">
            <x v="0"/>
          </reference>
          <reference field="0" count="1" selected="0">
            <x v="8"/>
          </reference>
          <reference field="1" count="1" selected="0">
            <x v="56"/>
          </reference>
        </references>
      </pivotArea>
    </chartFormat>
    <chartFormat chart="0" format="593">
      <pivotArea type="data" outline="0" fieldPosition="0">
        <references count="3">
          <reference field="4294967294" count="1" selected="0">
            <x v="0"/>
          </reference>
          <reference field="0" count="1" selected="0">
            <x v="8"/>
          </reference>
          <reference field="1" count="1" selected="0">
            <x v="57"/>
          </reference>
        </references>
      </pivotArea>
    </chartFormat>
    <chartFormat chart="0" format="594">
      <pivotArea type="data" outline="0" fieldPosition="0">
        <references count="3">
          <reference field="4294967294" count="1" selected="0">
            <x v="0"/>
          </reference>
          <reference field="0" count="1" selected="0">
            <x v="8"/>
          </reference>
          <reference field="1" count="1" selected="0">
            <x v="58"/>
          </reference>
        </references>
      </pivotArea>
    </chartFormat>
    <chartFormat chart="0" format="595">
      <pivotArea type="data" outline="0" fieldPosition="0">
        <references count="3">
          <reference field="4294967294" count="1" selected="0">
            <x v="0"/>
          </reference>
          <reference field="0" count="1" selected="0">
            <x v="8"/>
          </reference>
          <reference field="1" count="1" selected="0">
            <x v="59"/>
          </reference>
        </references>
      </pivotArea>
    </chartFormat>
    <chartFormat chart="0" format="596">
      <pivotArea type="data" outline="0" fieldPosition="0">
        <references count="3">
          <reference field="4294967294" count="1" selected="0">
            <x v="0"/>
          </reference>
          <reference field="0" count="1" selected="0">
            <x v="8"/>
          </reference>
          <reference field="1" count="1" selected="0">
            <x v="60"/>
          </reference>
        </references>
      </pivotArea>
    </chartFormat>
    <chartFormat chart="0" format="597">
      <pivotArea type="data" outline="0" fieldPosition="0">
        <references count="3">
          <reference field="4294967294" count="1" selected="0">
            <x v="0"/>
          </reference>
          <reference field="0" count="1" selected="0">
            <x v="8"/>
          </reference>
          <reference field="1" count="1" selected="0">
            <x v="61"/>
          </reference>
        </references>
      </pivotArea>
    </chartFormat>
    <chartFormat chart="0" format="598">
      <pivotArea type="data" outline="0" fieldPosition="0">
        <references count="3">
          <reference field="4294967294" count="1" selected="0">
            <x v="0"/>
          </reference>
          <reference field="0" count="1" selected="0">
            <x v="8"/>
          </reference>
          <reference field="1" count="1" selected="0">
            <x v="62"/>
          </reference>
        </references>
      </pivotArea>
    </chartFormat>
    <chartFormat chart="0" format="599">
      <pivotArea type="data" outline="0" fieldPosition="0">
        <references count="3">
          <reference field="4294967294" count="1" selected="0">
            <x v="0"/>
          </reference>
          <reference field="0" count="1" selected="0">
            <x v="8"/>
          </reference>
          <reference field="1" count="1" selected="0">
            <x v="63"/>
          </reference>
        </references>
      </pivotArea>
    </chartFormat>
    <chartFormat chart="0" format="600">
      <pivotArea type="data" outline="0" fieldPosition="0">
        <references count="3">
          <reference field="4294967294" count="1" selected="0">
            <x v="0"/>
          </reference>
          <reference field="0" count="1" selected="0">
            <x v="8"/>
          </reference>
          <reference field="1" count="1" selected="0">
            <x v="64"/>
          </reference>
        </references>
      </pivotArea>
    </chartFormat>
    <chartFormat chart="0" format="601">
      <pivotArea type="data" outline="0" fieldPosition="0">
        <references count="3">
          <reference field="4294967294" count="1" selected="0">
            <x v="0"/>
          </reference>
          <reference field="0" count="1" selected="0">
            <x v="8"/>
          </reference>
          <reference field="1" count="1" selected="0">
            <x v="65"/>
          </reference>
        </references>
      </pivotArea>
    </chartFormat>
    <chartFormat chart="0" format="602">
      <pivotArea type="data" outline="0" fieldPosition="0">
        <references count="3">
          <reference field="4294967294" count="1" selected="0">
            <x v="0"/>
          </reference>
          <reference field="0" count="1" selected="0">
            <x v="8"/>
          </reference>
          <reference field="1" count="1" selected="0">
            <x v="66"/>
          </reference>
        </references>
      </pivotArea>
    </chartFormat>
    <chartFormat chart="0" format="603">
      <pivotArea type="data" outline="0" fieldPosition="0">
        <references count="3">
          <reference field="4294967294" count="1" selected="0">
            <x v="0"/>
          </reference>
          <reference field="0" count="1" selected="0">
            <x v="8"/>
          </reference>
          <reference field="1" count="1" selected="0">
            <x v="67"/>
          </reference>
        </references>
      </pivotArea>
    </chartFormat>
    <chartFormat chart="0" format="604">
      <pivotArea type="data" outline="0" fieldPosition="0">
        <references count="3">
          <reference field="4294967294" count="1" selected="0">
            <x v="0"/>
          </reference>
          <reference field="0" count="1" selected="0">
            <x v="8"/>
          </reference>
          <reference field="1" count="1" selected="0">
            <x v="68"/>
          </reference>
        </references>
      </pivotArea>
    </chartFormat>
    <chartFormat chart="0" format="605">
      <pivotArea type="data" outline="0" fieldPosition="0">
        <references count="3">
          <reference field="4294967294" count="1" selected="0">
            <x v="0"/>
          </reference>
          <reference field="0" count="1" selected="0">
            <x v="8"/>
          </reference>
          <reference field="1" count="1" selected="0">
            <x v="69"/>
          </reference>
        </references>
      </pivotArea>
    </chartFormat>
    <chartFormat chart="0" format="606">
      <pivotArea type="data" outline="0" fieldPosition="0">
        <references count="3">
          <reference field="4294967294" count="1" selected="0">
            <x v="0"/>
          </reference>
          <reference field="0" count="1" selected="0">
            <x v="8"/>
          </reference>
          <reference field="1" count="1" selected="0">
            <x v="70"/>
          </reference>
        </references>
      </pivotArea>
    </chartFormat>
    <chartFormat chart="0" format="607">
      <pivotArea type="data" outline="0" fieldPosition="0">
        <references count="3">
          <reference field="4294967294" count="1" selected="0">
            <x v="0"/>
          </reference>
          <reference field="0" count="1" selected="0">
            <x v="8"/>
          </reference>
          <reference field="1" count="1" selected="0">
            <x v="71"/>
          </reference>
        </references>
      </pivotArea>
    </chartFormat>
    <chartFormat chart="0" format="608">
      <pivotArea type="data" outline="0" fieldPosition="0">
        <references count="3">
          <reference field="4294967294" count="1" selected="0">
            <x v="0"/>
          </reference>
          <reference field="0" count="1" selected="0">
            <x v="8"/>
          </reference>
          <reference field="1" count="1" selected="0">
            <x v="72"/>
          </reference>
        </references>
      </pivotArea>
    </chartFormat>
    <chartFormat chart="0" format="609">
      <pivotArea type="data" outline="0" fieldPosition="0">
        <references count="3">
          <reference field="4294967294" count="1" selected="0">
            <x v="0"/>
          </reference>
          <reference field="0" count="1" selected="0">
            <x v="8"/>
          </reference>
          <reference field="1" count="1" selected="0">
            <x v="73"/>
          </reference>
        </references>
      </pivotArea>
    </chartFormat>
    <chartFormat chart="0" format="610">
      <pivotArea type="data" outline="0" fieldPosition="0">
        <references count="3">
          <reference field="4294967294" count="1" selected="0">
            <x v="0"/>
          </reference>
          <reference field="0" count="1" selected="0">
            <x v="8"/>
          </reference>
          <reference field="1" count="1" selected="0">
            <x v="74"/>
          </reference>
        </references>
      </pivotArea>
    </chartFormat>
    <chartFormat chart="0" format="611">
      <pivotArea type="data" outline="0" fieldPosition="0">
        <references count="3">
          <reference field="4294967294" count="1" selected="0">
            <x v="0"/>
          </reference>
          <reference field="0" count="1" selected="0">
            <x v="8"/>
          </reference>
          <reference field="1" count="1" selected="0">
            <x v="75"/>
          </reference>
        </references>
      </pivotArea>
    </chartFormat>
    <chartFormat chart="0" format="612">
      <pivotArea type="data" outline="0" fieldPosition="0">
        <references count="3">
          <reference field="4294967294" count="1" selected="0">
            <x v="0"/>
          </reference>
          <reference field="0" count="1" selected="0">
            <x v="8"/>
          </reference>
          <reference field="1" count="1" selected="0">
            <x v="76"/>
          </reference>
        </references>
      </pivotArea>
    </chartFormat>
    <chartFormat chart="0" format="613">
      <pivotArea type="data" outline="0" fieldPosition="0">
        <references count="3">
          <reference field="4294967294" count="1" selected="0">
            <x v="0"/>
          </reference>
          <reference field="0" count="1" selected="0">
            <x v="8"/>
          </reference>
          <reference field="1" count="1" selected="0">
            <x v="77"/>
          </reference>
        </references>
      </pivotArea>
    </chartFormat>
    <chartFormat chart="0" format="614">
      <pivotArea type="data" outline="0" fieldPosition="0">
        <references count="3">
          <reference field="4294967294" count="1" selected="0">
            <x v="0"/>
          </reference>
          <reference field="0" count="1" selected="0">
            <x v="8"/>
          </reference>
          <reference field="1" count="1" selected="0">
            <x v="78"/>
          </reference>
        </references>
      </pivotArea>
    </chartFormat>
    <chartFormat chart="0" format="615">
      <pivotArea type="data" outline="0" fieldPosition="0">
        <references count="3">
          <reference field="4294967294" count="1" selected="0">
            <x v="0"/>
          </reference>
          <reference field="0" count="1" selected="0">
            <x v="9"/>
          </reference>
          <reference field="1" count="1" selected="0">
            <x v="31"/>
          </reference>
        </references>
      </pivotArea>
    </chartFormat>
    <chartFormat chart="0" format="616">
      <pivotArea type="data" outline="0" fieldPosition="0">
        <references count="3">
          <reference field="4294967294" count="1" selected="0">
            <x v="0"/>
          </reference>
          <reference field="0" count="1" selected="0">
            <x v="9"/>
          </reference>
          <reference field="1" count="1" selected="0">
            <x v="32"/>
          </reference>
        </references>
      </pivotArea>
    </chartFormat>
    <chartFormat chart="0" format="617">
      <pivotArea type="data" outline="0" fieldPosition="0">
        <references count="3">
          <reference field="4294967294" count="1" selected="0">
            <x v="0"/>
          </reference>
          <reference field="0" count="1" selected="0">
            <x v="9"/>
          </reference>
          <reference field="1" count="1" selected="0">
            <x v="33"/>
          </reference>
        </references>
      </pivotArea>
    </chartFormat>
    <chartFormat chart="0" format="618">
      <pivotArea type="data" outline="0" fieldPosition="0">
        <references count="3">
          <reference field="4294967294" count="1" selected="0">
            <x v="0"/>
          </reference>
          <reference field="0" count="1" selected="0">
            <x v="9"/>
          </reference>
          <reference field="1" count="1" selected="0">
            <x v="34"/>
          </reference>
        </references>
      </pivotArea>
    </chartFormat>
    <chartFormat chart="0" format="619">
      <pivotArea type="data" outline="0" fieldPosition="0">
        <references count="3">
          <reference field="4294967294" count="1" selected="0">
            <x v="0"/>
          </reference>
          <reference field="0" count="1" selected="0">
            <x v="9"/>
          </reference>
          <reference field="1" count="1" selected="0">
            <x v="35"/>
          </reference>
        </references>
      </pivotArea>
    </chartFormat>
    <chartFormat chart="0" format="620">
      <pivotArea type="data" outline="0" fieldPosition="0">
        <references count="3">
          <reference field="4294967294" count="1" selected="0">
            <x v="0"/>
          </reference>
          <reference field="0" count="1" selected="0">
            <x v="9"/>
          </reference>
          <reference field="1" count="1" selected="0">
            <x v="36"/>
          </reference>
        </references>
      </pivotArea>
    </chartFormat>
    <chartFormat chart="0" format="621">
      <pivotArea type="data" outline="0" fieldPosition="0">
        <references count="3">
          <reference field="4294967294" count="1" selected="0">
            <x v="0"/>
          </reference>
          <reference field="0" count="1" selected="0">
            <x v="9"/>
          </reference>
          <reference field="1" count="1" selected="0">
            <x v="37"/>
          </reference>
        </references>
      </pivotArea>
    </chartFormat>
    <chartFormat chart="0" format="622">
      <pivotArea type="data" outline="0" fieldPosition="0">
        <references count="3">
          <reference field="4294967294" count="1" selected="0">
            <x v="0"/>
          </reference>
          <reference field="0" count="1" selected="0">
            <x v="9"/>
          </reference>
          <reference field="1" count="1" selected="0">
            <x v="38"/>
          </reference>
        </references>
      </pivotArea>
    </chartFormat>
    <chartFormat chart="0" format="623">
      <pivotArea type="data" outline="0" fieldPosition="0">
        <references count="3">
          <reference field="4294967294" count="1" selected="0">
            <x v="0"/>
          </reference>
          <reference field="0" count="1" selected="0">
            <x v="9"/>
          </reference>
          <reference field="1" count="1" selected="0">
            <x v="39"/>
          </reference>
        </references>
      </pivotArea>
    </chartFormat>
    <chartFormat chart="0" format="624">
      <pivotArea type="data" outline="0" fieldPosition="0">
        <references count="3">
          <reference field="4294967294" count="1" selected="0">
            <x v="0"/>
          </reference>
          <reference field="0" count="1" selected="0">
            <x v="9"/>
          </reference>
          <reference field="1" count="1" selected="0">
            <x v="40"/>
          </reference>
        </references>
      </pivotArea>
    </chartFormat>
    <chartFormat chart="0" format="625">
      <pivotArea type="data" outline="0" fieldPosition="0">
        <references count="3">
          <reference field="4294967294" count="1" selected="0">
            <x v="0"/>
          </reference>
          <reference field="0" count="1" selected="0">
            <x v="9"/>
          </reference>
          <reference field="1" count="1" selected="0">
            <x v="41"/>
          </reference>
        </references>
      </pivotArea>
    </chartFormat>
    <chartFormat chart="0" format="626">
      <pivotArea type="data" outline="0" fieldPosition="0">
        <references count="3">
          <reference field="4294967294" count="1" selected="0">
            <x v="0"/>
          </reference>
          <reference field="0" count="1" selected="0">
            <x v="9"/>
          </reference>
          <reference field="1" count="1" selected="0">
            <x v="42"/>
          </reference>
        </references>
      </pivotArea>
    </chartFormat>
    <chartFormat chart="0" format="627">
      <pivotArea type="data" outline="0" fieldPosition="0">
        <references count="3">
          <reference field="4294967294" count="1" selected="0">
            <x v="0"/>
          </reference>
          <reference field="0" count="1" selected="0">
            <x v="9"/>
          </reference>
          <reference field="1" count="1" selected="0">
            <x v="43"/>
          </reference>
        </references>
      </pivotArea>
    </chartFormat>
    <chartFormat chart="0" format="628">
      <pivotArea type="data" outline="0" fieldPosition="0">
        <references count="3">
          <reference field="4294967294" count="1" selected="0">
            <x v="0"/>
          </reference>
          <reference field="0" count="1" selected="0">
            <x v="9"/>
          </reference>
          <reference field="1" count="1" selected="0">
            <x v="44"/>
          </reference>
        </references>
      </pivotArea>
    </chartFormat>
    <chartFormat chart="0" format="629">
      <pivotArea type="data" outline="0" fieldPosition="0">
        <references count="3">
          <reference field="4294967294" count="1" selected="0">
            <x v="0"/>
          </reference>
          <reference field="0" count="1" selected="0">
            <x v="9"/>
          </reference>
          <reference field="1" count="1" selected="0">
            <x v="45"/>
          </reference>
        </references>
      </pivotArea>
    </chartFormat>
    <chartFormat chart="0" format="630">
      <pivotArea type="data" outline="0" fieldPosition="0">
        <references count="3">
          <reference field="4294967294" count="1" selected="0">
            <x v="0"/>
          </reference>
          <reference field="0" count="1" selected="0">
            <x v="9"/>
          </reference>
          <reference field="1" count="1" selected="0">
            <x v="46"/>
          </reference>
        </references>
      </pivotArea>
    </chartFormat>
    <chartFormat chart="0" format="631">
      <pivotArea type="data" outline="0" fieldPosition="0">
        <references count="3">
          <reference field="4294967294" count="1" selected="0">
            <x v="0"/>
          </reference>
          <reference field="0" count="1" selected="0">
            <x v="9"/>
          </reference>
          <reference field="1" count="1" selected="0">
            <x v="47"/>
          </reference>
        </references>
      </pivotArea>
    </chartFormat>
    <chartFormat chart="0" format="632">
      <pivotArea type="data" outline="0" fieldPosition="0">
        <references count="3">
          <reference field="4294967294" count="1" selected="0">
            <x v="0"/>
          </reference>
          <reference field="0" count="1" selected="0">
            <x v="9"/>
          </reference>
          <reference field="1" count="1" selected="0">
            <x v="48"/>
          </reference>
        </references>
      </pivotArea>
    </chartFormat>
    <chartFormat chart="0" format="633">
      <pivotArea type="data" outline="0" fieldPosition="0">
        <references count="3">
          <reference field="4294967294" count="1" selected="0">
            <x v="0"/>
          </reference>
          <reference field="0" count="1" selected="0">
            <x v="9"/>
          </reference>
          <reference field="1" count="1" selected="0">
            <x v="49"/>
          </reference>
        </references>
      </pivotArea>
    </chartFormat>
    <chartFormat chart="0" format="634">
      <pivotArea type="data" outline="0" fieldPosition="0">
        <references count="3">
          <reference field="4294967294" count="1" selected="0">
            <x v="0"/>
          </reference>
          <reference field="0" count="1" selected="0">
            <x v="9"/>
          </reference>
          <reference field="1" count="1" selected="0">
            <x v="50"/>
          </reference>
        </references>
      </pivotArea>
    </chartFormat>
    <chartFormat chart="0" format="635">
      <pivotArea type="data" outline="0" fieldPosition="0">
        <references count="3">
          <reference field="4294967294" count="1" selected="0">
            <x v="0"/>
          </reference>
          <reference field="0" count="1" selected="0">
            <x v="9"/>
          </reference>
          <reference field="1" count="1" selected="0">
            <x v="51"/>
          </reference>
        </references>
      </pivotArea>
    </chartFormat>
    <chartFormat chart="0" format="636">
      <pivotArea type="data" outline="0" fieldPosition="0">
        <references count="3">
          <reference field="4294967294" count="1" selected="0">
            <x v="0"/>
          </reference>
          <reference field="0" count="1" selected="0">
            <x v="9"/>
          </reference>
          <reference field="1" count="1" selected="0">
            <x v="52"/>
          </reference>
        </references>
      </pivotArea>
    </chartFormat>
    <chartFormat chart="0" format="637">
      <pivotArea type="data" outline="0" fieldPosition="0">
        <references count="3">
          <reference field="4294967294" count="1" selected="0">
            <x v="0"/>
          </reference>
          <reference field="0" count="1" selected="0">
            <x v="9"/>
          </reference>
          <reference field="1" count="1" selected="0">
            <x v="53"/>
          </reference>
        </references>
      </pivotArea>
    </chartFormat>
    <chartFormat chart="0" format="638">
      <pivotArea type="data" outline="0" fieldPosition="0">
        <references count="3">
          <reference field="4294967294" count="1" selected="0">
            <x v="0"/>
          </reference>
          <reference field="0" count="1" selected="0">
            <x v="9"/>
          </reference>
          <reference field="1" count="1" selected="0">
            <x v="54"/>
          </reference>
        </references>
      </pivotArea>
    </chartFormat>
    <chartFormat chart="0" format="639">
      <pivotArea type="data" outline="0" fieldPosition="0">
        <references count="3">
          <reference field="4294967294" count="1" selected="0">
            <x v="0"/>
          </reference>
          <reference field="0" count="1" selected="0">
            <x v="9"/>
          </reference>
          <reference field="1" count="1" selected="0">
            <x v="55"/>
          </reference>
        </references>
      </pivotArea>
    </chartFormat>
    <chartFormat chart="0" format="640">
      <pivotArea type="data" outline="0" fieldPosition="0">
        <references count="3">
          <reference field="4294967294" count="1" selected="0">
            <x v="0"/>
          </reference>
          <reference field="0" count="1" selected="0">
            <x v="9"/>
          </reference>
          <reference field="1" count="1" selected="0">
            <x v="56"/>
          </reference>
        </references>
      </pivotArea>
    </chartFormat>
    <chartFormat chart="0" format="641">
      <pivotArea type="data" outline="0" fieldPosition="0">
        <references count="3">
          <reference field="4294967294" count="1" selected="0">
            <x v="0"/>
          </reference>
          <reference field="0" count="1" selected="0">
            <x v="9"/>
          </reference>
          <reference field="1" count="1" selected="0">
            <x v="57"/>
          </reference>
        </references>
      </pivotArea>
    </chartFormat>
    <chartFormat chart="0" format="642">
      <pivotArea type="data" outline="0" fieldPosition="0">
        <references count="3">
          <reference field="4294967294" count="1" selected="0">
            <x v="0"/>
          </reference>
          <reference field="0" count="1" selected="0">
            <x v="9"/>
          </reference>
          <reference field="1" count="1" selected="0">
            <x v="58"/>
          </reference>
        </references>
      </pivotArea>
    </chartFormat>
    <chartFormat chart="0" format="643">
      <pivotArea type="data" outline="0" fieldPosition="0">
        <references count="3">
          <reference field="4294967294" count="1" selected="0">
            <x v="0"/>
          </reference>
          <reference field="0" count="1" selected="0">
            <x v="9"/>
          </reference>
          <reference field="1" count="1" selected="0">
            <x v="59"/>
          </reference>
        </references>
      </pivotArea>
    </chartFormat>
    <chartFormat chart="0" format="644">
      <pivotArea type="data" outline="0" fieldPosition="0">
        <references count="3">
          <reference field="4294967294" count="1" selected="0">
            <x v="0"/>
          </reference>
          <reference field="0" count="1" selected="0">
            <x v="9"/>
          </reference>
          <reference field="1" count="1" selected="0">
            <x v="60"/>
          </reference>
        </references>
      </pivotArea>
    </chartFormat>
    <chartFormat chart="0" format="645">
      <pivotArea type="data" outline="0" fieldPosition="0">
        <references count="3">
          <reference field="4294967294" count="1" selected="0">
            <x v="0"/>
          </reference>
          <reference field="0" count="1" selected="0">
            <x v="9"/>
          </reference>
          <reference field="1" count="1" selected="0">
            <x v="61"/>
          </reference>
        </references>
      </pivotArea>
    </chartFormat>
    <chartFormat chart="0" format="646">
      <pivotArea type="data" outline="0" fieldPosition="0">
        <references count="3">
          <reference field="4294967294" count="1" selected="0">
            <x v="0"/>
          </reference>
          <reference field="0" count="1" selected="0">
            <x v="9"/>
          </reference>
          <reference field="1" count="1" selected="0">
            <x v="62"/>
          </reference>
        </references>
      </pivotArea>
    </chartFormat>
    <chartFormat chart="0" format="647">
      <pivotArea type="data" outline="0" fieldPosition="0">
        <references count="3">
          <reference field="4294967294" count="1" selected="0">
            <x v="0"/>
          </reference>
          <reference field="0" count="1" selected="0">
            <x v="9"/>
          </reference>
          <reference field="1" count="1" selected="0">
            <x v="63"/>
          </reference>
        </references>
      </pivotArea>
    </chartFormat>
    <chartFormat chart="0" format="648">
      <pivotArea type="data" outline="0" fieldPosition="0">
        <references count="3">
          <reference field="4294967294" count="1" selected="0">
            <x v="0"/>
          </reference>
          <reference field="0" count="1" selected="0">
            <x v="9"/>
          </reference>
          <reference field="1" count="1" selected="0">
            <x v="64"/>
          </reference>
        </references>
      </pivotArea>
    </chartFormat>
    <chartFormat chart="0" format="649">
      <pivotArea type="data" outline="0" fieldPosition="0">
        <references count="3">
          <reference field="4294967294" count="1" selected="0">
            <x v="0"/>
          </reference>
          <reference field="0" count="1" selected="0">
            <x v="9"/>
          </reference>
          <reference field="1" count="1" selected="0">
            <x v="65"/>
          </reference>
        </references>
      </pivotArea>
    </chartFormat>
    <chartFormat chart="0" format="650">
      <pivotArea type="data" outline="0" fieldPosition="0">
        <references count="3">
          <reference field="4294967294" count="1" selected="0">
            <x v="0"/>
          </reference>
          <reference field="0" count="1" selected="0">
            <x v="9"/>
          </reference>
          <reference field="1" count="1" selected="0">
            <x v="66"/>
          </reference>
        </references>
      </pivotArea>
    </chartFormat>
    <chartFormat chart="0" format="651">
      <pivotArea type="data" outline="0" fieldPosition="0">
        <references count="3">
          <reference field="4294967294" count="1" selected="0">
            <x v="0"/>
          </reference>
          <reference field="0" count="1" selected="0">
            <x v="9"/>
          </reference>
          <reference field="1" count="1" selected="0">
            <x v="67"/>
          </reference>
        </references>
      </pivotArea>
    </chartFormat>
    <chartFormat chart="0" format="652">
      <pivotArea type="data" outline="0" fieldPosition="0">
        <references count="3">
          <reference field="4294967294" count="1" selected="0">
            <x v="0"/>
          </reference>
          <reference field="0" count="1" selected="0">
            <x v="9"/>
          </reference>
          <reference field="1" count="1" selected="0">
            <x v="68"/>
          </reference>
        </references>
      </pivotArea>
    </chartFormat>
    <chartFormat chart="0" format="653">
      <pivotArea type="data" outline="0" fieldPosition="0">
        <references count="3">
          <reference field="4294967294" count="1" selected="0">
            <x v="0"/>
          </reference>
          <reference field="0" count="1" selected="0">
            <x v="9"/>
          </reference>
          <reference field="1" count="1" selected="0">
            <x v="69"/>
          </reference>
        </references>
      </pivotArea>
    </chartFormat>
    <chartFormat chart="0" format="654">
      <pivotArea type="data" outline="0" fieldPosition="0">
        <references count="3">
          <reference field="4294967294" count="1" selected="0">
            <x v="0"/>
          </reference>
          <reference field="0" count="1" selected="0">
            <x v="9"/>
          </reference>
          <reference field="1" count="1" selected="0">
            <x v="70"/>
          </reference>
        </references>
      </pivotArea>
    </chartFormat>
    <chartFormat chart="0" format="655">
      <pivotArea type="data" outline="0" fieldPosition="0">
        <references count="3">
          <reference field="4294967294" count="1" selected="0">
            <x v="0"/>
          </reference>
          <reference field="0" count="1" selected="0">
            <x v="9"/>
          </reference>
          <reference field="1" count="1" selected="0">
            <x v="71"/>
          </reference>
        </references>
      </pivotArea>
    </chartFormat>
    <chartFormat chart="0" format="656">
      <pivotArea type="data" outline="0" fieldPosition="0">
        <references count="3">
          <reference field="4294967294" count="1" selected="0">
            <x v="0"/>
          </reference>
          <reference field="0" count="1" selected="0">
            <x v="9"/>
          </reference>
          <reference field="1" count="1" selected="0">
            <x v="72"/>
          </reference>
        </references>
      </pivotArea>
    </chartFormat>
    <chartFormat chart="0" format="657">
      <pivotArea type="data" outline="0" fieldPosition="0">
        <references count="3">
          <reference field="4294967294" count="1" selected="0">
            <x v="0"/>
          </reference>
          <reference field="0" count="1" selected="0">
            <x v="9"/>
          </reference>
          <reference field="1" count="1" selected="0">
            <x v="73"/>
          </reference>
        </references>
      </pivotArea>
    </chartFormat>
    <chartFormat chart="0" format="658">
      <pivotArea type="data" outline="0" fieldPosition="0">
        <references count="3">
          <reference field="4294967294" count="1" selected="0">
            <x v="0"/>
          </reference>
          <reference field="0" count="1" selected="0">
            <x v="9"/>
          </reference>
          <reference field="1" count="1" selected="0">
            <x v="74"/>
          </reference>
        </references>
      </pivotArea>
    </chartFormat>
    <chartFormat chart="0" format="659">
      <pivotArea type="data" outline="0" fieldPosition="0">
        <references count="3">
          <reference field="4294967294" count="1" selected="0">
            <x v="0"/>
          </reference>
          <reference field="0" count="1" selected="0">
            <x v="9"/>
          </reference>
          <reference field="1" count="1" selected="0">
            <x v="75"/>
          </reference>
        </references>
      </pivotArea>
    </chartFormat>
    <chartFormat chart="0" format="660">
      <pivotArea type="data" outline="0" fieldPosition="0">
        <references count="3">
          <reference field="4294967294" count="1" selected="0">
            <x v="0"/>
          </reference>
          <reference field="0" count="1" selected="0">
            <x v="9"/>
          </reference>
          <reference field="1" count="1" selected="0">
            <x v="76"/>
          </reference>
        </references>
      </pivotArea>
    </chartFormat>
    <chartFormat chart="0" format="661">
      <pivotArea type="data" outline="0" fieldPosition="0">
        <references count="3">
          <reference field="4294967294" count="1" selected="0">
            <x v="0"/>
          </reference>
          <reference field="0" count="1" selected="0">
            <x v="9"/>
          </reference>
          <reference field="1" count="1" selected="0">
            <x v="77"/>
          </reference>
        </references>
      </pivotArea>
    </chartFormat>
    <chartFormat chart="0" format="662">
      <pivotArea type="data" outline="0" fieldPosition="0">
        <references count="3">
          <reference field="4294967294" count="1" selected="0">
            <x v="0"/>
          </reference>
          <reference field="0" count="1" selected="0">
            <x v="9"/>
          </reference>
          <reference field="1" count="1" selected="0">
            <x v="78"/>
          </reference>
        </references>
      </pivotArea>
    </chartFormat>
    <chartFormat chart="0" format="663">
      <pivotArea type="data" outline="0" fieldPosition="0">
        <references count="3">
          <reference field="4294967294" count="1" selected="0">
            <x v="0"/>
          </reference>
          <reference field="0" count="1" selected="0">
            <x v="10"/>
          </reference>
          <reference field="1" count="1" selected="0">
            <x v="31"/>
          </reference>
        </references>
      </pivotArea>
    </chartFormat>
    <chartFormat chart="0" format="664">
      <pivotArea type="data" outline="0" fieldPosition="0">
        <references count="3">
          <reference field="4294967294" count="1" selected="0">
            <x v="0"/>
          </reference>
          <reference field="0" count="1" selected="0">
            <x v="10"/>
          </reference>
          <reference field="1" count="1" selected="0">
            <x v="32"/>
          </reference>
        </references>
      </pivotArea>
    </chartFormat>
    <chartFormat chart="0" format="665">
      <pivotArea type="data" outline="0" fieldPosition="0">
        <references count="3">
          <reference field="4294967294" count="1" selected="0">
            <x v="0"/>
          </reference>
          <reference field="0" count="1" selected="0">
            <x v="10"/>
          </reference>
          <reference field="1" count="1" selected="0">
            <x v="33"/>
          </reference>
        </references>
      </pivotArea>
    </chartFormat>
    <chartFormat chart="0" format="666">
      <pivotArea type="data" outline="0" fieldPosition="0">
        <references count="3">
          <reference field="4294967294" count="1" selected="0">
            <x v="0"/>
          </reference>
          <reference field="0" count="1" selected="0">
            <x v="10"/>
          </reference>
          <reference field="1" count="1" selected="0">
            <x v="34"/>
          </reference>
        </references>
      </pivotArea>
    </chartFormat>
    <chartFormat chart="0" format="667">
      <pivotArea type="data" outline="0" fieldPosition="0">
        <references count="3">
          <reference field="4294967294" count="1" selected="0">
            <x v="0"/>
          </reference>
          <reference field="0" count="1" selected="0">
            <x v="10"/>
          </reference>
          <reference field="1" count="1" selected="0">
            <x v="35"/>
          </reference>
        </references>
      </pivotArea>
    </chartFormat>
    <chartFormat chart="0" format="668">
      <pivotArea type="data" outline="0" fieldPosition="0">
        <references count="3">
          <reference field="4294967294" count="1" selected="0">
            <x v="0"/>
          </reference>
          <reference field="0" count="1" selected="0">
            <x v="10"/>
          </reference>
          <reference field="1" count="1" selected="0">
            <x v="36"/>
          </reference>
        </references>
      </pivotArea>
    </chartFormat>
    <chartFormat chart="0" format="669">
      <pivotArea type="data" outline="0" fieldPosition="0">
        <references count="3">
          <reference field="4294967294" count="1" selected="0">
            <x v="0"/>
          </reference>
          <reference field="0" count="1" selected="0">
            <x v="10"/>
          </reference>
          <reference field="1" count="1" selected="0">
            <x v="37"/>
          </reference>
        </references>
      </pivotArea>
    </chartFormat>
    <chartFormat chart="0" format="670">
      <pivotArea type="data" outline="0" fieldPosition="0">
        <references count="3">
          <reference field="4294967294" count="1" selected="0">
            <x v="0"/>
          </reference>
          <reference field="0" count="1" selected="0">
            <x v="10"/>
          </reference>
          <reference field="1" count="1" selected="0">
            <x v="38"/>
          </reference>
        </references>
      </pivotArea>
    </chartFormat>
    <chartFormat chart="0" format="671">
      <pivotArea type="data" outline="0" fieldPosition="0">
        <references count="3">
          <reference field="4294967294" count="1" selected="0">
            <x v="0"/>
          </reference>
          <reference field="0" count="1" selected="0">
            <x v="10"/>
          </reference>
          <reference field="1" count="1" selected="0">
            <x v="39"/>
          </reference>
        </references>
      </pivotArea>
    </chartFormat>
    <chartFormat chart="0" format="672">
      <pivotArea type="data" outline="0" fieldPosition="0">
        <references count="3">
          <reference field="4294967294" count="1" selected="0">
            <x v="0"/>
          </reference>
          <reference field="0" count="1" selected="0">
            <x v="10"/>
          </reference>
          <reference field="1" count="1" selected="0">
            <x v="40"/>
          </reference>
        </references>
      </pivotArea>
    </chartFormat>
    <chartFormat chart="0" format="673">
      <pivotArea type="data" outline="0" fieldPosition="0">
        <references count="3">
          <reference field="4294967294" count="1" selected="0">
            <x v="0"/>
          </reference>
          <reference field="0" count="1" selected="0">
            <x v="10"/>
          </reference>
          <reference field="1" count="1" selected="0">
            <x v="41"/>
          </reference>
        </references>
      </pivotArea>
    </chartFormat>
    <chartFormat chart="0" format="674">
      <pivotArea type="data" outline="0" fieldPosition="0">
        <references count="3">
          <reference field="4294967294" count="1" selected="0">
            <x v="0"/>
          </reference>
          <reference field="0" count="1" selected="0">
            <x v="10"/>
          </reference>
          <reference field="1" count="1" selected="0">
            <x v="42"/>
          </reference>
        </references>
      </pivotArea>
    </chartFormat>
    <chartFormat chart="0" format="675">
      <pivotArea type="data" outline="0" fieldPosition="0">
        <references count="3">
          <reference field="4294967294" count="1" selected="0">
            <x v="0"/>
          </reference>
          <reference field="0" count="1" selected="0">
            <x v="10"/>
          </reference>
          <reference field="1" count="1" selected="0">
            <x v="43"/>
          </reference>
        </references>
      </pivotArea>
    </chartFormat>
    <chartFormat chart="0" format="676">
      <pivotArea type="data" outline="0" fieldPosition="0">
        <references count="3">
          <reference field="4294967294" count="1" selected="0">
            <x v="0"/>
          </reference>
          <reference field="0" count="1" selected="0">
            <x v="10"/>
          </reference>
          <reference field="1" count="1" selected="0">
            <x v="44"/>
          </reference>
        </references>
      </pivotArea>
    </chartFormat>
    <chartFormat chart="0" format="677">
      <pivotArea type="data" outline="0" fieldPosition="0">
        <references count="3">
          <reference field="4294967294" count="1" selected="0">
            <x v="0"/>
          </reference>
          <reference field="0" count="1" selected="0">
            <x v="10"/>
          </reference>
          <reference field="1" count="1" selected="0">
            <x v="45"/>
          </reference>
        </references>
      </pivotArea>
    </chartFormat>
    <chartFormat chart="0" format="678">
      <pivotArea type="data" outline="0" fieldPosition="0">
        <references count="3">
          <reference field="4294967294" count="1" selected="0">
            <x v="0"/>
          </reference>
          <reference field="0" count="1" selected="0">
            <x v="10"/>
          </reference>
          <reference field="1" count="1" selected="0">
            <x v="46"/>
          </reference>
        </references>
      </pivotArea>
    </chartFormat>
    <chartFormat chart="0" format="679">
      <pivotArea type="data" outline="0" fieldPosition="0">
        <references count="3">
          <reference field="4294967294" count="1" selected="0">
            <x v="0"/>
          </reference>
          <reference field="0" count="1" selected="0">
            <x v="10"/>
          </reference>
          <reference field="1" count="1" selected="0">
            <x v="47"/>
          </reference>
        </references>
      </pivotArea>
    </chartFormat>
    <chartFormat chart="0" format="680">
      <pivotArea type="data" outline="0" fieldPosition="0">
        <references count="3">
          <reference field="4294967294" count="1" selected="0">
            <x v="0"/>
          </reference>
          <reference field="0" count="1" selected="0">
            <x v="10"/>
          </reference>
          <reference field="1" count="1" selected="0">
            <x v="48"/>
          </reference>
        </references>
      </pivotArea>
    </chartFormat>
    <chartFormat chart="0" format="681">
      <pivotArea type="data" outline="0" fieldPosition="0">
        <references count="3">
          <reference field="4294967294" count="1" selected="0">
            <x v="0"/>
          </reference>
          <reference field="0" count="1" selected="0">
            <x v="10"/>
          </reference>
          <reference field="1" count="1" selected="0">
            <x v="49"/>
          </reference>
        </references>
      </pivotArea>
    </chartFormat>
    <chartFormat chart="0" format="682">
      <pivotArea type="data" outline="0" fieldPosition="0">
        <references count="3">
          <reference field="4294967294" count="1" selected="0">
            <x v="0"/>
          </reference>
          <reference field="0" count="1" selected="0">
            <x v="10"/>
          </reference>
          <reference field="1" count="1" selected="0">
            <x v="50"/>
          </reference>
        </references>
      </pivotArea>
    </chartFormat>
    <chartFormat chart="0" format="683">
      <pivotArea type="data" outline="0" fieldPosition="0">
        <references count="3">
          <reference field="4294967294" count="1" selected="0">
            <x v="0"/>
          </reference>
          <reference field="0" count="1" selected="0">
            <x v="10"/>
          </reference>
          <reference field="1" count="1" selected="0">
            <x v="51"/>
          </reference>
        </references>
      </pivotArea>
    </chartFormat>
    <chartFormat chart="0" format="684">
      <pivotArea type="data" outline="0" fieldPosition="0">
        <references count="3">
          <reference field="4294967294" count="1" selected="0">
            <x v="0"/>
          </reference>
          <reference field="0" count="1" selected="0">
            <x v="10"/>
          </reference>
          <reference field="1" count="1" selected="0">
            <x v="52"/>
          </reference>
        </references>
      </pivotArea>
    </chartFormat>
    <chartFormat chart="0" format="685">
      <pivotArea type="data" outline="0" fieldPosition="0">
        <references count="3">
          <reference field="4294967294" count="1" selected="0">
            <x v="0"/>
          </reference>
          <reference field="0" count="1" selected="0">
            <x v="10"/>
          </reference>
          <reference field="1" count="1" selected="0">
            <x v="53"/>
          </reference>
        </references>
      </pivotArea>
    </chartFormat>
    <chartFormat chart="0" format="686">
      <pivotArea type="data" outline="0" fieldPosition="0">
        <references count="3">
          <reference field="4294967294" count="1" selected="0">
            <x v="0"/>
          </reference>
          <reference field="0" count="1" selected="0">
            <x v="10"/>
          </reference>
          <reference field="1" count="1" selected="0">
            <x v="54"/>
          </reference>
        </references>
      </pivotArea>
    </chartFormat>
    <chartFormat chart="0" format="687">
      <pivotArea type="data" outline="0" fieldPosition="0">
        <references count="3">
          <reference field="4294967294" count="1" selected="0">
            <x v="0"/>
          </reference>
          <reference field="0" count="1" selected="0">
            <x v="10"/>
          </reference>
          <reference field="1" count="1" selected="0">
            <x v="55"/>
          </reference>
        </references>
      </pivotArea>
    </chartFormat>
    <chartFormat chart="0" format="688">
      <pivotArea type="data" outline="0" fieldPosition="0">
        <references count="3">
          <reference field="4294967294" count="1" selected="0">
            <x v="0"/>
          </reference>
          <reference field="0" count="1" selected="0">
            <x v="10"/>
          </reference>
          <reference field="1" count="1" selected="0">
            <x v="56"/>
          </reference>
        </references>
      </pivotArea>
    </chartFormat>
    <chartFormat chart="0" format="689">
      <pivotArea type="data" outline="0" fieldPosition="0">
        <references count="3">
          <reference field="4294967294" count="1" selected="0">
            <x v="0"/>
          </reference>
          <reference field="0" count="1" selected="0">
            <x v="10"/>
          </reference>
          <reference field="1" count="1" selected="0">
            <x v="57"/>
          </reference>
        </references>
      </pivotArea>
    </chartFormat>
    <chartFormat chart="0" format="690">
      <pivotArea type="data" outline="0" fieldPosition="0">
        <references count="3">
          <reference field="4294967294" count="1" selected="0">
            <x v="0"/>
          </reference>
          <reference field="0" count="1" selected="0">
            <x v="10"/>
          </reference>
          <reference field="1" count="1" selected="0">
            <x v="58"/>
          </reference>
        </references>
      </pivotArea>
    </chartFormat>
    <chartFormat chart="0" format="691">
      <pivotArea type="data" outline="0" fieldPosition="0">
        <references count="3">
          <reference field="4294967294" count="1" selected="0">
            <x v="0"/>
          </reference>
          <reference field="0" count="1" selected="0">
            <x v="10"/>
          </reference>
          <reference field="1" count="1" selected="0">
            <x v="59"/>
          </reference>
        </references>
      </pivotArea>
    </chartFormat>
    <chartFormat chart="0" format="692">
      <pivotArea type="data" outline="0" fieldPosition="0">
        <references count="3">
          <reference field="4294967294" count="1" selected="0">
            <x v="0"/>
          </reference>
          <reference field="0" count="1" selected="0">
            <x v="10"/>
          </reference>
          <reference field="1" count="1" selected="0">
            <x v="60"/>
          </reference>
        </references>
      </pivotArea>
    </chartFormat>
    <chartFormat chart="0" format="693">
      <pivotArea type="data" outline="0" fieldPosition="0">
        <references count="3">
          <reference field="4294967294" count="1" selected="0">
            <x v="0"/>
          </reference>
          <reference field="0" count="1" selected="0">
            <x v="10"/>
          </reference>
          <reference field="1" count="1" selected="0">
            <x v="61"/>
          </reference>
        </references>
      </pivotArea>
    </chartFormat>
    <chartFormat chart="0" format="694">
      <pivotArea type="data" outline="0" fieldPosition="0">
        <references count="3">
          <reference field="4294967294" count="1" selected="0">
            <x v="0"/>
          </reference>
          <reference field="0" count="1" selected="0">
            <x v="10"/>
          </reference>
          <reference field="1" count="1" selected="0">
            <x v="62"/>
          </reference>
        </references>
      </pivotArea>
    </chartFormat>
    <chartFormat chart="0" format="695">
      <pivotArea type="data" outline="0" fieldPosition="0">
        <references count="3">
          <reference field="4294967294" count="1" selected="0">
            <x v="0"/>
          </reference>
          <reference field="0" count="1" selected="0">
            <x v="10"/>
          </reference>
          <reference field="1" count="1" selected="0">
            <x v="63"/>
          </reference>
        </references>
      </pivotArea>
    </chartFormat>
    <chartFormat chart="0" format="696">
      <pivotArea type="data" outline="0" fieldPosition="0">
        <references count="3">
          <reference field="4294967294" count="1" selected="0">
            <x v="0"/>
          </reference>
          <reference field="0" count="1" selected="0">
            <x v="10"/>
          </reference>
          <reference field="1" count="1" selected="0">
            <x v="64"/>
          </reference>
        </references>
      </pivotArea>
    </chartFormat>
    <chartFormat chart="0" format="697">
      <pivotArea type="data" outline="0" fieldPosition="0">
        <references count="3">
          <reference field="4294967294" count="1" selected="0">
            <x v="0"/>
          </reference>
          <reference field="0" count="1" selected="0">
            <x v="10"/>
          </reference>
          <reference field="1" count="1" selected="0">
            <x v="65"/>
          </reference>
        </references>
      </pivotArea>
    </chartFormat>
    <chartFormat chart="0" format="698">
      <pivotArea type="data" outline="0" fieldPosition="0">
        <references count="3">
          <reference field="4294967294" count="1" selected="0">
            <x v="0"/>
          </reference>
          <reference field="0" count="1" selected="0">
            <x v="10"/>
          </reference>
          <reference field="1" count="1" selected="0">
            <x v="66"/>
          </reference>
        </references>
      </pivotArea>
    </chartFormat>
    <chartFormat chart="0" format="699">
      <pivotArea type="data" outline="0" fieldPosition="0">
        <references count="3">
          <reference field="4294967294" count="1" selected="0">
            <x v="0"/>
          </reference>
          <reference field="0" count="1" selected="0">
            <x v="10"/>
          </reference>
          <reference field="1" count="1" selected="0">
            <x v="67"/>
          </reference>
        </references>
      </pivotArea>
    </chartFormat>
    <chartFormat chart="0" format="700">
      <pivotArea type="data" outline="0" fieldPosition="0">
        <references count="3">
          <reference field="4294967294" count="1" selected="0">
            <x v="0"/>
          </reference>
          <reference field="0" count="1" selected="0">
            <x v="10"/>
          </reference>
          <reference field="1" count="1" selected="0">
            <x v="68"/>
          </reference>
        </references>
      </pivotArea>
    </chartFormat>
    <chartFormat chart="0" format="701">
      <pivotArea type="data" outline="0" fieldPosition="0">
        <references count="3">
          <reference field="4294967294" count="1" selected="0">
            <x v="0"/>
          </reference>
          <reference field="0" count="1" selected="0">
            <x v="10"/>
          </reference>
          <reference field="1" count="1" selected="0">
            <x v="69"/>
          </reference>
        </references>
      </pivotArea>
    </chartFormat>
    <chartFormat chart="0" format="702">
      <pivotArea type="data" outline="0" fieldPosition="0">
        <references count="3">
          <reference field="4294967294" count="1" selected="0">
            <x v="0"/>
          </reference>
          <reference field="0" count="1" selected="0">
            <x v="10"/>
          </reference>
          <reference field="1" count="1" selected="0">
            <x v="70"/>
          </reference>
        </references>
      </pivotArea>
    </chartFormat>
    <chartFormat chart="0" format="703">
      <pivotArea type="data" outline="0" fieldPosition="0">
        <references count="3">
          <reference field="4294967294" count="1" selected="0">
            <x v="0"/>
          </reference>
          <reference field="0" count="1" selected="0">
            <x v="10"/>
          </reference>
          <reference field="1" count="1" selected="0">
            <x v="71"/>
          </reference>
        </references>
      </pivotArea>
    </chartFormat>
    <chartFormat chart="0" format="704">
      <pivotArea type="data" outline="0" fieldPosition="0">
        <references count="3">
          <reference field="4294967294" count="1" selected="0">
            <x v="0"/>
          </reference>
          <reference field="0" count="1" selected="0">
            <x v="10"/>
          </reference>
          <reference field="1" count="1" selected="0">
            <x v="72"/>
          </reference>
        </references>
      </pivotArea>
    </chartFormat>
    <chartFormat chart="0" format="705">
      <pivotArea type="data" outline="0" fieldPosition="0">
        <references count="3">
          <reference field="4294967294" count="1" selected="0">
            <x v="0"/>
          </reference>
          <reference field="0" count="1" selected="0">
            <x v="10"/>
          </reference>
          <reference field="1" count="1" selected="0">
            <x v="73"/>
          </reference>
        </references>
      </pivotArea>
    </chartFormat>
    <chartFormat chart="0" format="706">
      <pivotArea type="data" outline="0" fieldPosition="0">
        <references count="3">
          <reference field="4294967294" count="1" selected="0">
            <x v="0"/>
          </reference>
          <reference field="0" count="1" selected="0">
            <x v="10"/>
          </reference>
          <reference field="1" count="1" selected="0">
            <x v="74"/>
          </reference>
        </references>
      </pivotArea>
    </chartFormat>
    <chartFormat chart="0" format="707">
      <pivotArea type="data" outline="0" fieldPosition="0">
        <references count="3">
          <reference field="4294967294" count="1" selected="0">
            <x v="0"/>
          </reference>
          <reference field="0" count="1" selected="0">
            <x v="10"/>
          </reference>
          <reference field="1" count="1" selected="0">
            <x v="75"/>
          </reference>
        </references>
      </pivotArea>
    </chartFormat>
    <chartFormat chart="0" format="708">
      <pivotArea type="data" outline="0" fieldPosition="0">
        <references count="3">
          <reference field="4294967294" count="1" selected="0">
            <x v="0"/>
          </reference>
          <reference field="0" count="1" selected="0">
            <x v="10"/>
          </reference>
          <reference field="1" count="1" selected="0">
            <x v="76"/>
          </reference>
        </references>
      </pivotArea>
    </chartFormat>
    <chartFormat chart="0" format="709">
      <pivotArea type="data" outline="0" fieldPosition="0">
        <references count="3">
          <reference field="4294967294" count="1" selected="0">
            <x v="0"/>
          </reference>
          <reference field="0" count="1" selected="0">
            <x v="10"/>
          </reference>
          <reference field="1" count="1" selected="0">
            <x v="77"/>
          </reference>
        </references>
      </pivotArea>
    </chartFormat>
    <chartFormat chart="0" format="710">
      <pivotArea type="data" outline="0" fieldPosition="0">
        <references count="3">
          <reference field="4294967294" count="1" selected="0">
            <x v="0"/>
          </reference>
          <reference field="0" count="1" selected="0">
            <x v="10"/>
          </reference>
          <reference field="1" count="1" selected="0">
            <x v="78"/>
          </reference>
        </references>
      </pivotArea>
    </chartFormat>
    <chartFormat chart="0" format="711">
      <pivotArea type="data" outline="0" fieldPosition="0">
        <references count="3">
          <reference field="4294967294" count="1" selected="0">
            <x v="0"/>
          </reference>
          <reference field="0" count="1" selected="0">
            <x v="11"/>
          </reference>
          <reference field="1" count="1" selected="0">
            <x v="31"/>
          </reference>
        </references>
      </pivotArea>
    </chartFormat>
    <chartFormat chart="0" format="712">
      <pivotArea type="data" outline="0" fieldPosition="0">
        <references count="3">
          <reference field="4294967294" count="1" selected="0">
            <x v="0"/>
          </reference>
          <reference field="0" count="1" selected="0">
            <x v="11"/>
          </reference>
          <reference field="1" count="1" selected="0">
            <x v="32"/>
          </reference>
        </references>
      </pivotArea>
    </chartFormat>
    <chartFormat chart="0" format="713">
      <pivotArea type="data" outline="0" fieldPosition="0">
        <references count="3">
          <reference field="4294967294" count="1" selected="0">
            <x v="0"/>
          </reference>
          <reference field="0" count="1" selected="0">
            <x v="11"/>
          </reference>
          <reference field="1" count="1" selected="0">
            <x v="33"/>
          </reference>
        </references>
      </pivotArea>
    </chartFormat>
    <chartFormat chart="0" format="714">
      <pivotArea type="data" outline="0" fieldPosition="0">
        <references count="3">
          <reference field="4294967294" count="1" selected="0">
            <x v="0"/>
          </reference>
          <reference field="0" count="1" selected="0">
            <x v="11"/>
          </reference>
          <reference field="1" count="1" selected="0">
            <x v="34"/>
          </reference>
        </references>
      </pivotArea>
    </chartFormat>
    <chartFormat chart="0" format="715">
      <pivotArea type="data" outline="0" fieldPosition="0">
        <references count="3">
          <reference field="4294967294" count="1" selected="0">
            <x v="0"/>
          </reference>
          <reference field="0" count="1" selected="0">
            <x v="11"/>
          </reference>
          <reference field="1" count="1" selected="0">
            <x v="63"/>
          </reference>
        </references>
      </pivotArea>
    </chartFormat>
    <chartFormat chart="0" format="716">
      <pivotArea type="data" outline="0" fieldPosition="0">
        <references count="3">
          <reference field="4294967294" count="1" selected="0">
            <x v="0"/>
          </reference>
          <reference field="0" count="1" selected="0">
            <x v="11"/>
          </reference>
          <reference field="1" count="1" selected="0">
            <x v="64"/>
          </reference>
        </references>
      </pivotArea>
    </chartFormat>
    <chartFormat chart="0" format="717">
      <pivotArea type="data" outline="0" fieldPosition="0">
        <references count="3">
          <reference field="4294967294" count="1" selected="0">
            <x v="0"/>
          </reference>
          <reference field="0" count="1" selected="0">
            <x v="11"/>
          </reference>
          <reference field="1" count="1" selected="0">
            <x v="65"/>
          </reference>
        </references>
      </pivotArea>
    </chartFormat>
    <chartFormat chart="0" format="718">
      <pivotArea type="data" outline="0" fieldPosition="0">
        <references count="3">
          <reference field="4294967294" count="1" selected="0">
            <x v="0"/>
          </reference>
          <reference field="0" count="1" selected="0">
            <x v="11"/>
          </reference>
          <reference field="1" count="1" selected="0">
            <x v="66"/>
          </reference>
        </references>
      </pivotArea>
    </chartFormat>
    <chartFormat chart="0" format="719">
      <pivotArea type="data" outline="0" fieldPosition="0">
        <references count="3">
          <reference field="4294967294" count="1" selected="0">
            <x v="0"/>
          </reference>
          <reference field="0" count="1" selected="0">
            <x v="11"/>
          </reference>
          <reference field="1" count="1" selected="0">
            <x v="67"/>
          </reference>
        </references>
      </pivotArea>
    </chartFormat>
    <chartFormat chart="0" format="720">
      <pivotArea type="data" outline="0" fieldPosition="0">
        <references count="3">
          <reference field="4294967294" count="1" selected="0">
            <x v="0"/>
          </reference>
          <reference field="0" count="1" selected="0">
            <x v="11"/>
          </reference>
          <reference field="1" count="1" selected="0">
            <x v="68"/>
          </reference>
        </references>
      </pivotArea>
    </chartFormat>
    <chartFormat chart="0" format="721">
      <pivotArea type="data" outline="0" fieldPosition="0">
        <references count="3">
          <reference field="4294967294" count="1" selected="0">
            <x v="0"/>
          </reference>
          <reference field="0" count="1" selected="0">
            <x v="11"/>
          </reference>
          <reference field="1" count="1" selected="0">
            <x v="69"/>
          </reference>
        </references>
      </pivotArea>
    </chartFormat>
    <chartFormat chart="0" format="722">
      <pivotArea type="data" outline="0" fieldPosition="0">
        <references count="3">
          <reference field="4294967294" count="1" selected="0">
            <x v="0"/>
          </reference>
          <reference field="0" count="1" selected="0">
            <x v="11"/>
          </reference>
          <reference field="1" count="1" selected="0">
            <x v="70"/>
          </reference>
        </references>
      </pivotArea>
    </chartFormat>
    <chartFormat chart="0" format="723">
      <pivotArea type="data" outline="0" fieldPosition="0">
        <references count="3">
          <reference field="4294967294" count="1" selected="0">
            <x v="0"/>
          </reference>
          <reference field="0" count="1" selected="0">
            <x v="11"/>
          </reference>
          <reference field="1" count="1" selected="0">
            <x v="71"/>
          </reference>
        </references>
      </pivotArea>
    </chartFormat>
    <chartFormat chart="0" format="724">
      <pivotArea type="data" outline="0" fieldPosition="0">
        <references count="3">
          <reference field="4294967294" count="1" selected="0">
            <x v="0"/>
          </reference>
          <reference field="0" count="1" selected="0">
            <x v="11"/>
          </reference>
          <reference field="1" count="1" selected="0">
            <x v="72"/>
          </reference>
        </references>
      </pivotArea>
    </chartFormat>
    <chartFormat chart="0" format="725">
      <pivotArea type="data" outline="0" fieldPosition="0">
        <references count="3">
          <reference field="4294967294" count="1" selected="0">
            <x v="0"/>
          </reference>
          <reference field="0" count="1" selected="0">
            <x v="11"/>
          </reference>
          <reference field="1" count="1" selected="0">
            <x v="73"/>
          </reference>
        </references>
      </pivotArea>
    </chartFormat>
    <chartFormat chart="0" format="726">
      <pivotArea type="data" outline="0" fieldPosition="0">
        <references count="3">
          <reference field="4294967294" count="1" selected="0">
            <x v="0"/>
          </reference>
          <reference field="0" count="1" selected="0">
            <x v="11"/>
          </reference>
          <reference field="1" count="1" selected="0">
            <x v="74"/>
          </reference>
        </references>
      </pivotArea>
    </chartFormat>
    <chartFormat chart="0" format="727">
      <pivotArea type="data" outline="0" fieldPosition="0">
        <references count="3">
          <reference field="4294967294" count="1" selected="0">
            <x v="0"/>
          </reference>
          <reference field="0" count="1" selected="0">
            <x v="11"/>
          </reference>
          <reference field="1" count="1" selected="0">
            <x v="75"/>
          </reference>
        </references>
      </pivotArea>
    </chartFormat>
    <chartFormat chart="0" format="728">
      <pivotArea type="data" outline="0" fieldPosition="0">
        <references count="3">
          <reference field="4294967294" count="1" selected="0">
            <x v="0"/>
          </reference>
          <reference field="0" count="1" selected="0">
            <x v="11"/>
          </reference>
          <reference field="1" count="1" selected="0">
            <x v="76"/>
          </reference>
        </references>
      </pivotArea>
    </chartFormat>
    <chartFormat chart="0" format="729">
      <pivotArea type="data" outline="0" fieldPosition="0">
        <references count="3">
          <reference field="4294967294" count="1" selected="0">
            <x v="0"/>
          </reference>
          <reference field="0" count="1" selected="0">
            <x v="11"/>
          </reference>
          <reference field="1" count="1" selected="0">
            <x v="77"/>
          </reference>
        </references>
      </pivotArea>
    </chartFormat>
    <chartFormat chart="0" format="730">
      <pivotArea type="data" outline="0" fieldPosition="0">
        <references count="3">
          <reference field="4294967294" count="1" selected="0">
            <x v="0"/>
          </reference>
          <reference field="0" count="1" selected="0">
            <x v="11"/>
          </reference>
          <reference field="1" count="1" selected="0">
            <x v="78"/>
          </reference>
        </references>
      </pivotArea>
    </chartFormat>
    <chartFormat chart="0" format="731">
      <pivotArea type="data" outline="0" fieldPosition="0">
        <references count="3">
          <reference field="4294967294" count="1" selected="0">
            <x v="2"/>
          </reference>
          <reference field="0" count="1" selected="0">
            <x v="6"/>
          </reference>
          <reference field="1" count="1" selected="0">
            <x v="31"/>
          </reference>
        </references>
      </pivotArea>
    </chartFormat>
    <chartFormat chart="0" format="732">
      <pivotArea type="data" outline="0" fieldPosition="0">
        <references count="3">
          <reference field="4294967294" count="1" selected="0">
            <x v="2"/>
          </reference>
          <reference field="0" count="1" selected="0">
            <x v="6"/>
          </reference>
          <reference field="1" count="1" selected="0">
            <x v="32"/>
          </reference>
        </references>
      </pivotArea>
    </chartFormat>
    <chartFormat chart="0" format="733">
      <pivotArea type="data" outline="0" fieldPosition="0">
        <references count="3">
          <reference field="4294967294" count="1" selected="0">
            <x v="2"/>
          </reference>
          <reference field="0" count="1" selected="0">
            <x v="6"/>
          </reference>
          <reference field="1" count="1" selected="0">
            <x v="33"/>
          </reference>
        </references>
      </pivotArea>
    </chartFormat>
    <chartFormat chart="0" format="734">
      <pivotArea type="data" outline="0" fieldPosition="0">
        <references count="3">
          <reference field="4294967294" count="1" selected="0">
            <x v="2"/>
          </reference>
          <reference field="0" count="1" selected="0">
            <x v="6"/>
          </reference>
          <reference field="1" count="1" selected="0">
            <x v="34"/>
          </reference>
        </references>
      </pivotArea>
    </chartFormat>
    <chartFormat chart="0" format="735">
      <pivotArea type="data" outline="0" fieldPosition="0">
        <references count="3">
          <reference field="4294967294" count="1" selected="0">
            <x v="2"/>
          </reference>
          <reference field="0" count="1" selected="0">
            <x v="6"/>
          </reference>
          <reference field="1" count="1" selected="0">
            <x v="35"/>
          </reference>
        </references>
      </pivotArea>
    </chartFormat>
    <chartFormat chart="0" format="736">
      <pivotArea type="data" outline="0" fieldPosition="0">
        <references count="3">
          <reference field="4294967294" count="1" selected="0">
            <x v="2"/>
          </reference>
          <reference field="0" count="1" selected="0">
            <x v="6"/>
          </reference>
          <reference field="1" count="1" selected="0">
            <x v="36"/>
          </reference>
        </references>
      </pivotArea>
    </chartFormat>
    <chartFormat chart="0" format="737">
      <pivotArea type="data" outline="0" fieldPosition="0">
        <references count="3">
          <reference field="4294967294" count="1" selected="0">
            <x v="2"/>
          </reference>
          <reference field="0" count="1" selected="0">
            <x v="6"/>
          </reference>
          <reference field="1" count="1" selected="0">
            <x v="37"/>
          </reference>
        </references>
      </pivotArea>
    </chartFormat>
    <chartFormat chart="0" format="738">
      <pivotArea type="data" outline="0" fieldPosition="0">
        <references count="3">
          <reference field="4294967294" count="1" selected="0">
            <x v="2"/>
          </reference>
          <reference field="0" count="1" selected="0">
            <x v="6"/>
          </reference>
          <reference field="1" count="1" selected="0">
            <x v="38"/>
          </reference>
        </references>
      </pivotArea>
    </chartFormat>
    <chartFormat chart="0" format="739">
      <pivotArea type="data" outline="0" fieldPosition="0">
        <references count="3">
          <reference field="4294967294" count="1" selected="0">
            <x v="2"/>
          </reference>
          <reference field="0" count="1" selected="0">
            <x v="6"/>
          </reference>
          <reference field="1" count="1" selected="0">
            <x v="39"/>
          </reference>
        </references>
      </pivotArea>
    </chartFormat>
    <chartFormat chart="0" format="740">
      <pivotArea type="data" outline="0" fieldPosition="0">
        <references count="3">
          <reference field="4294967294" count="1" selected="0">
            <x v="2"/>
          </reference>
          <reference field="0" count="1" selected="0">
            <x v="6"/>
          </reference>
          <reference field="1" count="1" selected="0">
            <x v="40"/>
          </reference>
        </references>
      </pivotArea>
    </chartFormat>
    <chartFormat chart="0" format="741">
      <pivotArea type="data" outline="0" fieldPosition="0">
        <references count="3">
          <reference field="4294967294" count="1" selected="0">
            <x v="2"/>
          </reference>
          <reference field="0" count="1" selected="0">
            <x v="6"/>
          </reference>
          <reference field="1" count="1" selected="0">
            <x v="41"/>
          </reference>
        </references>
      </pivotArea>
    </chartFormat>
    <chartFormat chart="0" format="742">
      <pivotArea type="data" outline="0" fieldPosition="0">
        <references count="3">
          <reference field="4294967294" count="1" selected="0">
            <x v="2"/>
          </reference>
          <reference field="0" count="1" selected="0">
            <x v="6"/>
          </reference>
          <reference field="1" count="1" selected="0">
            <x v="42"/>
          </reference>
        </references>
      </pivotArea>
    </chartFormat>
    <chartFormat chart="0" format="743">
      <pivotArea type="data" outline="0" fieldPosition="0">
        <references count="3">
          <reference field="4294967294" count="1" selected="0">
            <x v="2"/>
          </reference>
          <reference field="0" count="1" selected="0">
            <x v="6"/>
          </reference>
          <reference field="1" count="1" selected="0">
            <x v="43"/>
          </reference>
        </references>
      </pivotArea>
    </chartFormat>
    <chartFormat chart="0" format="744">
      <pivotArea type="data" outline="0" fieldPosition="0">
        <references count="3">
          <reference field="4294967294" count="1" selected="0">
            <x v="2"/>
          </reference>
          <reference field="0" count="1" selected="0">
            <x v="6"/>
          </reference>
          <reference field="1" count="1" selected="0">
            <x v="44"/>
          </reference>
        </references>
      </pivotArea>
    </chartFormat>
    <chartFormat chart="0" format="745">
      <pivotArea type="data" outline="0" fieldPosition="0">
        <references count="3">
          <reference field="4294967294" count="1" selected="0">
            <x v="2"/>
          </reference>
          <reference field="0" count="1" selected="0">
            <x v="6"/>
          </reference>
          <reference field="1" count="1" selected="0">
            <x v="45"/>
          </reference>
        </references>
      </pivotArea>
    </chartFormat>
    <chartFormat chart="0" format="746">
      <pivotArea type="data" outline="0" fieldPosition="0">
        <references count="3">
          <reference field="4294967294" count="1" selected="0">
            <x v="2"/>
          </reference>
          <reference field="0" count="1" selected="0">
            <x v="6"/>
          </reference>
          <reference field="1" count="1" selected="0">
            <x v="46"/>
          </reference>
        </references>
      </pivotArea>
    </chartFormat>
    <chartFormat chart="0" format="747">
      <pivotArea type="data" outline="0" fieldPosition="0">
        <references count="3">
          <reference field="4294967294" count="1" selected="0">
            <x v="2"/>
          </reference>
          <reference field="0" count="1" selected="0">
            <x v="6"/>
          </reference>
          <reference field="1" count="1" selected="0">
            <x v="47"/>
          </reference>
        </references>
      </pivotArea>
    </chartFormat>
    <chartFormat chart="0" format="748">
      <pivotArea type="data" outline="0" fieldPosition="0">
        <references count="3">
          <reference field="4294967294" count="1" selected="0">
            <x v="2"/>
          </reference>
          <reference field="0" count="1" selected="0">
            <x v="6"/>
          </reference>
          <reference field="1" count="1" selected="0">
            <x v="48"/>
          </reference>
        </references>
      </pivotArea>
    </chartFormat>
    <chartFormat chart="0" format="749">
      <pivotArea type="data" outline="0" fieldPosition="0">
        <references count="3">
          <reference field="4294967294" count="1" selected="0">
            <x v="2"/>
          </reference>
          <reference field="0" count="1" selected="0">
            <x v="6"/>
          </reference>
          <reference field="1" count="1" selected="0">
            <x v="49"/>
          </reference>
        </references>
      </pivotArea>
    </chartFormat>
    <chartFormat chart="0" format="750">
      <pivotArea type="data" outline="0" fieldPosition="0">
        <references count="3">
          <reference field="4294967294" count="1" selected="0">
            <x v="2"/>
          </reference>
          <reference field="0" count="1" selected="0">
            <x v="6"/>
          </reference>
          <reference field="1" count="1" selected="0">
            <x v="50"/>
          </reference>
        </references>
      </pivotArea>
    </chartFormat>
    <chartFormat chart="0" format="751">
      <pivotArea type="data" outline="0" fieldPosition="0">
        <references count="3">
          <reference field="4294967294" count="1" selected="0">
            <x v="2"/>
          </reference>
          <reference field="0" count="1" selected="0">
            <x v="6"/>
          </reference>
          <reference field="1" count="1" selected="0">
            <x v="51"/>
          </reference>
        </references>
      </pivotArea>
    </chartFormat>
    <chartFormat chart="0" format="752">
      <pivotArea type="data" outline="0" fieldPosition="0">
        <references count="3">
          <reference field="4294967294" count="1" selected="0">
            <x v="2"/>
          </reference>
          <reference field="0" count="1" selected="0">
            <x v="6"/>
          </reference>
          <reference field="1" count="1" selected="0">
            <x v="52"/>
          </reference>
        </references>
      </pivotArea>
    </chartFormat>
    <chartFormat chart="0" format="753">
      <pivotArea type="data" outline="0" fieldPosition="0">
        <references count="3">
          <reference field="4294967294" count="1" selected="0">
            <x v="2"/>
          </reference>
          <reference field="0" count="1" selected="0">
            <x v="6"/>
          </reference>
          <reference field="1" count="1" selected="0">
            <x v="53"/>
          </reference>
        </references>
      </pivotArea>
    </chartFormat>
    <chartFormat chart="0" format="754">
      <pivotArea type="data" outline="0" fieldPosition="0">
        <references count="3">
          <reference field="4294967294" count="1" selected="0">
            <x v="2"/>
          </reference>
          <reference field="0" count="1" selected="0">
            <x v="6"/>
          </reference>
          <reference field="1" count="1" selected="0">
            <x v="54"/>
          </reference>
        </references>
      </pivotArea>
    </chartFormat>
    <chartFormat chart="0" format="755">
      <pivotArea type="data" outline="0" fieldPosition="0">
        <references count="3">
          <reference field="4294967294" count="1" selected="0">
            <x v="2"/>
          </reference>
          <reference field="0" count="1" selected="0">
            <x v="6"/>
          </reference>
          <reference field="1" count="1" selected="0">
            <x v="55"/>
          </reference>
        </references>
      </pivotArea>
    </chartFormat>
    <chartFormat chart="0" format="756">
      <pivotArea type="data" outline="0" fieldPosition="0">
        <references count="3">
          <reference field="4294967294" count="1" selected="0">
            <x v="2"/>
          </reference>
          <reference field="0" count="1" selected="0">
            <x v="6"/>
          </reference>
          <reference field="1" count="1" selected="0">
            <x v="56"/>
          </reference>
        </references>
      </pivotArea>
    </chartFormat>
    <chartFormat chart="0" format="757">
      <pivotArea type="data" outline="0" fieldPosition="0">
        <references count="3">
          <reference field="4294967294" count="1" selected="0">
            <x v="2"/>
          </reference>
          <reference field="0" count="1" selected="0">
            <x v="6"/>
          </reference>
          <reference field="1" count="1" selected="0">
            <x v="57"/>
          </reference>
        </references>
      </pivotArea>
    </chartFormat>
    <chartFormat chart="0" format="758">
      <pivotArea type="data" outline="0" fieldPosition="0">
        <references count="3">
          <reference field="4294967294" count="1" selected="0">
            <x v="2"/>
          </reference>
          <reference field="0" count="1" selected="0">
            <x v="6"/>
          </reference>
          <reference field="1" count="1" selected="0">
            <x v="58"/>
          </reference>
        </references>
      </pivotArea>
    </chartFormat>
    <chartFormat chart="0" format="759">
      <pivotArea type="data" outline="0" fieldPosition="0">
        <references count="3">
          <reference field="4294967294" count="1" selected="0">
            <x v="2"/>
          </reference>
          <reference field="0" count="1" selected="0">
            <x v="6"/>
          </reference>
          <reference field="1" count="1" selected="0">
            <x v="59"/>
          </reference>
        </references>
      </pivotArea>
    </chartFormat>
    <chartFormat chart="0" format="760">
      <pivotArea type="data" outline="0" fieldPosition="0">
        <references count="3">
          <reference field="4294967294" count="1" selected="0">
            <x v="2"/>
          </reference>
          <reference field="0" count="1" selected="0">
            <x v="6"/>
          </reference>
          <reference field="1" count="1" selected="0">
            <x v="60"/>
          </reference>
        </references>
      </pivotArea>
    </chartFormat>
    <chartFormat chart="0" format="761">
      <pivotArea type="data" outline="0" fieldPosition="0">
        <references count="3">
          <reference field="4294967294" count="1" selected="0">
            <x v="2"/>
          </reference>
          <reference field="0" count="1" selected="0">
            <x v="6"/>
          </reference>
          <reference field="1" count="1" selected="0">
            <x v="61"/>
          </reference>
        </references>
      </pivotArea>
    </chartFormat>
    <chartFormat chart="0" format="762">
      <pivotArea type="data" outline="0" fieldPosition="0">
        <references count="3">
          <reference field="4294967294" count="1" selected="0">
            <x v="2"/>
          </reference>
          <reference field="0" count="1" selected="0">
            <x v="6"/>
          </reference>
          <reference field="1" count="1" selected="0">
            <x v="62"/>
          </reference>
        </references>
      </pivotArea>
    </chartFormat>
    <chartFormat chart="0" format="763">
      <pivotArea type="data" outline="0" fieldPosition="0">
        <references count="3">
          <reference field="4294967294" count="1" selected="0">
            <x v="2"/>
          </reference>
          <reference field="0" count="1" selected="0">
            <x v="6"/>
          </reference>
          <reference field="1" count="1" selected="0">
            <x v="73"/>
          </reference>
        </references>
      </pivotArea>
    </chartFormat>
    <chartFormat chart="0" format="764">
      <pivotArea type="data" outline="0" fieldPosition="0">
        <references count="3">
          <reference field="4294967294" count="1" selected="0">
            <x v="2"/>
          </reference>
          <reference field="0" count="1" selected="0">
            <x v="6"/>
          </reference>
          <reference field="1" count="1" selected="0">
            <x v="74"/>
          </reference>
        </references>
      </pivotArea>
    </chartFormat>
    <chartFormat chart="0" format="765">
      <pivotArea type="data" outline="0" fieldPosition="0">
        <references count="3">
          <reference field="4294967294" count="1" selected="0">
            <x v="2"/>
          </reference>
          <reference field="0" count="1" selected="0">
            <x v="6"/>
          </reference>
          <reference field="1" count="1" selected="0">
            <x v="75"/>
          </reference>
        </references>
      </pivotArea>
    </chartFormat>
    <chartFormat chart="0" format="766">
      <pivotArea type="data" outline="0" fieldPosition="0">
        <references count="3">
          <reference field="4294967294" count="1" selected="0">
            <x v="2"/>
          </reference>
          <reference field="0" count="1" selected="0">
            <x v="6"/>
          </reference>
          <reference field="1" count="1" selected="0">
            <x v="76"/>
          </reference>
        </references>
      </pivotArea>
    </chartFormat>
    <chartFormat chart="0" format="767">
      <pivotArea type="data" outline="0" fieldPosition="0">
        <references count="3">
          <reference field="4294967294" count="1" selected="0">
            <x v="2"/>
          </reference>
          <reference field="0" count="1" selected="0">
            <x v="6"/>
          </reference>
          <reference field="1" count="1" selected="0">
            <x v="77"/>
          </reference>
        </references>
      </pivotArea>
    </chartFormat>
    <chartFormat chart="0" format="768">
      <pivotArea type="data" outline="0" fieldPosition="0">
        <references count="3">
          <reference field="4294967294" count="1" selected="0">
            <x v="2"/>
          </reference>
          <reference field="0" count="1" selected="0">
            <x v="6"/>
          </reference>
          <reference field="1" count="1" selected="0">
            <x v="78"/>
          </reference>
        </references>
      </pivotArea>
    </chartFormat>
    <chartFormat chart="0" format="769">
      <pivotArea type="data" outline="0" fieldPosition="0">
        <references count="3">
          <reference field="4294967294" count="1" selected="0">
            <x v="2"/>
          </reference>
          <reference field="0" count="1" selected="0">
            <x v="7"/>
          </reference>
          <reference field="1" count="1" selected="0">
            <x v="31"/>
          </reference>
        </references>
      </pivotArea>
    </chartFormat>
    <chartFormat chart="0" format="770">
      <pivotArea type="data" outline="0" fieldPosition="0">
        <references count="3">
          <reference field="4294967294" count="1" selected="0">
            <x v="2"/>
          </reference>
          <reference field="0" count="1" selected="0">
            <x v="7"/>
          </reference>
          <reference field="1" count="1" selected="0">
            <x v="32"/>
          </reference>
        </references>
      </pivotArea>
    </chartFormat>
    <chartFormat chart="0" format="771">
      <pivotArea type="data" outline="0" fieldPosition="0">
        <references count="3">
          <reference field="4294967294" count="1" selected="0">
            <x v="2"/>
          </reference>
          <reference field="0" count="1" selected="0">
            <x v="7"/>
          </reference>
          <reference field="1" count="1" selected="0">
            <x v="33"/>
          </reference>
        </references>
      </pivotArea>
    </chartFormat>
    <chartFormat chart="0" format="772">
      <pivotArea type="data" outline="0" fieldPosition="0">
        <references count="3">
          <reference field="4294967294" count="1" selected="0">
            <x v="2"/>
          </reference>
          <reference field="0" count="1" selected="0">
            <x v="7"/>
          </reference>
          <reference field="1" count="1" selected="0">
            <x v="34"/>
          </reference>
        </references>
      </pivotArea>
    </chartFormat>
    <chartFormat chart="0" format="773">
      <pivotArea type="data" outline="0" fieldPosition="0">
        <references count="3">
          <reference field="4294967294" count="1" selected="0">
            <x v="2"/>
          </reference>
          <reference field="0" count="1" selected="0">
            <x v="7"/>
          </reference>
          <reference field="1" count="1" selected="0">
            <x v="35"/>
          </reference>
        </references>
      </pivotArea>
    </chartFormat>
    <chartFormat chart="0" format="774">
      <pivotArea type="data" outline="0" fieldPosition="0">
        <references count="3">
          <reference field="4294967294" count="1" selected="0">
            <x v="2"/>
          </reference>
          <reference field="0" count="1" selected="0">
            <x v="7"/>
          </reference>
          <reference field="1" count="1" selected="0">
            <x v="36"/>
          </reference>
        </references>
      </pivotArea>
    </chartFormat>
    <chartFormat chart="0" format="775">
      <pivotArea type="data" outline="0" fieldPosition="0">
        <references count="3">
          <reference field="4294967294" count="1" selected="0">
            <x v="2"/>
          </reference>
          <reference field="0" count="1" selected="0">
            <x v="7"/>
          </reference>
          <reference field="1" count="1" selected="0">
            <x v="37"/>
          </reference>
        </references>
      </pivotArea>
    </chartFormat>
    <chartFormat chart="0" format="776">
      <pivotArea type="data" outline="0" fieldPosition="0">
        <references count="3">
          <reference field="4294967294" count="1" selected="0">
            <x v="2"/>
          </reference>
          <reference field="0" count="1" selected="0">
            <x v="7"/>
          </reference>
          <reference field="1" count="1" selected="0">
            <x v="38"/>
          </reference>
        </references>
      </pivotArea>
    </chartFormat>
    <chartFormat chart="0" format="777">
      <pivotArea type="data" outline="0" fieldPosition="0">
        <references count="3">
          <reference field="4294967294" count="1" selected="0">
            <x v="2"/>
          </reference>
          <reference field="0" count="1" selected="0">
            <x v="7"/>
          </reference>
          <reference field="1" count="1" selected="0">
            <x v="39"/>
          </reference>
        </references>
      </pivotArea>
    </chartFormat>
    <chartFormat chart="0" format="778">
      <pivotArea type="data" outline="0" fieldPosition="0">
        <references count="3">
          <reference field="4294967294" count="1" selected="0">
            <x v="2"/>
          </reference>
          <reference field="0" count="1" selected="0">
            <x v="7"/>
          </reference>
          <reference field="1" count="1" selected="0">
            <x v="40"/>
          </reference>
        </references>
      </pivotArea>
    </chartFormat>
    <chartFormat chart="0" format="779">
      <pivotArea type="data" outline="0" fieldPosition="0">
        <references count="3">
          <reference field="4294967294" count="1" selected="0">
            <x v="2"/>
          </reference>
          <reference field="0" count="1" selected="0">
            <x v="7"/>
          </reference>
          <reference field="1" count="1" selected="0">
            <x v="41"/>
          </reference>
        </references>
      </pivotArea>
    </chartFormat>
    <chartFormat chart="0" format="780">
      <pivotArea type="data" outline="0" fieldPosition="0">
        <references count="3">
          <reference field="4294967294" count="1" selected="0">
            <x v="2"/>
          </reference>
          <reference field="0" count="1" selected="0">
            <x v="7"/>
          </reference>
          <reference field="1" count="1" selected="0">
            <x v="42"/>
          </reference>
        </references>
      </pivotArea>
    </chartFormat>
    <chartFormat chart="0" format="781">
      <pivotArea type="data" outline="0" fieldPosition="0">
        <references count="3">
          <reference field="4294967294" count="1" selected="0">
            <x v="2"/>
          </reference>
          <reference field="0" count="1" selected="0">
            <x v="7"/>
          </reference>
          <reference field="1" count="1" selected="0">
            <x v="43"/>
          </reference>
        </references>
      </pivotArea>
    </chartFormat>
    <chartFormat chart="0" format="782">
      <pivotArea type="data" outline="0" fieldPosition="0">
        <references count="3">
          <reference field="4294967294" count="1" selected="0">
            <x v="2"/>
          </reference>
          <reference field="0" count="1" selected="0">
            <x v="7"/>
          </reference>
          <reference field="1" count="1" selected="0">
            <x v="44"/>
          </reference>
        </references>
      </pivotArea>
    </chartFormat>
    <chartFormat chart="0" format="783">
      <pivotArea type="data" outline="0" fieldPosition="0">
        <references count="3">
          <reference field="4294967294" count="1" selected="0">
            <x v="2"/>
          </reference>
          <reference field="0" count="1" selected="0">
            <x v="7"/>
          </reference>
          <reference field="1" count="1" selected="0">
            <x v="45"/>
          </reference>
        </references>
      </pivotArea>
    </chartFormat>
    <chartFormat chart="0" format="784">
      <pivotArea type="data" outline="0" fieldPosition="0">
        <references count="3">
          <reference field="4294967294" count="1" selected="0">
            <x v="2"/>
          </reference>
          <reference field="0" count="1" selected="0">
            <x v="7"/>
          </reference>
          <reference field="1" count="1" selected="0">
            <x v="46"/>
          </reference>
        </references>
      </pivotArea>
    </chartFormat>
    <chartFormat chart="0" format="785">
      <pivotArea type="data" outline="0" fieldPosition="0">
        <references count="3">
          <reference field="4294967294" count="1" selected="0">
            <x v="2"/>
          </reference>
          <reference field="0" count="1" selected="0">
            <x v="7"/>
          </reference>
          <reference field="1" count="1" selected="0">
            <x v="47"/>
          </reference>
        </references>
      </pivotArea>
    </chartFormat>
    <chartFormat chart="0" format="786">
      <pivotArea type="data" outline="0" fieldPosition="0">
        <references count="3">
          <reference field="4294967294" count="1" selected="0">
            <x v="2"/>
          </reference>
          <reference field="0" count="1" selected="0">
            <x v="7"/>
          </reference>
          <reference field="1" count="1" selected="0">
            <x v="48"/>
          </reference>
        </references>
      </pivotArea>
    </chartFormat>
    <chartFormat chart="0" format="787">
      <pivotArea type="data" outline="0" fieldPosition="0">
        <references count="3">
          <reference field="4294967294" count="1" selected="0">
            <x v="2"/>
          </reference>
          <reference field="0" count="1" selected="0">
            <x v="7"/>
          </reference>
          <reference field="1" count="1" selected="0">
            <x v="49"/>
          </reference>
        </references>
      </pivotArea>
    </chartFormat>
    <chartFormat chart="0" format="788">
      <pivotArea type="data" outline="0" fieldPosition="0">
        <references count="3">
          <reference field="4294967294" count="1" selected="0">
            <x v="2"/>
          </reference>
          <reference field="0" count="1" selected="0">
            <x v="7"/>
          </reference>
          <reference field="1" count="1" selected="0">
            <x v="50"/>
          </reference>
        </references>
      </pivotArea>
    </chartFormat>
    <chartFormat chart="0" format="789">
      <pivotArea type="data" outline="0" fieldPosition="0">
        <references count="3">
          <reference field="4294967294" count="1" selected="0">
            <x v="2"/>
          </reference>
          <reference field="0" count="1" selected="0">
            <x v="7"/>
          </reference>
          <reference field="1" count="1" selected="0">
            <x v="51"/>
          </reference>
        </references>
      </pivotArea>
    </chartFormat>
    <chartFormat chart="0" format="790">
      <pivotArea type="data" outline="0" fieldPosition="0">
        <references count="3">
          <reference field="4294967294" count="1" selected="0">
            <x v="2"/>
          </reference>
          <reference field="0" count="1" selected="0">
            <x v="7"/>
          </reference>
          <reference field="1" count="1" selected="0">
            <x v="52"/>
          </reference>
        </references>
      </pivotArea>
    </chartFormat>
    <chartFormat chart="0" format="791">
      <pivotArea type="data" outline="0" fieldPosition="0">
        <references count="3">
          <reference field="4294967294" count="1" selected="0">
            <x v="2"/>
          </reference>
          <reference field="0" count="1" selected="0">
            <x v="7"/>
          </reference>
          <reference field="1" count="1" selected="0">
            <x v="53"/>
          </reference>
        </references>
      </pivotArea>
    </chartFormat>
    <chartFormat chart="0" format="792">
      <pivotArea type="data" outline="0" fieldPosition="0">
        <references count="3">
          <reference field="4294967294" count="1" selected="0">
            <x v="2"/>
          </reference>
          <reference field="0" count="1" selected="0">
            <x v="7"/>
          </reference>
          <reference field="1" count="1" selected="0">
            <x v="54"/>
          </reference>
        </references>
      </pivotArea>
    </chartFormat>
    <chartFormat chart="0" format="793">
      <pivotArea type="data" outline="0" fieldPosition="0">
        <references count="3">
          <reference field="4294967294" count="1" selected="0">
            <x v="2"/>
          </reference>
          <reference field="0" count="1" selected="0">
            <x v="7"/>
          </reference>
          <reference field="1" count="1" selected="0">
            <x v="55"/>
          </reference>
        </references>
      </pivotArea>
    </chartFormat>
    <chartFormat chart="0" format="794">
      <pivotArea type="data" outline="0" fieldPosition="0">
        <references count="3">
          <reference field="4294967294" count="1" selected="0">
            <x v="2"/>
          </reference>
          <reference field="0" count="1" selected="0">
            <x v="7"/>
          </reference>
          <reference field="1" count="1" selected="0">
            <x v="56"/>
          </reference>
        </references>
      </pivotArea>
    </chartFormat>
    <chartFormat chart="0" format="795">
      <pivotArea type="data" outline="0" fieldPosition="0">
        <references count="3">
          <reference field="4294967294" count="1" selected="0">
            <x v="2"/>
          </reference>
          <reference field="0" count="1" selected="0">
            <x v="7"/>
          </reference>
          <reference field="1" count="1" selected="0">
            <x v="57"/>
          </reference>
        </references>
      </pivotArea>
    </chartFormat>
    <chartFormat chart="0" format="796">
      <pivotArea type="data" outline="0" fieldPosition="0">
        <references count="3">
          <reference field="4294967294" count="1" selected="0">
            <x v="2"/>
          </reference>
          <reference field="0" count="1" selected="0">
            <x v="7"/>
          </reference>
          <reference field="1" count="1" selected="0">
            <x v="58"/>
          </reference>
        </references>
      </pivotArea>
    </chartFormat>
    <chartFormat chart="0" format="797">
      <pivotArea type="data" outline="0" fieldPosition="0">
        <references count="3">
          <reference field="4294967294" count="1" selected="0">
            <x v="2"/>
          </reference>
          <reference field="0" count="1" selected="0">
            <x v="7"/>
          </reference>
          <reference field="1" count="1" selected="0">
            <x v="59"/>
          </reference>
        </references>
      </pivotArea>
    </chartFormat>
    <chartFormat chart="0" format="798">
      <pivotArea type="data" outline="0" fieldPosition="0">
        <references count="3">
          <reference field="4294967294" count="1" selected="0">
            <x v="2"/>
          </reference>
          <reference field="0" count="1" selected="0">
            <x v="7"/>
          </reference>
          <reference field="1" count="1" selected="0">
            <x v="60"/>
          </reference>
        </references>
      </pivotArea>
    </chartFormat>
    <chartFormat chart="0" format="799">
      <pivotArea type="data" outline="0" fieldPosition="0">
        <references count="3">
          <reference field="4294967294" count="1" selected="0">
            <x v="2"/>
          </reference>
          <reference field="0" count="1" selected="0">
            <x v="7"/>
          </reference>
          <reference field="1" count="1" selected="0">
            <x v="61"/>
          </reference>
        </references>
      </pivotArea>
    </chartFormat>
    <chartFormat chart="0" format="800">
      <pivotArea type="data" outline="0" fieldPosition="0">
        <references count="3">
          <reference field="4294967294" count="1" selected="0">
            <x v="2"/>
          </reference>
          <reference field="0" count="1" selected="0">
            <x v="7"/>
          </reference>
          <reference field="1" count="1" selected="0">
            <x v="62"/>
          </reference>
        </references>
      </pivotArea>
    </chartFormat>
    <chartFormat chart="0" format="801">
      <pivotArea type="data" outline="0" fieldPosition="0">
        <references count="3">
          <reference field="4294967294" count="1" selected="0">
            <x v="2"/>
          </reference>
          <reference field="0" count="1" selected="0">
            <x v="7"/>
          </reference>
          <reference field="1" count="1" selected="0">
            <x v="63"/>
          </reference>
        </references>
      </pivotArea>
    </chartFormat>
    <chartFormat chart="0" format="802">
      <pivotArea type="data" outline="0" fieldPosition="0">
        <references count="3">
          <reference field="4294967294" count="1" selected="0">
            <x v="2"/>
          </reference>
          <reference field="0" count="1" selected="0">
            <x v="7"/>
          </reference>
          <reference field="1" count="1" selected="0">
            <x v="64"/>
          </reference>
        </references>
      </pivotArea>
    </chartFormat>
    <chartFormat chart="0" format="803">
      <pivotArea type="data" outline="0" fieldPosition="0">
        <references count="3">
          <reference field="4294967294" count="1" selected="0">
            <x v="2"/>
          </reference>
          <reference field="0" count="1" selected="0">
            <x v="7"/>
          </reference>
          <reference field="1" count="1" selected="0">
            <x v="65"/>
          </reference>
        </references>
      </pivotArea>
    </chartFormat>
    <chartFormat chart="0" format="804">
      <pivotArea type="data" outline="0" fieldPosition="0">
        <references count="3">
          <reference field="4294967294" count="1" selected="0">
            <x v="2"/>
          </reference>
          <reference field="0" count="1" selected="0">
            <x v="7"/>
          </reference>
          <reference field="1" count="1" selected="0">
            <x v="66"/>
          </reference>
        </references>
      </pivotArea>
    </chartFormat>
    <chartFormat chart="0" format="805">
      <pivotArea type="data" outline="0" fieldPosition="0">
        <references count="3">
          <reference field="4294967294" count="1" selected="0">
            <x v="2"/>
          </reference>
          <reference field="0" count="1" selected="0">
            <x v="7"/>
          </reference>
          <reference field="1" count="1" selected="0">
            <x v="67"/>
          </reference>
        </references>
      </pivotArea>
    </chartFormat>
    <chartFormat chart="0" format="806">
      <pivotArea type="data" outline="0" fieldPosition="0">
        <references count="3">
          <reference field="4294967294" count="1" selected="0">
            <x v="2"/>
          </reference>
          <reference field="0" count="1" selected="0">
            <x v="7"/>
          </reference>
          <reference field="1" count="1" selected="0">
            <x v="68"/>
          </reference>
        </references>
      </pivotArea>
    </chartFormat>
    <chartFormat chart="0" format="807">
      <pivotArea type="data" outline="0" fieldPosition="0">
        <references count="3">
          <reference field="4294967294" count="1" selected="0">
            <x v="2"/>
          </reference>
          <reference field="0" count="1" selected="0">
            <x v="7"/>
          </reference>
          <reference field="1" count="1" selected="0">
            <x v="69"/>
          </reference>
        </references>
      </pivotArea>
    </chartFormat>
    <chartFormat chart="0" format="808">
      <pivotArea type="data" outline="0" fieldPosition="0">
        <references count="3">
          <reference field="4294967294" count="1" selected="0">
            <x v="2"/>
          </reference>
          <reference field="0" count="1" selected="0">
            <x v="7"/>
          </reference>
          <reference field="1" count="1" selected="0">
            <x v="70"/>
          </reference>
        </references>
      </pivotArea>
    </chartFormat>
    <chartFormat chart="0" format="809">
      <pivotArea type="data" outline="0" fieldPosition="0">
        <references count="3">
          <reference field="4294967294" count="1" selected="0">
            <x v="2"/>
          </reference>
          <reference field="0" count="1" selected="0">
            <x v="7"/>
          </reference>
          <reference field="1" count="1" selected="0">
            <x v="71"/>
          </reference>
        </references>
      </pivotArea>
    </chartFormat>
    <chartFormat chart="0" format="810">
      <pivotArea type="data" outline="0" fieldPosition="0">
        <references count="3">
          <reference field="4294967294" count="1" selected="0">
            <x v="2"/>
          </reference>
          <reference field="0" count="1" selected="0">
            <x v="7"/>
          </reference>
          <reference field="1" count="1" selected="0">
            <x v="72"/>
          </reference>
        </references>
      </pivotArea>
    </chartFormat>
    <chartFormat chart="0" format="811">
      <pivotArea type="data" outline="0" fieldPosition="0">
        <references count="3">
          <reference field="4294967294" count="1" selected="0">
            <x v="2"/>
          </reference>
          <reference field="0" count="1" selected="0">
            <x v="7"/>
          </reference>
          <reference field="1" count="1" selected="0">
            <x v="73"/>
          </reference>
        </references>
      </pivotArea>
    </chartFormat>
    <chartFormat chart="0" format="812">
      <pivotArea type="data" outline="0" fieldPosition="0">
        <references count="3">
          <reference field="4294967294" count="1" selected="0">
            <x v="2"/>
          </reference>
          <reference field="0" count="1" selected="0">
            <x v="7"/>
          </reference>
          <reference field="1" count="1" selected="0">
            <x v="74"/>
          </reference>
        </references>
      </pivotArea>
    </chartFormat>
    <chartFormat chart="0" format="813">
      <pivotArea type="data" outline="0" fieldPosition="0">
        <references count="3">
          <reference field="4294967294" count="1" selected="0">
            <x v="2"/>
          </reference>
          <reference field="0" count="1" selected="0">
            <x v="7"/>
          </reference>
          <reference field="1" count="1" selected="0">
            <x v="75"/>
          </reference>
        </references>
      </pivotArea>
    </chartFormat>
    <chartFormat chart="0" format="814">
      <pivotArea type="data" outline="0" fieldPosition="0">
        <references count="3">
          <reference field="4294967294" count="1" selected="0">
            <x v="2"/>
          </reference>
          <reference field="0" count="1" selected="0">
            <x v="7"/>
          </reference>
          <reference field="1" count="1" selected="0">
            <x v="76"/>
          </reference>
        </references>
      </pivotArea>
    </chartFormat>
    <chartFormat chart="0" format="815">
      <pivotArea type="data" outline="0" fieldPosition="0">
        <references count="3">
          <reference field="4294967294" count="1" selected="0">
            <x v="2"/>
          </reference>
          <reference field="0" count="1" selected="0">
            <x v="7"/>
          </reference>
          <reference field="1" count="1" selected="0">
            <x v="77"/>
          </reference>
        </references>
      </pivotArea>
    </chartFormat>
    <chartFormat chart="0" format="816">
      <pivotArea type="data" outline="0" fieldPosition="0">
        <references count="3">
          <reference field="4294967294" count="1" selected="0">
            <x v="2"/>
          </reference>
          <reference field="0" count="1" selected="0">
            <x v="7"/>
          </reference>
          <reference field="1" count="1" selected="0">
            <x v="78"/>
          </reference>
        </references>
      </pivotArea>
    </chartFormat>
    <chartFormat chart="0" format="817">
      <pivotArea type="data" outline="0" fieldPosition="0">
        <references count="3">
          <reference field="4294967294" count="1" selected="0">
            <x v="2"/>
          </reference>
          <reference field="0" count="1" selected="0">
            <x v="8"/>
          </reference>
          <reference field="1" count="1" selected="0">
            <x v="31"/>
          </reference>
        </references>
      </pivotArea>
    </chartFormat>
    <chartFormat chart="0" format="818">
      <pivotArea type="data" outline="0" fieldPosition="0">
        <references count="3">
          <reference field="4294967294" count="1" selected="0">
            <x v="2"/>
          </reference>
          <reference field="0" count="1" selected="0">
            <x v="8"/>
          </reference>
          <reference field="1" count="1" selected="0">
            <x v="32"/>
          </reference>
        </references>
      </pivotArea>
    </chartFormat>
    <chartFormat chart="0" format="819">
      <pivotArea type="data" outline="0" fieldPosition="0">
        <references count="3">
          <reference field="4294967294" count="1" selected="0">
            <x v="2"/>
          </reference>
          <reference field="0" count="1" selected="0">
            <x v="8"/>
          </reference>
          <reference field="1" count="1" selected="0">
            <x v="33"/>
          </reference>
        </references>
      </pivotArea>
    </chartFormat>
    <chartFormat chart="0" format="820">
      <pivotArea type="data" outline="0" fieldPosition="0">
        <references count="3">
          <reference field="4294967294" count="1" selected="0">
            <x v="2"/>
          </reference>
          <reference field="0" count="1" selected="0">
            <x v="8"/>
          </reference>
          <reference field="1" count="1" selected="0">
            <x v="34"/>
          </reference>
        </references>
      </pivotArea>
    </chartFormat>
    <chartFormat chart="0" format="821">
      <pivotArea type="data" outline="0" fieldPosition="0">
        <references count="3">
          <reference field="4294967294" count="1" selected="0">
            <x v="2"/>
          </reference>
          <reference field="0" count="1" selected="0">
            <x v="8"/>
          </reference>
          <reference field="1" count="1" selected="0">
            <x v="35"/>
          </reference>
        </references>
      </pivotArea>
    </chartFormat>
    <chartFormat chart="0" format="822">
      <pivotArea type="data" outline="0" fieldPosition="0">
        <references count="3">
          <reference field="4294967294" count="1" selected="0">
            <x v="2"/>
          </reference>
          <reference field="0" count="1" selected="0">
            <x v="8"/>
          </reference>
          <reference field="1" count="1" selected="0">
            <x v="36"/>
          </reference>
        </references>
      </pivotArea>
    </chartFormat>
    <chartFormat chart="0" format="823">
      <pivotArea type="data" outline="0" fieldPosition="0">
        <references count="3">
          <reference field="4294967294" count="1" selected="0">
            <x v="2"/>
          </reference>
          <reference field="0" count="1" selected="0">
            <x v="8"/>
          </reference>
          <reference field="1" count="1" selected="0">
            <x v="37"/>
          </reference>
        </references>
      </pivotArea>
    </chartFormat>
    <chartFormat chart="0" format="824">
      <pivotArea type="data" outline="0" fieldPosition="0">
        <references count="3">
          <reference field="4294967294" count="1" selected="0">
            <x v="2"/>
          </reference>
          <reference field="0" count="1" selected="0">
            <x v="8"/>
          </reference>
          <reference field="1" count="1" selected="0">
            <x v="38"/>
          </reference>
        </references>
      </pivotArea>
    </chartFormat>
    <chartFormat chart="0" format="825">
      <pivotArea type="data" outline="0" fieldPosition="0">
        <references count="3">
          <reference field="4294967294" count="1" selected="0">
            <x v="2"/>
          </reference>
          <reference field="0" count="1" selected="0">
            <x v="8"/>
          </reference>
          <reference field="1" count="1" selected="0">
            <x v="39"/>
          </reference>
        </references>
      </pivotArea>
    </chartFormat>
    <chartFormat chart="0" format="826">
      <pivotArea type="data" outline="0" fieldPosition="0">
        <references count="3">
          <reference field="4294967294" count="1" selected="0">
            <x v="2"/>
          </reference>
          <reference field="0" count="1" selected="0">
            <x v="8"/>
          </reference>
          <reference field="1" count="1" selected="0">
            <x v="40"/>
          </reference>
        </references>
      </pivotArea>
    </chartFormat>
    <chartFormat chart="0" format="827">
      <pivotArea type="data" outline="0" fieldPosition="0">
        <references count="3">
          <reference field="4294967294" count="1" selected="0">
            <x v="2"/>
          </reference>
          <reference field="0" count="1" selected="0">
            <x v="8"/>
          </reference>
          <reference field="1" count="1" selected="0">
            <x v="41"/>
          </reference>
        </references>
      </pivotArea>
    </chartFormat>
    <chartFormat chart="0" format="828">
      <pivotArea type="data" outline="0" fieldPosition="0">
        <references count="3">
          <reference field="4294967294" count="1" selected="0">
            <x v="2"/>
          </reference>
          <reference field="0" count="1" selected="0">
            <x v="8"/>
          </reference>
          <reference field="1" count="1" selected="0">
            <x v="42"/>
          </reference>
        </references>
      </pivotArea>
    </chartFormat>
    <chartFormat chart="0" format="829">
      <pivotArea type="data" outline="0" fieldPosition="0">
        <references count="3">
          <reference field="4294967294" count="1" selected="0">
            <x v="2"/>
          </reference>
          <reference field="0" count="1" selected="0">
            <x v="8"/>
          </reference>
          <reference field="1" count="1" selected="0">
            <x v="43"/>
          </reference>
        </references>
      </pivotArea>
    </chartFormat>
    <chartFormat chart="0" format="830">
      <pivotArea type="data" outline="0" fieldPosition="0">
        <references count="3">
          <reference field="4294967294" count="1" selected="0">
            <x v="2"/>
          </reference>
          <reference field="0" count="1" selected="0">
            <x v="8"/>
          </reference>
          <reference field="1" count="1" selected="0">
            <x v="44"/>
          </reference>
        </references>
      </pivotArea>
    </chartFormat>
    <chartFormat chart="0" format="831">
      <pivotArea type="data" outline="0" fieldPosition="0">
        <references count="3">
          <reference field="4294967294" count="1" selected="0">
            <x v="2"/>
          </reference>
          <reference field="0" count="1" selected="0">
            <x v="8"/>
          </reference>
          <reference field="1" count="1" selected="0">
            <x v="45"/>
          </reference>
        </references>
      </pivotArea>
    </chartFormat>
    <chartFormat chart="0" format="832">
      <pivotArea type="data" outline="0" fieldPosition="0">
        <references count="3">
          <reference field="4294967294" count="1" selected="0">
            <x v="2"/>
          </reference>
          <reference field="0" count="1" selected="0">
            <x v="8"/>
          </reference>
          <reference field="1" count="1" selected="0">
            <x v="46"/>
          </reference>
        </references>
      </pivotArea>
    </chartFormat>
    <chartFormat chart="0" format="833">
      <pivotArea type="data" outline="0" fieldPosition="0">
        <references count="3">
          <reference field="4294967294" count="1" selected="0">
            <x v="2"/>
          </reference>
          <reference field="0" count="1" selected="0">
            <x v="8"/>
          </reference>
          <reference field="1" count="1" selected="0">
            <x v="47"/>
          </reference>
        </references>
      </pivotArea>
    </chartFormat>
    <chartFormat chart="0" format="834">
      <pivotArea type="data" outline="0" fieldPosition="0">
        <references count="3">
          <reference field="4294967294" count="1" selected="0">
            <x v="2"/>
          </reference>
          <reference field="0" count="1" selected="0">
            <x v="8"/>
          </reference>
          <reference field="1" count="1" selected="0">
            <x v="48"/>
          </reference>
        </references>
      </pivotArea>
    </chartFormat>
    <chartFormat chart="0" format="835">
      <pivotArea type="data" outline="0" fieldPosition="0">
        <references count="3">
          <reference field="4294967294" count="1" selected="0">
            <x v="2"/>
          </reference>
          <reference field="0" count="1" selected="0">
            <x v="8"/>
          </reference>
          <reference field="1" count="1" selected="0">
            <x v="49"/>
          </reference>
        </references>
      </pivotArea>
    </chartFormat>
    <chartFormat chart="0" format="836">
      <pivotArea type="data" outline="0" fieldPosition="0">
        <references count="3">
          <reference field="4294967294" count="1" selected="0">
            <x v="2"/>
          </reference>
          <reference field="0" count="1" selected="0">
            <x v="8"/>
          </reference>
          <reference field="1" count="1" selected="0">
            <x v="50"/>
          </reference>
        </references>
      </pivotArea>
    </chartFormat>
    <chartFormat chart="0" format="837">
      <pivotArea type="data" outline="0" fieldPosition="0">
        <references count="3">
          <reference field="4294967294" count="1" selected="0">
            <x v="2"/>
          </reference>
          <reference field="0" count="1" selected="0">
            <x v="8"/>
          </reference>
          <reference field="1" count="1" selected="0">
            <x v="51"/>
          </reference>
        </references>
      </pivotArea>
    </chartFormat>
    <chartFormat chart="0" format="838">
      <pivotArea type="data" outline="0" fieldPosition="0">
        <references count="3">
          <reference field="4294967294" count="1" selected="0">
            <x v="2"/>
          </reference>
          <reference field="0" count="1" selected="0">
            <x v="8"/>
          </reference>
          <reference field="1" count="1" selected="0">
            <x v="52"/>
          </reference>
        </references>
      </pivotArea>
    </chartFormat>
    <chartFormat chart="0" format="839">
      <pivotArea type="data" outline="0" fieldPosition="0">
        <references count="3">
          <reference field="4294967294" count="1" selected="0">
            <x v="2"/>
          </reference>
          <reference field="0" count="1" selected="0">
            <x v="8"/>
          </reference>
          <reference field="1" count="1" selected="0">
            <x v="53"/>
          </reference>
        </references>
      </pivotArea>
    </chartFormat>
    <chartFormat chart="0" format="840">
      <pivotArea type="data" outline="0" fieldPosition="0">
        <references count="3">
          <reference field="4294967294" count="1" selected="0">
            <x v="2"/>
          </reference>
          <reference field="0" count="1" selected="0">
            <x v="8"/>
          </reference>
          <reference field="1" count="1" selected="0">
            <x v="54"/>
          </reference>
        </references>
      </pivotArea>
    </chartFormat>
    <chartFormat chart="0" format="841">
      <pivotArea type="data" outline="0" fieldPosition="0">
        <references count="3">
          <reference field="4294967294" count="1" selected="0">
            <x v="2"/>
          </reference>
          <reference field="0" count="1" selected="0">
            <x v="8"/>
          </reference>
          <reference field="1" count="1" selected="0">
            <x v="55"/>
          </reference>
        </references>
      </pivotArea>
    </chartFormat>
    <chartFormat chart="0" format="842">
      <pivotArea type="data" outline="0" fieldPosition="0">
        <references count="3">
          <reference field="4294967294" count="1" selected="0">
            <x v="2"/>
          </reference>
          <reference field="0" count="1" selected="0">
            <x v="8"/>
          </reference>
          <reference field="1" count="1" selected="0">
            <x v="56"/>
          </reference>
        </references>
      </pivotArea>
    </chartFormat>
    <chartFormat chart="0" format="843">
      <pivotArea type="data" outline="0" fieldPosition="0">
        <references count="3">
          <reference field="4294967294" count="1" selected="0">
            <x v="2"/>
          </reference>
          <reference field="0" count="1" selected="0">
            <x v="8"/>
          </reference>
          <reference field="1" count="1" selected="0">
            <x v="57"/>
          </reference>
        </references>
      </pivotArea>
    </chartFormat>
    <chartFormat chart="0" format="844">
      <pivotArea type="data" outline="0" fieldPosition="0">
        <references count="3">
          <reference field="4294967294" count="1" selected="0">
            <x v="2"/>
          </reference>
          <reference field="0" count="1" selected="0">
            <x v="8"/>
          </reference>
          <reference field="1" count="1" selected="0">
            <x v="58"/>
          </reference>
        </references>
      </pivotArea>
    </chartFormat>
    <chartFormat chart="0" format="845">
      <pivotArea type="data" outline="0" fieldPosition="0">
        <references count="3">
          <reference field="4294967294" count="1" selected="0">
            <x v="2"/>
          </reference>
          <reference field="0" count="1" selected="0">
            <x v="8"/>
          </reference>
          <reference field="1" count="1" selected="0">
            <x v="59"/>
          </reference>
        </references>
      </pivotArea>
    </chartFormat>
    <chartFormat chart="0" format="846">
      <pivotArea type="data" outline="0" fieldPosition="0">
        <references count="3">
          <reference field="4294967294" count="1" selected="0">
            <x v="2"/>
          </reference>
          <reference field="0" count="1" selected="0">
            <x v="8"/>
          </reference>
          <reference field="1" count="1" selected="0">
            <x v="60"/>
          </reference>
        </references>
      </pivotArea>
    </chartFormat>
    <chartFormat chart="0" format="847">
      <pivotArea type="data" outline="0" fieldPosition="0">
        <references count="3">
          <reference field="4294967294" count="1" selected="0">
            <x v="2"/>
          </reference>
          <reference field="0" count="1" selected="0">
            <x v="8"/>
          </reference>
          <reference field="1" count="1" selected="0">
            <x v="61"/>
          </reference>
        </references>
      </pivotArea>
    </chartFormat>
    <chartFormat chart="0" format="848">
      <pivotArea type="data" outline="0" fieldPosition="0">
        <references count="3">
          <reference field="4294967294" count="1" selected="0">
            <x v="2"/>
          </reference>
          <reference field="0" count="1" selected="0">
            <x v="8"/>
          </reference>
          <reference field="1" count="1" selected="0">
            <x v="62"/>
          </reference>
        </references>
      </pivotArea>
    </chartFormat>
    <chartFormat chart="0" format="849">
      <pivotArea type="data" outline="0" fieldPosition="0">
        <references count="3">
          <reference field="4294967294" count="1" selected="0">
            <x v="2"/>
          </reference>
          <reference field="0" count="1" selected="0">
            <x v="8"/>
          </reference>
          <reference field="1" count="1" selected="0">
            <x v="63"/>
          </reference>
        </references>
      </pivotArea>
    </chartFormat>
    <chartFormat chart="0" format="850">
      <pivotArea type="data" outline="0" fieldPosition="0">
        <references count="3">
          <reference field="4294967294" count="1" selected="0">
            <x v="2"/>
          </reference>
          <reference field="0" count="1" selected="0">
            <x v="8"/>
          </reference>
          <reference field="1" count="1" selected="0">
            <x v="64"/>
          </reference>
        </references>
      </pivotArea>
    </chartFormat>
    <chartFormat chart="0" format="851">
      <pivotArea type="data" outline="0" fieldPosition="0">
        <references count="3">
          <reference field="4294967294" count="1" selected="0">
            <x v="2"/>
          </reference>
          <reference field="0" count="1" selected="0">
            <x v="8"/>
          </reference>
          <reference field="1" count="1" selected="0">
            <x v="65"/>
          </reference>
        </references>
      </pivotArea>
    </chartFormat>
    <chartFormat chart="0" format="852">
      <pivotArea type="data" outline="0" fieldPosition="0">
        <references count="3">
          <reference field="4294967294" count="1" selected="0">
            <x v="2"/>
          </reference>
          <reference field="0" count="1" selected="0">
            <x v="8"/>
          </reference>
          <reference field="1" count="1" selected="0">
            <x v="66"/>
          </reference>
        </references>
      </pivotArea>
    </chartFormat>
    <chartFormat chart="0" format="853">
      <pivotArea type="data" outline="0" fieldPosition="0">
        <references count="3">
          <reference field="4294967294" count="1" selected="0">
            <x v="2"/>
          </reference>
          <reference field="0" count="1" selected="0">
            <x v="8"/>
          </reference>
          <reference field="1" count="1" selected="0">
            <x v="67"/>
          </reference>
        </references>
      </pivotArea>
    </chartFormat>
    <chartFormat chart="0" format="854">
      <pivotArea type="data" outline="0" fieldPosition="0">
        <references count="3">
          <reference field="4294967294" count="1" selected="0">
            <x v="2"/>
          </reference>
          <reference field="0" count="1" selected="0">
            <x v="8"/>
          </reference>
          <reference field="1" count="1" selected="0">
            <x v="68"/>
          </reference>
        </references>
      </pivotArea>
    </chartFormat>
    <chartFormat chart="0" format="855">
      <pivotArea type="data" outline="0" fieldPosition="0">
        <references count="3">
          <reference field="4294967294" count="1" selected="0">
            <x v="2"/>
          </reference>
          <reference field="0" count="1" selected="0">
            <x v="8"/>
          </reference>
          <reference field="1" count="1" selected="0">
            <x v="69"/>
          </reference>
        </references>
      </pivotArea>
    </chartFormat>
    <chartFormat chart="0" format="856">
      <pivotArea type="data" outline="0" fieldPosition="0">
        <references count="3">
          <reference field="4294967294" count="1" selected="0">
            <x v="2"/>
          </reference>
          <reference field="0" count="1" selected="0">
            <x v="8"/>
          </reference>
          <reference field="1" count="1" selected="0">
            <x v="70"/>
          </reference>
        </references>
      </pivotArea>
    </chartFormat>
    <chartFormat chart="0" format="857">
      <pivotArea type="data" outline="0" fieldPosition="0">
        <references count="3">
          <reference field="4294967294" count="1" selected="0">
            <x v="2"/>
          </reference>
          <reference field="0" count="1" selected="0">
            <x v="8"/>
          </reference>
          <reference field="1" count="1" selected="0">
            <x v="71"/>
          </reference>
        </references>
      </pivotArea>
    </chartFormat>
    <chartFormat chart="0" format="858">
      <pivotArea type="data" outline="0" fieldPosition="0">
        <references count="3">
          <reference field="4294967294" count="1" selected="0">
            <x v="2"/>
          </reference>
          <reference field="0" count="1" selected="0">
            <x v="8"/>
          </reference>
          <reference field="1" count="1" selected="0">
            <x v="72"/>
          </reference>
        </references>
      </pivotArea>
    </chartFormat>
    <chartFormat chart="0" format="859">
      <pivotArea type="data" outline="0" fieldPosition="0">
        <references count="3">
          <reference field="4294967294" count="1" selected="0">
            <x v="2"/>
          </reference>
          <reference field="0" count="1" selected="0">
            <x v="8"/>
          </reference>
          <reference field="1" count="1" selected="0">
            <x v="73"/>
          </reference>
        </references>
      </pivotArea>
    </chartFormat>
    <chartFormat chart="0" format="860">
      <pivotArea type="data" outline="0" fieldPosition="0">
        <references count="3">
          <reference field="4294967294" count="1" selected="0">
            <x v="2"/>
          </reference>
          <reference field="0" count="1" selected="0">
            <x v="8"/>
          </reference>
          <reference field="1" count="1" selected="0">
            <x v="74"/>
          </reference>
        </references>
      </pivotArea>
    </chartFormat>
    <chartFormat chart="0" format="861">
      <pivotArea type="data" outline="0" fieldPosition="0">
        <references count="3">
          <reference field="4294967294" count="1" selected="0">
            <x v="2"/>
          </reference>
          <reference field="0" count="1" selected="0">
            <x v="8"/>
          </reference>
          <reference field="1" count="1" selected="0">
            <x v="75"/>
          </reference>
        </references>
      </pivotArea>
    </chartFormat>
    <chartFormat chart="0" format="862">
      <pivotArea type="data" outline="0" fieldPosition="0">
        <references count="3">
          <reference field="4294967294" count="1" selected="0">
            <x v="2"/>
          </reference>
          <reference field="0" count="1" selected="0">
            <x v="8"/>
          </reference>
          <reference field="1" count="1" selected="0">
            <x v="76"/>
          </reference>
        </references>
      </pivotArea>
    </chartFormat>
    <chartFormat chart="0" format="863">
      <pivotArea type="data" outline="0" fieldPosition="0">
        <references count="3">
          <reference field="4294967294" count="1" selected="0">
            <x v="2"/>
          </reference>
          <reference field="0" count="1" selected="0">
            <x v="8"/>
          </reference>
          <reference field="1" count="1" selected="0">
            <x v="77"/>
          </reference>
        </references>
      </pivotArea>
    </chartFormat>
    <chartFormat chart="0" format="864">
      <pivotArea type="data" outline="0" fieldPosition="0">
        <references count="3">
          <reference field="4294967294" count="1" selected="0">
            <x v="2"/>
          </reference>
          <reference field="0" count="1" selected="0">
            <x v="8"/>
          </reference>
          <reference field="1" count="1" selected="0">
            <x v="78"/>
          </reference>
        </references>
      </pivotArea>
    </chartFormat>
    <chartFormat chart="0" format="865">
      <pivotArea type="data" outline="0" fieldPosition="0">
        <references count="3">
          <reference field="4294967294" count="1" selected="0">
            <x v="2"/>
          </reference>
          <reference field="0" count="1" selected="0">
            <x v="9"/>
          </reference>
          <reference field="1" count="1" selected="0">
            <x v="31"/>
          </reference>
        </references>
      </pivotArea>
    </chartFormat>
    <chartFormat chart="0" format="866">
      <pivotArea type="data" outline="0" fieldPosition="0">
        <references count="3">
          <reference field="4294967294" count="1" selected="0">
            <x v="2"/>
          </reference>
          <reference field="0" count="1" selected="0">
            <x v="9"/>
          </reference>
          <reference field="1" count="1" selected="0">
            <x v="32"/>
          </reference>
        </references>
      </pivotArea>
    </chartFormat>
    <chartFormat chart="0" format="867">
      <pivotArea type="data" outline="0" fieldPosition="0">
        <references count="3">
          <reference field="4294967294" count="1" selected="0">
            <x v="2"/>
          </reference>
          <reference field="0" count="1" selected="0">
            <x v="9"/>
          </reference>
          <reference field="1" count="1" selected="0">
            <x v="33"/>
          </reference>
        </references>
      </pivotArea>
    </chartFormat>
    <chartFormat chart="0" format="868">
      <pivotArea type="data" outline="0" fieldPosition="0">
        <references count="3">
          <reference field="4294967294" count="1" selected="0">
            <x v="2"/>
          </reference>
          <reference field="0" count="1" selected="0">
            <x v="9"/>
          </reference>
          <reference field="1" count="1" selected="0">
            <x v="34"/>
          </reference>
        </references>
      </pivotArea>
    </chartFormat>
    <chartFormat chart="0" format="869">
      <pivotArea type="data" outline="0" fieldPosition="0">
        <references count="3">
          <reference field="4294967294" count="1" selected="0">
            <x v="2"/>
          </reference>
          <reference field="0" count="1" selected="0">
            <x v="9"/>
          </reference>
          <reference field="1" count="1" selected="0">
            <x v="35"/>
          </reference>
        </references>
      </pivotArea>
    </chartFormat>
    <chartFormat chart="0" format="870">
      <pivotArea type="data" outline="0" fieldPosition="0">
        <references count="3">
          <reference field="4294967294" count="1" selected="0">
            <x v="2"/>
          </reference>
          <reference field="0" count="1" selected="0">
            <x v="9"/>
          </reference>
          <reference field="1" count="1" selected="0">
            <x v="36"/>
          </reference>
        </references>
      </pivotArea>
    </chartFormat>
    <chartFormat chart="0" format="871">
      <pivotArea type="data" outline="0" fieldPosition="0">
        <references count="3">
          <reference field="4294967294" count="1" selected="0">
            <x v="2"/>
          </reference>
          <reference field="0" count="1" selected="0">
            <x v="9"/>
          </reference>
          <reference field="1" count="1" selected="0">
            <x v="37"/>
          </reference>
        </references>
      </pivotArea>
    </chartFormat>
    <chartFormat chart="0" format="872">
      <pivotArea type="data" outline="0" fieldPosition="0">
        <references count="3">
          <reference field="4294967294" count="1" selected="0">
            <x v="2"/>
          </reference>
          <reference field="0" count="1" selected="0">
            <x v="9"/>
          </reference>
          <reference field="1" count="1" selected="0">
            <x v="38"/>
          </reference>
        </references>
      </pivotArea>
    </chartFormat>
    <chartFormat chart="0" format="873">
      <pivotArea type="data" outline="0" fieldPosition="0">
        <references count="3">
          <reference field="4294967294" count="1" selected="0">
            <x v="2"/>
          </reference>
          <reference field="0" count="1" selected="0">
            <x v="9"/>
          </reference>
          <reference field="1" count="1" selected="0">
            <x v="39"/>
          </reference>
        </references>
      </pivotArea>
    </chartFormat>
    <chartFormat chart="0" format="874">
      <pivotArea type="data" outline="0" fieldPosition="0">
        <references count="3">
          <reference field="4294967294" count="1" selected="0">
            <x v="2"/>
          </reference>
          <reference field="0" count="1" selected="0">
            <x v="9"/>
          </reference>
          <reference field="1" count="1" selected="0">
            <x v="40"/>
          </reference>
        </references>
      </pivotArea>
    </chartFormat>
    <chartFormat chart="0" format="875">
      <pivotArea type="data" outline="0" fieldPosition="0">
        <references count="3">
          <reference field="4294967294" count="1" selected="0">
            <x v="2"/>
          </reference>
          <reference field="0" count="1" selected="0">
            <x v="9"/>
          </reference>
          <reference field="1" count="1" selected="0">
            <x v="41"/>
          </reference>
        </references>
      </pivotArea>
    </chartFormat>
    <chartFormat chart="0" format="876">
      <pivotArea type="data" outline="0" fieldPosition="0">
        <references count="3">
          <reference field="4294967294" count="1" selected="0">
            <x v="2"/>
          </reference>
          <reference field="0" count="1" selected="0">
            <x v="9"/>
          </reference>
          <reference field="1" count="1" selected="0">
            <x v="42"/>
          </reference>
        </references>
      </pivotArea>
    </chartFormat>
    <chartFormat chart="0" format="877">
      <pivotArea type="data" outline="0" fieldPosition="0">
        <references count="3">
          <reference field="4294967294" count="1" selected="0">
            <x v="2"/>
          </reference>
          <reference field="0" count="1" selected="0">
            <x v="9"/>
          </reference>
          <reference field="1" count="1" selected="0">
            <x v="43"/>
          </reference>
        </references>
      </pivotArea>
    </chartFormat>
    <chartFormat chart="0" format="878">
      <pivotArea type="data" outline="0" fieldPosition="0">
        <references count="3">
          <reference field="4294967294" count="1" selected="0">
            <x v="2"/>
          </reference>
          <reference field="0" count="1" selected="0">
            <x v="9"/>
          </reference>
          <reference field="1" count="1" selected="0">
            <x v="44"/>
          </reference>
        </references>
      </pivotArea>
    </chartFormat>
    <chartFormat chart="0" format="879">
      <pivotArea type="data" outline="0" fieldPosition="0">
        <references count="3">
          <reference field="4294967294" count="1" selected="0">
            <x v="2"/>
          </reference>
          <reference field="0" count="1" selected="0">
            <x v="9"/>
          </reference>
          <reference field="1" count="1" selected="0">
            <x v="45"/>
          </reference>
        </references>
      </pivotArea>
    </chartFormat>
    <chartFormat chart="0" format="880">
      <pivotArea type="data" outline="0" fieldPosition="0">
        <references count="3">
          <reference field="4294967294" count="1" selected="0">
            <x v="2"/>
          </reference>
          <reference field="0" count="1" selected="0">
            <x v="9"/>
          </reference>
          <reference field="1" count="1" selected="0">
            <x v="46"/>
          </reference>
        </references>
      </pivotArea>
    </chartFormat>
    <chartFormat chart="0" format="881">
      <pivotArea type="data" outline="0" fieldPosition="0">
        <references count="3">
          <reference field="4294967294" count="1" selected="0">
            <x v="2"/>
          </reference>
          <reference field="0" count="1" selected="0">
            <x v="9"/>
          </reference>
          <reference field="1" count="1" selected="0">
            <x v="47"/>
          </reference>
        </references>
      </pivotArea>
    </chartFormat>
    <chartFormat chart="0" format="882">
      <pivotArea type="data" outline="0" fieldPosition="0">
        <references count="3">
          <reference field="4294967294" count="1" selected="0">
            <x v="2"/>
          </reference>
          <reference field="0" count="1" selected="0">
            <x v="9"/>
          </reference>
          <reference field="1" count="1" selected="0">
            <x v="48"/>
          </reference>
        </references>
      </pivotArea>
    </chartFormat>
    <chartFormat chart="0" format="883">
      <pivotArea type="data" outline="0" fieldPosition="0">
        <references count="3">
          <reference field="4294967294" count="1" selected="0">
            <x v="2"/>
          </reference>
          <reference field="0" count="1" selected="0">
            <x v="9"/>
          </reference>
          <reference field="1" count="1" selected="0">
            <x v="49"/>
          </reference>
        </references>
      </pivotArea>
    </chartFormat>
    <chartFormat chart="0" format="884">
      <pivotArea type="data" outline="0" fieldPosition="0">
        <references count="3">
          <reference field="4294967294" count="1" selected="0">
            <x v="2"/>
          </reference>
          <reference field="0" count="1" selected="0">
            <x v="9"/>
          </reference>
          <reference field="1" count="1" selected="0">
            <x v="50"/>
          </reference>
        </references>
      </pivotArea>
    </chartFormat>
    <chartFormat chart="0" format="885">
      <pivotArea type="data" outline="0" fieldPosition="0">
        <references count="3">
          <reference field="4294967294" count="1" selected="0">
            <x v="2"/>
          </reference>
          <reference field="0" count="1" selected="0">
            <x v="9"/>
          </reference>
          <reference field="1" count="1" selected="0">
            <x v="51"/>
          </reference>
        </references>
      </pivotArea>
    </chartFormat>
    <chartFormat chart="0" format="886">
      <pivotArea type="data" outline="0" fieldPosition="0">
        <references count="3">
          <reference field="4294967294" count="1" selected="0">
            <x v="2"/>
          </reference>
          <reference field="0" count="1" selected="0">
            <x v="9"/>
          </reference>
          <reference field="1" count="1" selected="0">
            <x v="52"/>
          </reference>
        </references>
      </pivotArea>
    </chartFormat>
    <chartFormat chart="0" format="887">
      <pivotArea type="data" outline="0" fieldPosition="0">
        <references count="3">
          <reference field="4294967294" count="1" selected="0">
            <x v="2"/>
          </reference>
          <reference field="0" count="1" selected="0">
            <x v="9"/>
          </reference>
          <reference field="1" count="1" selected="0">
            <x v="53"/>
          </reference>
        </references>
      </pivotArea>
    </chartFormat>
    <chartFormat chart="0" format="888">
      <pivotArea type="data" outline="0" fieldPosition="0">
        <references count="3">
          <reference field="4294967294" count="1" selected="0">
            <x v="2"/>
          </reference>
          <reference field="0" count="1" selected="0">
            <x v="9"/>
          </reference>
          <reference field="1" count="1" selected="0">
            <x v="54"/>
          </reference>
        </references>
      </pivotArea>
    </chartFormat>
    <chartFormat chart="0" format="889">
      <pivotArea type="data" outline="0" fieldPosition="0">
        <references count="3">
          <reference field="4294967294" count="1" selected="0">
            <x v="2"/>
          </reference>
          <reference field="0" count="1" selected="0">
            <x v="9"/>
          </reference>
          <reference field="1" count="1" selected="0">
            <x v="55"/>
          </reference>
        </references>
      </pivotArea>
    </chartFormat>
    <chartFormat chart="0" format="890">
      <pivotArea type="data" outline="0" fieldPosition="0">
        <references count="3">
          <reference field="4294967294" count="1" selected="0">
            <x v="2"/>
          </reference>
          <reference field="0" count="1" selected="0">
            <x v="9"/>
          </reference>
          <reference field="1" count="1" selected="0">
            <x v="56"/>
          </reference>
        </references>
      </pivotArea>
    </chartFormat>
    <chartFormat chart="0" format="891">
      <pivotArea type="data" outline="0" fieldPosition="0">
        <references count="3">
          <reference field="4294967294" count="1" selected="0">
            <x v="2"/>
          </reference>
          <reference field="0" count="1" selected="0">
            <x v="9"/>
          </reference>
          <reference field="1" count="1" selected="0">
            <x v="57"/>
          </reference>
        </references>
      </pivotArea>
    </chartFormat>
    <chartFormat chart="0" format="892">
      <pivotArea type="data" outline="0" fieldPosition="0">
        <references count="3">
          <reference field="4294967294" count="1" selected="0">
            <x v="2"/>
          </reference>
          <reference field="0" count="1" selected="0">
            <x v="9"/>
          </reference>
          <reference field="1" count="1" selected="0">
            <x v="58"/>
          </reference>
        </references>
      </pivotArea>
    </chartFormat>
    <chartFormat chart="0" format="893">
      <pivotArea type="data" outline="0" fieldPosition="0">
        <references count="3">
          <reference field="4294967294" count="1" selected="0">
            <x v="2"/>
          </reference>
          <reference field="0" count="1" selected="0">
            <x v="9"/>
          </reference>
          <reference field="1" count="1" selected="0">
            <x v="59"/>
          </reference>
        </references>
      </pivotArea>
    </chartFormat>
    <chartFormat chart="0" format="894">
      <pivotArea type="data" outline="0" fieldPosition="0">
        <references count="3">
          <reference field="4294967294" count="1" selected="0">
            <x v="2"/>
          </reference>
          <reference field="0" count="1" selected="0">
            <x v="9"/>
          </reference>
          <reference field="1" count="1" selected="0">
            <x v="60"/>
          </reference>
        </references>
      </pivotArea>
    </chartFormat>
    <chartFormat chart="0" format="895">
      <pivotArea type="data" outline="0" fieldPosition="0">
        <references count="3">
          <reference field="4294967294" count="1" selected="0">
            <x v="2"/>
          </reference>
          <reference field="0" count="1" selected="0">
            <x v="9"/>
          </reference>
          <reference field="1" count="1" selected="0">
            <x v="61"/>
          </reference>
        </references>
      </pivotArea>
    </chartFormat>
    <chartFormat chart="0" format="896">
      <pivotArea type="data" outline="0" fieldPosition="0">
        <references count="3">
          <reference field="4294967294" count="1" selected="0">
            <x v="2"/>
          </reference>
          <reference field="0" count="1" selected="0">
            <x v="9"/>
          </reference>
          <reference field="1" count="1" selected="0">
            <x v="62"/>
          </reference>
        </references>
      </pivotArea>
    </chartFormat>
    <chartFormat chart="0" format="897">
      <pivotArea type="data" outline="0" fieldPosition="0">
        <references count="3">
          <reference field="4294967294" count="1" selected="0">
            <x v="2"/>
          </reference>
          <reference field="0" count="1" selected="0">
            <x v="9"/>
          </reference>
          <reference field="1" count="1" selected="0">
            <x v="63"/>
          </reference>
        </references>
      </pivotArea>
    </chartFormat>
    <chartFormat chart="0" format="898">
      <pivotArea type="data" outline="0" fieldPosition="0">
        <references count="3">
          <reference field="4294967294" count="1" selected="0">
            <x v="2"/>
          </reference>
          <reference field="0" count="1" selected="0">
            <x v="9"/>
          </reference>
          <reference field="1" count="1" selected="0">
            <x v="64"/>
          </reference>
        </references>
      </pivotArea>
    </chartFormat>
    <chartFormat chart="0" format="899">
      <pivotArea type="data" outline="0" fieldPosition="0">
        <references count="3">
          <reference field="4294967294" count="1" selected="0">
            <x v="2"/>
          </reference>
          <reference field="0" count="1" selected="0">
            <x v="9"/>
          </reference>
          <reference field="1" count="1" selected="0">
            <x v="65"/>
          </reference>
        </references>
      </pivotArea>
    </chartFormat>
    <chartFormat chart="0" format="900">
      <pivotArea type="data" outline="0" fieldPosition="0">
        <references count="3">
          <reference field="4294967294" count="1" selected="0">
            <x v="2"/>
          </reference>
          <reference field="0" count="1" selected="0">
            <x v="9"/>
          </reference>
          <reference field="1" count="1" selected="0">
            <x v="66"/>
          </reference>
        </references>
      </pivotArea>
    </chartFormat>
    <chartFormat chart="0" format="901">
      <pivotArea type="data" outline="0" fieldPosition="0">
        <references count="3">
          <reference field="4294967294" count="1" selected="0">
            <x v="2"/>
          </reference>
          <reference field="0" count="1" selected="0">
            <x v="9"/>
          </reference>
          <reference field="1" count="1" selected="0">
            <x v="67"/>
          </reference>
        </references>
      </pivotArea>
    </chartFormat>
    <chartFormat chart="0" format="902">
      <pivotArea type="data" outline="0" fieldPosition="0">
        <references count="3">
          <reference field="4294967294" count="1" selected="0">
            <x v="2"/>
          </reference>
          <reference field="0" count="1" selected="0">
            <x v="9"/>
          </reference>
          <reference field="1" count="1" selected="0">
            <x v="68"/>
          </reference>
        </references>
      </pivotArea>
    </chartFormat>
    <chartFormat chart="0" format="903">
      <pivotArea type="data" outline="0" fieldPosition="0">
        <references count="3">
          <reference field="4294967294" count="1" selected="0">
            <x v="2"/>
          </reference>
          <reference field="0" count="1" selected="0">
            <x v="9"/>
          </reference>
          <reference field="1" count="1" selected="0">
            <x v="69"/>
          </reference>
        </references>
      </pivotArea>
    </chartFormat>
    <chartFormat chart="0" format="904">
      <pivotArea type="data" outline="0" fieldPosition="0">
        <references count="3">
          <reference field="4294967294" count="1" selected="0">
            <x v="2"/>
          </reference>
          <reference field="0" count="1" selected="0">
            <x v="9"/>
          </reference>
          <reference field="1" count="1" selected="0">
            <x v="70"/>
          </reference>
        </references>
      </pivotArea>
    </chartFormat>
    <chartFormat chart="0" format="905">
      <pivotArea type="data" outline="0" fieldPosition="0">
        <references count="3">
          <reference field="4294967294" count="1" selected="0">
            <x v="2"/>
          </reference>
          <reference field="0" count="1" selected="0">
            <x v="9"/>
          </reference>
          <reference field="1" count="1" selected="0">
            <x v="71"/>
          </reference>
        </references>
      </pivotArea>
    </chartFormat>
    <chartFormat chart="0" format="906">
      <pivotArea type="data" outline="0" fieldPosition="0">
        <references count="3">
          <reference field="4294967294" count="1" selected="0">
            <x v="2"/>
          </reference>
          <reference field="0" count="1" selected="0">
            <x v="9"/>
          </reference>
          <reference field="1" count="1" selected="0">
            <x v="72"/>
          </reference>
        </references>
      </pivotArea>
    </chartFormat>
    <chartFormat chart="0" format="907">
      <pivotArea type="data" outline="0" fieldPosition="0">
        <references count="3">
          <reference field="4294967294" count="1" selected="0">
            <x v="2"/>
          </reference>
          <reference field="0" count="1" selected="0">
            <x v="9"/>
          </reference>
          <reference field="1" count="1" selected="0">
            <x v="73"/>
          </reference>
        </references>
      </pivotArea>
    </chartFormat>
    <chartFormat chart="0" format="908">
      <pivotArea type="data" outline="0" fieldPosition="0">
        <references count="3">
          <reference field="4294967294" count="1" selected="0">
            <x v="2"/>
          </reference>
          <reference field="0" count="1" selected="0">
            <x v="9"/>
          </reference>
          <reference field="1" count="1" selected="0">
            <x v="74"/>
          </reference>
        </references>
      </pivotArea>
    </chartFormat>
    <chartFormat chart="0" format="909">
      <pivotArea type="data" outline="0" fieldPosition="0">
        <references count="3">
          <reference field="4294967294" count="1" selected="0">
            <x v="2"/>
          </reference>
          <reference field="0" count="1" selected="0">
            <x v="9"/>
          </reference>
          <reference field="1" count="1" selected="0">
            <x v="75"/>
          </reference>
        </references>
      </pivotArea>
    </chartFormat>
    <chartFormat chart="0" format="910">
      <pivotArea type="data" outline="0" fieldPosition="0">
        <references count="3">
          <reference field="4294967294" count="1" selected="0">
            <x v="2"/>
          </reference>
          <reference field="0" count="1" selected="0">
            <x v="9"/>
          </reference>
          <reference field="1" count="1" selected="0">
            <x v="76"/>
          </reference>
        </references>
      </pivotArea>
    </chartFormat>
    <chartFormat chart="0" format="911">
      <pivotArea type="data" outline="0" fieldPosition="0">
        <references count="3">
          <reference field="4294967294" count="1" selected="0">
            <x v="2"/>
          </reference>
          <reference field="0" count="1" selected="0">
            <x v="9"/>
          </reference>
          <reference field="1" count="1" selected="0">
            <x v="77"/>
          </reference>
        </references>
      </pivotArea>
    </chartFormat>
    <chartFormat chart="0" format="912">
      <pivotArea type="data" outline="0" fieldPosition="0">
        <references count="3">
          <reference field="4294967294" count="1" selected="0">
            <x v="2"/>
          </reference>
          <reference field="0" count="1" selected="0">
            <x v="9"/>
          </reference>
          <reference field="1" count="1" selected="0">
            <x v="78"/>
          </reference>
        </references>
      </pivotArea>
    </chartFormat>
    <chartFormat chart="0" format="913">
      <pivotArea type="data" outline="0" fieldPosition="0">
        <references count="3">
          <reference field="4294967294" count="1" selected="0">
            <x v="2"/>
          </reference>
          <reference field="0" count="1" selected="0">
            <x v="10"/>
          </reference>
          <reference field="1" count="1" selected="0">
            <x v="31"/>
          </reference>
        </references>
      </pivotArea>
    </chartFormat>
    <chartFormat chart="0" format="914">
      <pivotArea type="data" outline="0" fieldPosition="0">
        <references count="3">
          <reference field="4294967294" count="1" selected="0">
            <x v="2"/>
          </reference>
          <reference field="0" count="1" selected="0">
            <x v="10"/>
          </reference>
          <reference field="1" count="1" selected="0">
            <x v="32"/>
          </reference>
        </references>
      </pivotArea>
    </chartFormat>
    <chartFormat chart="0" format="915">
      <pivotArea type="data" outline="0" fieldPosition="0">
        <references count="3">
          <reference field="4294967294" count="1" selected="0">
            <x v="2"/>
          </reference>
          <reference field="0" count="1" selected="0">
            <x v="10"/>
          </reference>
          <reference field="1" count="1" selected="0">
            <x v="33"/>
          </reference>
        </references>
      </pivotArea>
    </chartFormat>
    <chartFormat chart="0" format="916">
      <pivotArea type="data" outline="0" fieldPosition="0">
        <references count="3">
          <reference field="4294967294" count="1" selected="0">
            <x v="2"/>
          </reference>
          <reference field="0" count="1" selected="0">
            <x v="10"/>
          </reference>
          <reference field="1" count="1" selected="0">
            <x v="34"/>
          </reference>
        </references>
      </pivotArea>
    </chartFormat>
    <chartFormat chart="0" format="917">
      <pivotArea type="data" outline="0" fieldPosition="0">
        <references count="3">
          <reference field="4294967294" count="1" selected="0">
            <x v="2"/>
          </reference>
          <reference field="0" count="1" selected="0">
            <x v="10"/>
          </reference>
          <reference field="1" count="1" selected="0">
            <x v="35"/>
          </reference>
        </references>
      </pivotArea>
    </chartFormat>
    <chartFormat chart="0" format="918">
      <pivotArea type="data" outline="0" fieldPosition="0">
        <references count="3">
          <reference field="4294967294" count="1" selected="0">
            <x v="2"/>
          </reference>
          <reference field="0" count="1" selected="0">
            <x v="10"/>
          </reference>
          <reference field="1" count="1" selected="0">
            <x v="36"/>
          </reference>
        </references>
      </pivotArea>
    </chartFormat>
    <chartFormat chart="0" format="919">
      <pivotArea type="data" outline="0" fieldPosition="0">
        <references count="3">
          <reference field="4294967294" count="1" selected="0">
            <x v="2"/>
          </reference>
          <reference field="0" count="1" selected="0">
            <x v="10"/>
          </reference>
          <reference field="1" count="1" selected="0">
            <x v="37"/>
          </reference>
        </references>
      </pivotArea>
    </chartFormat>
    <chartFormat chart="0" format="920">
      <pivotArea type="data" outline="0" fieldPosition="0">
        <references count="3">
          <reference field="4294967294" count="1" selected="0">
            <x v="2"/>
          </reference>
          <reference field="0" count="1" selected="0">
            <x v="10"/>
          </reference>
          <reference field="1" count="1" selected="0">
            <x v="38"/>
          </reference>
        </references>
      </pivotArea>
    </chartFormat>
    <chartFormat chart="0" format="921">
      <pivotArea type="data" outline="0" fieldPosition="0">
        <references count="3">
          <reference field="4294967294" count="1" selected="0">
            <x v="2"/>
          </reference>
          <reference field="0" count="1" selected="0">
            <x v="10"/>
          </reference>
          <reference field="1" count="1" selected="0">
            <x v="39"/>
          </reference>
        </references>
      </pivotArea>
    </chartFormat>
    <chartFormat chart="0" format="922">
      <pivotArea type="data" outline="0" fieldPosition="0">
        <references count="3">
          <reference field="4294967294" count="1" selected="0">
            <x v="2"/>
          </reference>
          <reference field="0" count="1" selected="0">
            <x v="10"/>
          </reference>
          <reference field="1" count="1" selected="0">
            <x v="40"/>
          </reference>
        </references>
      </pivotArea>
    </chartFormat>
    <chartFormat chart="0" format="923">
      <pivotArea type="data" outline="0" fieldPosition="0">
        <references count="3">
          <reference field="4294967294" count="1" selected="0">
            <x v="2"/>
          </reference>
          <reference field="0" count="1" selected="0">
            <x v="10"/>
          </reference>
          <reference field="1" count="1" selected="0">
            <x v="41"/>
          </reference>
        </references>
      </pivotArea>
    </chartFormat>
    <chartFormat chart="0" format="924">
      <pivotArea type="data" outline="0" fieldPosition="0">
        <references count="3">
          <reference field="4294967294" count="1" selected="0">
            <x v="2"/>
          </reference>
          <reference field="0" count="1" selected="0">
            <x v="10"/>
          </reference>
          <reference field="1" count="1" selected="0">
            <x v="42"/>
          </reference>
        </references>
      </pivotArea>
    </chartFormat>
    <chartFormat chart="0" format="925">
      <pivotArea type="data" outline="0" fieldPosition="0">
        <references count="3">
          <reference field="4294967294" count="1" selected="0">
            <x v="2"/>
          </reference>
          <reference field="0" count="1" selected="0">
            <x v="10"/>
          </reference>
          <reference field="1" count="1" selected="0">
            <x v="43"/>
          </reference>
        </references>
      </pivotArea>
    </chartFormat>
    <chartFormat chart="0" format="926">
      <pivotArea type="data" outline="0" fieldPosition="0">
        <references count="3">
          <reference field="4294967294" count="1" selected="0">
            <x v="2"/>
          </reference>
          <reference field="0" count="1" selected="0">
            <x v="10"/>
          </reference>
          <reference field="1" count="1" selected="0">
            <x v="44"/>
          </reference>
        </references>
      </pivotArea>
    </chartFormat>
    <chartFormat chart="0" format="927">
      <pivotArea type="data" outline="0" fieldPosition="0">
        <references count="3">
          <reference field="4294967294" count="1" selected="0">
            <x v="2"/>
          </reference>
          <reference field="0" count="1" selected="0">
            <x v="10"/>
          </reference>
          <reference field="1" count="1" selected="0">
            <x v="45"/>
          </reference>
        </references>
      </pivotArea>
    </chartFormat>
    <chartFormat chart="0" format="928">
      <pivotArea type="data" outline="0" fieldPosition="0">
        <references count="3">
          <reference field="4294967294" count="1" selected="0">
            <x v="2"/>
          </reference>
          <reference field="0" count="1" selected="0">
            <x v="10"/>
          </reference>
          <reference field="1" count="1" selected="0">
            <x v="46"/>
          </reference>
        </references>
      </pivotArea>
    </chartFormat>
    <chartFormat chart="0" format="929">
      <pivotArea type="data" outline="0" fieldPosition="0">
        <references count="3">
          <reference field="4294967294" count="1" selected="0">
            <x v="2"/>
          </reference>
          <reference field="0" count="1" selected="0">
            <x v="10"/>
          </reference>
          <reference field="1" count="1" selected="0">
            <x v="47"/>
          </reference>
        </references>
      </pivotArea>
    </chartFormat>
    <chartFormat chart="0" format="930">
      <pivotArea type="data" outline="0" fieldPosition="0">
        <references count="3">
          <reference field="4294967294" count="1" selected="0">
            <x v="2"/>
          </reference>
          <reference field="0" count="1" selected="0">
            <x v="10"/>
          </reference>
          <reference field="1" count="1" selected="0">
            <x v="48"/>
          </reference>
        </references>
      </pivotArea>
    </chartFormat>
    <chartFormat chart="0" format="931">
      <pivotArea type="data" outline="0" fieldPosition="0">
        <references count="3">
          <reference field="4294967294" count="1" selected="0">
            <x v="2"/>
          </reference>
          <reference field="0" count="1" selected="0">
            <x v="10"/>
          </reference>
          <reference field="1" count="1" selected="0">
            <x v="49"/>
          </reference>
        </references>
      </pivotArea>
    </chartFormat>
    <chartFormat chart="0" format="932">
      <pivotArea type="data" outline="0" fieldPosition="0">
        <references count="3">
          <reference field="4294967294" count="1" selected="0">
            <x v="2"/>
          </reference>
          <reference field="0" count="1" selected="0">
            <x v="10"/>
          </reference>
          <reference field="1" count="1" selected="0">
            <x v="50"/>
          </reference>
        </references>
      </pivotArea>
    </chartFormat>
    <chartFormat chart="0" format="933">
      <pivotArea type="data" outline="0" fieldPosition="0">
        <references count="3">
          <reference field="4294967294" count="1" selected="0">
            <x v="2"/>
          </reference>
          <reference field="0" count="1" selected="0">
            <x v="10"/>
          </reference>
          <reference field="1" count="1" selected="0">
            <x v="51"/>
          </reference>
        </references>
      </pivotArea>
    </chartFormat>
    <chartFormat chart="0" format="934">
      <pivotArea type="data" outline="0" fieldPosition="0">
        <references count="3">
          <reference field="4294967294" count="1" selected="0">
            <x v="2"/>
          </reference>
          <reference field="0" count="1" selected="0">
            <x v="10"/>
          </reference>
          <reference field="1" count="1" selected="0">
            <x v="52"/>
          </reference>
        </references>
      </pivotArea>
    </chartFormat>
    <chartFormat chart="0" format="935">
      <pivotArea type="data" outline="0" fieldPosition="0">
        <references count="3">
          <reference field="4294967294" count="1" selected="0">
            <x v="2"/>
          </reference>
          <reference field="0" count="1" selected="0">
            <x v="10"/>
          </reference>
          <reference field="1" count="1" selected="0">
            <x v="53"/>
          </reference>
        </references>
      </pivotArea>
    </chartFormat>
    <chartFormat chart="0" format="936">
      <pivotArea type="data" outline="0" fieldPosition="0">
        <references count="3">
          <reference field="4294967294" count="1" selected="0">
            <x v="2"/>
          </reference>
          <reference field="0" count="1" selected="0">
            <x v="10"/>
          </reference>
          <reference field="1" count="1" selected="0">
            <x v="54"/>
          </reference>
        </references>
      </pivotArea>
    </chartFormat>
    <chartFormat chart="0" format="937">
      <pivotArea type="data" outline="0" fieldPosition="0">
        <references count="3">
          <reference field="4294967294" count="1" selected="0">
            <x v="2"/>
          </reference>
          <reference field="0" count="1" selected="0">
            <x v="10"/>
          </reference>
          <reference field="1" count="1" selected="0">
            <x v="55"/>
          </reference>
        </references>
      </pivotArea>
    </chartFormat>
    <chartFormat chart="0" format="938">
      <pivotArea type="data" outline="0" fieldPosition="0">
        <references count="3">
          <reference field="4294967294" count="1" selected="0">
            <x v="2"/>
          </reference>
          <reference field="0" count="1" selected="0">
            <x v="10"/>
          </reference>
          <reference field="1" count="1" selected="0">
            <x v="56"/>
          </reference>
        </references>
      </pivotArea>
    </chartFormat>
    <chartFormat chart="0" format="939">
      <pivotArea type="data" outline="0" fieldPosition="0">
        <references count="3">
          <reference field="4294967294" count="1" selected="0">
            <x v="2"/>
          </reference>
          <reference field="0" count="1" selected="0">
            <x v="10"/>
          </reference>
          <reference field="1" count="1" selected="0">
            <x v="57"/>
          </reference>
        </references>
      </pivotArea>
    </chartFormat>
    <chartFormat chart="0" format="940">
      <pivotArea type="data" outline="0" fieldPosition="0">
        <references count="3">
          <reference field="4294967294" count="1" selected="0">
            <x v="2"/>
          </reference>
          <reference field="0" count="1" selected="0">
            <x v="10"/>
          </reference>
          <reference field="1" count="1" selected="0">
            <x v="58"/>
          </reference>
        </references>
      </pivotArea>
    </chartFormat>
    <chartFormat chart="0" format="941">
      <pivotArea type="data" outline="0" fieldPosition="0">
        <references count="3">
          <reference field="4294967294" count="1" selected="0">
            <x v="2"/>
          </reference>
          <reference field="0" count="1" selected="0">
            <x v="10"/>
          </reference>
          <reference field="1" count="1" selected="0">
            <x v="59"/>
          </reference>
        </references>
      </pivotArea>
    </chartFormat>
    <chartFormat chart="0" format="942">
      <pivotArea type="data" outline="0" fieldPosition="0">
        <references count="3">
          <reference field="4294967294" count="1" selected="0">
            <x v="2"/>
          </reference>
          <reference field="0" count="1" selected="0">
            <x v="10"/>
          </reference>
          <reference field="1" count="1" selected="0">
            <x v="60"/>
          </reference>
        </references>
      </pivotArea>
    </chartFormat>
    <chartFormat chart="0" format="943">
      <pivotArea type="data" outline="0" fieldPosition="0">
        <references count="3">
          <reference field="4294967294" count="1" selected="0">
            <x v="2"/>
          </reference>
          <reference field="0" count="1" selected="0">
            <x v="10"/>
          </reference>
          <reference field="1" count="1" selected="0">
            <x v="61"/>
          </reference>
        </references>
      </pivotArea>
    </chartFormat>
    <chartFormat chart="0" format="944">
      <pivotArea type="data" outline="0" fieldPosition="0">
        <references count="3">
          <reference field="4294967294" count="1" selected="0">
            <x v="2"/>
          </reference>
          <reference field="0" count="1" selected="0">
            <x v="10"/>
          </reference>
          <reference field="1" count="1" selected="0">
            <x v="62"/>
          </reference>
        </references>
      </pivotArea>
    </chartFormat>
    <chartFormat chart="0" format="945">
      <pivotArea type="data" outline="0" fieldPosition="0">
        <references count="3">
          <reference field="4294967294" count="1" selected="0">
            <x v="2"/>
          </reference>
          <reference field="0" count="1" selected="0">
            <x v="10"/>
          </reference>
          <reference field="1" count="1" selected="0">
            <x v="63"/>
          </reference>
        </references>
      </pivotArea>
    </chartFormat>
    <chartFormat chart="0" format="946">
      <pivotArea type="data" outline="0" fieldPosition="0">
        <references count="3">
          <reference field="4294967294" count="1" selected="0">
            <x v="2"/>
          </reference>
          <reference field="0" count="1" selected="0">
            <x v="10"/>
          </reference>
          <reference field="1" count="1" selected="0">
            <x v="64"/>
          </reference>
        </references>
      </pivotArea>
    </chartFormat>
    <chartFormat chart="0" format="947">
      <pivotArea type="data" outline="0" fieldPosition="0">
        <references count="3">
          <reference field="4294967294" count="1" selected="0">
            <x v="2"/>
          </reference>
          <reference field="0" count="1" selected="0">
            <x v="10"/>
          </reference>
          <reference field="1" count="1" selected="0">
            <x v="65"/>
          </reference>
        </references>
      </pivotArea>
    </chartFormat>
    <chartFormat chart="0" format="948">
      <pivotArea type="data" outline="0" fieldPosition="0">
        <references count="3">
          <reference field="4294967294" count="1" selected="0">
            <x v="2"/>
          </reference>
          <reference field="0" count="1" selected="0">
            <x v="10"/>
          </reference>
          <reference field="1" count="1" selected="0">
            <x v="66"/>
          </reference>
        </references>
      </pivotArea>
    </chartFormat>
    <chartFormat chart="0" format="949">
      <pivotArea type="data" outline="0" fieldPosition="0">
        <references count="3">
          <reference field="4294967294" count="1" selected="0">
            <x v="2"/>
          </reference>
          <reference field="0" count="1" selected="0">
            <x v="10"/>
          </reference>
          <reference field="1" count="1" selected="0">
            <x v="67"/>
          </reference>
        </references>
      </pivotArea>
    </chartFormat>
    <chartFormat chart="0" format="950">
      <pivotArea type="data" outline="0" fieldPosition="0">
        <references count="3">
          <reference field="4294967294" count="1" selected="0">
            <x v="2"/>
          </reference>
          <reference field="0" count="1" selected="0">
            <x v="10"/>
          </reference>
          <reference field="1" count="1" selected="0">
            <x v="68"/>
          </reference>
        </references>
      </pivotArea>
    </chartFormat>
    <chartFormat chart="0" format="951">
      <pivotArea type="data" outline="0" fieldPosition="0">
        <references count="3">
          <reference field="4294967294" count="1" selected="0">
            <x v="2"/>
          </reference>
          <reference field="0" count="1" selected="0">
            <x v="10"/>
          </reference>
          <reference field="1" count="1" selected="0">
            <x v="69"/>
          </reference>
        </references>
      </pivotArea>
    </chartFormat>
    <chartFormat chart="0" format="952">
      <pivotArea type="data" outline="0" fieldPosition="0">
        <references count="3">
          <reference field="4294967294" count="1" selected="0">
            <x v="2"/>
          </reference>
          <reference field="0" count="1" selected="0">
            <x v="10"/>
          </reference>
          <reference field="1" count="1" selected="0">
            <x v="70"/>
          </reference>
        </references>
      </pivotArea>
    </chartFormat>
    <chartFormat chart="0" format="953">
      <pivotArea type="data" outline="0" fieldPosition="0">
        <references count="3">
          <reference field="4294967294" count="1" selected="0">
            <x v="2"/>
          </reference>
          <reference field="0" count="1" selected="0">
            <x v="10"/>
          </reference>
          <reference field="1" count="1" selected="0">
            <x v="71"/>
          </reference>
        </references>
      </pivotArea>
    </chartFormat>
    <chartFormat chart="0" format="954">
      <pivotArea type="data" outline="0" fieldPosition="0">
        <references count="3">
          <reference field="4294967294" count="1" selected="0">
            <x v="2"/>
          </reference>
          <reference field="0" count="1" selected="0">
            <x v="10"/>
          </reference>
          <reference field="1" count="1" selected="0">
            <x v="72"/>
          </reference>
        </references>
      </pivotArea>
    </chartFormat>
    <chartFormat chart="0" format="955">
      <pivotArea type="data" outline="0" fieldPosition="0">
        <references count="3">
          <reference field="4294967294" count="1" selected="0">
            <x v="2"/>
          </reference>
          <reference field="0" count="1" selected="0">
            <x v="10"/>
          </reference>
          <reference field="1" count="1" selected="0">
            <x v="73"/>
          </reference>
        </references>
      </pivotArea>
    </chartFormat>
    <chartFormat chart="0" format="956">
      <pivotArea type="data" outline="0" fieldPosition="0">
        <references count="3">
          <reference field="4294967294" count="1" selected="0">
            <x v="2"/>
          </reference>
          <reference field="0" count="1" selected="0">
            <x v="10"/>
          </reference>
          <reference field="1" count="1" selected="0">
            <x v="74"/>
          </reference>
        </references>
      </pivotArea>
    </chartFormat>
    <chartFormat chart="0" format="957">
      <pivotArea type="data" outline="0" fieldPosition="0">
        <references count="3">
          <reference field="4294967294" count="1" selected="0">
            <x v="2"/>
          </reference>
          <reference field="0" count="1" selected="0">
            <x v="10"/>
          </reference>
          <reference field="1" count="1" selected="0">
            <x v="75"/>
          </reference>
        </references>
      </pivotArea>
    </chartFormat>
    <chartFormat chart="0" format="958">
      <pivotArea type="data" outline="0" fieldPosition="0">
        <references count="3">
          <reference field="4294967294" count="1" selected="0">
            <x v="2"/>
          </reference>
          <reference field="0" count="1" selected="0">
            <x v="10"/>
          </reference>
          <reference field="1" count="1" selected="0">
            <x v="76"/>
          </reference>
        </references>
      </pivotArea>
    </chartFormat>
    <chartFormat chart="0" format="959">
      <pivotArea type="data" outline="0" fieldPosition="0">
        <references count="3">
          <reference field="4294967294" count="1" selected="0">
            <x v="2"/>
          </reference>
          <reference field="0" count="1" selected="0">
            <x v="10"/>
          </reference>
          <reference field="1" count="1" selected="0">
            <x v="77"/>
          </reference>
        </references>
      </pivotArea>
    </chartFormat>
    <chartFormat chart="0" format="960">
      <pivotArea type="data" outline="0" fieldPosition="0">
        <references count="3">
          <reference field="4294967294" count="1" selected="0">
            <x v="2"/>
          </reference>
          <reference field="0" count="1" selected="0">
            <x v="10"/>
          </reference>
          <reference field="1" count="1" selected="0">
            <x v="78"/>
          </reference>
        </references>
      </pivotArea>
    </chartFormat>
    <chartFormat chart="0" format="961">
      <pivotArea type="data" outline="0" fieldPosition="0">
        <references count="3">
          <reference field="4294967294" count="1" selected="0">
            <x v="2"/>
          </reference>
          <reference field="0" count="1" selected="0">
            <x v="11"/>
          </reference>
          <reference field="1" count="1" selected="0">
            <x v="31"/>
          </reference>
        </references>
      </pivotArea>
    </chartFormat>
    <chartFormat chart="0" format="962">
      <pivotArea type="data" outline="0" fieldPosition="0">
        <references count="3">
          <reference field="4294967294" count="1" selected="0">
            <x v="2"/>
          </reference>
          <reference field="0" count="1" selected="0">
            <x v="11"/>
          </reference>
          <reference field="1" count="1" selected="0">
            <x v="32"/>
          </reference>
        </references>
      </pivotArea>
    </chartFormat>
    <chartFormat chart="0" format="963">
      <pivotArea type="data" outline="0" fieldPosition="0">
        <references count="3">
          <reference field="4294967294" count="1" selected="0">
            <x v="2"/>
          </reference>
          <reference field="0" count="1" selected="0">
            <x v="11"/>
          </reference>
          <reference field="1" count="1" selected="0">
            <x v="33"/>
          </reference>
        </references>
      </pivotArea>
    </chartFormat>
    <chartFormat chart="0" format="964">
      <pivotArea type="data" outline="0" fieldPosition="0">
        <references count="3">
          <reference field="4294967294" count="1" selected="0">
            <x v="2"/>
          </reference>
          <reference field="0" count="1" selected="0">
            <x v="11"/>
          </reference>
          <reference field="1" count="1" selected="0">
            <x v="34"/>
          </reference>
        </references>
      </pivotArea>
    </chartFormat>
    <chartFormat chart="0" format="965">
      <pivotArea type="data" outline="0" fieldPosition="0">
        <references count="3">
          <reference field="4294967294" count="1" selected="0">
            <x v="2"/>
          </reference>
          <reference field="0" count="1" selected="0">
            <x v="11"/>
          </reference>
          <reference field="1" count="1" selected="0">
            <x v="63"/>
          </reference>
        </references>
      </pivotArea>
    </chartFormat>
    <chartFormat chart="0" format="966">
      <pivotArea type="data" outline="0" fieldPosition="0">
        <references count="3">
          <reference field="4294967294" count="1" selected="0">
            <x v="2"/>
          </reference>
          <reference field="0" count="1" selected="0">
            <x v="11"/>
          </reference>
          <reference field="1" count="1" selected="0">
            <x v="64"/>
          </reference>
        </references>
      </pivotArea>
    </chartFormat>
    <chartFormat chart="0" format="967">
      <pivotArea type="data" outline="0" fieldPosition="0">
        <references count="3">
          <reference field="4294967294" count="1" selected="0">
            <x v="2"/>
          </reference>
          <reference field="0" count="1" selected="0">
            <x v="11"/>
          </reference>
          <reference field="1" count="1" selected="0">
            <x v="65"/>
          </reference>
        </references>
      </pivotArea>
    </chartFormat>
    <chartFormat chart="0" format="968">
      <pivotArea type="data" outline="0" fieldPosition="0">
        <references count="3">
          <reference field="4294967294" count="1" selected="0">
            <x v="2"/>
          </reference>
          <reference field="0" count="1" selected="0">
            <x v="11"/>
          </reference>
          <reference field="1" count="1" selected="0">
            <x v="66"/>
          </reference>
        </references>
      </pivotArea>
    </chartFormat>
    <chartFormat chart="0" format="969">
      <pivotArea type="data" outline="0" fieldPosition="0">
        <references count="3">
          <reference field="4294967294" count="1" selected="0">
            <x v="2"/>
          </reference>
          <reference field="0" count="1" selected="0">
            <x v="11"/>
          </reference>
          <reference field="1" count="1" selected="0">
            <x v="67"/>
          </reference>
        </references>
      </pivotArea>
    </chartFormat>
    <chartFormat chart="0" format="970">
      <pivotArea type="data" outline="0" fieldPosition="0">
        <references count="3">
          <reference field="4294967294" count="1" selected="0">
            <x v="2"/>
          </reference>
          <reference field="0" count="1" selected="0">
            <x v="11"/>
          </reference>
          <reference field="1" count="1" selected="0">
            <x v="68"/>
          </reference>
        </references>
      </pivotArea>
    </chartFormat>
    <chartFormat chart="0" format="971">
      <pivotArea type="data" outline="0" fieldPosition="0">
        <references count="3">
          <reference field="4294967294" count="1" selected="0">
            <x v="2"/>
          </reference>
          <reference field="0" count="1" selected="0">
            <x v="11"/>
          </reference>
          <reference field="1" count="1" selected="0">
            <x v="69"/>
          </reference>
        </references>
      </pivotArea>
    </chartFormat>
    <chartFormat chart="0" format="972">
      <pivotArea type="data" outline="0" fieldPosition="0">
        <references count="3">
          <reference field="4294967294" count="1" selected="0">
            <x v="2"/>
          </reference>
          <reference field="0" count="1" selected="0">
            <x v="11"/>
          </reference>
          <reference field="1" count="1" selected="0">
            <x v="70"/>
          </reference>
        </references>
      </pivotArea>
    </chartFormat>
    <chartFormat chart="0" format="973">
      <pivotArea type="data" outline="0" fieldPosition="0">
        <references count="3">
          <reference field="4294967294" count="1" selected="0">
            <x v="2"/>
          </reference>
          <reference field="0" count="1" selected="0">
            <x v="11"/>
          </reference>
          <reference field="1" count="1" selected="0">
            <x v="71"/>
          </reference>
        </references>
      </pivotArea>
    </chartFormat>
    <chartFormat chart="0" format="974">
      <pivotArea type="data" outline="0" fieldPosition="0">
        <references count="3">
          <reference field="4294967294" count="1" selected="0">
            <x v="2"/>
          </reference>
          <reference field="0" count="1" selected="0">
            <x v="11"/>
          </reference>
          <reference field="1" count="1" selected="0">
            <x v="72"/>
          </reference>
        </references>
      </pivotArea>
    </chartFormat>
    <chartFormat chart="0" format="975">
      <pivotArea type="data" outline="0" fieldPosition="0">
        <references count="3">
          <reference field="4294967294" count="1" selected="0">
            <x v="2"/>
          </reference>
          <reference field="0" count="1" selected="0">
            <x v="11"/>
          </reference>
          <reference field="1" count="1" selected="0">
            <x v="73"/>
          </reference>
        </references>
      </pivotArea>
    </chartFormat>
    <chartFormat chart="0" format="976">
      <pivotArea type="data" outline="0" fieldPosition="0">
        <references count="3">
          <reference field="4294967294" count="1" selected="0">
            <x v="2"/>
          </reference>
          <reference field="0" count="1" selected="0">
            <x v="11"/>
          </reference>
          <reference field="1" count="1" selected="0">
            <x v="74"/>
          </reference>
        </references>
      </pivotArea>
    </chartFormat>
    <chartFormat chart="0" format="977">
      <pivotArea type="data" outline="0" fieldPosition="0">
        <references count="3">
          <reference field="4294967294" count="1" selected="0">
            <x v="2"/>
          </reference>
          <reference field="0" count="1" selected="0">
            <x v="11"/>
          </reference>
          <reference field="1" count="1" selected="0">
            <x v="75"/>
          </reference>
        </references>
      </pivotArea>
    </chartFormat>
    <chartFormat chart="0" format="978">
      <pivotArea type="data" outline="0" fieldPosition="0">
        <references count="3">
          <reference field="4294967294" count="1" selected="0">
            <x v="2"/>
          </reference>
          <reference field="0" count="1" selected="0">
            <x v="11"/>
          </reference>
          <reference field="1" count="1" selected="0">
            <x v="76"/>
          </reference>
        </references>
      </pivotArea>
    </chartFormat>
    <chartFormat chart="0" format="979">
      <pivotArea type="data" outline="0" fieldPosition="0">
        <references count="3">
          <reference field="4294967294" count="1" selected="0">
            <x v="2"/>
          </reference>
          <reference field="0" count="1" selected="0">
            <x v="11"/>
          </reference>
          <reference field="1" count="1" selected="0">
            <x v="77"/>
          </reference>
        </references>
      </pivotArea>
    </chartFormat>
    <chartFormat chart="0" format="980">
      <pivotArea type="data" outline="0" fieldPosition="0">
        <references count="3">
          <reference field="4294967294" count="1" selected="0">
            <x v="2"/>
          </reference>
          <reference field="0" count="1" selected="0">
            <x v="11"/>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t.lvl3_generic_4"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6" firstHeaderRow="0" firstDataRow="1" firstDataCol="2" rowPageCount="5" colPageCount="1"/>
  <pivotFields count="13">
    <pivotField axis="axisRow" compact="0" outline="0" showAll="0" defaultSubtotal="0">
      <items count="12">
        <item x="0"/>
        <item m="1" x="5"/>
        <item m="1" x="9"/>
        <item x="1"/>
        <item x="2"/>
        <item m="1" x="11"/>
        <item m="1" x="6"/>
        <item m="1" x="7"/>
        <item m="1" x="3"/>
        <item m="1" x="8"/>
        <item m="1" x="4"/>
        <item m="1" x="10"/>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6">
        <item x="0"/>
        <item x="1"/>
        <item m="1" x="4"/>
        <item x="2"/>
        <item m="1"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x="3"/>
        <item h="1" x="4"/>
        <item h="1" x="5"/>
        <item h="1" x="6"/>
        <item h="1" m="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49">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81">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4">
      <pivotArea type="data" outline="0" fieldPosition="0">
        <references count="1">
          <reference field="4294967294" count="1" selected="0">
            <x v="0"/>
          </reference>
        </references>
      </pivotArea>
    </chartFormat>
    <chartFormat chart="0" format="25">
      <pivotArea type="data" outline="0" fieldPosition="0">
        <references count="1">
          <reference field="4294967294" count="1" selected="0">
            <x v="2"/>
          </reference>
        </references>
      </pivotArea>
    </chartFormat>
    <chartFormat chart="0" format="26">
      <pivotArea type="data" outline="0" fieldPosition="0">
        <references count="3">
          <reference field="4294967294" count="1" selected="0">
            <x v="0"/>
          </reference>
          <reference field="0" count="1" selected="0">
            <x v="0"/>
          </reference>
          <reference field="1" count="1" selected="0">
            <x v="0"/>
          </reference>
        </references>
      </pivotArea>
    </chartFormat>
    <chartFormat chart="0" format="27">
      <pivotArea type="data" outline="0" fieldPosition="0">
        <references count="3">
          <reference field="4294967294" count="1" selected="0">
            <x v="2"/>
          </reference>
          <reference field="0" count="1" selected="0">
            <x v="0"/>
          </reference>
          <reference field="1" count="1" selected="0">
            <x v="0"/>
          </reference>
        </references>
      </pivotArea>
    </chartFormat>
    <chartFormat chart="0" format="28">
      <pivotArea type="data" outline="0" fieldPosition="0">
        <references count="3">
          <reference field="4294967294" count="1" selected="0">
            <x v="0"/>
          </reference>
          <reference field="0" count="1" selected="0">
            <x v="3"/>
          </reference>
          <reference field="1" count="1" selected="0">
            <x v="33"/>
          </reference>
        </references>
      </pivotArea>
    </chartFormat>
    <chartFormat chart="0" format="29">
      <pivotArea type="data" outline="0" fieldPosition="0">
        <references count="3">
          <reference field="4294967294" count="1" selected="0">
            <x v="0"/>
          </reference>
          <reference field="0" count="1" selected="0">
            <x v="3"/>
          </reference>
          <reference field="1" count="1" selected="0">
            <x v="34"/>
          </reference>
        </references>
      </pivotArea>
    </chartFormat>
    <chartFormat chart="0" format="30">
      <pivotArea type="data" outline="0" fieldPosition="0">
        <references count="3">
          <reference field="4294967294" count="1" selected="0">
            <x v="0"/>
          </reference>
          <reference field="0" count="1" selected="0">
            <x v="3"/>
          </reference>
          <reference field="1" count="1" selected="0">
            <x v="35"/>
          </reference>
        </references>
      </pivotArea>
    </chartFormat>
    <chartFormat chart="0" format="31">
      <pivotArea type="data" outline="0" fieldPosition="0">
        <references count="3">
          <reference field="4294967294" count="1" selected="0">
            <x v="0"/>
          </reference>
          <reference field="0" count="1" selected="0">
            <x v="3"/>
          </reference>
          <reference field="1" count="1" selected="0">
            <x v="36"/>
          </reference>
        </references>
      </pivotArea>
    </chartFormat>
    <chartFormat chart="0" format="32">
      <pivotArea type="data" outline="0" fieldPosition="0">
        <references count="3">
          <reference field="4294967294" count="1" selected="0">
            <x v="0"/>
          </reference>
          <reference field="0" count="1" selected="0">
            <x v="3"/>
          </reference>
          <reference field="1" count="1" selected="0">
            <x v="37"/>
          </reference>
        </references>
      </pivotArea>
    </chartFormat>
    <chartFormat chart="0" format="33">
      <pivotArea type="data" outline="0" fieldPosition="0">
        <references count="3">
          <reference field="4294967294" count="1" selected="0">
            <x v="0"/>
          </reference>
          <reference field="0" count="1" selected="0">
            <x v="3"/>
          </reference>
          <reference field="1" count="1" selected="0">
            <x v="38"/>
          </reference>
        </references>
      </pivotArea>
    </chartFormat>
    <chartFormat chart="0" format="34">
      <pivotArea type="data" outline="0" fieldPosition="0">
        <references count="3">
          <reference field="4294967294" count="1" selected="0">
            <x v="0"/>
          </reference>
          <reference field="0" count="1" selected="0">
            <x v="3"/>
          </reference>
          <reference field="1" count="1" selected="0">
            <x v="39"/>
          </reference>
        </references>
      </pivotArea>
    </chartFormat>
    <chartFormat chart="0" format="35">
      <pivotArea type="data" outline="0" fieldPosition="0">
        <references count="3">
          <reference field="4294967294" count="1" selected="0">
            <x v="0"/>
          </reference>
          <reference field="0" count="1" selected="0">
            <x v="3"/>
          </reference>
          <reference field="1" count="1" selected="0">
            <x v="40"/>
          </reference>
        </references>
      </pivotArea>
    </chartFormat>
    <chartFormat chart="0" format="36">
      <pivotArea type="data" outline="0" fieldPosition="0">
        <references count="3">
          <reference field="4294967294" count="1" selected="0">
            <x v="0"/>
          </reference>
          <reference field="0" count="1" selected="0">
            <x v="3"/>
          </reference>
          <reference field="1" count="1" selected="0">
            <x v="41"/>
          </reference>
        </references>
      </pivotArea>
    </chartFormat>
    <chartFormat chart="0" format="37">
      <pivotArea type="data" outline="0" fieldPosition="0">
        <references count="3">
          <reference field="4294967294" count="1" selected="0">
            <x v="0"/>
          </reference>
          <reference field="0" count="1" selected="0">
            <x v="3"/>
          </reference>
          <reference field="1" count="1" selected="0">
            <x v="42"/>
          </reference>
        </references>
      </pivotArea>
    </chartFormat>
    <chartFormat chart="0" format="38">
      <pivotArea type="data" outline="0" fieldPosition="0">
        <references count="3">
          <reference field="4294967294" count="1" selected="0">
            <x v="0"/>
          </reference>
          <reference field="0" count="1" selected="0">
            <x v="3"/>
          </reference>
          <reference field="1" count="1" selected="0">
            <x v="43"/>
          </reference>
        </references>
      </pivotArea>
    </chartFormat>
    <chartFormat chart="0" format="39">
      <pivotArea type="data" outline="0" fieldPosition="0">
        <references count="3">
          <reference field="4294967294" count="1" selected="0">
            <x v="0"/>
          </reference>
          <reference field="0" count="1" selected="0">
            <x v="3"/>
          </reference>
          <reference field="1" count="1" selected="0">
            <x v="44"/>
          </reference>
        </references>
      </pivotArea>
    </chartFormat>
    <chartFormat chart="0" format="40">
      <pivotArea type="data" outline="0" fieldPosition="0">
        <references count="3">
          <reference field="4294967294" count="1" selected="0">
            <x v="0"/>
          </reference>
          <reference field="0" count="1" selected="0">
            <x v="3"/>
          </reference>
          <reference field="1" count="1" selected="0">
            <x v="45"/>
          </reference>
        </references>
      </pivotArea>
    </chartFormat>
    <chartFormat chart="0" format="41">
      <pivotArea type="data" outline="0" fieldPosition="0">
        <references count="3">
          <reference field="4294967294" count="1" selected="0">
            <x v="0"/>
          </reference>
          <reference field="0" count="1" selected="0">
            <x v="3"/>
          </reference>
          <reference field="1" count="1" selected="0">
            <x v="46"/>
          </reference>
        </references>
      </pivotArea>
    </chartFormat>
    <chartFormat chart="0" format="42">
      <pivotArea type="data" outline="0" fieldPosition="0">
        <references count="3">
          <reference field="4294967294" count="1" selected="0">
            <x v="0"/>
          </reference>
          <reference field="0" count="1" selected="0">
            <x v="3"/>
          </reference>
          <reference field="1" count="1" selected="0">
            <x v="47"/>
          </reference>
        </references>
      </pivotArea>
    </chartFormat>
    <chartFormat chart="0" format="43">
      <pivotArea type="data" outline="0" fieldPosition="0">
        <references count="3">
          <reference field="4294967294" count="1" selected="0">
            <x v="0"/>
          </reference>
          <reference field="0" count="1" selected="0">
            <x v="3"/>
          </reference>
          <reference field="1" count="1" selected="0">
            <x v="48"/>
          </reference>
        </references>
      </pivotArea>
    </chartFormat>
    <chartFormat chart="0" format="44">
      <pivotArea type="data" outline="0" fieldPosition="0">
        <references count="3">
          <reference field="4294967294" count="1" selected="0">
            <x v="0"/>
          </reference>
          <reference field="0" count="1" selected="0">
            <x v="3"/>
          </reference>
          <reference field="1" count="1" selected="0">
            <x v="49"/>
          </reference>
        </references>
      </pivotArea>
    </chartFormat>
    <chartFormat chart="0" format="45">
      <pivotArea type="data" outline="0" fieldPosition="0">
        <references count="3">
          <reference field="4294967294" count="1" selected="0">
            <x v="0"/>
          </reference>
          <reference field="0" count="1" selected="0">
            <x v="3"/>
          </reference>
          <reference field="1" count="1" selected="0">
            <x v="50"/>
          </reference>
        </references>
      </pivotArea>
    </chartFormat>
    <chartFormat chart="0" format="46">
      <pivotArea type="data" outline="0" fieldPosition="0">
        <references count="3">
          <reference field="4294967294" count="1" selected="0">
            <x v="0"/>
          </reference>
          <reference field="0" count="1" selected="0">
            <x v="3"/>
          </reference>
          <reference field="1" count="1" selected="0">
            <x v="51"/>
          </reference>
        </references>
      </pivotArea>
    </chartFormat>
    <chartFormat chart="0" format="47">
      <pivotArea type="data" outline="0" fieldPosition="0">
        <references count="3">
          <reference field="4294967294" count="1" selected="0">
            <x v="0"/>
          </reference>
          <reference field="0" count="1" selected="0">
            <x v="3"/>
          </reference>
          <reference field="1" count="1" selected="0">
            <x v="52"/>
          </reference>
        </references>
      </pivotArea>
    </chartFormat>
    <chartFormat chart="0" format="48">
      <pivotArea type="data" outline="0" fieldPosition="0">
        <references count="3">
          <reference field="4294967294" count="1" selected="0">
            <x v="0"/>
          </reference>
          <reference field="0" count="1" selected="0">
            <x v="3"/>
          </reference>
          <reference field="1" count="1" selected="0">
            <x v="53"/>
          </reference>
        </references>
      </pivotArea>
    </chartFormat>
    <chartFormat chart="0" format="49">
      <pivotArea type="data" outline="0" fieldPosition="0">
        <references count="3">
          <reference field="4294967294" count="1" selected="0">
            <x v="0"/>
          </reference>
          <reference field="0" count="1" selected="0">
            <x v="3"/>
          </reference>
          <reference field="1" count="1" selected="0">
            <x v="54"/>
          </reference>
        </references>
      </pivotArea>
    </chartFormat>
    <chartFormat chart="0" format="50">
      <pivotArea type="data" outline="0" fieldPosition="0">
        <references count="3">
          <reference field="4294967294" count="1" selected="0">
            <x v="0"/>
          </reference>
          <reference field="0" count="1" selected="0">
            <x v="3"/>
          </reference>
          <reference field="1" count="1" selected="0">
            <x v="55"/>
          </reference>
        </references>
      </pivotArea>
    </chartFormat>
    <chartFormat chart="0" format="51">
      <pivotArea type="data" outline="0" fieldPosition="0">
        <references count="3">
          <reference field="4294967294" count="1" selected="0">
            <x v="0"/>
          </reference>
          <reference field="0" count="1" selected="0">
            <x v="3"/>
          </reference>
          <reference field="1" count="1" selected="0">
            <x v="56"/>
          </reference>
        </references>
      </pivotArea>
    </chartFormat>
    <chartFormat chart="0" format="52">
      <pivotArea type="data" outline="0" fieldPosition="0">
        <references count="3">
          <reference field="4294967294" count="1" selected="0">
            <x v="0"/>
          </reference>
          <reference field="0" count="1" selected="0">
            <x v="3"/>
          </reference>
          <reference field="1" count="1" selected="0">
            <x v="57"/>
          </reference>
        </references>
      </pivotArea>
    </chartFormat>
    <chartFormat chart="0" format="53">
      <pivotArea type="data" outline="0" fieldPosition="0">
        <references count="3">
          <reference field="4294967294" count="1" selected="0">
            <x v="0"/>
          </reference>
          <reference field="0" count="1" selected="0">
            <x v="3"/>
          </reference>
          <reference field="1" count="1" selected="0">
            <x v="58"/>
          </reference>
        </references>
      </pivotArea>
    </chartFormat>
    <chartFormat chart="0" format="54">
      <pivotArea type="data" outline="0" fieldPosition="0">
        <references count="3">
          <reference field="4294967294" count="1" selected="0">
            <x v="0"/>
          </reference>
          <reference field="0" count="1" selected="0">
            <x v="3"/>
          </reference>
          <reference field="1" count="1" selected="0">
            <x v="59"/>
          </reference>
        </references>
      </pivotArea>
    </chartFormat>
    <chartFormat chart="0" format="55">
      <pivotArea type="data" outline="0" fieldPosition="0">
        <references count="3">
          <reference field="4294967294" count="1" selected="0">
            <x v="0"/>
          </reference>
          <reference field="0" count="1" selected="0">
            <x v="3"/>
          </reference>
          <reference field="1" count="1" selected="0">
            <x v="60"/>
          </reference>
        </references>
      </pivotArea>
    </chartFormat>
    <chartFormat chart="0" format="56">
      <pivotArea type="data" outline="0" fieldPosition="0">
        <references count="3">
          <reference field="4294967294" count="1" selected="0">
            <x v="0"/>
          </reference>
          <reference field="0" count="1" selected="0">
            <x v="3"/>
          </reference>
          <reference field="1" count="1" selected="0">
            <x v="61"/>
          </reference>
        </references>
      </pivotArea>
    </chartFormat>
    <chartFormat chart="0" format="57">
      <pivotArea type="data" outline="0" fieldPosition="0">
        <references count="3">
          <reference field="4294967294" count="1" selected="0">
            <x v="0"/>
          </reference>
          <reference field="0" count="1" selected="0">
            <x v="3"/>
          </reference>
          <reference field="1" count="1" selected="0">
            <x v="62"/>
          </reference>
        </references>
      </pivotArea>
    </chartFormat>
    <chartFormat chart="0" format="58">
      <pivotArea type="data" outline="0" fieldPosition="0">
        <references count="3">
          <reference field="4294967294" count="1" selected="0">
            <x v="0"/>
          </reference>
          <reference field="0" count="1" selected="0">
            <x v="4"/>
          </reference>
          <reference field="1" count="1" selected="0">
            <x v="31"/>
          </reference>
        </references>
      </pivotArea>
    </chartFormat>
    <chartFormat chart="0" format="59">
      <pivotArea type="data" outline="0" fieldPosition="0">
        <references count="3">
          <reference field="4294967294" count="1" selected="0">
            <x v="0"/>
          </reference>
          <reference field="0" count="1" selected="0">
            <x v="4"/>
          </reference>
          <reference field="1" count="1" selected="0">
            <x v="32"/>
          </reference>
        </references>
      </pivotArea>
    </chartFormat>
    <chartFormat chart="0" format="60">
      <pivotArea type="data" outline="0" fieldPosition="0">
        <references count="3">
          <reference field="4294967294" count="1" selected="0">
            <x v="0"/>
          </reference>
          <reference field="0" count="1" selected="0">
            <x v="4"/>
          </reference>
          <reference field="1" count="1" selected="0">
            <x v="33"/>
          </reference>
        </references>
      </pivotArea>
    </chartFormat>
    <chartFormat chart="0" format="61">
      <pivotArea type="data" outline="0" fieldPosition="0">
        <references count="3">
          <reference field="4294967294" count="1" selected="0">
            <x v="0"/>
          </reference>
          <reference field="0" count="1" selected="0">
            <x v="4"/>
          </reference>
          <reference field="1" count="1" selected="0">
            <x v="34"/>
          </reference>
        </references>
      </pivotArea>
    </chartFormat>
    <chartFormat chart="0" format="62">
      <pivotArea type="data" outline="0" fieldPosition="0">
        <references count="3">
          <reference field="4294967294" count="1" selected="0">
            <x v="0"/>
          </reference>
          <reference field="0" count="1" selected="0">
            <x v="4"/>
          </reference>
          <reference field="1" count="1" selected="0">
            <x v="35"/>
          </reference>
        </references>
      </pivotArea>
    </chartFormat>
    <chartFormat chart="0" format="63">
      <pivotArea type="data" outline="0" fieldPosition="0">
        <references count="3">
          <reference field="4294967294" count="1" selected="0">
            <x v="0"/>
          </reference>
          <reference field="0" count="1" selected="0">
            <x v="4"/>
          </reference>
          <reference field="1" count="1" selected="0">
            <x v="36"/>
          </reference>
        </references>
      </pivotArea>
    </chartFormat>
    <chartFormat chart="0" format="64">
      <pivotArea type="data" outline="0" fieldPosition="0">
        <references count="3">
          <reference field="4294967294" count="1" selected="0">
            <x v="0"/>
          </reference>
          <reference field="0" count="1" selected="0">
            <x v="4"/>
          </reference>
          <reference field="1" count="1" selected="0">
            <x v="37"/>
          </reference>
        </references>
      </pivotArea>
    </chartFormat>
    <chartFormat chart="0" format="65">
      <pivotArea type="data" outline="0" fieldPosition="0">
        <references count="3">
          <reference field="4294967294" count="1" selected="0">
            <x v="0"/>
          </reference>
          <reference field="0" count="1" selected="0">
            <x v="4"/>
          </reference>
          <reference field="1" count="1" selected="0">
            <x v="38"/>
          </reference>
        </references>
      </pivotArea>
    </chartFormat>
    <chartFormat chart="0" format="66">
      <pivotArea type="data" outline="0" fieldPosition="0">
        <references count="3">
          <reference field="4294967294" count="1" selected="0">
            <x v="0"/>
          </reference>
          <reference field="0" count="1" selected="0">
            <x v="4"/>
          </reference>
          <reference field="1" count="1" selected="0">
            <x v="39"/>
          </reference>
        </references>
      </pivotArea>
    </chartFormat>
    <chartFormat chart="0" format="67">
      <pivotArea type="data" outline="0" fieldPosition="0">
        <references count="3">
          <reference field="4294967294" count="1" selected="0">
            <x v="0"/>
          </reference>
          <reference field="0" count="1" selected="0">
            <x v="4"/>
          </reference>
          <reference field="1" count="1" selected="0">
            <x v="40"/>
          </reference>
        </references>
      </pivotArea>
    </chartFormat>
    <chartFormat chart="0" format="68">
      <pivotArea type="data" outline="0" fieldPosition="0">
        <references count="3">
          <reference field="4294967294" count="1" selected="0">
            <x v="0"/>
          </reference>
          <reference field="0" count="1" selected="0">
            <x v="4"/>
          </reference>
          <reference field="1" count="1" selected="0">
            <x v="41"/>
          </reference>
        </references>
      </pivotArea>
    </chartFormat>
    <chartFormat chart="0" format="69">
      <pivotArea type="data" outline="0" fieldPosition="0">
        <references count="3">
          <reference field="4294967294" count="1" selected="0">
            <x v="0"/>
          </reference>
          <reference field="0" count="1" selected="0">
            <x v="4"/>
          </reference>
          <reference field="1" count="1" selected="0">
            <x v="42"/>
          </reference>
        </references>
      </pivotArea>
    </chartFormat>
    <chartFormat chart="0" format="70">
      <pivotArea type="data" outline="0" fieldPosition="0">
        <references count="3">
          <reference field="4294967294" count="1" selected="0">
            <x v="0"/>
          </reference>
          <reference field="0" count="1" selected="0">
            <x v="4"/>
          </reference>
          <reference field="1" count="1" selected="0">
            <x v="43"/>
          </reference>
        </references>
      </pivotArea>
    </chartFormat>
    <chartFormat chart="0" format="71">
      <pivotArea type="data" outline="0" fieldPosition="0">
        <references count="3">
          <reference field="4294967294" count="1" selected="0">
            <x v="0"/>
          </reference>
          <reference field="0" count="1" selected="0">
            <x v="4"/>
          </reference>
          <reference field="1" count="1" selected="0">
            <x v="44"/>
          </reference>
        </references>
      </pivotArea>
    </chartFormat>
    <chartFormat chart="0" format="72">
      <pivotArea type="data" outline="0" fieldPosition="0">
        <references count="3">
          <reference field="4294967294" count="1" selected="0">
            <x v="0"/>
          </reference>
          <reference field="0" count="1" selected="0">
            <x v="4"/>
          </reference>
          <reference field="1" count="1" selected="0">
            <x v="45"/>
          </reference>
        </references>
      </pivotArea>
    </chartFormat>
    <chartFormat chart="0" format="73">
      <pivotArea type="data" outline="0" fieldPosition="0">
        <references count="3">
          <reference field="4294967294" count="1" selected="0">
            <x v="0"/>
          </reference>
          <reference field="0" count="1" selected="0">
            <x v="4"/>
          </reference>
          <reference field="1" count="1" selected="0">
            <x v="46"/>
          </reference>
        </references>
      </pivotArea>
    </chartFormat>
    <chartFormat chart="0" format="74">
      <pivotArea type="data" outline="0" fieldPosition="0">
        <references count="3">
          <reference field="4294967294" count="1" selected="0">
            <x v="0"/>
          </reference>
          <reference field="0" count="1" selected="0">
            <x v="4"/>
          </reference>
          <reference field="1" count="1" selected="0">
            <x v="47"/>
          </reference>
        </references>
      </pivotArea>
    </chartFormat>
    <chartFormat chart="0" format="75">
      <pivotArea type="data" outline="0" fieldPosition="0">
        <references count="3">
          <reference field="4294967294" count="1" selected="0">
            <x v="0"/>
          </reference>
          <reference field="0" count="1" selected="0">
            <x v="4"/>
          </reference>
          <reference field="1" count="1" selected="0">
            <x v="48"/>
          </reference>
        </references>
      </pivotArea>
    </chartFormat>
    <chartFormat chart="0" format="76">
      <pivotArea type="data" outline="0" fieldPosition="0">
        <references count="3">
          <reference field="4294967294" count="1" selected="0">
            <x v="0"/>
          </reference>
          <reference field="0" count="1" selected="0">
            <x v="4"/>
          </reference>
          <reference field="1" count="1" selected="0">
            <x v="49"/>
          </reference>
        </references>
      </pivotArea>
    </chartFormat>
    <chartFormat chart="0" format="77">
      <pivotArea type="data" outline="0" fieldPosition="0">
        <references count="3">
          <reference field="4294967294" count="1" selected="0">
            <x v="0"/>
          </reference>
          <reference field="0" count="1" selected="0">
            <x v="4"/>
          </reference>
          <reference field="1" count="1" selected="0">
            <x v="50"/>
          </reference>
        </references>
      </pivotArea>
    </chartFormat>
    <chartFormat chart="0" format="78">
      <pivotArea type="data" outline="0" fieldPosition="0">
        <references count="3">
          <reference field="4294967294" count="1" selected="0">
            <x v="0"/>
          </reference>
          <reference field="0" count="1" selected="0">
            <x v="4"/>
          </reference>
          <reference field="1" count="1" selected="0">
            <x v="51"/>
          </reference>
        </references>
      </pivotArea>
    </chartFormat>
    <chartFormat chart="0" format="79">
      <pivotArea type="data" outline="0" fieldPosition="0">
        <references count="3">
          <reference field="4294967294" count="1" selected="0">
            <x v="0"/>
          </reference>
          <reference field="0" count="1" selected="0">
            <x v="4"/>
          </reference>
          <reference field="1" count="1" selected="0">
            <x v="52"/>
          </reference>
        </references>
      </pivotArea>
    </chartFormat>
    <chartFormat chart="0" format="80">
      <pivotArea type="data" outline="0" fieldPosition="0">
        <references count="3">
          <reference field="4294967294" count="1" selected="0">
            <x v="0"/>
          </reference>
          <reference field="0" count="1" selected="0">
            <x v="4"/>
          </reference>
          <reference field="1" count="1" selected="0">
            <x v="53"/>
          </reference>
        </references>
      </pivotArea>
    </chartFormat>
    <chartFormat chart="0" format="81">
      <pivotArea type="data" outline="0" fieldPosition="0">
        <references count="3">
          <reference field="4294967294" count="1" selected="0">
            <x v="0"/>
          </reference>
          <reference field="0" count="1" selected="0">
            <x v="4"/>
          </reference>
          <reference field="1" count="1" selected="0">
            <x v="54"/>
          </reference>
        </references>
      </pivotArea>
    </chartFormat>
    <chartFormat chart="0" format="82">
      <pivotArea type="data" outline="0" fieldPosition="0">
        <references count="3">
          <reference field="4294967294" count="1" selected="0">
            <x v="0"/>
          </reference>
          <reference field="0" count="1" selected="0">
            <x v="4"/>
          </reference>
          <reference field="1" count="1" selected="0">
            <x v="55"/>
          </reference>
        </references>
      </pivotArea>
    </chartFormat>
    <chartFormat chart="0" format="83">
      <pivotArea type="data" outline="0" fieldPosition="0">
        <references count="3">
          <reference field="4294967294" count="1" selected="0">
            <x v="0"/>
          </reference>
          <reference field="0" count="1" selected="0">
            <x v="4"/>
          </reference>
          <reference field="1" count="1" selected="0">
            <x v="56"/>
          </reference>
        </references>
      </pivotArea>
    </chartFormat>
    <chartFormat chart="0" format="84">
      <pivotArea type="data" outline="0" fieldPosition="0">
        <references count="3">
          <reference field="4294967294" count="1" selected="0">
            <x v="0"/>
          </reference>
          <reference field="0" count="1" selected="0">
            <x v="4"/>
          </reference>
          <reference field="1" count="1" selected="0">
            <x v="57"/>
          </reference>
        </references>
      </pivotArea>
    </chartFormat>
    <chartFormat chart="0" format="85">
      <pivotArea type="data" outline="0" fieldPosition="0">
        <references count="3">
          <reference field="4294967294" count="1" selected="0">
            <x v="0"/>
          </reference>
          <reference field="0" count="1" selected="0">
            <x v="4"/>
          </reference>
          <reference field="1" count="1" selected="0">
            <x v="58"/>
          </reference>
        </references>
      </pivotArea>
    </chartFormat>
    <chartFormat chart="0" format="86">
      <pivotArea type="data" outline="0" fieldPosition="0">
        <references count="3">
          <reference field="4294967294" count="1" selected="0">
            <x v="0"/>
          </reference>
          <reference field="0" count="1" selected="0">
            <x v="4"/>
          </reference>
          <reference field="1" count="1" selected="0">
            <x v="59"/>
          </reference>
        </references>
      </pivotArea>
    </chartFormat>
    <chartFormat chart="0" format="87">
      <pivotArea type="data" outline="0" fieldPosition="0">
        <references count="3">
          <reference field="4294967294" count="1" selected="0">
            <x v="0"/>
          </reference>
          <reference field="0" count="1" selected="0">
            <x v="4"/>
          </reference>
          <reference field="1" count="1" selected="0">
            <x v="60"/>
          </reference>
        </references>
      </pivotArea>
    </chartFormat>
    <chartFormat chart="0" format="88">
      <pivotArea type="data" outline="0" fieldPosition="0">
        <references count="3">
          <reference field="4294967294" count="1" selected="0">
            <x v="0"/>
          </reference>
          <reference field="0" count="1" selected="0">
            <x v="4"/>
          </reference>
          <reference field="1" count="1" selected="0">
            <x v="63"/>
          </reference>
        </references>
      </pivotArea>
    </chartFormat>
    <chartFormat chart="0" format="89">
      <pivotArea type="data" outline="0" fieldPosition="0">
        <references count="3">
          <reference field="4294967294" count="1" selected="0">
            <x v="0"/>
          </reference>
          <reference field="0" count="1" selected="0">
            <x v="4"/>
          </reference>
          <reference field="1" count="1" selected="0">
            <x v="64"/>
          </reference>
        </references>
      </pivotArea>
    </chartFormat>
    <chartFormat chart="0" format="90">
      <pivotArea type="data" outline="0" fieldPosition="0">
        <references count="3">
          <reference field="4294967294" count="1" selected="0">
            <x v="0"/>
          </reference>
          <reference field="0" count="1" selected="0">
            <x v="4"/>
          </reference>
          <reference field="1" count="1" selected="0">
            <x v="65"/>
          </reference>
        </references>
      </pivotArea>
    </chartFormat>
    <chartFormat chart="0" format="91">
      <pivotArea type="data" outline="0" fieldPosition="0">
        <references count="3">
          <reference field="4294967294" count="1" selected="0">
            <x v="0"/>
          </reference>
          <reference field="0" count="1" selected="0">
            <x v="4"/>
          </reference>
          <reference field="1" count="1" selected="0">
            <x v="66"/>
          </reference>
        </references>
      </pivotArea>
    </chartFormat>
    <chartFormat chart="0" format="92">
      <pivotArea type="data" outline="0" fieldPosition="0">
        <references count="3">
          <reference field="4294967294" count="1" selected="0">
            <x v="0"/>
          </reference>
          <reference field="0" count="1" selected="0">
            <x v="4"/>
          </reference>
          <reference field="1" count="1" selected="0">
            <x v="67"/>
          </reference>
        </references>
      </pivotArea>
    </chartFormat>
    <chartFormat chart="0" format="93">
      <pivotArea type="data" outline="0" fieldPosition="0">
        <references count="3">
          <reference field="4294967294" count="1" selected="0">
            <x v="0"/>
          </reference>
          <reference field="0" count="1" selected="0">
            <x v="4"/>
          </reference>
          <reference field="1" count="1" selected="0">
            <x v="68"/>
          </reference>
        </references>
      </pivotArea>
    </chartFormat>
    <chartFormat chart="0" format="94">
      <pivotArea type="data" outline="0" fieldPosition="0">
        <references count="3">
          <reference field="4294967294" count="1" selected="0">
            <x v="0"/>
          </reference>
          <reference field="0" count="1" selected="0">
            <x v="4"/>
          </reference>
          <reference field="1" count="1" selected="0">
            <x v="69"/>
          </reference>
        </references>
      </pivotArea>
    </chartFormat>
    <chartFormat chart="0" format="95">
      <pivotArea type="data" outline="0" fieldPosition="0">
        <references count="3">
          <reference field="4294967294" count="1" selected="0">
            <x v="0"/>
          </reference>
          <reference field="0" count="1" selected="0">
            <x v="4"/>
          </reference>
          <reference field="1" count="1" selected="0">
            <x v="70"/>
          </reference>
        </references>
      </pivotArea>
    </chartFormat>
    <chartFormat chart="0" format="96">
      <pivotArea type="data" outline="0" fieldPosition="0">
        <references count="3">
          <reference field="4294967294" count="1" selected="0">
            <x v="0"/>
          </reference>
          <reference field="0" count="1" selected="0">
            <x v="4"/>
          </reference>
          <reference field="1" count="1" selected="0">
            <x v="71"/>
          </reference>
        </references>
      </pivotArea>
    </chartFormat>
    <chartFormat chart="0" format="97">
      <pivotArea type="data" outline="0" fieldPosition="0">
        <references count="3">
          <reference field="4294967294" count="1" selected="0">
            <x v="0"/>
          </reference>
          <reference field="0" count="1" selected="0">
            <x v="4"/>
          </reference>
          <reference field="1" count="1" selected="0">
            <x v="72"/>
          </reference>
        </references>
      </pivotArea>
    </chartFormat>
    <chartFormat chart="0" format="98">
      <pivotArea type="data" outline="0" fieldPosition="0">
        <references count="3">
          <reference field="4294967294" count="1" selected="0">
            <x v="0"/>
          </reference>
          <reference field="0" count="1" selected="0">
            <x v="4"/>
          </reference>
          <reference field="1" count="1" selected="0">
            <x v="73"/>
          </reference>
        </references>
      </pivotArea>
    </chartFormat>
    <chartFormat chart="0" format="99">
      <pivotArea type="data" outline="0" fieldPosition="0">
        <references count="3">
          <reference field="4294967294" count="1" selected="0">
            <x v="0"/>
          </reference>
          <reference field="0" count="1" selected="0">
            <x v="4"/>
          </reference>
          <reference field="1" count="1" selected="0">
            <x v="74"/>
          </reference>
        </references>
      </pivotArea>
    </chartFormat>
    <chartFormat chart="0" format="100">
      <pivotArea type="data" outline="0" fieldPosition="0">
        <references count="3">
          <reference field="4294967294" count="1" selected="0">
            <x v="0"/>
          </reference>
          <reference field="0" count="1" selected="0">
            <x v="4"/>
          </reference>
          <reference field="1" count="1" selected="0">
            <x v="75"/>
          </reference>
        </references>
      </pivotArea>
    </chartFormat>
    <chartFormat chart="0" format="101">
      <pivotArea type="data" outline="0" fieldPosition="0">
        <references count="3">
          <reference field="4294967294" count="1" selected="0">
            <x v="0"/>
          </reference>
          <reference field="0" count="1" selected="0">
            <x v="4"/>
          </reference>
          <reference field="1" count="1" selected="0">
            <x v="76"/>
          </reference>
        </references>
      </pivotArea>
    </chartFormat>
    <chartFormat chart="0" format="102">
      <pivotArea type="data" outline="0" fieldPosition="0">
        <references count="3">
          <reference field="4294967294" count="1" selected="0">
            <x v="0"/>
          </reference>
          <reference field="0" count="1" selected="0">
            <x v="4"/>
          </reference>
          <reference field="1" count="1" selected="0">
            <x v="77"/>
          </reference>
        </references>
      </pivotArea>
    </chartFormat>
    <chartFormat chart="0" format="103">
      <pivotArea type="data" outline="0" fieldPosition="0">
        <references count="3">
          <reference field="4294967294" count="1" selected="0">
            <x v="0"/>
          </reference>
          <reference field="0" count="1" selected="0">
            <x v="4"/>
          </reference>
          <reference field="1" count="1" selected="0">
            <x v="78"/>
          </reference>
        </references>
      </pivotArea>
    </chartFormat>
    <chartFormat chart="0" format="104">
      <pivotArea type="data" outline="0" fieldPosition="0">
        <references count="3">
          <reference field="4294967294" count="1" selected="0">
            <x v="2"/>
          </reference>
          <reference field="0" count="1" selected="0">
            <x v="3"/>
          </reference>
          <reference field="1" count="1" selected="0">
            <x v="33"/>
          </reference>
        </references>
      </pivotArea>
    </chartFormat>
    <chartFormat chart="0" format="105">
      <pivotArea type="data" outline="0" fieldPosition="0">
        <references count="3">
          <reference field="4294967294" count="1" selected="0">
            <x v="2"/>
          </reference>
          <reference field="0" count="1" selected="0">
            <x v="3"/>
          </reference>
          <reference field="1" count="1" selected="0">
            <x v="34"/>
          </reference>
        </references>
      </pivotArea>
    </chartFormat>
    <chartFormat chart="0" format="106">
      <pivotArea type="data" outline="0" fieldPosition="0">
        <references count="3">
          <reference field="4294967294" count="1" selected="0">
            <x v="2"/>
          </reference>
          <reference field="0" count="1" selected="0">
            <x v="3"/>
          </reference>
          <reference field="1" count="1" selected="0">
            <x v="35"/>
          </reference>
        </references>
      </pivotArea>
    </chartFormat>
    <chartFormat chart="0" format="107">
      <pivotArea type="data" outline="0" fieldPosition="0">
        <references count="3">
          <reference field="4294967294" count="1" selected="0">
            <x v="2"/>
          </reference>
          <reference field="0" count="1" selected="0">
            <x v="3"/>
          </reference>
          <reference field="1" count="1" selected="0">
            <x v="36"/>
          </reference>
        </references>
      </pivotArea>
    </chartFormat>
    <chartFormat chart="0" format="108">
      <pivotArea type="data" outline="0" fieldPosition="0">
        <references count="3">
          <reference field="4294967294" count="1" selected="0">
            <x v="2"/>
          </reference>
          <reference field="0" count="1" selected="0">
            <x v="3"/>
          </reference>
          <reference field="1" count="1" selected="0">
            <x v="37"/>
          </reference>
        </references>
      </pivotArea>
    </chartFormat>
    <chartFormat chart="0" format="109">
      <pivotArea type="data" outline="0" fieldPosition="0">
        <references count="3">
          <reference field="4294967294" count="1" selected="0">
            <x v="2"/>
          </reference>
          <reference field="0" count="1" selected="0">
            <x v="3"/>
          </reference>
          <reference field="1" count="1" selected="0">
            <x v="38"/>
          </reference>
        </references>
      </pivotArea>
    </chartFormat>
    <chartFormat chart="0" format="110">
      <pivotArea type="data" outline="0" fieldPosition="0">
        <references count="3">
          <reference field="4294967294" count="1" selected="0">
            <x v="2"/>
          </reference>
          <reference field="0" count="1" selected="0">
            <x v="3"/>
          </reference>
          <reference field="1" count="1" selected="0">
            <x v="39"/>
          </reference>
        </references>
      </pivotArea>
    </chartFormat>
    <chartFormat chart="0" format="111">
      <pivotArea type="data" outline="0" fieldPosition="0">
        <references count="3">
          <reference field="4294967294" count="1" selected="0">
            <x v="2"/>
          </reference>
          <reference field="0" count="1" selected="0">
            <x v="3"/>
          </reference>
          <reference field="1" count="1" selected="0">
            <x v="40"/>
          </reference>
        </references>
      </pivotArea>
    </chartFormat>
    <chartFormat chart="0" format="112">
      <pivotArea type="data" outline="0" fieldPosition="0">
        <references count="3">
          <reference field="4294967294" count="1" selected="0">
            <x v="2"/>
          </reference>
          <reference field="0" count="1" selected="0">
            <x v="3"/>
          </reference>
          <reference field="1" count="1" selected="0">
            <x v="41"/>
          </reference>
        </references>
      </pivotArea>
    </chartFormat>
    <chartFormat chart="0" format="113">
      <pivotArea type="data" outline="0" fieldPosition="0">
        <references count="3">
          <reference field="4294967294" count="1" selected="0">
            <x v="2"/>
          </reference>
          <reference field="0" count="1" selected="0">
            <x v="3"/>
          </reference>
          <reference field="1" count="1" selected="0">
            <x v="42"/>
          </reference>
        </references>
      </pivotArea>
    </chartFormat>
    <chartFormat chart="0" format="114">
      <pivotArea type="data" outline="0" fieldPosition="0">
        <references count="3">
          <reference field="4294967294" count="1" selected="0">
            <x v="2"/>
          </reference>
          <reference field="0" count="1" selected="0">
            <x v="3"/>
          </reference>
          <reference field="1" count="1" selected="0">
            <x v="43"/>
          </reference>
        </references>
      </pivotArea>
    </chartFormat>
    <chartFormat chart="0" format="115">
      <pivotArea type="data" outline="0" fieldPosition="0">
        <references count="3">
          <reference field="4294967294" count="1" selected="0">
            <x v="2"/>
          </reference>
          <reference field="0" count="1" selected="0">
            <x v="3"/>
          </reference>
          <reference field="1" count="1" selected="0">
            <x v="44"/>
          </reference>
        </references>
      </pivotArea>
    </chartFormat>
    <chartFormat chart="0" format="116">
      <pivotArea type="data" outline="0" fieldPosition="0">
        <references count="3">
          <reference field="4294967294" count="1" selected="0">
            <x v="2"/>
          </reference>
          <reference field="0" count="1" selected="0">
            <x v="3"/>
          </reference>
          <reference field="1" count="1" selected="0">
            <x v="45"/>
          </reference>
        </references>
      </pivotArea>
    </chartFormat>
    <chartFormat chart="0" format="117">
      <pivotArea type="data" outline="0" fieldPosition="0">
        <references count="3">
          <reference field="4294967294" count="1" selected="0">
            <x v="2"/>
          </reference>
          <reference field="0" count="1" selected="0">
            <x v="3"/>
          </reference>
          <reference field="1" count="1" selected="0">
            <x v="46"/>
          </reference>
        </references>
      </pivotArea>
    </chartFormat>
    <chartFormat chart="0" format="118">
      <pivotArea type="data" outline="0" fieldPosition="0">
        <references count="3">
          <reference field="4294967294" count="1" selected="0">
            <x v="2"/>
          </reference>
          <reference field="0" count="1" selected="0">
            <x v="3"/>
          </reference>
          <reference field="1" count="1" selected="0">
            <x v="47"/>
          </reference>
        </references>
      </pivotArea>
    </chartFormat>
    <chartFormat chart="0" format="119">
      <pivotArea type="data" outline="0" fieldPosition="0">
        <references count="3">
          <reference field="4294967294" count="1" selected="0">
            <x v="2"/>
          </reference>
          <reference field="0" count="1" selected="0">
            <x v="3"/>
          </reference>
          <reference field="1" count="1" selected="0">
            <x v="48"/>
          </reference>
        </references>
      </pivotArea>
    </chartFormat>
    <chartFormat chart="0" format="120">
      <pivotArea type="data" outline="0" fieldPosition="0">
        <references count="3">
          <reference field="4294967294" count="1" selected="0">
            <x v="2"/>
          </reference>
          <reference field="0" count="1" selected="0">
            <x v="3"/>
          </reference>
          <reference field="1" count="1" selected="0">
            <x v="49"/>
          </reference>
        </references>
      </pivotArea>
    </chartFormat>
    <chartFormat chart="0" format="121">
      <pivotArea type="data" outline="0" fieldPosition="0">
        <references count="3">
          <reference field="4294967294" count="1" selected="0">
            <x v="2"/>
          </reference>
          <reference field="0" count="1" selected="0">
            <x v="3"/>
          </reference>
          <reference field="1" count="1" selected="0">
            <x v="50"/>
          </reference>
        </references>
      </pivotArea>
    </chartFormat>
    <chartFormat chart="0" format="122">
      <pivotArea type="data" outline="0" fieldPosition="0">
        <references count="3">
          <reference field="4294967294" count="1" selected="0">
            <x v="2"/>
          </reference>
          <reference field="0" count="1" selected="0">
            <x v="3"/>
          </reference>
          <reference field="1" count="1" selected="0">
            <x v="51"/>
          </reference>
        </references>
      </pivotArea>
    </chartFormat>
    <chartFormat chart="0" format="123">
      <pivotArea type="data" outline="0" fieldPosition="0">
        <references count="3">
          <reference field="4294967294" count="1" selected="0">
            <x v="2"/>
          </reference>
          <reference field="0" count="1" selected="0">
            <x v="3"/>
          </reference>
          <reference field="1" count="1" selected="0">
            <x v="52"/>
          </reference>
        </references>
      </pivotArea>
    </chartFormat>
    <chartFormat chart="0" format="124">
      <pivotArea type="data" outline="0" fieldPosition="0">
        <references count="3">
          <reference field="4294967294" count="1" selected="0">
            <x v="2"/>
          </reference>
          <reference field="0" count="1" selected="0">
            <x v="3"/>
          </reference>
          <reference field="1" count="1" selected="0">
            <x v="53"/>
          </reference>
        </references>
      </pivotArea>
    </chartFormat>
    <chartFormat chart="0" format="125">
      <pivotArea type="data" outline="0" fieldPosition="0">
        <references count="3">
          <reference field="4294967294" count="1" selected="0">
            <x v="2"/>
          </reference>
          <reference field="0" count="1" selected="0">
            <x v="3"/>
          </reference>
          <reference field="1" count="1" selected="0">
            <x v="54"/>
          </reference>
        </references>
      </pivotArea>
    </chartFormat>
    <chartFormat chart="0" format="126">
      <pivotArea type="data" outline="0" fieldPosition="0">
        <references count="3">
          <reference field="4294967294" count="1" selected="0">
            <x v="2"/>
          </reference>
          <reference field="0" count="1" selected="0">
            <x v="3"/>
          </reference>
          <reference field="1" count="1" selected="0">
            <x v="55"/>
          </reference>
        </references>
      </pivotArea>
    </chartFormat>
    <chartFormat chart="0" format="127">
      <pivotArea type="data" outline="0" fieldPosition="0">
        <references count="3">
          <reference field="4294967294" count="1" selected="0">
            <x v="2"/>
          </reference>
          <reference field="0" count="1" selected="0">
            <x v="3"/>
          </reference>
          <reference field="1" count="1" selected="0">
            <x v="56"/>
          </reference>
        </references>
      </pivotArea>
    </chartFormat>
    <chartFormat chart="0" format="128">
      <pivotArea type="data" outline="0" fieldPosition="0">
        <references count="3">
          <reference field="4294967294" count="1" selected="0">
            <x v="2"/>
          </reference>
          <reference field="0" count="1" selected="0">
            <x v="3"/>
          </reference>
          <reference field="1" count="1" selected="0">
            <x v="57"/>
          </reference>
        </references>
      </pivotArea>
    </chartFormat>
    <chartFormat chart="0" format="129">
      <pivotArea type="data" outline="0" fieldPosition="0">
        <references count="3">
          <reference field="4294967294" count="1" selected="0">
            <x v="2"/>
          </reference>
          <reference field="0" count="1" selected="0">
            <x v="3"/>
          </reference>
          <reference field="1" count="1" selected="0">
            <x v="58"/>
          </reference>
        </references>
      </pivotArea>
    </chartFormat>
    <chartFormat chart="0" format="130">
      <pivotArea type="data" outline="0" fieldPosition="0">
        <references count="3">
          <reference field="4294967294" count="1" selected="0">
            <x v="2"/>
          </reference>
          <reference field="0" count="1" selected="0">
            <x v="3"/>
          </reference>
          <reference field="1" count="1" selected="0">
            <x v="59"/>
          </reference>
        </references>
      </pivotArea>
    </chartFormat>
    <chartFormat chart="0" format="131">
      <pivotArea type="data" outline="0" fieldPosition="0">
        <references count="3">
          <reference field="4294967294" count="1" selected="0">
            <x v="2"/>
          </reference>
          <reference field="0" count="1" selected="0">
            <x v="3"/>
          </reference>
          <reference field="1" count="1" selected="0">
            <x v="60"/>
          </reference>
        </references>
      </pivotArea>
    </chartFormat>
    <chartFormat chart="0" format="132">
      <pivotArea type="data" outline="0" fieldPosition="0">
        <references count="3">
          <reference field="4294967294" count="1" selected="0">
            <x v="2"/>
          </reference>
          <reference field="0" count="1" selected="0">
            <x v="3"/>
          </reference>
          <reference field="1" count="1" selected="0">
            <x v="61"/>
          </reference>
        </references>
      </pivotArea>
    </chartFormat>
    <chartFormat chart="0" format="133">
      <pivotArea type="data" outline="0" fieldPosition="0">
        <references count="3">
          <reference field="4294967294" count="1" selected="0">
            <x v="2"/>
          </reference>
          <reference field="0" count="1" selected="0">
            <x v="3"/>
          </reference>
          <reference field="1" count="1" selected="0">
            <x v="62"/>
          </reference>
        </references>
      </pivotArea>
    </chartFormat>
    <chartFormat chart="0" format="134">
      <pivotArea type="data" outline="0" fieldPosition="0">
        <references count="3">
          <reference field="4294967294" count="1" selected="0">
            <x v="2"/>
          </reference>
          <reference field="0" count="1" selected="0">
            <x v="4"/>
          </reference>
          <reference field="1" count="1" selected="0">
            <x v="31"/>
          </reference>
        </references>
      </pivotArea>
    </chartFormat>
    <chartFormat chart="0" format="135">
      <pivotArea type="data" outline="0" fieldPosition="0">
        <references count="3">
          <reference field="4294967294" count="1" selected="0">
            <x v="2"/>
          </reference>
          <reference field="0" count="1" selected="0">
            <x v="4"/>
          </reference>
          <reference field="1" count="1" selected="0">
            <x v="32"/>
          </reference>
        </references>
      </pivotArea>
    </chartFormat>
    <chartFormat chart="0" format="136">
      <pivotArea type="data" outline="0" fieldPosition="0">
        <references count="3">
          <reference field="4294967294" count="1" selected="0">
            <x v="2"/>
          </reference>
          <reference field="0" count="1" selected="0">
            <x v="4"/>
          </reference>
          <reference field="1" count="1" selected="0">
            <x v="33"/>
          </reference>
        </references>
      </pivotArea>
    </chartFormat>
    <chartFormat chart="0" format="137">
      <pivotArea type="data" outline="0" fieldPosition="0">
        <references count="3">
          <reference field="4294967294" count="1" selected="0">
            <x v="2"/>
          </reference>
          <reference field="0" count="1" selected="0">
            <x v="4"/>
          </reference>
          <reference field="1" count="1" selected="0">
            <x v="34"/>
          </reference>
        </references>
      </pivotArea>
    </chartFormat>
    <chartFormat chart="0" format="138">
      <pivotArea type="data" outline="0" fieldPosition="0">
        <references count="3">
          <reference field="4294967294" count="1" selected="0">
            <x v="2"/>
          </reference>
          <reference field="0" count="1" selected="0">
            <x v="4"/>
          </reference>
          <reference field="1" count="1" selected="0">
            <x v="35"/>
          </reference>
        </references>
      </pivotArea>
    </chartFormat>
    <chartFormat chart="0" format="139">
      <pivotArea type="data" outline="0" fieldPosition="0">
        <references count="3">
          <reference field="4294967294" count="1" selected="0">
            <x v="2"/>
          </reference>
          <reference field="0" count="1" selected="0">
            <x v="4"/>
          </reference>
          <reference field="1" count="1" selected="0">
            <x v="36"/>
          </reference>
        </references>
      </pivotArea>
    </chartFormat>
    <chartFormat chart="0" format="140">
      <pivotArea type="data" outline="0" fieldPosition="0">
        <references count="3">
          <reference field="4294967294" count="1" selected="0">
            <x v="2"/>
          </reference>
          <reference field="0" count="1" selected="0">
            <x v="4"/>
          </reference>
          <reference field="1" count="1" selected="0">
            <x v="37"/>
          </reference>
        </references>
      </pivotArea>
    </chartFormat>
    <chartFormat chart="0" format="141">
      <pivotArea type="data" outline="0" fieldPosition="0">
        <references count="3">
          <reference field="4294967294" count="1" selected="0">
            <x v="2"/>
          </reference>
          <reference field="0" count="1" selected="0">
            <x v="4"/>
          </reference>
          <reference field="1" count="1" selected="0">
            <x v="38"/>
          </reference>
        </references>
      </pivotArea>
    </chartFormat>
    <chartFormat chart="0" format="142">
      <pivotArea type="data" outline="0" fieldPosition="0">
        <references count="3">
          <reference field="4294967294" count="1" selected="0">
            <x v="2"/>
          </reference>
          <reference field="0" count="1" selected="0">
            <x v="4"/>
          </reference>
          <reference field="1" count="1" selected="0">
            <x v="39"/>
          </reference>
        </references>
      </pivotArea>
    </chartFormat>
    <chartFormat chart="0" format="143">
      <pivotArea type="data" outline="0" fieldPosition="0">
        <references count="3">
          <reference field="4294967294" count="1" selected="0">
            <x v="2"/>
          </reference>
          <reference field="0" count="1" selected="0">
            <x v="4"/>
          </reference>
          <reference field="1" count="1" selected="0">
            <x v="40"/>
          </reference>
        </references>
      </pivotArea>
    </chartFormat>
    <chartFormat chart="0" format="144">
      <pivotArea type="data" outline="0" fieldPosition="0">
        <references count="3">
          <reference field="4294967294" count="1" selected="0">
            <x v="2"/>
          </reference>
          <reference field="0" count="1" selected="0">
            <x v="4"/>
          </reference>
          <reference field="1" count="1" selected="0">
            <x v="41"/>
          </reference>
        </references>
      </pivotArea>
    </chartFormat>
    <chartFormat chart="0" format="145">
      <pivotArea type="data" outline="0" fieldPosition="0">
        <references count="3">
          <reference field="4294967294" count="1" selected="0">
            <x v="2"/>
          </reference>
          <reference field="0" count="1" selected="0">
            <x v="4"/>
          </reference>
          <reference field="1" count="1" selected="0">
            <x v="42"/>
          </reference>
        </references>
      </pivotArea>
    </chartFormat>
    <chartFormat chart="0" format="146">
      <pivotArea type="data" outline="0" fieldPosition="0">
        <references count="3">
          <reference field="4294967294" count="1" selected="0">
            <x v="2"/>
          </reference>
          <reference field="0" count="1" selected="0">
            <x v="4"/>
          </reference>
          <reference field="1" count="1" selected="0">
            <x v="43"/>
          </reference>
        </references>
      </pivotArea>
    </chartFormat>
    <chartFormat chart="0" format="147">
      <pivotArea type="data" outline="0" fieldPosition="0">
        <references count="3">
          <reference field="4294967294" count="1" selected="0">
            <x v="2"/>
          </reference>
          <reference field="0" count="1" selected="0">
            <x v="4"/>
          </reference>
          <reference field="1" count="1" selected="0">
            <x v="44"/>
          </reference>
        </references>
      </pivotArea>
    </chartFormat>
    <chartFormat chart="0" format="148">
      <pivotArea type="data" outline="0" fieldPosition="0">
        <references count="3">
          <reference field="4294967294" count="1" selected="0">
            <x v="2"/>
          </reference>
          <reference field="0" count="1" selected="0">
            <x v="4"/>
          </reference>
          <reference field="1" count="1" selected="0">
            <x v="45"/>
          </reference>
        </references>
      </pivotArea>
    </chartFormat>
    <chartFormat chart="0" format="149">
      <pivotArea type="data" outline="0" fieldPosition="0">
        <references count="3">
          <reference field="4294967294" count="1" selected="0">
            <x v="2"/>
          </reference>
          <reference field="0" count="1" selected="0">
            <x v="4"/>
          </reference>
          <reference field="1" count="1" selected="0">
            <x v="46"/>
          </reference>
        </references>
      </pivotArea>
    </chartFormat>
    <chartFormat chart="0" format="150">
      <pivotArea type="data" outline="0" fieldPosition="0">
        <references count="3">
          <reference field="4294967294" count="1" selected="0">
            <x v="2"/>
          </reference>
          <reference field="0" count="1" selected="0">
            <x v="4"/>
          </reference>
          <reference field="1" count="1" selected="0">
            <x v="47"/>
          </reference>
        </references>
      </pivotArea>
    </chartFormat>
    <chartFormat chart="0" format="151">
      <pivotArea type="data" outline="0" fieldPosition="0">
        <references count="3">
          <reference field="4294967294" count="1" selected="0">
            <x v="2"/>
          </reference>
          <reference field="0" count="1" selected="0">
            <x v="4"/>
          </reference>
          <reference field="1" count="1" selected="0">
            <x v="48"/>
          </reference>
        </references>
      </pivotArea>
    </chartFormat>
    <chartFormat chart="0" format="152">
      <pivotArea type="data" outline="0" fieldPosition="0">
        <references count="3">
          <reference field="4294967294" count="1" selected="0">
            <x v="2"/>
          </reference>
          <reference field="0" count="1" selected="0">
            <x v="4"/>
          </reference>
          <reference field="1" count="1" selected="0">
            <x v="49"/>
          </reference>
        </references>
      </pivotArea>
    </chartFormat>
    <chartFormat chart="0" format="153">
      <pivotArea type="data" outline="0" fieldPosition="0">
        <references count="3">
          <reference field="4294967294" count="1" selected="0">
            <x v="2"/>
          </reference>
          <reference field="0" count="1" selected="0">
            <x v="4"/>
          </reference>
          <reference field="1" count="1" selected="0">
            <x v="50"/>
          </reference>
        </references>
      </pivotArea>
    </chartFormat>
    <chartFormat chart="0" format="154">
      <pivotArea type="data" outline="0" fieldPosition="0">
        <references count="3">
          <reference field="4294967294" count="1" selected="0">
            <x v="2"/>
          </reference>
          <reference field="0" count="1" selected="0">
            <x v="4"/>
          </reference>
          <reference field="1" count="1" selected="0">
            <x v="51"/>
          </reference>
        </references>
      </pivotArea>
    </chartFormat>
    <chartFormat chart="0" format="155">
      <pivotArea type="data" outline="0" fieldPosition="0">
        <references count="3">
          <reference field="4294967294" count="1" selected="0">
            <x v="2"/>
          </reference>
          <reference field="0" count="1" selected="0">
            <x v="4"/>
          </reference>
          <reference field="1" count="1" selected="0">
            <x v="52"/>
          </reference>
        </references>
      </pivotArea>
    </chartFormat>
    <chartFormat chart="0" format="156">
      <pivotArea type="data" outline="0" fieldPosition="0">
        <references count="3">
          <reference field="4294967294" count="1" selected="0">
            <x v="2"/>
          </reference>
          <reference field="0" count="1" selected="0">
            <x v="4"/>
          </reference>
          <reference field="1" count="1" selected="0">
            <x v="53"/>
          </reference>
        </references>
      </pivotArea>
    </chartFormat>
    <chartFormat chart="0" format="157">
      <pivotArea type="data" outline="0" fieldPosition="0">
        <references count="3">
          <reference field="4294967294" count="1" selected="0">
            <x v="2"/>
          </reference>
          <reference field="0" count="1" selected="0">
            <x v="4"/>
          </reference>
          <reference field="1" count="1" selected="0">
            <x v="54"/>
          </reference>
        </references>
      </pivotArea>
    </chartFormat>
    <chartFormat chart="0" format="158">
      <pivotArea type="data" outline="0" fieldPosition="0">
        <references count="3">
          <reference field="4294967294" count="1" selected="0">
            <x v="2"/>
          </reference>
          <reference field="0" count="1" selected="0">
            <x v="4"/>
          </reference>
          <reference field="1" count="1" selected="0">
            <x v="55"/>
          </reference>
        </references>
      </pivotArea>
    </chartFormat>
    <chartFormat chart="0" format="159">
      <pivotArea type="data" outline="0" fieldPosition="0">
        <references count="3">
          <reference field="4294967294" count="1" selected="0">
            <x v="2"/>
          </reference>
          <reference field="0" count="1" selected="0">
            <x v="4"/>
          </reference>
          <reference field="1" count="1" selected="0">
            <x v="56"/>
          </reference>
        </references>
      </pivotArea>
    </chartFormat>
    <chartFormat chart="0" format="160">
      <pivotArea type="data" outline="0" fieldPosition="0">
        <references count="3">
          <reference field="4294967294" count="1" selected="0">
            <x v="2"/>
          </reference>
          <reference field="0" count="1" selected="0">
            <x v="4"/>
          </reference>
          <reference field="1" count="1" selected="0">
            <x v="57"/>
          </reference>
        </references>
      </pivotArea>
    </chartFormat>
    <chartFormat chart="0" format="161">
      <pivotArea type="data" outline="0" fieldPosition="0">
        <references count="3">
          <reference field="4294967294" count="1" selected="0">
            <x v="2"/>
          </reference>
          <reference field="0" count="1" selected="0">
            <x v="4"/>
          </reference>
          <reference field="1" count="1" selected="0">
            <x v="58"/>
          </reference>
        </references>
      </pivotArea>
    </chartFormat>
    <chartFormat chart="0" format="162">
      <pivotArea type="data" outline="0" fieldPosition="0">
        <references count="3">
          <reference field="4294967294" count="1" selected="0">
            <x v="2"/>
          </reference>
          <reference field="0" count="1" selected="0">
            <x v="4"/>
          </reference>
          <reference field="1" count="1" selected="0">
            <x v="59"/>
          </reference>
        </references>
      </pivotArea>
    </chartFormat>
    <chartFormat chart="0" format="163">
      <pivotArea type="data" outline="0" fieldPosition="0">
        <references count="3">
          <reference field="4294967294" count="1" selected="0">
            <x v="2"/>
          </reference>
          <reference field="0" count="1" selected="0">
            <x v="4"/>
          </reference>
          <reference field="1" count="1" selected="0">
            <x v="60"/>
          </reference>
        </references>
      </pivotArea>
    </chartFormat>
    <chartFormat chart="0" format="164">
      <pivotArea type="data" outline="0" fieldPosition="0">
        <references count="3">
          <reference field="4294967294" count="1" selected="0">
            <x v="2"/>
          </reference>
          <reference field="0" count="1" selected="0">
            <x v="4"/>
          </reference>
          <reference field="1" count="1" selected="0">
            <x v="63"/>
          </reference>
        </references>
      </pivotArea>
    </chartFormat>
    <chartFormat chart="0" format="165">
      <pivotArea type="data" outline="0" fieldPosition="0">
        <references count="3">
          <reference field="4294967294" count="1" selected="0">
            <x v="2"/>
          </reference>
          <reference field="0" count="1" selected="0">
            <x v="4"/>
          </reference>
          <reference field="1" count="1" selected="0">
            <x v="64"/>
          </reference>
        </references>
      </pivotArea>
    </chartFormat>
    <chartFormat chart="0" format="166">
      <pivotArea type="data" outline="0" fieldPosition="0">
        <references count="3">
          <reference field="4294967294" count="1" selected="0">
            <x v="2"/>
          </reference>
          <reference field="0" count="1" selected="0">
            <x v="4"/>
          </reference>
          <reference field="1" count="1" selected="0">
            <x v="65"/>
          </reference>
        </references>
      </pivotArea>
    </chartFormat>
    <chartFormat chart="0" format="167">
      <pivotArea type="data" outline="0" fieldPosition="0">
        <references count="3">
          <reference field="4294967294" count="1" selected="0">
            <x v="2"/>
          </reference>
          <reference field="0" count="1" selected="0">
            <x v="4"/>
          </reference>
          <reference field="1" count="1" selected="0">
            <x v="66"/>
          </reference>
        </references>
      </pivotArea>
    </chartFormat>
    <chartFormat chart="0" format="168">
      <pivotArea type="data" outline="0" fieldPosition="0">
        <references count="3">
          <reference field="4294967294" count="1" selected="0">
            <x v="2"/>
          </reference>
          <reference field="0" count="1" selected="0">
            <x v="4"/>
          </reference>
          <reference field="1" count="1" selected="0">
            <x v="67"/>
          </reference>
        </references>
      </pivotArea>
    </chartFormat>
    <chartFormat chart="0" format="169">
      <pivotArea type="data" outline="0" fieldPosition="0">
        <references count="3">
          <reference field="4294967294" count="1" selected="0">
            <x v="2"/>
          </reference>
          <reference field="0" count="1" selected="0">
            <x v="4"/>
          </reference>
          <reference field="1" count="1" selected="0">
            <x v="68"/>
          </reference>
        </references>
      </pivotArea>
    </chartFormat>
    <chartFormat chart="0" format="170">
      <pivotArea type="data" outline="0" fieldPosition="0">
        <references count="3">
          <reference field="4294967294" count="1" selected="0">
            <x v="2"/>
          </reference>
          <reference field="0" count="1" selected="0">
            <x v="4"/>
          </reference>
          <reference field="1" count="1" selected="0">
            <x v="69"/>
          </reference>
        </references>
      </pivotArea>
    </chartFormat>
    <chartFormat chart="0" format="171">
      <pivotArea type="data" outline="0" fieldPosition="0">
        <references count="3">
          <reference field="4294967294" count="1" selected="0">
            <x v="2"/>
          </reference>
          <reference field="0" count="1" selected="0">
            <x v="4"/>
          </reference>
          <reference field="1" count="1" selected="0">
            <x v="70"/>
          </reference>
        </references>
      </pivotArea>
    </chartFormat>
    <chartFormat chart="0" format="172">
      <pivotArea type="data" outline="0" fieldPosition="0">
        <references count="3">
          <reference field="4294967294" count="1" selected="0">
            <x v="2"/>
          </reference>
          <reference field="0" count="1" selected="0">
            <x v="4"/>
          </reference>
          <reference field="1" count="1" selected="0">
            <x v="71"/>
          </reference>
        </references>
      </pivotArea>
    </chartFormat>
    <chartFormat chart="0" format="173">
      <pivotArea type="data" outline="0" fieldPosition="0">
        <references count="3">
          <reference field="4294967294" count="1" selected="0">
            <x v="2"/>
          </reference>
          <reference field="0" count="1" selected="0">
            <x v="4"/>
          </reference>
          <reference field="1" count="1" selected="0">
            <x v="72"/>
          </reference>
        </references>
      </pivotArea>
    </chartFormat>
    <chartFormat chart="0" format="174">
      <pivotArea type="data" outline="0" fieldPosition="0">
        <references count="3">
          <reference field="4294967294" count="1" selected="0">
            <x v="2"/>
          </reference>
          <reference field="0" count="1" selected="0">
            <x v="4"/>
          </reference>
          <reference field="1" count="1" selected="0">
            <x v="73"/>
          </reference>
        </references>
      </pivotArea>
    </chartFormat>
    <chartFormat chart="0" format="175">
      <pivotArea type="data" outline="0" fieldPosition="0">
        <references count="3">
          <reference field="4294967294" count="1" selected="0">
            <x v="2"/>
          </reference>
          <reference field="0" count="1" selected="0">
            <x v="4"/>
          </reference>
          <reference field="1" count="1" selected="0">
            <x v="74"/>
          </reference>
        </references>
      </pivotArea>
    </chartFormat>
    <chartFormat chart="0" format="176">
      <pivotArea type="data" outline="0" fieldPosition="0">
        <references count="3">
          <reference field="4294967294" count="1" selected="0">
            <x v="2"/>
          </reference>
          <reference field="0" count="1" selected="0">
            <x v="4"/>
          </reference>
          <reference field="1" count="1" selected="0">
            <x v="75"/>
          </reference>
        </references>
      </pivotArea>
    </chartFormat>
    <chartFormat chart="0" format="177">
      <pivotArea type="data" outline="0" fieldPosition="0">
        <references count="3">
          <reference field="4294967294" count="1" selected="0">
            <x v="2"/>
          </reference>
          <reference field="0" count="1" selected="0">
            <x v="4"/>
          </reference>
          <reference field="1" count="1" selected="0">
            <x v="76"/>
          </reference>
        </references>
      </pivotArea>
    </chartFormat>
    <chartFormat chart="0" format="178">
      <pivotArea type="data" outline="0" fieldPosition="0">
        <references count="3">
          <reference field="4294967294" count="1" selected="0">
            <x v="2"/>
          </reference>
          <reference field="0" count="1" selected="0">
            <x v="4"/>
          </reference>
          <reference field="1" count="1" selected="0">
            <x v="77"/>
          </reference>
        </references>
      </pivotArea>
    </chartFormat>
    <chartFormat chart="0" format="179">
      <pivotArea type="data" outline="0" fieldPosition="0">
        <references count="3">
          <reference field="4294967294" count="1" selected="0">
            <x v="2"/>
          </reference>
          <reference field="0" count="1" selected="0">
            <x v="4"/>
          </reference>
          <reference field="1" count="1" selected="0">
            <x v="78"/>
          </reference>
        </references>
      </pivotArea>
    </chartFormat>
    <chartFormat chart="0" format="180">
      <pivotArea type="data" outline="0" fieldPosition="0">
        <references count="3">
          <reference field="4294967294" count="1" selected="0">
            <x v="0"/>
          </reference>
          <reference field="0" count="1" selected="0">
            <x v="3"/>
          </reference>
          <reference field="1" count="1" selected="0">
            <x v="31"/>
          </reference>
        </references>
      </pivotArea>
    </chartFormat>
    <chartFormat chart="0" format="181">
      <pivotArea type="data" outline="0" fieldPosition="0">
        <references count="3">
          <reference field="4294967294" count="1" selected="0">
            <x v="0"/>
          </reference>
          <reference field="0" count="1" selected="0">
            <x v="3"/>
          </reference>
          <reference field="1" count="1" selected="0">
            <x v="32"/>
          </reference>
        </references>
      </pivotArea>
    </chartFormat>
    <chartFormat chart="0" format="182">
      <pivotArea type="data" outline="0" fieldPosition="0">
        <references count="3">
          <reference field="4294967294" count="1" selected="0">
            <x v="2"/>
          </reference>
          <reference field="0" count="1" selected="0">
            <x v="3"/>
          </reference>
          <reference field="1" count="1" selected="0">
            <x v="31"/>
          </reference>
        </references>
      </pivotArea>
    </chartFormat>
    <chartFormat chart="0" format="183">
      <pivotArea type="data" outline="0" fieldPosition="0">
        <references count="3">
          <reference field="4294967294" count="1" selected="0">
            <x v="2"/>
          </reference>
          <reference field="0" count="1" selected="0">
            <x v="3"/>
          </reference>
          <reference field="1" count="1" selected="0">
            <x v="32"/>
          </reference>
        </references>
      </pivotArea>
    </chartFormat>
    <chartFormat chart="0" format="184">
      <pivotArea type="data" outline="0" fieldPosition="0">
        <references count="3">
          <reference field="4294967294" count="1" selected="0">
            <x v="0"/>
          </reference>
          <reference field="0" count="1" selected="0">
            <x v="4"/>
          </reference>
          <reference field="1" count="1" selected="0">
            <x v="61"/>
          </reference>
        </references>
      </pivotArea>
    </chartFormat>
    <chartFormat chart="0" format="185">
      <pivotArea type="data" outline="0" fieldPosition="0">
        <references count="3">
          <reference field="4294967294" count="1" selected="0">
            <x v="0"/>
          </reference>
          <reference field="0" count="1" selected="0">
            <x v="4"/>
          </reference>
          <reference field="1" count="1" selected="0">
            <x v="62"/>
          </reference>
        </references>
      </pivotArea>
    </chartFormat>
    <chartFormat chart="0" format="186">
      <pivotArea type="data" outline="0" fieldPosition="0">
        <references count="3">
          <reference field="4294967294" count="1" selected="0">
            <x v="0"/>
          </reference>
          <reference field="0" count="1" selected="0">
            <x v="5"/>
          </reference>
          <reference field="1" count="1" selected="0">
            <x v="31"/>
          </reference>
        </references>
      </pivotArea>
    </chartFormat>
    <chartFormat chart="0" format="187">
      <pivotArea type="data" outline="0" fieldPosition="0">
        <references count="3">
          <reference field="4294967294" count="1" selected="0">
            <x v="0"/>
          </reference>
          <reference field="0" count="1" selected="0">
            <x v="5"/>
          </reference>
          <reference field="1" count="1" selected="0">
            <x v="32"/>
          </reference>
        </references>
      </pivotArea>
    </chartFormat>
    <chartFormat chart="0" format="188">
      <pivotArea type="data" outline="0" fieldPosition="0">
        <references count="3">
          <reference field="4294967294" count="1" selected="0">
            <x v="0"/>
          </reference>
          <reference field="0" count="1" selected="0">
            <x v="5"/>
          </reference>
          <reference field="1" count="1" selected="0">
            <x v="33"/>
          </reference>
        </references>
      </pivotArea>
    </chartFormat>
    <chartFormat chart="0" format="189">
      <pivotArea type="data" outline="0" fieldPosition="0">
        <references count="3">
          <reference field="4294967294" count="1" selected="0">
            <x v="0"/>
          </reference>
          <reference field="0" count="1" selected="0">
            <x v="5"/>
          </reference>
          <reference field="1" count="1" selected="0">
            <x v="34"/>
          </reference>
        </references>
      </pivotArea>
    </chartFormat>
    <chartFormat chart="0" format="190">
      <pivotArea type="data" outline="0" fieldPosition="0">
        <references count="3">
          <reference field="4294967294" count="1" selected="0">
            <x v="0"/>
          </reference>
          <reference field="0" count="1" selected="0">
            <x v="5"/>
          </reference>
          <reference field="1" count="1" selected="0">
            <x v="35"/>
          </reference>
        </references>
      </pivotArea>
    </chartFormat>
    <chartFormat chart="0" format="191">
      <pivotArea type="data" outline="0" fieldPosition="0">
        <references count="3">
          <reference field="4294967294" count="1" selected="0">
            <x v="0"/>
          </reference>
          <reference field="0" count="1" selected="0">
            <x v="5"/>
          </reference>
          <reference field="1" count="1" selected="0">
            <x v="36"/>
          </reference>
        </references>
      </pivotArea>
    </chartFormat>
    <chartFormat chart="0" format="192">
      <pivotArea type="data" outline="0" fieldPosition="0">
        <references count="3">
          <reference field="4294967294" count="1" selected="0">
            <x v="0"/>
          </reference>
          <reference field="0" count="1" selected="0">
            <x v="5"/>
          </reference>
          <reference field="1" count="1" selected="0">
            <x v="37"/>
          </reference>
        </references>
      </pivotArea>
    </chartFormat>
    <chartFormat chart="0" format="193">
      <pivotArea type="data" outline="0" fieldPosition="0">
        <references count="3">
          <reference field="4294967294" count="1" selected="0">
            <x v="0"/>
          </reference>
          <reference field="0" count="1" selected="0">
            <x v="5"/>
          </reference>
          <reference field="1" count="1" selected="0">
            <x v="38"/>
          </reference>
        </references>
      </pivotArea>
    </chartFormat>
    <chartFormat chart="0" format="194">
      <pivotArea type="data" outline="0" fieldPosition="0">
        <references count="3">
          <reference field="4294967294" count="1" selected="0">
            <x v="0"/>
          </reference>
          <reference field="0" count="1" selected="0">
            <x v="5"/>
          </reference>
          <reference field="1" count="1" selected="0">
            <x v="40"/>
          </reference>
        </references>
      </pivotArea>
    </chartFormat>
    <chartFormat chart="0" format="195">
      <pivotArea type="data" outline="0" fieldPosition="0">
        <references count="3">
          <reference field="4294967294" count="1" selected="0">
            <x v="0"/>
          </reference>
          <reference field="0" count="1" selected="0">
            <x v="5"/>
          </reference>
          <reference field="1" count="1" selected="0">
            <x v="63"/>
          </reference>
        </references>
      </pivotArea>
    </chartFormat>
    <chartFormat chart="0" format="196">
      <pivotArea type="data" outline="0" fieldPosition="0">
        <references count="3">
          <reference field="4294967294" count="1" selected="0">
            <x v="0"/>
          </reference>
          <reference field="0" count="1" selected="0">
            <x v="5"/>
          </reference>
          <reference field="1" count="1" selected="0">
            <x v="64"/>
          </reference>
        </references>
      </pivotArea>
    </chartFormat>
    <chartFormat chart="0" format="197">
      <pivotArea type="data" outline="0" fieldPosition="0">
        <references count="3">
          <reference field="4294967294" count="1" selected="0">
            <x v="0"/>
          </reference>
          <reference field="0" count="1" selected="0">
            <x v="5"/>
          </reference>
          <reference field="1" count="1" selected="0">
            <x v="65"/>
          </reference>
        </references>
      </pivotArea>
    </chartFormat>
    <chartFormat chart="0" format="198">
      <pivotArea type="data" outline="0" fieldPosition="0">
        <references count="3">
          <reference field="4294967294" count="1" selected="0">
            <x v="0"/>
          </reference>
          <reference field="0" count="1" selected="0">
            <x v="5"/>
          </reference>
          <reference field="1" count="1" selected="0">
            <x v="66"/>
          </reference>
        </references>
      </pivotArea>
    </chartFormat>
    <chartFormat chart="0" format="199">
      <pivotArea type="data" outline="0" fieldPosition="0">
        <references count="3">
          <reference field="4294967294" count="1" selected="0">
            <x v="0"/>
          </reference>
          <reference field="0" count="1" selected="0">
            <x v="5"/>
          </reference>
          <reference field="1" count="1" selected="0">
            <x v="67"/>
          </reference>
        </references>
      </pivotArea>
    </chartFormat>
    <chartFormat chart="0" format="200">
      <pivotArea type="data" outline="0" fieldPosition="0">
        <references count="3">
          <reference field="4294967294" count="1" selected="0">
            <x v="0"/>
          </reference>
          <reference field="0" count="1" selected="0">
            <x v="5"/>
          </reference>
          <reference field="1" count="1" selected="0">
            <x v="68"/>
          </reference>
        </references>
      </pivotArea>
    </chartFormat>
    <chartFormat chart="0" format="201">
      <pivotArea type="data" outline="0" fieldPosition="0">
        <references count="3">
          <reference field="4294967294" count="1" selected="0">
            <x v="0"/>
          </reference>
          <reference field="0" count="1" selected="0">
            <x v="5"/>
          </reference>
          <reference field="1" count="1" selected="0">
            <x v="69"/>
          </reference>
        </references>
      </pivotArea>
    </chartFormat>
    <chartFormat chart="0" format="202">
      <pivotArea type="data" outline="0" fieldPosition="0">
        <references count="3">
          <reference field="4294967294" count="1" selected="0">
            <x v="0"/>
          </reference>
          <reference field="0" count="1" selected="0">
            <x v="5"/>
          </reference>
          <reference field="1" count="1" selected="0">
            <x v="70"/>
          </reference>
        </references>
      </pivotArea>
    </chartFormat>
    <chartFormat chart="0" format="203">
      <pivotArea type="data" outline="0" fieldPosition="0">
        <references count="3">
          <reference field="4294967294" count="1" selected="0">
            <x v="0"/>
          </reference>
          <reference field="0" count="1" selected="0">
            <x v="5"/>
          </reference>
          <reference field="1" count="1" selected="0">
            <x v="71"/>
          </reference>
        </references>
      </pivotArea>
    </chartFormat>
    <chartFormat chart="0" format="204">
      <pivotArea type="data" outline="0" fieldPosition="0">
        <references count="3">
          <reference field="4294967294" count="1" selected="0">
            <x v="0"/>
          </reference>
          <reference field="0" count="1" selected="0">
            <x v="5"/>
          </reference>
          <reference field="1" count="1" selected="0">
            <x v="72"/>
          </reference>
        </references>
      </pivotArea>
    </chartFormat>
    <chartFormat chart="0" format="205">
      <pivotArea type="data" outline="0" fieldPosition="0">
        <references count="3">
          <reference field="4294967294" count="1" selected="0">
            <x v="0"/>
          </reference>
          <reference field="0" count="1" selected="0">
            <x v="5"/>
          </reference>
          <reference field="1" count="1" selected="0">
            <x v="73"/>
          </reference>
        </references>
      </pivotArea>
    </chartFormat>
    <chartFormat chart="0" format="206">
      <pivotArea type="data" outline="0" fieldPosition="0">
        <references count="3">
          <reference field="4294967294" count="1" selected="0">
            <x v="0"/>
          </reference>
          <reference field="0" count="1" selected="0">
            <x v="5"/>
          </reference>
          <reference field="1" count="1" selected="0">
            <x v="74"/>
          </reference>
        </references>
      </pivotArea>
    </chartFormat>
    <chartFormat chart="0" format="207">
      <pivotArea type="data" outline="0" fieldPosition="0">
        <references count="3">
          <reference field="4294967294" count="1" selected="0">
            <x v="0"/>
          </reference>
          <reference field="0" count="1" selected="0">
            <x v="5"/>
          </reference>
          <reference field="1" count="1" selected="0">
            <x v="75"/>
          </reference>
        </references>
      </pivotArea>
    </chartFormat>
    <chartFormat chart="0" format="208">
      <pivotArea type="data" outline="0" fieldPosition="0">
        <references count="3">
          <reference field="4294967294" count="1" selected="0">
            <x v="0"/>
          </reference>
          <reference field="0" count="1" selected="0">
            <x v="5"/>
          </reference>
          <reference field="1" count="1" selected="0">
            <x v="76"/>
          </reference>
        </references>
      </pivotArea>
    </chartFormat>
    <chartFormat chart="0" format="209">
      <pivotArea type="data" outline="0" fieldPosition="0">
        <references count="3">
          <reference field="4294967294" count="1" selected="0">
            <x v="0"/>
          </reference>
          <reference field="0" count="1" selected="0">
            <x v="5"/>
          </reference>
          <reference field="1" count="1" selected="0">
            <x v="77"/>
          </reference>
        </references>
      </pivotArea>
    </chartFormat>
    <chartFormat chart="0" format="210">
      <pivotArea type="data" outline="0" fieldPosition="0">
        <references count="3">
          <reference field="4294967294" count="1" selected="0">
            <x v="0"/>
          </reference>
          <reference field="0" count="1" selected="0">
            <x v="5"/>
          </reference>
          <reference field="1" count="1" selected="0">
            <x v="78"/>
          </reference>
        </references>
      </pivotArea>
    </chartFormat>
    <chartFormat chart="0" format="211">
      <pivotArea type="data" outline="0" fieldPosition="0">
        <references count="3">
          <reference field="4294967294" count="1" selected="0">
            <x v="2"/>
          </reference>
          <reference field="0" count="1" selected="0">
            <x v="4"/>
          </reference>
          <reference field="1" count="1" selected="0">
            <x v="61"/>
          </reference>
        </references>
      </pivotArea>
    </chartFormat>
    <chartFormat chart="0" format="212">
      <pivotArea type="data" outline="0" fieldPosition="0">
        <references count="3">
          <reference field="4294967294" count="1" selected="0">
            <x v="2"/>
          </reference>
          <reference field="0" count="1" selected="0">
            <x v="4"/>
          </reference>
          <reference field="1" count="1" selected="0">
            <x v="62"/>
          </reference>
        </references>
      </pivotArea>
    </chartFormat>
    <chartFormat chart="0" format="213">
      <pivotArea type="data" outline="0" fieldPosition="0">
        <references count="3">
          <reference field="4294967294" count="1" selected="0">
            <x v="2"/>
          </reference>
          <reference field="0" count="1" selected="0">
            <x v="5"/>
          </reference>
          <reference field="1" count="1" selected="0">
            <x v="31"/>
          </reference>
        </references>
      </pivotArea>
    </chartFormat>
    <chartFormat chart="0" format="214">
      <pivotArea type="data" outline="0" fieldPosition="0">
        <references count="3">
          <reference field="4294967294" count="1" selected="0">
            <x v="2"/>
          </reference>
          <reference field="0" count="1" selected="0">
            <x v="5"/>
          </reference>
          <reference field="1" count="1" selected="0">
            <x v="32"/>
          </reference>
        </references>
      </pivotArea>
    </chartFormat>
    <chartFormat chart="0" format="215">
      <pivotArea type="data" outline="0" fieldPosition="0">
        <references count="3">
          <reference field="4294967294" count="1" selected="0">
            <x v="2"/>
          </reference>
          <reference field="0" count="1" selected="0">
            <x v="5"/>
          </reference>
          <reference field="1" count="1" selected="0">
            <x v="33"/>
          </reference>
        </references>
      </pivotArea>
    </chartFormat>
    <chartFormat chart="0" format="216">
      <pivotArea type="data" outline="0" fieldPosition="0">
        <references count="3">
          <reference field="4294967294" count="1" selected="0">
            <x v="2"/>
          </reference>
          <reference field="0" count="1" selected="0">
            <x v="5"/>
          </reference>
          <reference field="1" count="1" selected="0">
            <x v="34"/>
          </reference>
        </references>
      </pivotArea>
    </chartFormat>
    <chartFormat chart="0" format="217">
      <pivotArea type="data" outline="0" fieldPosition="0">
        <references count="3">
          <reference field="4294967294" count="1" selected="0">
            <x v="2"/>
          </reference>
          <reference field="0" count="1" selected="0">
            <x v="5"/>
          </reference>
          <reference field="1" count="1" selected="0">
            <x v="35"/>
          </reference>
        </references>
      </pivotArea>
    </chartFormat>
    <chartFormat chart="0" format="218">
      <pivotArea type="data" outline="0" fieldPosition="0">
        <references count="3">
          <reference field="4294967294" count="1" selected="0">
            <x v="2"/>
          </reference>
          <reference field="0" count="1" selected="0">
            <x v="5"/>
          </reference>
          <reference field="1" count="1" selected="0">
            <x v="36"/>
          </reference>
        </references>
      </pivotArea>
    </chartFormat>
    <chartFormat chart="0" format="219">
      <pivotArea type="data" outline="0" fieldPosition="0">
        <references count="3">
          <reference field="4294967294" count="1" selected="0">
            <x v="2"/>
          </reference>
          <reference field="0" count="1" selected="0">
            <x v="5"/>
          </reference>
          <reference field="1" count="1" selected="0">
            <x v="37"/>
          </reference>
        </references>
      </pivotArea>
    </chartFormat>
    <chartFormat chart="0" format="220">
      <pivotArea type="data" outline="0" fieldPosition="0">
        <references count="3">
          <reference field="4294967294" count="1" selected="0">
            <x v="2"/>
          </reference>
          <reference field="0" count="1" selected="0">
            <x v="5"/>
          </reference>
          <reference field="1" count="1" selected="0">
            <x v="38"/>
          </reference>
        </references>
      </pivotArea>
    </chartFormat>
    <chartFormat chart="0" format="221">
      <pivotArea type="data" outline="0" fieldPosition="0">
        <references count="3">
          <reference field="4294967294" count="1" selected="0">
            <x v="2"/>
          </reference>
          <reference field="0" count="1" selected="0">
            <x v="5"/>
          </reference>
          <reference field="1" count="1" selected="0">
            <x v="40"/>
          </reference>
        </references>
      </pivotArea>
    </chartFormat>
    <chartFormat chart="0" format="222">
      <pivotArea type="data" outline="0" fieldPosition="0">
        <references count="3">
          <reference field="4294967294" count="1" selected="0">
            <x v="2"/>
          </reference>
          <reference field="0" count="1" selected="0">
            <x v="5"/>
          </reference>
          <reference field="1" count="1" selected="0">
            <x v="63"/>
          </reference>
        </references>
      </pivotArea>
    </chartFormat>
    <chartFormat chart="0" format="223">
      <pivotArea type="data" outline="0" fieldPosition="0">
        <references count="3">
          <reference field="4294967294" count="1" selected="0">
            <x v="2"/>
          </reference>
          <reference field="0" count="1" selected="0">
            <x v="5"/>
          </reference>
          <reference field="1" count="1" selected="0">
            <x v="64"/>
          </reference>
        </references>
      </pivotArea>
    </chartFormat>
    <chartFormat chart="0" format="224">
      <pivotArea type="data" outline="0" fieldPosition="0">
        <references count="3">
          <reference field="4294967294" count="1" selected="0">
            <x v="2"/>
          </reference>
          <reference field="0" count="1" selected="0">
            <x v="5"/>
          </reference>
          <reference field="1" count="1" selected="0">
            <x v="65"/>
          </reference>
        </references>
      </pivotArea>
    </chartFormat>
    <chartFormat chart="0" format="225">
      <pivotArea type="data" outline="0" fieldPosition="0">
        <references count="3">
          <reference field="4294967294" count="1" selected="0">
            <x v="2"/>
          </reference>
          <reference field="0" count="1" selected="0">
            <x v="5"/>
          </reference>
          <reference field="1" count="1" selected="0">
            <x v="66"/>
          </reference>
        </references>
      </pivotArea>
    </chartFormat>
    <chartFormat chart="0" format="226">
      <pivotArea type="data" outline="0" fieldPosition="0">
        <references count="3">
          <reference field="4294967294" count="1" selected="0">
            <x v="2"/>
          </reference>
          <reference field="0" count="1" selected="0">
            <x v="5"/>
          </reference>
          <reference field="1" count="1" selected="0">
            <x v="67"/>
          </reference>
        </references>
      </pivotArea>
    </chartFormat>
    <chartFormat chart="0" format="227">
      <pivotArea type="data" outline="0" fieldPosition="0">
        <references count="3">
          <reference field="4294967294" count="1" selected="0">
            <x v="2"/>
          </reference>
          <reference field="0" count="1" selected="0">
            <x v="5"/>
          </reference>
          <reference field="1" count="1" selected="0">
            <x v="68"/>
          </reference>
        </references>
      </pivotArea>
    </chartFormat>
    <chartFormat chart="0" format="228">
      <pivotArea type="data" outline="0" fieldPosition="0">
        <references count="3">
          <reference field="4294967294" count="1" selected="0">
            <x v="2"/>
          </reference>
          <reference field="0" count="1" selected="0">
            <x v="5"/>
          </reference>
          <reference field="1" count="1" selected="0">
            <x v="69"/>
          </reference>
        </references>
      </pivotArea>
    </chartFormat>
    <chartFormat chart="0" format="229">
      <pivotArea type="data" outline="0" fieldPosition="0">
        <references count="3">
          <reference field="4294967294" count="1" selected="0">
            <x v="2"/>
          </reference>
          <reference field="0" count="1" selected="0">
            <x v="5"/>
          </reference>
          <reference field="1" count="1" selected="0">
            <x v="70"/>
          </reference>
        </references>
      </pivotArea>
    </chartFormat>
    <chartFormat chart="0" format="230">
      <pivotArea type="data" outline="0" fieldPosition="0">
        <references count="3">
          <reference field="4294967294" count="1" selected="0">
            <x v="2"/>
          </reference>
          <reference field="0" count="1" selected="0">
            <x v="5"/>
          </reference>
          <reference field="1" count="1" selected="0">
            <x v="71"/>
          </reference>
        </references>
      </pivotArea>
    </chartFormat>
    <chartFormat chart="0" format="231">
      <pivotArea type="data" outline="0" fieldPosition="0">
        <references count="3">
          <reference field="4294967294" count="1" selected="0">
            <x v="2"/>
          </reference>
          <reference field="0" count="1" selected="0">
            <x v="5"/>
          </reference>
          <reference field="1" count="1" selected="0">
            <x v="72"/>
          </reference>
        </references>
      </pivotArea>
    </chartFormat>
    <chartFormat chart="0" format="232">
      <pivotArea type="data" outline="0" fieldPosition="0">
        <references count="3">
          <reference field="4294967294" count="1" selected="0">
            <x v="2"/>
          </reference>
          <reference field="0" count="1" selected="0">
            <x v="5"/>
          </reference>
          <reference field="1" count="1" selected="0">
            <x v="73"/>
          </reference>
        </references>
      </pivotArea>
    </chartFormat>
    <chartFormat chart="0" format="233">
      <pivotArea type="data" outline="0" fieldPosition="0">
        <references count="3">
          <reference field="4294967294" count="1" selected="0">
            <x v="2"/>
          </reference>
          <reference field="0" count="1" selected="0">
            <x v="5"/>
          </reference>
          <reference field="1" count="1" selected="0">
            <x v="74"/>
          </reference>
        </references>
      </pivotArea>
    </chartFormat>
    <chartFormat chart="0" format="234">
      <pivotArea type="data" outline="0" fieldPosition="0">
        <references count="3">
          <reference field="4294967294" count="1" selected="0">
            <x v="2"/>
          </reference>
          <reference field="0" count="1" selected="0">
            <x v="5"/>
          </reference>
          <reference field="1" count="1" selected="0">
            <x v="75"/>
          </reference>
        </references>
      </pivotArea>
    </chartFormat>
    <chartFormat chart="0" format="235">
      <pivotArea type="data" outline="0" fieldPosition="0">
        <references count="3">
          <reference field="4294967294" count="1" selected="0">
            <x v="2"/>
          </reference>
          <reference field="0" count="1" selected="0">
            <x v="5"/>
          </reference>
          <reference field="1" count="1" selected="0">
            <x v="76"/>
          </reference>
        </references>
      </pivotArea>
    </chartFormat>
    <chartFormat chart="0" format="236">
      <pivotArea type="data" outline="0" fieldPosition="0">
        <references count="3">
          <reference field="4294967294" count="1" selected="0">
            <x v="2"/>
          </reference>
          <reference field="0" count="1" selected="0">
            <x v="5"/>
          </reference>
          <reference field="1" count="1" selected="0">
            <x v="77"/>
          </reference>
        </references>
      </pivotArea>
    </chartFormat>
    <chartFormat chart="0" format="237">
      <pivotArea type="data" outline="0" fieldPosition="0">
        <references count="3">
          <reference field="4294967294" count="1" selected="0">
            <x v="2"/>
          </reference>
          <reference field="0" count="1" selected="0">
            <x v="5"/>
          </reference>
          <reference field="1" count="1" selected="0">
            <x v="78"/>
          </reference>
        </references>
      </pivotArea>
    </chartFormat>
    <chartFormat chart="0" format="238">
      <pivotArea type="data" outline="0" fieldPosition="0">
        <references count="3">
          <reference field="4294967294" count="1" selected="0">
            <x v="0"/>
          </reference>
          <reference field="0" count="1" selected="0">
            <x v="5"/>
          </reference>
          <reference field="1" count="1" selected="0">
            <x v="41"/>
          </reference>
        </references>
      </pivotArea>
    </chartFormat>
    <chartFormat chart="0" format="239">
      <pivotArea type="data" outline="0" fieldPosition="0">
        <references count="3">
          <reference field="4294967294" count="1" selected="0">
            <x v="0"/>
          </reference>
          <reference field="0" count="1" selected="0">
            <x v="5"/>
          </reference>
          <reference field="1" count="1" selected="0">
            <x v="42"/>
          </reference>
        </references>
      </pivotArea>
    </chartFormat>
    <chartFormat chart="0" format="240">
      <pivotArea type="data" outline="0" fieldPosition="0">
        <references count="3">
          <reference field="4294967294" count="1" selected="0">
            <x v="2"/>
          </reference>
          <reference field="0" count="1" selected="0">
            <x v="5"/>
          </reference>
          <reference field="1" count="1" selected="0">
            <x v="41"/>
          </reference>
        </references>
      </pivotArea>
    </chartFormat>
    <chartFormat chart="0" format="241">
      <pivotArea type="data" outline="0" fieldPosition="0">
        <references count="3">
          <reference field="4294967294" count="1" selected="0">
            <x v="2"/>
          </reference>
          <reference field="0" count="1" selected="0">
            <x v="5"/>
          </reference>
          <reference field="1" count="1" selected="0">
            <x v="42"/>
          </reference>
        </references>
      </pivotArea>
    </chartFormat>
    <chartFormat chart="0" format="242">
      <pivotArea type="data" outline="0" fieldPosition="0">
        <references count="3">
          <reference field="4294967294" count="1" selected="0">
            <x v="0"/>
          </reference>
          <reference field="0" count="1" selected="0">
            <x v="5"/>
          </reference>
          <reference field="1" count="1" selected="0">
            <x v="43"/>
          </reference>
        </references>
      </pivotArea>
    </chartFormat>
    <chartFormat chart="0" format="243">
      <pivotArea type="data" outline="0" fieldPosition="0">
        <references count="3">
          <reference field="4294967294" count="1" selected="0">
            <x v="0"/>
          </reference>
          <reference field="0" count="1" selected="0">
            <x v="5"/>
          </reference>
          <reference field="1" count="1" selected="0">
            <x v="44"/>
          </reference>
        </references>
      </pivotArea>
    </chartFormat>
    <chartFormat chart="0" format="244">
      <pivotArea type="data" outline="0" fieldPosition="0">
        <references count="3">
          <reference field="4294967294" count="1" selected="0">
            <x v="0"/>
          </reference>
          <reference field="0" count="1" selected="0">
            <x v="5"/>
          </reference>
          <reference field="1" count="1" selected="0">
            <x v="45"/>
          </reference>
        </references>
      </pivotArea>
    </chartFormat>
    <chartFormat chart="0" format="245">
      <pivotArea type="data" outline="0" fieldPosition="0">
        <references count="3">
          <reference field="4294967294" count="1" selected="0">
            <x v="0"/>
          </reference>
          <reference field="0" count="1" selected="0">
            <x v="5"/>
          </reference>
          <reference field="1" count="1" selected="0">
            <x v="46"/>
          </reference>
        </references>
      </pivotArea>
    </chartFormat>
    <chartFormat chart="0" format="246">
      <pivotArea type="data" outline="0" fieldPosition="0">
        <references count="3">
          <reference field="4294967294" count="1" selected="0">
            <x v="0"/>
          </reference>
          <reference field="0" count="1" selected="0">
            <x v="5"/>
          </reference>
          <reference field="1" count="1" selected="0">
            <x v="47"/>
          </reference>
        </references>
      </pivotArea>
    </chartFormat>
    <chartFormat chart="0" format="247">
      <pivotArea type="data" outline="0" fieldPosition="0">
        <references count="3">
          <reference field="4294967294" count="1" selected="0">
            <x v="0"/>
          </reference>
          <reference field="0" count="1" selected="0">
            <x v="5"/>
          </reference>
          <reference field="1" count="1" selected="0">
            <x v="48"/>
          </reference>
        </references>
      </pivotArea>
    </chartFormat>
    <chartFormat chart="0" format="248">
      <pivotArea type="data" outline="0" fieldPosition="0">
        <references count="3">
          <reference field="4294967294" count="1" selected="0">
            <x v="0"/>
          </reference>
          <reference field="0" count="1" selected="0">
            <x v="5"/>
          </reference>
          <reference field="1" count="1" selected="0">
            <x v="49"/>
          </reference>
        </references>
      </pivotArea>
    </chartFormat>
    <chartFormat chart="0" format="249">
      <pivotArea type="data" outline="0" fieldPosition="0">
        <references count="3">
          <reference field="4294967294" count="1" selected="0">
            <x v="0"/>
          </reference>
          <reference field="0" count="1" selected="0">
            <x v="5"/>
          </reference>
          <reference field="1" count="1" selected="0">
            <x v="50"/>
          </reference>
        </references>
      </pivotArea>
    </chartFormat>
    <chartFormat chart="0" format="250">
      <pivotArea type="data" outline="0" fieldPosition="0">
        <references count="3">
          <reference field="4294967294" count="1" selected="0">
            <x v="0"/>
          </reference>
          <reference field="0" count="1" selected="0">
            <x v="5"/>
          </reference>
          <reference field="1" count="1" selected="0">
            <x v="51"/>
          </reference>
        </references>
      </pivotArea>
    </chartFormat>
    <chartFormat chart="0" format="251">
      <pivotArea type="data" outline="0" fieldPosition="0">
        <references count="3">
          <reference field="4294967294" count="1" selected="0">
            <x v="0"/>
          </reference>
          <reference field="0" count="1" selected="0">
            <x v="5"/>
          </reference>
          <reference field="1" count="1" selected="0">
            <x v="52"/>
          </reference>
        </references>
      </pivotArea>
    </chartFormat>
    <chartFormat chart="0" format="252">
      <pivotArea type="data" outline="0" fieldPosition="0">
        <references count="3">
          <reference field="4294967294" count="1" selected="0">
            <x v="0"/>
          </reference>
          <reference field="0" count="1" selected="0">
            <x v="5"/>
          </reference>
          <reference field="1" count="1" selected="0">
            <x v="53"/>
          </reference>
        </references>
      </pivotArea>
    </chartFormat>
    <chartFormat chart="0" format="253">
      <pivotArea type="data" outline="0" fieldPosition="0">
        <references count="3">
          <reference field="4294967294" count="1" selected="0">
            <x v="0"/>
          </reference>
          <reference field="0" count="1" selected="0">
            <x v="5"/>
          </reference>
          <reference field="1" count="1" selected="0">
            <x v="54"/>
          </reference>
        </references>
      </pivotArea>
    </chartFormat>
    <chartFormat chart="0" format="254">
      <pivotArea type="data" outline="0" fieldPosition="0">
        <references count="3">
          <reference field="4294967294" count="1" selected="0">
            <x v="0"/>
          </reference>
          <reference field="0" count="1" selected="0">
            <x v="5"/>
          </reference>
          <reference field="1" count="1" selected="0">
            <x v="55"/>
          </reference>
        </references>
      </pivotArea>
    </chartFormat>
    <chartFormat chart="0" format="255">
      <pivotArea type="data" outline="0" fieldPosition="0">
        <references count="3">
          <reference field="4294967294" count="1" selected="0">
            <x v="0"/>
          </reference>
          <reference field="0" count="1" selected="0">
            <x v="5"/>
          </reference>
          <reference field="1" count="1" selected="0">
            <x v="56"/>
          </reference>
        </references>
      </pivotArea>
    </chartFormat>
    <chartFormat chart="0" format="256">
      <pivotArea type="data" outline="0" fieldPosition="0">
        <references count="3">
          <reference field="4294967294" count="1" selected="0">
            <x v="2"/>
          </reference>
          <reference field="0" count="1" selected="0">
            <x v="5"/>
          </reference>
          <reference field="1" count="1" selected="0">
            <x v="43"/>
          </reference>
        </references>
      </pivotArea>
    </chartFormat>
    <chartFormat chart="0" format="257">
      <pivotArea type="data" outline="0" fieldPosition="0">
        <references count="3">
          <reference field="4294967294" count="1" selected="0">
            <x v="2"/>
          </reference>
          <reference field="0" count="1" selected="0">
            <x v="5"/>
          </reference>
          <reference field="1" count="1" selected="0">
            <x v="44"/>
          </reference>
        </references>
      </pivotArea>
    </chartFormat>
    <chartFormat chart="0" format="258">
      <pivotArea type="data" outline="0" fieldPosition="0">
        <references count="3">
          <reference field="4294967294" count="1" selected="0">
            <x v="2"/>
          </reference>
          <reference field="0" count="1" selected="0">
            <x v="5"/>
          </reference>
          <reference field="1" count="1" selected="0">
            <x v="45"/>
          </reference>
        </references>
      </pivotArea>
    </chartFormat>
    <chartFormat chart="0" format="259">
      <pivotArea type="data" outline="0" fieldPosition="0">
        <references count="3">
          <reference field="4294967294" count="1" selected="0">
            <x v="2"/>
          </reference>
          <reference field="0" count="1" selected="0">
            <x v="5"/>
          </reference>
          <reference field="1" count="1" selected="0">
            <x v="46"/>
          </reference>
        </references>
      </pivotArea>
    </chartFormat>
    <chartFormat chart="0" format="260">
      <pivotArea type="data" outline="0" fieldPosition="0">
        <references count="3">
          <reference field="4294967294" count="1" selected="0">
            <x v="2"/>
          </reference>
          <reference field="0" count="1" selected="0">
            <x v="5"/>
          </reference>
          <reference field="1" count="1" selected="0">
            <x v="47"/>
          </reference>
        </references>
      </pivotArea>
    </chartFormat>
    <chartFormat chart="0" format="261">
      <pivotArea type="data" outline="0" fieldPosition="0">
        <references count="3">
          <reference field="4294967294" count="1" selected="0">
            <x v="2"/>
          </reference>
          <reference field="0" count="1" selected="0">
            <x v="5"/>
          </reference>
          <reference field="1" count="1" selected="0">
            <x v="48"/>
          </reference>
        </references>
      </pivotArea>
    </chartFormat>
    <chartFormat chart="0" format="262">
      <pivotArea type="data" outline="0" fieldPosition="0">
        <references count="3">
          <reference field="4294967294" count="1" selected="0">
            <x v="2"/>
          </reference>
          <reference field="0" count="1" selected="0">
            <x v="5"/>
          </reference>
          <reference field="1" count="1" selected="0">
            <x v="49"/>
          </reference>
        </references>
      </pivotArea>
    </chartFormat>
    <chartFormat chart="0" format="263">
      <pivotArea type="data" outline="0" fieldPosition="0">
        <references count="3">
          <reference field="4294967294" count="1" selected="0">
            <x v="2"/>
          </reference>
          <reference field="0" count="1" selected="0">
            <x v="5"/>
          </reference>
          <reference field="1" count="1" selected="0">
            <x v="50"/>
          </reference>
        </references>
      </pivotArea>
    </chartFormat>
    <chartFormat chart="0" format="264">
      <pivotArea type="data" outline="0" fieldPosition="0">
        <references count="3">
          <reference field="4294967294" count="1" selected="0">
            <x v="2"/>
          </reference>
          <reference field="0" count="1" selected="0">
            <x v="5"/>
          </reference>
          <reference field="1" count="1" selected="0">
            <x v="51"/>
          </reference>
        </references>
      </pivotArea>
    </chartFormat>
    <chartFormat chart="0" format="265">
      <pivotArea type="data" outline="0" fieldPosition="0">
        <references count="3">
          <reference field="4294967294" count="1" selected="0">
            <x v="2"/>
          </reference>
          <reference field="0" count="1" selected="0">
            <x v="5"/>
          </reference>
          <reference field="1" count="1" selected="0">
            <x v="52"/>
          </reference>
        </references>
      </pivotArea>
    </chartFormat>
    <chartFormat chart="0" format="266">
      <pivotArea type="data" outline="0" fieldPosition="0">
        <references count="3">
          <reference field="4294967294" count="1" selected="0">
            <x v="2"/>
          </reference>
          <reference field="0" count="1" selected="0">
            <x v="5"/>
          </reference>
          <reference field="1" count="1" selected="0">
            <x v="53"/>
          </reference>
        </references>
      </pivotArea>
    </chartFormat>
    <chartFormat chart="0" format="267">
      <pivotArea type="data" outline="0" fieldPosition="0">
        <references count="3">
          <reference field="4294967294" count="1" selected="0">
            <x v="2"/>
          </reference>
          <reference field="0" count="1" selected="0">
            <x v="5"/>
          </reference>
          <reference field="1" count="1" selected="0">
            <x v="54"/>
          </reference>
        </references>
      </pivotArea>
    </chartFormat>
    <chartFormat chart="0" format="268">
      <pivotArea type="data" outline="0" fieldPosition="0">
        <references count="3">
          <reference field="4294967294" count="1" selected="0">
            <x v="2"/>
          </reference>
          <reference field="0" count="1" selected="0">
            <x v="5"/>
          </reference>
          <reference field="1" count="1" selected="0">
            <x v="55"/>
          </reference>
        </references>
      </pivotArea>
    </chartFormat>
    <chartFormat chart="0" format="269">
      <pivotArea type="data" outline="0" fieldPosition="0">
        <references count="3">
          <reference field="4294967294" count="1" selected="0">
            <x v="2"/>
          </reference>
          <reference field="0" count="1" selected="0">
            <x v="5"/>
          </reference>
          <reference field="1" count="1" selected="0">
            <x v="56"/>
          </reference>
        </references>
      </pivotArea>
    </chartFormat>
    <chartFormat chart="0" format="270">
      <pivotArea type="data" outline="0" fieldPosition="0">
        <references count="3">
          <reference field="4294967294" count="1" selected="0">
            <x v="0"/>
          </reference>
          <reference field="0" count="1" selected="0">
            <x v="5"/>
          </reference>
          <reference field="1" count="1" selected="0">
            <x v="57"/>
          </reference>
        </references>
      </pivotArea>
    </chartFormat>
    <chartFormat chart="0" format="271">
      <pivotArea type="data" outline="0" fieldPosition="0">
        <references count="3">
          <reference field="4294967294" count="1" selected="0">
            <x v="0"/>
          </reference>
          <reference field="0" count="1" selected="0">
            <x v="5"/>
          </reference>
          <reference field="1" count="1" selected="0">
            <x v="58"/>
          </reference>
        </references>
      </pivotArea>
    </chartFormat>
    <chartFormat chart="0" format="272">
      <pivotArea type="data" outline="0" fieldPosition="0">
        <references count="3">
          <reference field="4294967294" count="1" selected="0">
            <x v="0"/>
          </reference>
          <reference field="0" count="1" selected="0">
            <x v="5"/>
          </reference>
          <reference field="1" count="1" selected="0">
            <x v="59"/>
          </reference>
        </references>
      </pivotArea>
    </chartFormat>
    <chartFormat chart="0" format="273">
      <pivotArea type="data" outline="0" fieldPosition="0">
        <references count="3">
          <reference field="4294967294" count="1" selected="0">
            <x v="0"/>
          </reference>
          <reference field="0" count="1" selected="0">
            <x v="5"/>
          </reference>
          <reference field="1" count="1" selected="0">
            <x v="60"/>
          </reference>
        </references>
      </pivotArea>
    </chartFormat>
    <chartFormat chart="0" format="274">
      <pivotArea type="data" outline="0" fieldPosition="0">
        <references count="3">
          <reference field="4294967294" count="1" selected="0">
            <x v="0"/>
          </reference>
          <reference field="0" count="1" selected="0">
            <x v="5"/>
          </reference>
          <reference field="1" count="1" selected="0">
            <x v="61"/>
          </reference>
        </references>
      </pivotArea>
    </chartFormat>
    <chartFormat chart="0" format="275">
      <pivotArea type="data" outline="0" fieldPosition="0">
        <references count="3">
          <reference field="4294967294" count="1" selected="0">
            <x v="0"/>
          </reference>
          <reference field="0" count="1" selected="0">
            <x v="5"/>
          </reference>
          <reference field="1" count="1" selected="0">
            <x v="62"/>
          </reference>
        </references>
      </pivotArea>
    </chartFormat>
    <chartFormat chart="0" format="276">
      <pivotArea type="data" outline="0" fieldPosition="0">
        <references count="3">
          <reference field="4294967294" count="1" selected="0">
            <x v="0"/>
          </reference>
          <reference field="0" count="1" selected="0">
            <x v="6"/>
          </reference>
          <reference field="1" count="1" selected="0">
            <x v="63"/>
          </reference>
        </references>
      </pivotArea>
    </chartFormat>
    <chartFormat chart="0" format="277">
      <pivotArea type="data" outline="0" fieldPosition="0">
        <references count="3">
          <reference field="4294967294" count="1" selected="0">
            <x v="0"/>
          </reference>
          <reference field="0" count="1" selected="0">
            <x v="6"/>
          </reference>
          <reference field="1" count="1" selected="0">
            <x v="64"/>
          </reference>
        </references>
      </pivotArea>
    </chartFormat>
    <chartFormat chart="0" format="278">
      <pivotArea type="data" outline="0" fieldPosition="0">
        <references count="3">
          <reference field="4294967294" count="1" selected="0">
            <x v="2"/>
          </reference>
          <reference field="0" count="1" selected="0">
            <x v="5"/>
          </reference>
          <reference field="1" count="1" selected="0">
            <x v="57"/>
          </reference>
        </references>
      </pivotArea>
    </chartFormat>
    <chartFormat chart="0" format="279">
      <pivotArea type="data" outline="0" fieldPosition="0">
        <references count="3">
          <reference field="4294967294" count="1" selected="0">
            <x v="2"/>
          </reference>
          <reference field="0" count="1" selected="0">
            <x v="5"/>
          </reference>
          <reference field="1" count="1" selected="0">
            <x v="58"/>
          </reference>
        </references>
      </pivotArea>
    </chartFormat>
    <chartFormat chart="0" format="280">
      <pivotArea type="data" outline="0" fieldPosition="0">
        <references count="3">
          <reference field="4294967294" count="1" selected="0">
            <x v="2"/>
          </reference>
          <reference field="0" count="1" selected="0">
            <x v="5"/>
          </reference>
          <reference field="1" count="1" selected="0">
            <x v="59"/>
          </reference>
        </references>
      </pivotArea>
    </chartFormat>
    <chartFormat chart="0" format="281">
      <pivotArea type="data" outline="0" fieldPosition="0">
        <references count="3">
          <reference field="4294967294" count="1" selected="0">
            <x v="2"/>
          </reference>
          <reference field="0" count="1" selected="0">
            <x v="5"/>
          </reference>
          <reference field="1" count="1" selected="0">
            <x v="60"/>
          </reference>
        </references>
      </pivotArea>
    </chartFormat>
    <chartFormat chart="0" format="282">
      <pivotArea type="data" outline="0" fieldPosition="0">
        <references count="3">
          <reference field="4294967294" count="1" selected="0">
            <x v="2"/>
          </reference>
          <reference field="0" count="1" selected="0">
            <x v="5"/>
          </reference>
          <reference field="1" count="1" selected="0">
            <x v="61"/>
          </reference>
        </references>
      </pivotArea>
    </chartFormat>
    <chartFormat chart="0" format="283">
      <pivotArea type="data" outline="0" fieldPosition="0">
        <references count="3">
          <reference field="4294967294" count="1" selected="0">
            <x v="2"/>
          </reference>
          <reference field="0" count="1" selected="0">
            <x v="5"/>
          </reference>
          <reference field="1" count="1" selected="0">
            <x v="62"/>
          </reference>
        </references>
      </pivotArea>
    </chartFormat>
    <chartFormat chart="0" format="284">
      <pivotArea type="data" outline="0" fieldPosition="0">
        <references count="3">
          <reference field="4294967294" count="1" selected="0">
            <x v="2"/>
          </reference>
          <reference field="0" count="1" selected="0">
            <x v="6"/>
          </reference>
          <reference field="1" count="1" selected="0">
            <x v="63"/>
          </reference>
        </references>
      </pivotArea>
    </chartFormat>
    <chartFormat chart="0" format="285">
      <pivotArea type="data" outline="0" fieldPosition="0">
        <references count="3">
          <reference field="4294967294" count="1" selected="0">
            <x v="2"/>
          </reference>
          <reference field="0" count="1" selected="0">
            <x v="6"/>
          </reference>
          <reference field="1" count="1" selected="0">
            <x v="64"/>
          </reference>
        </references>
      </pivotArea>
    </chartFormat>
    <chartFormat chart="0" format="286">
      <pivotArea type="data" outline="0" fieldPosition="0">
        <references count="3">
          <reference field="4294967294" count="1" selected="0">
            <x v="0"/>
          </reference>
          <reference field="0" count="1" selected="0">
            <x v="6"/>
          </reference>
          <reference field="1" count="1" selected="0">
            <x v="65"/>
          </reference>
        </references>
      </pivotArea>
    </chartFormat>
    <chartFormat chart="0" format="287">
      <pivotArea type="data" outline="0" fieldPosition="0">
        <references count="3">
          <reference field="4294967294" count="1" selected="0">
            <x v="0"/>
          </reference>
          <reference field="0" count="1" selected="0">
            <x v="6"/>
          </reference>
          <reference field="1" count="1" selected="0">
            <x v="66"/>
          </reference>
        </references>
      </pivotArea>
    </chartFormat>
    <chartFormat chart="0" format="288">
      <pivotArea type="data" outline="0" fieldPosition="0">
        <references count="3">
          <reference field="4294967294" count="1" selected="0">
            <x v="0"/>
          </reference>
          <reference field="0" count="1" selected="0">
            <x v="6"/>
          </reference>
          <reference field="1" count="1" selected="0">
            <x v="67"/>
          </reference>
        </references>
      </pivotArea>
    </chartFormat>
    <chartFormat chart="0" format="289">
      <pivotArea type="data" outline="0" fieldPosition="0">
        <references count="3">
          <reference field="4294967294" count="1" selected="0">
            <x v="0"/>
          </reference>
          <reference field="0" count="1" selected="0">
            <x v="6"/>
          </reference>
          <reference field="1" count="1" selected="0">
            <x v="68"/>
          </reference>
        </references>
      </pivotArea>
    </chartFormat>
    <chartFormat chart="0" format="290">
      <pivotArea type="data" outline="0" fieldPosition="0">
        <references count="3">
          <reference field="4294967294" count="1" selected="0">
            <x v="2"/>
          </reference>
          <reference field="0" count="1" selected="0">
            <x v="6"/>
          </reference>
          <reference field="1" count="1" selected="0">
            <x v="65"/>
          </reference>
        </references>
      </pivotArea>
    </chartFormat>
    <chartFormat chart="0" format="291">
      <pivotArea type="data" outline="0" fieldPosition="0">
        <references count="3">
          <reference field="4294967294" count="1" selected="0">
            <x v="2"/>
          </reference>
          <reference field="0" count="1" selected="0">
            <x v="6"/>
          </reference>
          <reference field="1" count="1" selected="0">
            <x v="66"/>
          </reference>
        </references>
      </pivotArea>
    </chartFormat>
    <chartFormat chart="0" format="292">
      <pivotArea type="data" outline="0" fieldPosition="0">
        <references count="3">
          <reference field="4294967294" count="1" selected="0">
            <x v="2"/>
          </reference>
          <reference field="0" count="1" selected="0">
            <x v="6"/>
          </reference>
          <reference field="1" count="1" selected="0">
            <x v="67"/>
          </reference>
        </references>
      </pivotArea>
    </chartFormat>
    <chartFormat chart="0" format="293">
      <pivotArea type="data" outline="0" fieldPosition="0">
        <references count="3">
          <reference field="4294967294" count="1" selected="0">
            <x v="2"/>
          </reference>
          <reference field="0" count="1" selected="0">
            <x v="6"/>
          </reference>
          <reference field="1" count="1" selected="0">
            <x v="68"/>
          </reference>
        </references>
      </pivotArea>
    </chartFormat>
    <chartFormat chart="0" format="294">
      <pivotArea type="data" outline="0" fieldPosition="0">
        <references count="3">
          <reference field="4294967294" count="1" selected="0">
            <x v="0"/>
          </reference>
          <reference field="0" count="1" selected="0">
            <x v="6"/>
          </reference>
          <reference field="1" count="1" selected="0">
            <x v="69"/>
          </reference>
        </references>
      </pivotArea>
    </chartFormat>
    <chartFormat chart="0" format="295">
      <pivotArea type="data" outline="0" fieldPosition="0">
        <references count="3">
          <reference field="4294967294" count="1" selected="0">
            <x v="0"/>
          </reference>
          <reference field="0" count="1" selected="0">
            <x v="6"/>
          </reference>
          <reference field="1" count="1" selected="0">
            <x v="70"/>
          </reference>
        </references>
      </pivotArea>
    </chartFormat>
    <chartFormat chart="0" format="296">
      <pivotArea type="data" outline="0" fieldPosition="0">
        <references count="3">
          <reference field="4294967294" count="1" selected="0">
            <x v="2"/>
          </reference>
          <reference field="0" count="1" selected="0">
            <x v="6"/>
          </reference>
          <reference field="1" count="1" selected="0">
            <x v="69"/>
          </reference>
        </references>
      </pivotArea>
    </chartFormat>
    <chartFormat chart="0" format="297">
      <pivotArea type="data" outline="0" fieldPosition="0">
        <references count="3">
          <reference field="4294967294" count="1" selected="0">
            <x v="2"/>
          </reference>
          <reference field="0" count="1" selected="0">
            <x v="6"/>
          </reference>
          <reference field="1" count="1" selected="0">
            <x v="70"/>
          </reference>
        </references>
      </pivotArea>
    </chartFormat>
    <chartFormat chart="0" format="298">
      <pivotArea type="data" outline="0" fieldPosition="0">
        <references count="3">
          <reference field="4294967294" count="1" selected="0">
            <x v="0"/>
          </reference>
          <reference field="0" count="1" selected="0">
            <x v="6"/>
          </reference>
          <reference field="1" count="1" selected="0">
            <x v="71"/>
          </reference>
        </references>
      </pivotArea>
    </chartFormat>
    <chartFormat chart="0" format="299">
      <pivotArea type="data" outline="0" fieldPosition="0">
        <references count="3">
          <reference field="4294967294" count="1" selected="0">
            <x v="0"/>
          </reference>
          <reference field="0" count="1" selected="0">
            <x v="6"/>
          </reference>
          <reference field="1" count="1" selected="0">
            <x v="72"/>
          </reference>
        </references>
      </pivotArea>
    </chartFormat>
    <chartFormat chart="0" format="300">
      <pivotArea type="data" outline="0" fieldPosition="0">
        <references count="3">
          <reference field="4294967294" count="1" selected="0">
            <x v="2"/>
          </reference>
          <reference field="0" count="1" selected="0">
            <x v="6"/>
          </reference>
          <reference field="1" count="1" selected="0">
            <x v="71"/>
          </reference>
        </references>
      </pivotArea>
    </chartFormat>
    <chartFormat chart="0" format="301">
      <pivotArea type="data" outline="0" fieldPosition="0">
        <references count="3">
          <reference field="4294967294" count="1" selected="0">
            <x v="2"/>
          </reference>
          <reference field="0" count="1" selected="0">
            <x v="6"/>
          </reference>
          <reference field="1" count="1" selected="0">
            <x v="72"/>
          </reference>
        </references>
      </pivotArea>
    </chartFormat>
    <chartFormat chart="0" format="302">
      <pivotArea type="data" outline="0" fieldPosition="0">
        <references count="3">
          <reference field="4294967294" count="1" selected="0">
            <x v="0"/>
          </reference>
          <reference field="0" count="1" selected="0">
            <x v="6"/>
          </reference>
          <reference field="1" count="1" selected="0">
            <x v="31"/>
          </reference>
        </references>
      </pivotArea>
    </chartFormat>
    <chartFormat chart="0" format="303">
      <pivotArea type="data" outline="0" fieldPosition="0">
        <references count="3">
          <reference field="4294967294" count="1" selected="0">
            <x v="0"/>
          </reference>
          <reference field="0" count="1" selected="0">
            <x v="6"/>
          </reference>
          <reference field="1" count="1" selected="0">
            <x v="32"/>
          </reference>
        </references>
      </pivotArea>
    </chartFormat>
    <chartFormat chart="0" format="304">
      <pivotArea type="data" outline="0" fieldPosition="0">
        <references count="3">
          <reference field="4294967294" count="1" selected="0">
            <x v="0"/>
          </reference>
          <reference field="0" count="1" selected="0">
            <x v="6"/>
          </reference>
          <reference field="1" count="1" selected="0">
            <x v="33"/>
          </reference>
        </references>
      </pivotArea>
    </chartFormat>
    <chartFormat chart="0" format="305">
      <pivotArea type="data" outline="0" fieldPosition="0">
        <references count="3">
          <reference field="4294967294" count="1" selected="0">
            <x v="0"/>
          </reference>
          <reference field="0" count="1" selected="0">
            <x v="6"/>
          </reference>
          <reference field="1" count="1" selected="0">
            <x v="34"/>
          </reference>
        </references>
      </pivotArea>
    </chartFormat>
    <chartFormat chart="0" format="306">
      <pivotArea type="data" outline="0" fieldPosition="0">
        <references count="3">
          <reference field="4294967294" count="1" selected="0">
            <x v="0"/>
          </reference>
          <reference field="0" count="1" selected="0">
            <x v="6"/>
          </reference>
          <reference field="1" count="1" selected="0">
            <x v="35"/>
          </reference>
        </references>
      </pivotArea>
    </chartFormat>
    <chartFormat chart="0" format="307">
      <pivotArea type="data" outline="0" fieldPosition="0">
        <references count="3">
          <reference field="4294967294" count="1" selected="0">
            <x v="0"/>
          </reference>
          <reference field="0" count="1" selected="0">
            <x v="6"/>
          </reference>
          <reference field="1" count="1" selected="0">
            <x v="36"/>
          </reference>
        </references>
      </pivotArea>
    </chartFormat>
    <chartFormat chart="0" format="308">
      <pivotArea type="data" outline="0" fieldPosition="0">
        <references count="3">
          <reference field="4294967294" count="1" selected="0">
            <x v="0"/>
          </reference>
          <reference field="0" count="1" selected="0">
            <x v="6"/>
          </reference>
          <reference field="1" count="1" selected="0">
            <x v="37"/>
          </reference>
        </references>
      </pivotArea>
    </chartFormat>
    <chartFormat chart="0" format="309">
      <pivotArea type="data" outline="0" fieldPosition="0">
        <references count="3">
          <reference field="4294967294" count="1" selected="0">
            <x v="0"/>
          </reference>
          <reference field="0" count="1" selected="0">
            <x v="6"/>
          </reference>
          <reference field="1" count="1" selected="0">
            <x v="38"/>
          </reference>
        </references>
      </pivotArea>
    </chartFormat>
    <chartFormat chart="0" format="310">
      <pivotArea type="data" outline="0" fieldPosition="0">
        <references count="3">
          <reference field="4294967294" count="1" selected="0">
            <x v="0"/>
          </reference>
          <reference field="0" count="1" selected="0">
            <x v="6"/>
          </reference>
          <reference field="1" count="1" selected="0">
            <x v="39"/>
          </reference>
        </references>
      </pivotArea>
    </chartFormat>
    <chartFormat chart="0" format="311">
      <pivotArea type="data" outline="0" fieldPosition="0">
        <references count="3">
          <reference field="4294967294" count="1" selected="0">
            <x v="0"/>
          </reference>
          <reference field="0" count="1" selected="0">
            <x v="6"/>
          </reference>
          <reference field="1" count="1" selected="0">
            <x v="40"/>
          </reference>
        </references>
      </pivotArea>
    </chartFormat>
    <chartFormat chart="0" format="312">
      <pivotArea type="data" outline="0" fieldPosition="0">
        <references count="3">
          <reference field="4294967294" count="1" selected="0">
            <x v="0"/>
          </reference>
          <reference field="0" count="1" selected="0">
            <x v="6"/>
          </reference>
          <reference field="1" count="1" selected="0">
            <x v="41"/>
          </reference>
        </references>
      </pivotArea>
    </chartFormat>
    <chartFormat chart="0" format="313">
      <pivotArea type="data" outline="0" fieldPosition="0">
        <references count="3">
          <reference field="4294967294" count="1" selected="0">
            <x v="0"/>
          </reference>
          <reference field="0" count="1" selected="0">
            <x v="6"/>
          </reference>
          <reference field="1" count="1" selected="0">
            <x v="42"/>
          </reference>
        </references>
      </pivotArea>
    </chartFormat>
    <chartFormat chart="0" format="314">
      <pivotArea type="data" outline="0" fieldPosition="0">
        <references count="3">
          <reference field="4294967294" count="1" selected="0">
            <x v="0"/>
          </reference>
          <reference field="0" count="1" selected="0">
            <x v="6"/>
          </reference>
          <reference field="1" count="1" selected="0">
            <x v="43"/>
          </reference>
        </references>
      </pivotArea>
    </chartFormat>
    <chartFormat chart="0" format="315">
      <pivotArea type="data" outline="0" fieldPosition="0">
        <references count="3">
          <reference field="4294967294" count="1" selected="0">
            <x v="0"/>
          </reference>
          <reference field="0" count="1" selected="0">
            <x v="6"/>
          </reference>
          <reference field="1" count="1" selected="0">
            <x v="44"/>
          </reference>
        </references>
      </pivotArea>
    </chartFormat>
    <chartFormat chart="0" format="316">
      <pivotArea type="data" outline="0" fieldPosition="0">
        <references count="3">
          <reference field="4294967294" count="1" selected="0">
            <x v="0"/>
          </reference>
          <reference field="0" count="1" selected="0">
            <x v="6"/>
          </reference>
          <reference field="1" count="1" selected="0">
            <x v="45"/>
          </reference>
        </references>
      </pivotArea>
    </chartFormat>
    <chartFormat chart="0" format="317">
      <pivotArea type="data" outline="0" fieldPosition="0">
        <references count="3">
          <reference field="4294967294" count="1" selected="0">
            <x v="0"/>
          </reference>
          <reference field="0" count="1" selected="0">
            <x v="6"/>
          </reference>
          <reference field="1" count="1" selected="0">
            <x v="46"/>
          </reference>
        </references>
      </pivotArea>
    </chartFormat>
    <chartFormat chart="0" format="318">
      <pivotArea type="data" outline="0" fieldPosition="0">
        <references count="3">
          <reference field="4294967294" count="1" selected="0">
            <x v="0"/>
          </reference>
          <reference field="0" count="1" selected="0">
            <x v="6"/>
          </reference>
          <reference field="1" count="1" selected="0">
            <x v="47"/>
          </reference>
        </references>
      </pivotArea>
    </chartFormat>
    <chartFormat chart="0" format="319">
      <pivotArea type="data" outline="0" fieldPosition="0">
        <references count="3">
          <reference field="4294967294" count="1" selected="0">
            <x v="0"/>
          </reference>
          <reference field="0" count="1" selected="0">
            <x v="6"/>
          </reference>
          <reference field="1" count="1" selected="0">
            <x v="48"/>
          </reference>
        </references>
      </pivotArea>
    </chartFormat>
    <chartFormat chart="0" format="320">
      <pivotArea type="data" outline="0" fieldPosition="0">
        <references count="3">
          <reference field="4294967294" count="1" selected="0">
            <x v="0"/>
          </reference>
          <reference field="0" count="1" selected="0">
            <x v="6"/>
          </reference>
          <reference field="1" count="1" selected="0">
            <x v="49"/>
          </reference>
        </references>
      </pivotArea>
    </chartFormat>
    <chartFormat chart="0" format="321">
      <pivotArea type="data" outline="0" fieldPosition="0">
        <references count="3">
          <reference field="4294967294" count="1" selected="0">
            <x v="0"/>
          </reference>
          <reference field="0" count="1" selected="0">
            <x v="6"/>
          </reference>
          <reference field="1" count="1" selected="0">
            <x v="50"/>
          </reference>
        </references>
      </pivotArea>
    </chartFormat>
    <chartFormat chart="0" format="322">
      <pivotArea type="data" outline="0" fieldPosition="0">
        <references count="3">
          <reference field="4294967294" count="1" selected="0">
            <x v="0"/>
          </reference>
          <reference field="0" count="1" selected="0">
            <x v="6"/>
          </reference>
          <reference field="1" count="1" selected="0">
            <x v="51"/>
          </reference>
        </references>
      </pivotArea>
    </chartFormat>
    <chartFormat chart="0" format="323">
      <pivotArea type="data" outline="0" fieldPosition="0">
        <references count="3">
          <reference field="4294967294" count="1" selected="0">
            <x v="0"/>
          </reference>
          <reference field="0" count="1" selected="0">
            <x v="6"/>
          </reference>
          <reference field="1" count="1" selected="0">
            <x v="52"/>
          </reference>
        </references>
      </pivotArea>
    </chartFormat>
    <chartFormat chart="0" format="324">
      <pivotArea type="data" outline="0" fieldPosition="0">
        <references count="3">
          <reference field="4294967294" count="1" selected="0">
            <x v="0"/>
          </reference>
          <reference field="0" count="1" selected="0">
            <x v="6"/>
          </reference>
          <reference field="1" count="1" selected="0">
            <x v="53"/>
          </reference>
        </references>
      </pivotArea>
    </chartFormat>
    <chartFormat chart="0" format="325">
      <pivotArea type="data" outline="0" fieldPosition="0">
        <references count="3">
          <reference field="4294967294" count="1" selected="0">
            <x v="0"/>
          </reference>
          <reference field="0" count="1" selected="0">
            <x v="6"/>
          </reference>
          <reference field="1" count="1" selected="0">
            <x v="54"/>
          </reference>
        </references>
      </pivotArea>
    </chartFormat>
    <chartFormat chart="0" format="326">
      <pivotArea type="data" outline="0" fieldPosition="0">
        <references count="3">
          <reference field="4294967294" count="1" selected="0">
            <x v="0"/>
          </reference>
          <reference field="0" count="1" selected="0">
            <x v="6"/>
          </reference>
          <reference field="1" count="1" selected="0">
            <x v="55"/>
          </reference>
        </references>
      </pivotArea>
    </chartFormat>
    <chartFormat chart="0" format="327">
      <pivotArea type="data" outline="0" fieldPosition="0">
        <references count="3">
          <reference field="4294967294" count="1" selected="0">
            <x v="0"/>
          </reference>
          <reference field="0" count="1" selected="0">
            <x v="6"/>
          </reference>
          <reference field="1" count="1" selected="0">
            <x v="56"/>
          </reference>
        </references>
      </pivotArea>
    </chartFormat>
    <chartFormat chart="0" format="328">
      <pivotArea type="data" outline="0" fieldPosition="0">
        <references count="3">
          <reference field="4294967294" count="1" selected="0">
            <x v="0"/>
          </reference>
          <reference field="0" count="1" selected="0">
            <x v="6"/>
          </reference>
          <reference field="1" count="1" selected="0">
            <x v="57"/>
          </reference>
        </references>
      </pivotArea>
    </chartFormat>
    <chartFormat chart="0" format="329">
      <pivotArea type="data" outline="0" fieldPosition="0">
        <references count="3">
          <reference field="4294967294" count="1" selected="0">
            <x v="0"/>
          </reference>
          <reference field="0" count="1" selected="0">
            <x v="6"/>
          </reference>
          <reference field="1" count="1" selected="0">
            <x v="58"/>
          </reference>
        </references>
      </pivotArea>
    </chartFormat>
    <chartFormat chart="0" format="330">
      <pivotArea type="data" outline="0" fieldPosition="0">
        <references count="3">
          <reference field="4294967294" count="1" selected="0">
            <x v="0"/>
          </reference>
          <reference field="0" count="1" selected="0">
            <x v="6"/>
          </reference>
          <reference field="1" count="1" selected="0">
            <x v="59"/>
          </reference>
        </references>
      </pivotArea>
    </chartFormat>
    <chartFormat chart="0" format="331">
      <pivotArea type="data" outline="0" fieldPosition="0">
        <references count="3">
          <reference field="4294967294" count="1" selected="0">
            <x v="0"/>
          </reference>
          <reference field="0" count="1" selected="0">
            <x v="6"/>
          </reference>
          <reference field="1" count="1" selected="0">
            <x v="60"/>
          </reference>
        </references>
      </pivotArea>
    </chartFormat>
    <chartFormat chart="0" format="332">
      <pivotArea type="data" outline="0" fieldPosition="0">
        <references count="3">
          <reference field="4294967294" count="1" selected="0">
            <x v="0"/>
          </reference>
          <reference field="0" count="1" selected="0">
            <x v="6"/>
          </reference>
          <reference field="1" count="1" selected="0">
            <x v="61"/>
          </reference>
        </references>
      </pivotArea>
    </chartFormat>
    <chartFormat chart="0" format="333">
      <pivotArea type="data" outline="0" fieldPosition="0">
        <references count="3">
          <reference field="4294967294" count="1" selected="0">
            <x v="0"/>
          </reference>
          <reference field="0" count="1" selected="0">
            <x v="6"/>
          </reference>
          <reference field="1" count="1" selected="0">
            <x v="62"/>
          </reference>
        </references>
      </pivotArea>
    </chartFormat>
    <chartFormat chart="0" format="334">
      <pivotArea type="data" outline="0" fieldPosition="0">
        <references count="3">
          <reference field="4294967294" count="1" selected="0">
            <x v="0"/>
          </reference>
          <reference field="0" count="1" selected="0">
            <x v="6"/>
          </reference>
          <reference field="1" count="1" selected="0">
            <x v="73"/>
          </reference>
        </references>
      </pivotArea>
    </chartFormat>
    <chartFormat chart="0" format="335">
      <pivotArea type="data" outline="0" fieldPosition="0">
        <references count="3">
          <reference field="4294967294" count="1" selected="0">
            <x v="0"/>
          </reference>
          <reference field="0" count="1" selected="0">
            <x v="6"/>
          </reference>
          <reference field="1" count="1" selected="0">
            <x v="74"/>
          </reference>
        </references>
      </pivotArea>
    </chartFormat>
    <chartFormat chart="0" format="336">
      <pivotArea type="data" outline="0" fieldPosition="0">
        <references count="3">
          <reference field="4294967294" count="1" selected="0">
            <x v="0"/>
          </reference>
          <reference field="0" count="1" selected="0">
            <x v="6"/>
          </reference>
          <reference field="1" count="1" selected="0">
            <x v="75"/>
          </reference>
        </references>
      </pivotArea>
    </chartFormat>
    <chartFormat chart="0" format="337">
      <pivotArea type="data" outline="0" fieldPosition="0">
        <references count="3">
          <reference field="4294967294" count="1" selected="0">
            <x v="0"/>
          </reference>
          <reference field="0" count="1" selected="0">
            <x v="6"/>
          </reference>
          <reference field="1" count="1" selected="0">
            <x v="76"/>
          </reference>
        </references>
      </pivotArea>
    </chartFormat>
    <chartFormat chart="0" format="338">
      <pivotArea type="data" outline="0" fieldPosition="0">
        <references count="3">
          <reference field="4294967294" count="1" selected="0">
            <x v="0"/>
          </reference>
          <reference field="0" count="1" selected="0">
            <x v="6"/>
          </reference>
          <reference field="1" count="1" selected="0">
            <x v="77"/>
          </reference>
        </references>
      </pivotArea>
    </chartFormat>
    <chartFormat chart="0" format="339">
      <pivotArea type="data" outline="0" fieldPosition="0">
        <references count="3">
          <reference field="4294967294" count="1" selected="0">
            <x v="0"/>
          </reference>
          <reference field="0" count="1" selected="0">
            <x v="6"/>
          </reference>
          <reference field="1" count="1" selected="0">
            <x v="78"/>
          </reference>
        </references>
      </pivotArea>
    </chartFormat>
    <chartFormat chart="0" format="340">
      <pivotArea type="data" outline="0" fieldPosition="0">
        <references count="3">
          <reference field="4294967294" count="1" selected="0">
            <x v="0"/>
          </reference>
          <reference field="0" count="1" selected="0">
            <x v="7"/>
          </reference>
          <reference field="1" count="1" selected="0">
            <x v="31"/>
          </reference>
        </references>
      </pivotArea>
    </chartFormat>
    <chartFormat chart="0" format="341">
      <pivotArea type="data" outline="0" fieldPosition="0">
        <references count="3">
          <reference field="4294967294" count="1" selected="0">
            <x v="0"/>
          </reference>
          <reference field="0" count="1" selected="0">
            <x v="7"/>
          </reference>
          <reference field="1" count="1" selected="0">
            <x v="32"/>
          </reference>
        </references>
      </pivotArea>
    </chartFormat>
    <chartFormat chart="0" format="342">
      <pivotArea type="data" outline="0" fieldPosition="0">
        <references count="3">
          <reference field="4294967294" count="1" selected="0">
            <x v="0"/>
          </reference>
          <reference field="0" count="1" selected="0">
            <x v="7"/>
          </reference>
          <reference field="1" count="1" selected="0">
            <x v="33"/>
          </reference>
        </references>
      </pivotArea>
    </chartFormat>
    <chartFormat chart="0" format="343">
      <pivotArea type="data" outline="0" fieldPosition="0">
        <references count="3">
          <reference field="4294967294" count="1" selected="0">
            <x v="0"/>
          </reference>
          <reference field="0" count="1" selected="0">
            <x v="7"/>
          </reference>
          <reference field="1" count="1" selected="0">
            <x v="34"/>
          </reference>
        </references>
      </pivotArea>
    </chartFormat>
    <chartFormat chart="0" format="344">
      <pivotArea type="data" outline="0" fieldPosition="0">
        <references count="3">
          <reference field="4294967294" count="1" selected="0">
            <x v="0"/>
          </reference>
          <reference field="0" count="1" selected="0">
            <x v="7"/>
          </reference>
          <reference field="1" count="1" selected="0">
            <x v="35"/>
          </reference>
        </references>
      </pivotArea>
    </chartFormat>
    <chartFormat chart="0" format="345">
      <pivotArea type="data" outline="0" fieldPosition="0">
        <references count="3">
          <reference field="4294967294" count="1" selected="0">
            <x v="0"/>
          </reference>
          <reference field="0" count="1" selected="0">
            <x v="7"/>
          </reference>
          <reference field="1" count="1" selected="0">
            <x v="36"/>
          </reference>
        </references>
      </pivotArea>
    </chartFormat>
    <chartFormat chart="0" format="346">
      <pivotArea type="data" outline="0" fieldPosition="0">
        <references count="3">
          <reference field="4294967294" count="1" selected="0">
            <x v="0"/>
          </reference>
          <reference field="0" count="1" selected="0">
            <x v="7"/>
          </reference>
          <reference field="1" count="1" selected="0">
            <x v="37"/>
          </reference>
        </references>
      </pivotArea>
    </chartFormat>
    <chartFormat chart="0" format="347">
      <pivotArea type="data" outline="0" fieldPosition="0">
        <references count="3">
          <reference field="4294967294" count="1" selected="0">
            <x v="0"/>
          </reference>
          <reference field="0" count="1" selected="0">
            <x v="7"/>
          </reference>
          <reference field="1" count="1" selected="0">
            <x v="38"/>
          </reference>
        </references>
      </pivotArea>
    </chartFormat>
    <chartFormat chart="0" format="348">
      <pivotArea type="data" outline="0" fieldPosition="0">
        <references count="3">
          <reference field="4294967294" count="1" selected="0">
            <x v="0"/>
          </reference>
          <reference field="0" count="1" selected="0">
            <x v="7"/>
          </reference>
          <reference field="1" count="1" selected="0">
            <x v="39"/>
          </reference>
        </references>
      </pivotArea>
    </chartFormat>
    <chartFormat chart="0" format="349">
      <pivotArea type="data" outline="0" fieldPosition="0">
        <references count="3">
          <reference field="4294967294" count="1" selected="0">
            <x v="0"/>
          </reference>
          <reference field="0" count="1" selected="0">
            <x v="7"/>
          </reference>
          <reference field="1" count="1" selected="0">
            <x v="40"/>
          </reference>
        </references>
      </pivotArea>
    </chartFormat>
    <chartFormat chart="0" format="350">
      <pivotArea type="data" outline="0" fieldPosition="0">
        <references count="3">
          <reference field="4294967294" count="1" selected="0">
            <x v="0"/>
          </reference>
          <reference field="0" count="1" selected="0">
            <x v="7"/>
          </reference>
          <reference field="1" count="1" selected="0">
            <x v="41"/>
          </reference>
        </references>
      </pivotArea>
    </chartFormat>
    <chartFormat chart="0" format="351">
      <pivotArea type="data" outline="0" fieldPosition="0">
        <references count="3">
          <reference field="4294967294" count="1" selected="0">
            <x v="0"/>
          </reference>
          <reference field="0" count="1" selected="0">
            <x v="7"/>
          </reference>
          <reference field="1" count="1" selected="0">
            <x v="42"/>
          </reference>
        </references>
      </pivotArea>
    </chartFormat>
    <chartFormat chart="0" format="352">
      <pivotArea type="data" outline="0" fieldPosition="0">
        <references count="3">
          <reference field="4294967294" count="1" selected="0">
            <x v="0"/>
          </reference>
          <reference field="0" count="1" selected="0">
            <x v="7"/>
          </reference>
          <reference field="1" count="1" selected="0">
            <x v="43"/>
          </reference>
        </references>
      </pivotArea>
    </chartFormat>
    <chartFormat chart="0" format="353">
      <pivotArea type="data" outline="0" fieldPosition="0">
        <references count="3">
          <reference field="4294967294" count="1" selected="0">
            <x v="0"/>
          </reference>
          <reference field="0" count="1" selected="0">
            <x v="7"/>
          </reference>
          <reference field="1" count="1" selected="0">
            <x v="44"/>
          </reference>
        </references>
      </pivotArea>
    </chartFormat>
    <chartFormat chart="0" format="354">
      <pivotArea type="data" outline="0" fieldPosition="0">
        <references count="3">
          <reference field="4294967294" count="1" selected="0">
            <x v="0"/>
          </reference>
          <reference field="0" count="1" selected="0">
            <x v="7"/>
          </reference>
          <reference field="1" count="1" selected="0">
            <x v="45"/>
          </reference>
        </references>
      </pivotArea>
    </chartFormat>
    <chartFormat chart="0" format="355">
      <pivotArea type="data" outline="0" fieldPosition="0">
        <references count="3">
          <reference field="4294967294" count="1" selected="0">
            <x v="0"/>
          </reference>
          <reference field="0" count="1" selected="0">
            <x v="7"/>
          </reference>
          <reference field="1" count="1" selected="0">
            <x v="46"/>
          </reference>
        </references>
      </pivotArea>
    </chartFormat>
    <chartFormat chart="0" format="356">
      <pivotArea type="data" outline="0" fieldPosition="0">
        <references count="3">
          <reference field="4294967294" count="1" selected="0">
            <x v="0"/>
          </reference>
          <reference field="0" count="1" selected="0">
            <x v="7"/>
          </reference>
          <reference field="1" count="1" selected="0">
            <x v="47"/>
          </reference>
        </references>
      </pivotArea>
    </chartFormat>
    <chartFormat chart="0" format="357">
      <pivotArea type="data" outline="0" fieldPosition="0">
        <references count="3">
          <reference field="4294967294" count="1" selected="0">
            <x v="0"/>
          </reference>
          <reference field="0" count="1" selected="0">
            <x v="7"/>
          </reference>
          <reference field="1" count="1" selected="0">
            <x v="48"/>
          </reference>
        </references>
      </pivotArea>
    </chartFormat>
    <chartFormat chart="0" format="358">
      <pivotArea type="data" outline="0" fieldPosition="0">
        <references count="3">
          <reference field="4294967294" count="1" selected="0">
            <x v="0"/>
          </reference>
          <reference field="0" count="1" selected="0">
            <x v="7"/>
          </reference>
          <reference field="1" count="1" selected="0">
            <x v="49"/>
          </reference>
        </references>
      </pivotArea>
    </chartFormat>
    <chartFormat chart="0" format="359">
      <pivotArea type="data" outline="0" fieldPosition="0">
        <references count="3">
          <reference field="4294967294" count="1" selected="0">
            <x v="0"/>
          </reference>
          <reference field="0" count="1" selected="0">
            <x v="7"/>
          </reference>
          <reference field="1" count="1" selected="0">
            <x v="50"/>
          </reference>
        </references>
      </pivotArea>
    </chartFormat>
    <chartFormat chart="0" format="360">
      <pivotArea type="data" outline="0" fieldPosition="0">
        <references count="3">
          <reference field="4294967294" count="1" selected="0">
            <x v="0"/>
          </reference>
          <reference field="0" count="1" selected="0">
            <x v="7"/>
          </reference>
          <reference field="1" count="1" selected="0">
            <x v="51"/>
          </reference>
        </references>
      </pivotArea>
    </chartFormat>
    <chartFormat chart="0" format="361">
      <pivotArea type="data" outline="0" fieldPosition="0">
        <references count="3">
          <reference field="4294967294" count="1" selected="0">
            <x v="0"/>
          </reference>
          <reference field="0" count="1" selected="0">
            <x v="7"/>
          </reference>
          <reference field="1" count="1" selected="0">
            <x v="52"/>
          </reference>
        </references>
      </pivotArea>
    </chartFormat>
    <chartFormat chart="0" format="362">
      <pivotArea type="data" outline="0" fieldPosition="0">
        <references count="3">
          <reference field="4294967294" count="1" selected="0">
            <x v="0"/>
          </reference>
          <reference field="0" count="1" selected="0">
            <x v="7"/>
          </reference>
          <reference field="1" count="1" selected="0">
            <x v="53"/>
          </reference>
        </references>
      </pivotArea>
    </chartFormat>
    <chartFormat chart="0" format="363">
      <pivotArea type="data" outline="0" fieldPosition="0">
        <references count="3">
          <reference field="4294967294" count="1" selected="0">
            <x v="0"/>
          </reference>
          <reference field="0" count="1" selected="0">
            <x v="7"/>
          </reference>
          <reference field="1" count="1" selected="0">
            <x v="54"/>
          </reference>
        </references>
      </pivotArea>
    </chartFormat>
    <chartFormat chart="0" format="364">
      <pivotArea type="data" outline="0" fieldPosition="0">
        <references count="3">
          <reference field="4294967294" count="1" selected="0">
            <x v="0"/>
          </reference>
          <reference field="0" count="1" selected="0">
            <x v="7"/>
          </reference>
          <reference field="1" count="1" selected="0">
            <x v="55"/>
          </reference>
        </references>
      </pivotArea>
    </chartFormat>
    <chartFormat chart="0" format="365">
      <pivotArea type="data" outline="0" fieldPosition="0">
        <references count="3">
          <reference field="4294967294" count="1" selected="0">
            <x v="0"/>
          </reference>
          <reference field="0" count="1" selected="0">
            <x v="7"/>
          </reference>
          <reference field="1" count="1" selected="0">
            <x v="56"/>
          </reference>
        </references>
      </pivotArea>
    </chartFormat>
    <chartFormat chart="0" format="366">
      <pivotArea type="data" outline="0" fieldPosition="0">
        <references count="3">
          <reference field="4294967294" count="1" selected="0">
            <x v="0"/>
          </reference>
          <reference field="0" count="1" selected="0">
            <x v="7"/>
          </reference>
          <reference field="1" count="1" selected="0">
            <x v="57"/>
          </reference>
        </references>
      </pivotArea>
    </chartFormat>
    <chartFormat chart="0" format="367">
      <pivotArea type="data" outline="0" fieldPosition="0">
        <references count="3">
          <reference field="4294967294" count="1" selected="0">
            <x v="0"/>
          </reference>
          <reference field="0" count="1" selected="0">
            <x v="7"/>
          </reference>
          <reference field="1" count="1" selected="0">
            <x v="58"/>
          </reference>
        </references>
      </pivotArea>
    </chartFormat>
    <chartFormat chart="0" format="368">
      <pivotArea type="data" outline="0" fieldPosition="0">
        <references count="3">
          <reference field="4294967294" count="1" selected="0">
            <x v="0"/>
          </reference>
          <reference field="0" count="1" selected="0">
            <x v="7"/>
          </reference>
          <reference field="1" count="1" selected="0">
            <x v="59"/>
          </reference>
        </references>
      </pivotArea>
    </chartFormat>
    <chartFormat chart="0" format="369">
      <pivotArea type="data" outline="0" fieldPosition="0">
        <references count="3">
          <reference field="4294967294" count="1" selected="0">
            <x v="0"/>
          </reference>
          <reference field="0" count="1" selected="0">
            <x v="7"/>
          </reference>
          <reference field="1" count="1" selected="0">
            <x v="60"/>
          </reference>
        </references>
      </pivotArea>
    </chartFormat>
    <chartFormat chart="0" format="370">
      <pivotArea type="data" outline="0" fieldPosition="0">
        <references count="3">
          <reference field="4294967294" count="1" selected="0">
            <x v="0"/>
          </reference>
          <reference field="0" count="1" selected="0">
            <x v="7"/>
          </reference>
          <reference field="1" count="1" selected="0">
            <x v="61"/>
          </reference>
        </references>
      </pivotArea>
    </chartFormat>
    <chartFormat chart="0" format="371">
      <pivotArea type="data" outline="0" fieldPosition="0">
        <references count="3">
          <reference field="4294967294" count="1" selected="0">
            <x v="0"/>
          </reference>
          <reference field="0" count="1" selected="0">
            <x v="7"/>
          </reference>
          <reference field="1" count="1" selected="0">
            <x v="62"/>
          </reference>
        </references>
      </pivotArea>
    </chartFormat>
    <chartFormat chart="0" format="372">
      <pivotArea type="data" outline="0" fieldPosition="0">
        <references count="3">
          <reference field="4294967294" count="1" selected="0">
            <x v="0"/>
          </reference>
          <reference field="0" count="1" selected="0">
            <x v="7"/>
          </reference>
          <reference field="1" count="1" selected="0">
            <x v="63"/>
          </reference>
        </references>
      </pivotArea>
    </chartFormat>
    <chartFormat chart="0" format="373">
      <pivotArea type="data" outline="0" fieldPosition="0">
        <references count="3">
          <reference field="4294967294" count="1" selected="0">
            <x v="0"/>
          </reference>
          <reference field="0" count="1" selected="0">
            <x v="7"/>
          </reference>
          <reference field="1" count="1" selected="0">
            <x v="64"/>
          </reference>
        </references>
      </pivotArea>
    </chartFormat>
    <chartFormat chart="0" format="374">
      <pivotArea type="data" outline="0" fieldPosition="0">
        <references count="3">
          <reference field="4294967294" count="1" selected="0">
            <x v="0"/>
          </reference>
          <reference field="0" count="1" selected="0">
            <x v="7"/>
          </reference>
          <reference field="1" count="1" selected="0">
            <x v="65"/>
          </reference>
        </references>
      </pivotArea>
    </chartFormat>
    <chartFormat chart="0" format="375">
      <pivotArea type="data" outline="0" fieldPosition="0">
        <references count="3">
          <reference field="4294967294" count="1" selected="0">
            <x v="0"/>
          </reference>
          <reference field="0" count="1" selected="0">
            <x v="7"/>
          </reference>
          <reference field="1" count="1" selected="0">
            <x v="66"/>
          </reference>
        </references>
      </pivotArea>
    </chartFormat>
    <chartFormat chart="0" format="376">
      <pivotArea type="data" outline="0" fieldPosition="0">
        <references count="3">
          <reference field="4294967294" count="1" selected="0">
            <x v="0"/>
          </reference>
          <reference field="0" count="1" selected="0">
            <x v="7"/>
          </reference>
          <reference field="1" count="1" selected="0">
            <x v="67"/>
          </reference>
        </references>
      </pivotArea>
    </chartFormat>
    <chartFormat chart="0" format="377">
      <pivotArea type="data" outline="0" fieldPosition="0">
        <references count="3">
          <reference field="4294967294" count="1" selected="0">
            <x v="0"/>
          </reference>
          <reference field="0" count="1" selected="0">
            <x v="7"/>
          </reference>
          <reference field="1" count="1" selected="0">
            <x v="68"/>
          </reference>
        </references>
      </pivotArea>
    </chartFormat>
    <chartFormat chart="0" format="378">
      <pivotArea type="data" outline="0" fieldPosition="0">
        <references count="3">
          <reference field="4294967294" count="1" selected="0">
            <x v="0"/>
          </reference>
          <reference field="0" count="1" selected="0">
            <x v="7"/>
          </reference>
          <reference field="1" count="1" selected="0">
            <x v="69"/>
          </reference>
        </references>
      </pivotArea>
    </chartFormat>
    <chartFormat chart="0" format="379">
      <pivotArea type="data" outline="0" fieldPosition="0">
        <references count="3">
          <reference field="4294967294" count="1" selected="0">
            <x v="0"/>
          </reference>
          <reference field="0" count="1" selected="0">
            <x v="7"/>
          </reference>
          <reference field="1" count="1" selected="0">
            <x v="70"/>
          </reference>
        </references>
      </pivotArea>
    </chartFormat>
    <chartFormat chart="0" format="380">
      <pivotArea type="data" outline="0" fieldPosition="0">
        <references count="3">
          <reference field="4294967294" count="1" selected="0">
            <x v="0"/>
          </reference>
          <reference field="0" count="1" selected="0">
            <x v="7"/>
          </reference>
          <reference field="1" count="1" selected="0">
            <x v="71"/>
          </reference>
        </references>
      </pivotArea>
    </chartFormat>
    <chartFormat chart="0" format="381">
      <pivotArea type="data" outline="0" fieldPosition="0">
        <references count="3">
          <reference field="4294967294" count="1" selected="0">
            <x v="0"/>
          </reference>
          <reference field="0" count="1" selected="0">
            <x v="7"/>
          </reference>
          <reference field="1" count="1" selected="0">
            <x v="72"/>
          </reference>
        </references>
      </pivotArea>
    </chartFormat>
    <chartFormat chart="0" format="382">
      <pivotArea type="data" outline="0" fieldPosition="0">
        <references count="3">
          <reference field="4294967294" count="1" selected="0">
            <x v="0"/>
          </reference>
          <reference field="0" count="1" selected="0">
            <x v="7"/>
          </reference>
          <reference field="1" count="1" selected="0">
            <x v="73"/>
          </reference>
        </references>
      </pivotArea>
    </chartFormat>
    <chartFormat chart="0" format="383">
      <pivotArea type="data" outline="0" fieldPosition="0">
        <references count="3">
          <reference field="4294967294" count="1" selected="0">
            <x v="0"/>
          </reference>
          <reference field="0" count="1" selected="0">
            <x v="7"/>
          </reference>
          <reference field="1" count="1" selected="0">
            <x v="74"/>
          </reference>
        </references>
      </pivotArea>
    </chartFormat>
    <chartFormat chart="0" format="384">
      <pivotArea type="data" outline="0" fieldPosition="0">
        <references count="3">
          <reference field="4294967294" count="1" selected="0">
            <x v="0"/>
          </reference>
          <reference field="0" count="1" selected="0">
            <x v="7"/>
          </reference>
          <reference field="1" count="1" selected="0">
            <x v="75"/>
          </reference>
        </references>
      </pivotArea>
    </chartFormat>
    <chartFormat chart="0" format="385">
      <pivotArea type="data" outline="0" fieldPosition="0">
        <references count="3">
          <reference field="4294967294" count="1" selected="0">
            <x v="0"/>
          </reference>
          <reference field="0" count="1" selected="0">
            <x v="7"/>
          </reference>
          <reference field="1" count="1" selected="0">
            <x v="76"/>
          </reference>
        </references>
      </pivotArea>
    </chartFormat>
    <chartFormat chart="0" format="386">
      <pivotArea type="data" outline="0" fieldPosition="0">
        <references count="3">
          <reference field="4294967294" count="1" selected="0">
            <x v="0"/>
          </reference>
          <reference field="0" count="1" selected="0">
            <x v="7"/>
          </reference>
          <reference field="1" count="1" selected="0">
            <x v="77"/>
          </reference>
        </references>
      </pivotArea>
    </chartFormat>
    <chartFormat chart="0" format="387">
      <pivotArea type="data" outline="0" fieldPosition="0">
        <references count="3">
          <reference field="4294967294" count="1" selected="0">
            <x v="0"/>
          </reference>
          <reference field="0" count="1" selected="0">
            <x v="7"/>
          </reference>
          <reference field="1" count="1" selected="0">
            <x v="78"/>
          </reference>
        </references>
      </pivotArea>
    </chartFormat>
    <chartFormat chart="0" format="388">
      <pivotArea type="data" outline="0" fieldPosition="0">
        <references count="3">
          <reference field="4294967294" count="1" selected="0">
            <x v="0"/>
          </reference>
          <reference field="0" count="1" selected="0">
            <x v="8"/>
          </reference>
          <reference field="1" count="1" selected="0">
            <x v="31"/>
          </reference>
        </references>
      </pivotArea>
    </chartFormat>
    <chartFormat chart="0" format="389">
      <pivotArea type="data" outline="0" fieldPosition="0">
        <references count="3">
          <reference field="4294967294" count="1" selected="0">
            <x v="0"/>
          </reference>
          <reference field="0" count="1" selected="0">
            <x v="8"/>
          </reference>
          <reference field="1" count="1" selected="0">
            <x v="32"/>
          </reference>
        </references>
      </pivotArea>
    </chartFormat>
    <chartFormat chart="0" format="390">
      <pivotArea type="data" outline="0" fieldPosition="0">
        <references count="3">
          <reference field="4294967294" count="1" selected="0">
            <x v="0"/>
          </reference>
          <reference field="0" count="1" selected="0">
            <x v="8"/>
          </reference>
          <reference field="1" count="1" selected="0">
            <x v="33"/>
          </reference>
        </references>
      </pivotArea>
    </chartFormat>
    <chartFormat chart="0" format="391">
      <pivotArea type="data" outline="0" fieldPosition="0">
        <references count="3">
          <reference field="4294967294" count="1" selected="0">
            <x v="0"/>
          </reference>
          <reference field="0" count="1" selected="0">
            <x v="8"/>
          </reference>
          <reference field="1" count="1" selected="0">
            <x v="34"/>
          </reference>
        </references>
      </pivotArea>
    </chartFormat>
    <chartFormat chart="0" format="392">
      <pivotArea type="data" outline="0" fieldPosition="0">
        <references count="3">
          <reference field="4294967294" count="1" selected="0">
            <x v="0"/>
          </reference>
          <reference field="0" count="1" selected="0">
            <x v="8"/>
          </reference>
          <reference field="1" count="1" selected="0">
            <x v="35"/>
          </reference>
        </references>
      </pivotArea>
    </chartFormat>
    <chartFormat chart="0" format="393">
      <pivotArea type="data" outline="0" fieldPosition="0">
        <references count="3">
          <reference field="4294967294" count="1" selected="0">
            <x v="0"/>
          </reference>
          <reference field="0" count="1" selected="0">
            <x v="8"/>
          </reference>
          <reference field="1" count="1" selected="0">
            <x v="36"/>
          </reference>
        </references>
      </pivotArea>
    </chartFormat>
    <chartFormat chart="0" format="394">
      <pivotArea type="data" outline="0" fieldPosition="0">
        <references count="3">
          <reference field="4294967294" count="1" selected="0">
            <x v="0"/>
          </reference>
          <reference field="0" count="1" selected="0">
            <x v="8"/>
          </reference>
          <reference field="1" count="1" selected="0">
            <x v="37"/>
          </reference>
        </references>
      </pivotArea>
    </chartFormat>
    <chartFormat chart="0" format="395">
      <pivotArea type="data" outline="0" fieldPosition="0">
        <references count="3">
          <reference field="4294967294" count="1" selected="0">
            <x v="0"/>
          </reference>
          <reference field="0" count="1" selected="0">
            <x v="8"/>
          </reference>
          <reference field="1" count="1" selected="0">
            <x v="38"/>
          </reference>
        </references>
      </pivotArea>
    </chartFormat>
    <chartFormat chart="0" format="396">
      <pivotArea type="data" outline="0" fieldPosition="0">
        <references count="3">
          <reference field="4294967294" count="1" selected="0">
            <x v="0"/>
          </reference>
          <reference field="0" count="1" selected="0">
            <x v="8"/>
          </reference>
          <reference field="1" count="1" selected="0">
            <x v="39"/>
          </reference>
        </references>
      </pivotArea>
    </chartFormat>
    <chartFormat chart="0" format="397">
      <pivotArea type="data" outline="0" fieldPosition="0">
        <references count="3">
          <reference field="4294967294" count="1" selected="0">
            <x v="0"/>
          </reference>
          <reference field="0" count="1" selected="0">
            <x v="8"/>
          </reference>
          <reference field="1" count="1" selected="0">
            <x v="40"/>
          </reference>
        </references>
      </pivotArea>
    </chartFormat>
    <chartFormat chart="0" format="398">
      <pivotArea type="data" outline="0" fieldPosition="0">
        <references count="3">
          <reference field="4294967294" count="1" selected="0">
            <x v="0"/>
          </reference>
          <reference field="0" count="1" selected="0">
            <x v="8"/>
          </reference>
          <reference field="1" count="1" selected="0">
            <x v="41"/>
          </reference>
        </references>
      </pivotArea>
    </chartFormat>
    <chartFormat chart="0" format="399">
      <pivotArea type="data" outline="0" fieldPosition="0">
        <references count="3">
          <reference field="4294967294" count="1" selected="0">
            <x v="0"/>
          </reference>
          <reference field="0" count="1" selected="0">
            <x v="8"/>
          </reference>
          <reference field="1" count="1" selected="0">
            <x v="42"/>
          </reference>
        </references>
      </pivotArea>
    </chartFormat>
    <chartFormat chart="0" format="400">
      <pivotArea type="data" outline="0" fieldPosition="0">
        <references count="3">
          <reference field="4294967294" count="1" selected="0">
            <x v="0"/>
          </reference>
          <reference field="0" count="1" selected="0">
            <x v="8"/>
          </reference>
          <reference field="1" count="1" selected="0">
            <x v="43"/>
          </reference>
        </references>
      </pivotArea>
    </chartFormat>
    <chartFormat chart="0" format="401">
      <pivotArea type="data" outline="0" fieldPosition="0">
        <references count="3">
          <reference field="4294967294" count="1" selected="0">
            <x v="0"/>
          </reference>
          <reference field="0" count="1" selected="0">
            <x v="8"/>
          </reference>
          <reference field="1" count="1" selected="0">
            <x v="44"/>
          </reference>
        </references>
      </pivotArea>
    </chartFormat>
    <chartFormat chart="0" format="402">
      <pivotArea type="data" outline="0" fieldPosition="0">
        <references count="3">
          <reference field="4294967294" count="1" selected="0">
            <x v="0"/>
          </reference>
          <reference field="0" count="1" selected="0">
            <x v="8"/>
          </reference>
          <reference field="1" count="1" selected="0">
            <x v="45"/>
          </reference>
        </references>
      </pivotArea>
    </chartFormat>
    <chartFormat chart="0" format="403">
      <pivotArea type="data" outline="0" fieldPosition="0">
        <references count="3">
          <reference field="4294967294" count="1" selected="0">
            <x v="0"/>
          </reference>
          <reference field="0" count="1" selected="0">
            <x v="8"/>
          </reference>
          <reference field="1" count="1" selected="0">
            <x v="46"/>
          </reference>
        </references>
      </pivotArea>
    </chartFormat>
    <chartFormat chart="0" format="404">
      <pivotArea type="data" outline="0" fieldPosition="0">
        <references count="3">
          <reference field="4294967294" count="1" selected="0">
            <x v="0"/>
          </reference>
          <reference field="0" count="1" selected="0">
            <x v="8"/>
          </reference>
          <reference field="1" count="1" selected="0">
            <x v="47"/>
          </reference>
        </references>
      </pivotArea>
    </chartFormat>
    <chartFormat chart="0" format="405">
      <pivotArea type="data" outline="0" fieldPosition="0">
        <references count="3">
          <reference field="4294967294" count="1" selected="0">
            <x v="0"/>
          </reference>
          <reference field="0" count="1" selected="0">
            <x v="8"/>
          </reference>
          <reference field="1" count="1" selected="0">
            <x v="48"/>
          </reference>
        </references>
      </pivotArea>
    </chartFormat>
    <chartFormat chart="0" format="406">
      <pivotArea type="data" outline="0" fieldPosition="0">
        <references count="3">
          <reference field="4294967294" count="1" selected="0">
            <x v="0"/>
          </reference>
          <reference field="0" count="1" selected="0">
            <x v="8"/>
          </reference>
          <reference field="1" count="1" selected="0">
            <x v="49"/>
          </reference>
        </references>
      </pivotArea>
    </chartFormat>
    <chartFormat chart="0" format="407">
      <pivotArea type="data" outline="0" fieldPosition="0">
        <references count="3">
          <reference field="4294967294" count="1" selected="0">
            <x v="0"/>
          </reference>
          <reference field="0" count="1" selected="0">
            <x v="8"/>
          </reference>
          <reference field="1" count="1" selected="0">
            <x v="50"/>
          </reference>
        </references>
      </pivotArea>
    </chartFormat>
    <chartFormat chart="0" format="408">
      <pivotArea type="data" outline="0" fieldPosition="0">
        <references count="3">
          <reference field="4294967294" count="1" selected="0">
            <x v="0"/>
          </reference>
          <reference field="0" count="1" selected="0">
            <x v="8"/>
          </reference>
          <reference field="1" count="1" selected="0">
            <x v="51"/>
          </reference>
        </references>
      </pivotArea>
    </chartFormat>
    <chartFormat chart="0" format="409">
      <pivotArea type="data" outline="0" fieldPosition="0">
        <references count="3">
          <reference field="4294967294" count="1" selected="0">
            <x v="0"/>
          </reference>
          <reference field="0" count="1" selected="0">
            <x v="8"/>
          </reference>
          <reference field="1" count="1" selected="0">
            <x v="52"/>
          </reference>
        </references>
      </pivotArea>
    </chartFormat>
    <chartFormat chart="0" format="410">
      <pivotArea type="data" outline="0" fieldPosition="0">
        <references count="3">
          <reference field="4294967294" count="1" selected="0">
            <x v="0"/>
          </reference>
          <reference field="0" count="1" selected="0">
            <x v="8"/>
          </reference>
          <reference field="1" count="1" selected="0">
            <x v="53"/>
          </reference>
        </references>
      </pivotArea>
    </chartFormat>
    <chartFormat chart="0" format="411">
      <pivotArea type="data" outline="0" fieldPosition="0">
        <references count="3">
          <reference field="4294967294" count="1" selected="0">
            <x v="0"/>
          </reference>
          <reference field="0" count="1" selected="0">
            <x v="8"/>
          </reference>
          <reference field="1" count="1" selected="0">
            <x v="54"/>
          </reference>
        </references>
      </pivotArea>
    </chartFormat>
    <chartFormat chart="0" format="412">
      <pivotArea type="data" outline="0" fieldPosition="0">
        <references count="3">
          <reference field="4294967294" count="1" selected="0">
            <x v="0"/>
          </reference>
          <reference field="0" count="1" selected="0">
            <x v="8"/>
          </reference>
          <reference field="1" count="1" selected="0">
            <x v="55"/>
          </reference>
        </references>
      </pivotArea>
    </chartFormat>
    <chartFormat chart="0" format="413">
      <pivotArea type="data" outline="0" fieldPosition="0">
        <references count="3">
          <reference field="4294967294" count="1" selected="0">
            <x v="0"/>
          </reference>
          <reference field="0" count="1" selected="0">
            <x v="8"/>
          </reference>
          <reference field="1" count="1" selected="0">
            <x v="56"/>
          </reference>
        </references>
      </pivotArea>
    </chartFormat>
    <chartFormat chart="0" format="414">
      <pivotArea type="data" outline="0" fieldPosition="0">
        <references count="3">
          <reference field="4294967294" count="1" selected="0">
            <x v="0"/>
          </reference>
          <reference field="0" count="1" selected="0">
            <x v="8"/>
          </reference>
          <reference field="1" count="1" selected="0">
            <x v="57"/>
          </reference>
        </references>
      </pivotArea>
    </chartFormat>
    <chartFormat chart="0" format="415">
      <pivotArea type="data" outline="0" fieldPosition="0">
        <references count="3">
          <reference field="4294967294" count="1" selected="0">
            <x v="0"/>
          </reference>
          <reference field="0" count="1" selected="0">
            <x v="8"/>
          </reference>
          <reference field="1" count="1" selected="0">
            <x v="58"/>
          </reference>
        </references>
      </pivotArea>
    </chartFormat>
    <chartFormat chart="0" format="416">
      <pivotArea type="data" outline="0" fieldPosition="0">
        <references count="3">
          <reference field="4294967294" count="1" selected="0">
            <x v="0"/>
          </reference>
          <reference field="0" count="1" selected="0">
            <x v="8"/>
          </reference>
          <reference field="1" count="1" selected="0">
            <x v="59"/>
          </reference>
        </references>
      </pivotArea>
    </chartFormat>
    <chartFormat chart="0" format="417">
      <pivotArea type="data" outline="0" fieldPosition="0">
        <references count="3">
          <reference field="4294967294" count="1" selected="0">
            <x v="0"/>
          </reference>
          <reference field="0" count="1" selected="0">
            <x v="8"/>
          </reference>
          <reference field="1" count="1" selected="0">
            <x v="60"/>
          </reference>
        </references>
      </pivotArea>
    </chartFormat>
    <chartFormat chart="0" format="418">
      <pivotArea type="data" outline="0" fieldPosition="0">
        <references count="3">
          <reference field="4294967294" count="1" selected="0">
            <x v="0"/>
          </reference>
          <reference field="0" count="1" selected="0">
            <x v="8"/>
          </reference>
          <reference field="1" count="1" selected="0">
            <x v="61"/>
          </reference>
        </references>
      </pivotArea>
    </chartFormat>
    <chartFormat chart="0" format="419">
      <pivotArea type="data" outline="0" fieldPosition="0">
        <references count="3">
          <reference field="4294967294" count="1" selected="0">
            <x v="0"/>
          </reference>
          <reference field="0" count="1" selected="0">
            <x v="8"/>
          </reference>
          <reference field="1" count="1" selected="0">
            <x v="62"/>
          </reference>
        </references>
      </pivotArea>
    </chartFormat>
    <chartFormat chart="0" format="420">
      <pivotArea type="data" outline="0" fieldPosition="0">
        <references count="3">
          <reference field="4294967294" count="1" selected="0">
            <x v="0"/>
          </reference>
          <reference field="0" count="1" selected="0">
            <x v="8"/>
          </reference>
          <reference field="1" count="1" selected="0">
            <x v="63"/>
          </reference>
        </references>
      </pivotArea>
    </chartFormat>
    <chartFormat chart="0" format="421">
      <pivotArea type="data" outline="0" fieldPosition="0">
        <references count="3">
          <reference field="4294967294" count="1" selected="0">
            <x v="0"/>
          </reference>
          <reference field="0" count="1" selected="0">
            <x v="8"/>
          </reference>
          <reference field="1" count="1" selected="0">
            <x v="64"/>
          </reference>
        </references>
      </pivotArea>
    </chartFormat>
    <chartFormat chart="0" format="422">
      <pivotArea type="data" outline="0" fieldPosition="0">
        <references count="3">
          <reference field="4294967294" count="1" selected="0">
            <x v="0"/>
          </reference>
          <reference field="0" count="1" selected="0">
            <x v="8"/>
          </reference>
          <reference field="1" count="1" selected="0">
            <x v="65"/>
          </reference>
        </references>
      </pivotArea>
    </chartFormat>
    <chartFormat chart="0" format="423">
      <pivotArea type="data" outline="0" fieldPosition="0">
        <references count="3">
          <reference field="4294967294" count="1" selected="0">
            <x v="0"/>
          </reference>
          <reference field="0" count="1" selected="0">
            <x v="8"/>
          </reference>
          <reference field="1" count="1" selected="0">
            <x v="66"/>
          </reference>
        </references>
      </pivotArea>
    </chartFormat>
    <chartFormat chart="0" format="424">
      <pivotArea type="data" outline="0" fieldPosition="0">
        <references count="3">
          <reference field="4294967294" count="1" selected="0">
            <x v="0"/>
          </reference>
          <reference field="0" count="1" selected="0">
            <x v="8"/>
          </reference>
          <reference field="1" count="1" selected="0">
            <x v="67"/>
          </reference>
        </references>
      </pivotArea>
    </chartFormat>
    <chartFormat chart="0" format="425">
      <pivotArea type="data" outline="0" fieldPosition="0">
        <references count="3">
          <reference field="4294967294" count="1" selected="0">
            <x v="0"/>
          </reference>
          <reference field="0" count="1" selected="0">
            <x v="8"/>
          </reference>
          <reference field="1" count="1" selected="0">
            <x v="68"/>
          </reference>
        </references>
      </pivotArea>
    </chartFormat>
    <chartFormat chart="0" format="426">
      <pivotArea type="data" outline="0" fieldPosition="0">
        <references count="3">
          <reference field="4294967294" count="1" selected="0">
            <x v="0"/>
          </reference>
          <reference field="0" count="1" selected="0">
            <x v="8"/>
          </reference>
          <reference field="1" count="1" selected="0">
            <x v="69"/>
          </reference>
        </references>
      </pivotArea>
    </chartFormat>
    <chartFormat chart="0" format="427">
      <pivotArea type="data" outline="0" fieldPosition="0">
        <references count="3">
          <reference field="4294967294" count="1" selected="0">
            <x v="0"/>
          </reference>
          <reference field="0" count="1" selected="0">
            <x v="8"/>
          </reference>
          <reference field="1" count="1" selected="0">
            <x v="70"/>
          </reference>
        </references>
      </pivotArea>
    </chartFormat>
    <chartFormat chart="0" format="428">
      <pivotArea type="data" outline="0" fieldPosition="0">
        <references count="3">
          <reference field="4294967294" count="1" selected="0">
            <x v="0"/>
          </reference>
          <reference field="0" count="1" selected="0">
            <x v="8"/>
          </reference>
          <reference field="1" count="1" selected="0">
            <x v="71"/>
          </reference>
        </references>
      </pivotArea>
    </chartFormat>
    <chartFormat chart="0" format="429">
      <pivotArea type="data" outline="0" fieldPosition="0">
        <references count="3">
          <reference field="4294967294" count="1" selected="0">
            <x v="0"/>
          </reference>
          <reference field="0" count="1" selected="0">
            <x v="8"/>
          </reference>
          <reference field="1" count="1" selected="0">
            <x v="72"/>
          </reference>
        </references>
      </pivotArea>
    </chartFormat>
    <chartFormat chart="0" format="430">
      <pivotArea type="data" outline="0" fieldPosition="0">
        <references count="3">
          <reference field="4294967294" count="1" selected="0">
            <x v="0"/>
          </reference>
          <reference field="0" count="1" selected="0">
            <x v="8"/>
          </reference>
          <reference field="1" count="1" selected="0">
            <x v="73"/>
          </reference>
        </references>
      </pivotArea>
    </chartFormat>
    <chartFormat chart="0" format="431">
      <pivotArea type="data" outline="0" fieldPosition="0">
        <references count="3">
          <reference field="4294967294" count="1" selected="0">
            <x v="0"/>
          </reference>
          <reference field="0" count="1" selected="0">
            <x v="8"/>
          </reference>
          <reference field="1" count="1" selected="0">
            <x v="74"/>
          </reference>
        </references>
      </pivotArea>
    </chartFormat>
    <chartFormat chart="0" format="432">
      <pivotArea type="data" outline="0" fieldPosition="0">
        <references count="3">
          <reference field="4294967294" count="1" selected="0">
            <x v="0"/>
          </reference>
          <reference field="0" count="1" selected="0">
            <x v="8"/>
          </reference>
          <reference field="1" count="1" selected="0">
            <x v="75"/>
          </reference>
        </references>
      </pivotArea>
    </chartFormat>
    <chartFormat chart="0" format="433">
      <pivotArea type="data" outline="0" fieldPosition="0">
        <references count="3">
          <reference field="4294967294" count="1" selected="0">
            <x v="0"/>
          </reference>
          <reference field="0" count="1" selected="0">
            <x v="8"/>
          </reference>
          <reference field="1" count="1" selected="0">
            <x v="76"/>
          </reference>
        </references>
      </pivotArea>
    </chartFormat>
    <chartFormat chart="0" format="434">
      <pivotArea type="data" outline="0" fieldPosition="0">
        <references count="3">
          <reference field="4294967294" count="1" selected="0">
            <x v="0"/>
          </reference>
          <reference field="0" count="1" selected="0">
            <x v="8"/>
          </reference>
          <reference field="1" count="1" selected="0">
            <x v="77"/>
          </reference>
        </references>
      </pivotArea>
    </chartFormat>
    <chartFormat chart="0" format="435">
      <pivotArea type="data" outline="0" fieldPosition="0">
        <references count="3">
          <reference field="4294967294" count="1" selected="0">
            <x v="0"/>
          </reference>
          <reference field="0" count="1" selected="0">
            <x v="8"/>
          </reference>
          <reference field="1" count="1" selected="0">
            <x v="78"/>
          </reference>
        </references>
      </pivotArea>
    </chartFormat>
    <chartFormat chart="0" format="436">
      <pivotArea type="data" outline="0" fieldPosition="0">
        <references count="3">
          <reference field="4294967294" count="1" selected="0">
            <x v="0"/>
          </reference>
          <reference field="0" count="1" selected="0">
            <x v="9"/>
          </reference>
          <reference field="1" count="1" selected="0">
            <x v="31"/>
          </reference>
        </references>
      </pivotArea>
    </chartFormat>
    <chartFormat chart="0" format="437">
      <pivotArea type="data" outline="0" fieldPosition="0">
        <references count="3">
          <reference field="4294967294" count="1" selected="0">
            <x v="0"/>
          </reference>
          <reference field="0" count="1" selected="0">
            <x v="9"/>
          </reference>
          <reference field="1" count="1" selected="0">
            <x v="32"/>
          </reference>
        </references>
      </pivotArea>
    </chartFormat>
    <chartFormat chart="0" format="438">
      <pivotArea type="data" outline="0" fieldPosition="0">
        <references count="3">
          <reference field="4294967294" count="1" selected="0">
            <x v="0"/>
          </reference>
          <reference field="0" count="1" selected="0">
            <x v="9"/>
          </reference>
          <reference field="1" count="1" selected="0">
            <x v="33"/>
          </reference>
        </references>
      </pivotArea>
    </chartFormat>
    <chartFormat chart="0" format="439">
      <pivotArea type="data" outline="0" fieldPosition="0">
        <references count="3">
          <reference field="4294967294" count="1" selected="0">
            <x v="0"/>
          </reference>
          <reference field="0" count="1" selected="0">
            <x v="9"/>
          </reference>
          <reference field="1" count="1" selected="0">
            <x v="34"/>
          </reference>
        </references>
      </pivotArea>
    </chartFormat>
    <chartFormat chart="0" format="440">
      <pivotArea type="data" outline="0" fieldPosition="0">
        <references count="3">
          <reference field="4294967294" count="1" selected="0">
            <x v="0"/>
          </reference>
          <reference field="0" count="1" selected="0">
            <x v="9"/>
          </reference>
          <reference field="1" count="1" selected="0">
            <x v="35"/>
          </reference>
        </references>
      </pivotArea>
    </chartFormat>
    <chartFormat chart="0" format="441">
      <pivotArea type="data" outline="0" fieldPosition="0">
        <references count="3">
          <reference field="4294967294" count="1" selected="0">
            <x v="0"/>
          </reference>
          <reference field="0" count="1" selected="0">
            <x v="9"/>
          </reference>
          <reference field="1" count="1" selected="0">
            <x v="36"/>
          </reference>
        </references>
      </pivotArea>
    </chartFormat>
    <chartFormat chart="0" format="442">
      <pivotArea type="data" outline="0" fieldPosition="0">
        <references count="3">
          <reference field="4294967294" count="1" selected="0">
            <x v="0"/>
          </reference>
          <reference field="0" count="1" selected="0">
            <x v="9"/>
          </reference>
          <reference field="1" count="1" selected="0">
            <x v="37"/>
          </reference>
        </references>
      </pivotArea>
    </chartFormat>
    <chartFormat chart="0" format="443">
      <pivotArea type="data" outline="0" fieldPosition="0">
        <references count="3">
          <reference field="4294967294" count="1" selected="0">
            <x v="0"/>
          </reference>
          <reference field="0" count="1" selected="0">
            <x v="9"/>
          </reference>
          <reference field="1" count="1" selected="0">
            <x v="38"/>
          </reference>
        </references>
      </pivotArea>
    </chartFormat>
    <chartFormat chart="0" format="444">
      <pivotArea type="data" outline="0" fieldPosition="0">
        <references count="3">
          <reference field="4294967294" count="1" selected="0">
            <x v="0"/>
          </reference>
          <reference field="0" count="1" selected="0">
            <x v="9"/>
          </reference>
          <reference field="1" count="1" selected="0">
            <x v="39"/>
          </reference>
        </references>
      </pivotArea>
    </chartFormat>
    <chartFormat chart="0" format="445">
      <pivotArea type="data" outline="0" fieldPosition="0">
        <references count="3">
          <reference field="4294967294" count="1" selected="0">
            <x v="0"/>
          </reference>
          <reference field="0" count="1" selected="0">
            <x v="9"/>
          </reference>
          <reference field="1" count="1" selected="0">
            <x v="40"/>
          </reference>
        </references>
      </pivotArea>
    </chartFormat>
    <chartFormat chart="0" format="446">
      <pivotArea type="data" outline="0" fieldPosition="0">
        <references count="3">
          <reference field="4294967294" count="1" selected="0">
            <x v="0"/>
          </reference>
          <reference field="0" count="1" selected="0">
            <x v="9"/>
          </reference>
          <reference field="1" count="1" selected="0">
            <x v="41"/>
          </reference>
        </references>
      </pivotArea>
    </chartFormat>
    <chartFormat chart="0" format="447">
      <pivotArea type="data" outline="0" fieldPosition="0">
        <references count="3">
          <reference field="4294967294" count="1" selected="0">
            <x v="0"/>
          </reference>
          <reference field="0" count="1" selected="0">
            <x v="9"/>
          </reference>
          <reference field="1" count="1" selected="0">
            <x v="42"/>
          </reference>
        </references>
      </pivotArea>
    </chartFormat>
    <chartFormat chart="0" format="448">
      <pivotArea type="data" outline="0" fieldPosition="0">
        <references count="3">
          <reference field="4294967294" count="1" selected="0">
            <x v="0"/>
          </reference>
          <reference field="0" count="1" selected="0">
            <x v="9"/>
          </reference>
          <reference field="1" count="1" selected="0">
            <x v="43"/>
          </reference>
        </references>
      </pivotArea>
    </chartFormat>
    <chartFormat chart="0" format="449">
      <pivotArea type="data" outline="0" fieldPosition="0">
        <references count="3">
          <reference field="4294967294" count="1" selected="0">
            <x v="0"/>
          </reference>
          <reference field="0" count="1" selected="0">
            <x v="9"/>
          </reference>
          <reference field="1" count="1" selected="0">
            <x v="44"/>
          </reference>
        </references>
      </pivotArea>
    </chartFormat>
    <chartFormat chart="0" format="450">
      <pivotArea type="data" outline="0" fieldPosition="0">
        <references count="3">
          <reference field="4294967294" count="1" selected="0">
            <x v="0"/>
          </reference>
          <reference field="0" count="1" selected="0">
            <x v="9"/>
          </reference>
          <reference field="1" count="1" selected="0">
            <x v="45"/>
          </reference>
        </references>
      </pivotArea>
    </chartFormat>
    <chartFormat chart="0" format="451">
      <pivotArea type="data" outline="0" fieldPosition="0">
        <references count="3">
          <reference field="4294967294" count="1" selected="0">
            <x v="0"/>
          </reference>
          <reference field="0" count="1" selected="0">
            <x v="9"/>
          </reference>
          <reference field="1" count="1" selected="0">
            <x v="46"/>
          </reference>
        </references>
      </pivotArea>
    </chartFormat>
    <chartFormat chart="0" format="452">
      <pivotArea type="data" outline="0" fieldPosition="0">
        <references count="3">
          <reference field="4294967294" count="1" selected="0">
            <x v="0"/>
          </reference>
          <reference field="0" count="1" selected="0">
            <x v="9"/>
          </reference>
          <reference field="1" count="1" selected="0">
            <x v="47"/>
          </reference>
        </references>
      </pivotArea>
    </chartFormat>
    <chartFormat chart="0" format="453">
      <pivotArea type="data" outline="0" fieldPosition="0">
        <references count="3">
          <reference field="4294967294" count="1" selected="0">
            <x v="0"/>
          </reference>
          <reference field="0" count="1" selected="0">
            <x v="9"/>
          </reference>
          <reference field="1" count="1" selected="0">
            <x v="48"/>
          </reference>
        </references>
      </pivotArea>
    </chartFormat>
    <chartFormat chart="0" format="454">
      <pivotArea type="data" outline="0" fieldPosition="0">
        <references count="3">
          <reference field="4294967294" count="1" selected="0">
            <x v="0"/>
          </reference>
          <reference field="0" count="1" selected="0">
            <x v="9"/>
          </reference>
          <reference field="1" count="1" selected="0">
            <x v="49"/>
          </reference>
        </references>
      </pivotArea>
    </chartFormat>
    <chartFormat chart="0" format="455">
      <pivotArea type="data" outline="0" fieldPosition="0">
        <references count="3">
          <reference field="4294967294" count="1" selected="0">
            <x v="0"/>
          </reference>
          <reference field="0" count="1" selected="0">
            <x v="9"/>
          </reference>
          <reference field="1" count="1" selected="0">
            <x v="50"/>
          </reference>
        </references>
      </pivotArea>
    </chartFormat>
    <chartFormat chart="0" format="456">
      <pivotArea type="data" outline="0" fieldPosition="0">
        <references count="3">
          <reference field="4294967294" count="1" selected="0">
            <x v="0"/>
          </reference>
          <reference field="0" count="1" selected="0">
            <x v="9"/>
          </reference>
          <reference field="1" count="1" selected="0">
            <x v="51"/>
          </reference>
        </references>
      </pivotArea>
    </chartFormat>
    <chartFormat chart="0" format="457">
      <pivotArea type="data" outline="0" fieldPosition="0">
        <references count="3">
          <reference field="4294967294" count="1" selected="0">
            <x v="0"/>
          </reference>
          <reference field="0" count="1" selected="0">
            <x v="9"/>
          </reference>
          <reference field="1" count="1" selected="0">
            <x v="52"/>
          </reference>
        </references>
      </pivotArea>
    </chartFormat>
    <chartFormat chart="0" format="458">
      <pivotArea type="data" outline="0" fieldPosition="0">
        <references count="3">
          <reference field="4294967294" count="1" selected="0">
            <x v="0"/>
          </reference>
          <reference field="0" count="1" selected="0">
            <x v="9"/>
          </reference>
          <reference field="1" count="1" selected="0">
            <x v="53"/>
          </reference>
        </references>
      </pivotArea>
    </chartFormat>
    <chartFormat chart="0" format="459">
      <pivotArea type="data" outline="0" fieldPosition="0">
        <references count="3">
          <reference field="4294967294" count="1" selected="0">
            <x v="0"/>
          </reference>
          <reference field="0" count="1" selected="0">
            <x v="9"/>
          </reference>
          <reference field="1" count="1" selected="0">
            <x v="54"/>
          </reference>
        </references>
      </pivotArea>
    </chartFormat>
    <chartFormat chart="0" format="460">
      <pivotArea type="data" outline="0" fieldPosition="0">
        <references count="3">
          <reference field="4294967294" count="1" selected="0">
            <x v="0"/>
          </reference>
          <reference field="0" count="1" selected="0">
            <x v="9"/>
          </reference>
          <reference field="1" count="1" selected="0">
            <x v="55"/>
          </reference>
        </references>
      </pivotArea>
    </chartFormat>
    <chartFormat chart="0" format="461">
      <pivotArea type="data" outline="0" fieldPosition="0">
        <references count="3">
          <reference field="4294967294" count="1" selected="0">
            <x v="0"/>
          </reference>
          <reference field="0" count="1" selected="0">
            <x v="9"/>
          </reference>
          <reference field="1" count="1" selected="0">
            <x v="56"/>
          </reference>
        </references>
      </pivotArea>
    </chartFormat>
    <chartFormat chart="0" format="462">
      <pivotArea type="data" outline="0" fieldPosition="0">
        <references count="3">
          <reference field="4294967294" count="1" selected="0">
            <x v="0"/>
          </reference>
          <reference field="0" count="1" selected="0">
            <x v="9"/>
          </reference>
          <reference field="1" count="1" selected="0">
            <x v="57"/>
          </reference>
        </references>
      </pivotArea>
    </chartFormat>
    <chartFormat chart="0" format="463">
      <pivotArea type="data" outline="0" fieldPosition="0">
        <references count="3">
          <reference field="4294967294" count="1" selected="0">
            <x v="0"/>
          </reference>
          <reference field="0" count="1" selected="0">
            <x v="9"/>
          </reference>
          <reference field="1" count="1" selected="0">
            <x v="58"/>
          </reference>
        </references>
      </pivotArea>
    </chartFormat>
    <chartFormat chart="0" format="464">
      <pivotArea type="data" outline="0" fieldPosition="0">
        <references count="3">
          <reference field="4294967294" count="1" selected="0">
            <x v="0"/>
          </reference>
          <reference field="0" count="1" selected="0">
            <x v="9"/>
          </reference>
          <reference field="1" count="1" selected="0">
            <x v="59"/>
          </reference>
        </references>
      </pivotArea>
    </chartFormat>
    <chartFormat chart="0" format="465">
      <pivotArea type="data" outline="0" fieldPosition="0">
        <references count="3">
          <reference field="4294967294" count="1" selected="0">
            <x v="0"/>
          </reference>
          <reference field="0" count="1" selected="0">
            <x v="9"/>
          </reference>
          <reference field="1" count="1" selected="0">
            <x v="60"/>
          </reference>
        </references>
      </pivotArea>
    </chartFormat>
    <chartFormat chart="0" format="466">
      <pivotArea type="data" outline="0" fieldPosition="0">
        <references count="3">
          <reference field="4294967294" count="1" selected="0">
            <x v="0"/>
          </reference>
          <reference field="0" count="1" selected="0">
            <x v="9"/>
          </reference>
          <reference field="1" count="1" selected="0">
            <x v="61"/>
          </reference>
        </references>
      </pivotArea>
    </chartFormat>
    <chartFormat chart="0" format="467">
      <pivotArea type="data" outline="0" fieldPosition="0">
        <references count="3">
          <reference field="4294967294" count="1" selected="0">
            <x v="0"/>
          </reference>
          <reference field="0" count="1" selected="0">
            <x v="9"/>
          </reference>
          <reference field="1" count="1" selected="0">
            <x v="62"/>
          </reference>
        </references>
      </pivotArea>
    </chartFormat>
    <chartFormat chart="0" format="468">
      <pivotArea type="data" outline="0" fieldPosition="0">
        <references count="3">
          <reference field="4294967294" count="1" selected="0">
            <x v="0"/>
          </reference>
          <reference field="0" count="1" selected="0">
            <x v="9"/>
          </reference>
          <reference field="1" count="1" selected="0">
            <x v="63"/>
          </reference>
        </references>
      </pivotArea>
    </chartFormat>
    <chartFormat chart="0" format="469">
      <pivotArea type="data" outline="0" fieldPosition="0">
        <references count="3">
          <reference field="4294967294" count="1" selected="0">
            <x v="0"/>
          </reference>
          <reference field="0" count="1" selected="0">
            <x v="9"/>
          </reference>
          <reference field="1" count="1" selected="0">
            <x v="64"/>
          </reference>
        </references>
      </pivotArea>
    </chartFormat>
    <chartFormat chart="0" format="470">
      <pivotArea type="data" outline="0" fieldPosition="0">
        <references count="3">
          <reference field="4294967294" count="1" selected="0">
            <x v="0"/>
          </reference>
          <reference field="0" count="1" selected="0">
            <x v="9"/>
          </reference>
          <reference field="1" count="1" selected="0">
            <x v="65"/>
          </reference>
        </references>
      </pivotArea>
    </chartFormat>
    <chartFormat chart="0" format="471">
      <pivotArea type="data" outline="0" fieldPosition="0">
        <references count="3">
          <reference field="4294967294" count="1" selected="0">
            <x v="0"/>
          </reference>
          <reference field="0" count="1" selected="0">
            <x v="9"/>
          </reference>
          <reference field="1" count="1" selected="0">
            <x v="66"/>
          </reference>
        </references>
      </pivotArea>
    </chartFormat>
    <chartFormat chart="0" format="472">
      <pivotArea type="data" outline="0" fieldPosition="0">
        <references count="3">
          <reference field="4294967294" count="1" selected="0">
            <x v="0"/>
          </reference>
          <reference field="0" count="1" selected="0">
            <x v="9"/>
          </reference>
          <reference field="1" count="1" selected="0">
            <x v="67"/>
          </reference>
        </references>
      </pivotArea>
    </chartFormat>
    <chartFormat chart="0" format="473">
      <pivotArea type="data" outline="0" fieldPosition="0">
        <references count="3">
          <reference field="4294967294" count="1" selected="0">
            <x v="0"/>
          </reference>
          <reference field="0" count="1" selected="0">
            <x v="9"/>
          </reference>
          <reference field="1" count="1" selected="0">
            <x v="68"/>
          </reference>
        </references>
      </pivotArea>
    </chartFormat>
    <chartFormat chart="0" format="474">
      <pivotArea type="data" outline="0" fieldPosition="0">
        <references count="3">
          <reference field="4294967294" count="1" selected="0">
            <x v="0"/>
          </reference>
          <reference field="0" count="1" selected="0">
            <x v="9"/>
          </reference>
          <reference field="1" count="1" selected="0">
            <x v="69"/>
          </reference>
        </references>
      </pivotArea>
    </chartFormat>
    <chartFormat chart="0" format="475">
      <pivotArea type="data" outline="0" fieldPosition="0">
        <references count="3">
          <reference field="4294967294" count="1" selected="0">
            <x v="0"/>
          </reference>
          <reference field="0" count="1" selected="0">
            <x v="9"/>
          </reference>
          <reference field="1" count="1" selected="0">
            <x v="70"/>
          </reference>
        </references>
      </pivotArea>
    </chartFormat>
    <chartFormat chart="0" format="476">
      <pivotArea type="data" outline="0" fieldPosition="0">
        <references count="3">
          <reference field="4294967294" count="1" selected="0">
            <x v="0"/>
          </reference>
          <reference field="0" count="1" selected="0">
            <x v="9"/>
          </reference>
          <reference field="1" count="1" selected="0">
            <x v="71"/>
          </reference>
        </references>
      </pivotArea>
    </chartFormat>
    <chartFormat chart="0" format="477">
      <pivotArea type="data" outline="0" fieldPosition="0">
        <references count="3">
          <reference field="4294967294" count="1" selected="0">
            <x v="0"/>
          </reference>
          <reference field="0" count="1" selected="0">
            <x v="9"/>
          </reference>
          <reference field="1" count="1" selected="0">
            <x v="72"/>
          </reference>
        </references>
      </pivotArea>
    </chartFormat>
    <chartFormat chart="0" format="478">
      <pivotArea type="data" outline="0" fieldPosition="0">
        <references count="3">
          <reference field="4294967294" count="1" selected="0">
            <x v="0"/>
          </reference>
          <reference field="0" count="1" selected="0">
            <x v="9"/>
          </reference>
          <reference field="1" count="1" selected="0">
            <x v="73"/>
          </reference>
        </references>
      </pivotArea>
    </chartFormat>
    <chartFormat chart="0" format="479">
      <pivotArea type="data" outline="0" fieldPosition="0">
        <references count="3">
          <reference field="4294967294" count="1" selected="0">
            <x v="0"/>
          </reference>
          <reference field="0" count="1" selected="0">
            <x v="9"/>
          </reference>
          <reference field="1" count="1" selected="0">
            <x v="74"/>
          </reference>
        </references>
      </pivotArea>
    </chartFormat>
    <chartFormat chart="0" format="480">
      <pivotArea type="data" outline="0" fieldPosition="0">
        <references count="3">
          <reference field="4294967294" count="1" selected="0">
            <x v="0"/>
          </reference>
          <reference field="0" count="1" selected="0">
            <x v="9"/>
          </reference>
          <reference field="1" count="1" selected="0">
            <x v="75"/>
          </reference>
        </references>
      </pivotArea>
    </chartFormat>
    <chartFormat chart="0" format="481">
      <pivotArea type="data" outline="0" fieldPosition="0">
        <references count="3">
          <reference field="4294967294" count="1" selected="0">
            <x v="0"/>
          </reference>
          <reference field="0" count="1" selected="0">
            <x v="9"/>
          </reference>
          <reference field="1" count="1" selected="0">
            <x v="76"/>
          </reference>
        </references>
      </pivotArea>
    </chartFormat>
    <chartFormat chart="0" format="482">
      <pivotArea type="data" outline="0" fieldPosition="0">
        <references count="3">
          <reference field="4294967294" count="1" selected="0">
            <x v="0"/>
          </reference>
          <reference field="0" count="1" selected="0">
            <x v="9"/>
          </reference>
          <reference field="1" count="1" selected="0">
            <x v="77"/>
          </reference>
        </references>
      </pivotArea>
    </chartFormat>
    <chartFormat chart="0" format="483">
      <pivotArea type="data" outline="0" fieldPosition="0">
        <references count="3">
          <reference field="4294967294" count="1" selected="0">
            <x v="0"/>
          </reference>
          <reference field="0" count="1" selected="0">
            <x v="9"/>
          </reference>
          <reference field="1" count="1" selected="0">
            <x v="78"/>
          </reference>
        </references>
      </pivotArea>
    </chartFormat>
    <chartFormat chart="0" format="484">
      <pivotArea type="data" outline="0" fieldPosition="0">
        <references count="3">
          <reference field="4294967294" count="1" selected="0">
            <x v="0"/>
          </reference>
          <reference field="0" count="1" selected="0">
            <x v="10"/>
          </reference>
          <reference field="1" count="1" selected="0">
            <x v="31"/>
          </reference>
        </references>
      </pivotArea>
    </chartFormat>
    <chartFormat chart="0" format="485">
      <pivotArea type="data" outline="0" fieldPosition="0">
        <references count="3">
          <reference field="4294967294" count="1" selected="0">
            <x v="0"/>
          </reference>
          <reference field="0" count="1" selected="0">
            <x v="10"/>
          </reference>
          <reference field="1" count="1" selected="0">
            <x v="32"/>
          </reference>
        </references>
      </pivotArea>
    </chartFormat>
    <chartFormat chart="0" format="486">
      <pivotArea type="data" outline="0" fieldPosition="0">
        <references count="3">
          <reference field="4294967294" count="1" selected="0">
            <x v="0"/>
          </reference>
          <reference field="0" count="1" selected="0">
            <x v="10"/>
          </reference>
          <reference field="1" count="1" selected="0">
            <x v="33"/>
          </reference>
        </references>
      </pivotArea>
    </chartFormat>
    <chartFormat chart="0" format="487">
      <pivotArea type="data" outline="0" fieldPosition="0">
        <references count="3">
          <reference field="4294967294" count="1" selected="0">
            <x v="0"/>
          </reference>
          <reference field="0" count="1" selected="0">
            <x v="10"/>
          </reference>
          <reference field="1" count="1" selected="0">
            <x v="34"/>
          </reference>
        </references>
      </pivotArea>
    </chartFormat>
    <chartFormat chart="0" format="488">
      <pivotArea type="data" outline="0" fieldPosition="0">
        <references count="3">
          <reference field="4294967294" count="1" selected="0">
            <x v="0"/>
          </reference>
          <reference field="0" count="1" selected="0">
            <x v="10"/>
          </reference>
          <reference field="1" count="1" selected="0">
            <x v="35"/>
          </reference>
        </references>
      </pivotArea>
    </chartFormat>
    <chartFormat chart="0" format="489">
      <pivotArea type="data" outline="0" fieldPosition="0">
        <references count="3">
          <reference field="4294967294" count="1" selected="0">
            <x v="0"/>
          </reference>
          <reference field="0" count="1" selected="0">
            <x v="10"/>
          </reference>
          <reference field="1" count="1" selected="0">
            <x v="36"/>
          </reference>
        </references>
      </pivotArea>
    </chartFormat>
    <chartFormat chart="0" format="490">
      <pivotArea type="data" outline="0" fieldPosition="0">
        <references count="3">
          <reference field="4294967294" count="1" selected="0">
            <x v="0"/>
          </reference>
          <reference field="0" count="1" selected="0">
            <x v="10"/>
          </reference>
          <reference field="1" count="1" selected="0">
            <x v="37"/>
          </reference>
        </references>
      </pivotArea>
    </chartFormat>
    <chartFormat chart="0" format="491">
      <pivotArea type="data" outline="0" fieldPosition="0">
        <references count="3">
          <reference field="4294967294" count="1" selected="0">
            <x v="0"/>
          </reference>
          <reference field="0" count="1" selected="0">
            <x v="10"/>
          </reference>
          <reference field="1" count="1" selected="0">
            <x v="38"/>
          </reference>
        </references>
      </pivotArea>
    </chartFormat>
    <chartFormat chart="0" format="492">
      <pivotArea type="data" outline="0" fieldPosition="0">
        <references count="3">
          <reference field="4294967294" count="1" selected="0">
            <x v="0"/>
          </reference>
          <reference field="0" count="1" selected="0">
            <x v="10"/>
          </reference>
          <reference field="1" count="1" selected="0">
            <x v="39"/>
          </reference>
        </references>
      </pivotArea>
    </chartFormat>
    <chartFormat chart="0" format="493">
      <pivotArea type="data" outline="0" fieldPosition="0">
        <references count="3">
          <reference field="4294967294" count="1" selected="0">
            <x v="0"/>
          </reference>
          <reference field="0" count="1" selected="0">
            <x v="10"/>
          </reference>
          <reference field="1" count="1" selected="0">
            <x v="40"/>
          </reference>
        </references>
      </pivotArea>
    </chartFormat>
    <chartFormat chart="0" format="494">
      <pivotArea type="data" outline="0" fieldPosition="0">
        <references count="3">
          <reference field="4294967294" count="1" selected="0">
            <x v="0"/>
          </reference>
          <reference field="0" count="1" selected="0">
            <x v="10"/>
          </reference>
          <reference field="1" count="1" selected="0">
            <x v="41"/>
          </reference>
        </references>
      </pivotArea>
    </chartFormat>
    <chartFormat chart="0" format="495">
      <pivotArea type="data" outline="0" fieldPosition="0">
        <references count="3">
          <reference field="4294967294" count="1" selected="0">
            <x v="0"/>
          </reference>
          <reference field="0" count="1" selected="0">
            <x v="10"/>
          </reference>
          <reference field="1" count="1" selected="0">
            <x v="42"/>
          </reference>
        </references>
      </pivotArea>
    </chartFormat>
    <chartFormat chart="0" format="496">
      <pivotArea type="data" outline="0" fieldPosition="0">
        <references count="3">
          <reference field="4294967294" count="1" selected="0">
            <x v="0"/>
          </reference>
          <reference field="0" count="1" selected="0">
            <x v="10"/>
          </reference>
          <reference field="1" count="1" selected="0">
            <x v="43"/>
          </reference>
        </references>
      </pivotArea>
    </chartFormat>
    <chartFormat chart="0" format="497">
      <pivotArea type="data" outline="0" fieldPosition="0">
        <references count="3">
          <reference field="4294967294" count="1" selected="0">
            <x v="0"/>
          </reference>
          <reference field="0" count="1" selected="0">
            <x v="10"/>
          </reference>
          <reference field="1" count="1" selected="0">
            <x v="44"/>
          </reference>
        </references>
      </pivotArea>
    </chartFormat>
    <chartFormat chart="0" format="498">
      <pivotArea type="data" outline="0" fieldPosition="0">
        <references count="3">
          <reference field="4294967294" count="1" selected="0">
            <x v="0"/>
          </reference>
          <reference field="0" count="1" selected="0">
            <x v="10"/>
          </reference>
          <reference field="1" count="1" selected="0">
            <x v="45"/>
          </reference>
        </references>
      </pivotArea>
    </chartFormat>
    <chartFormat chart="0" format="499">
      <pivotArea type="data" outline="0" fieldPosition="0">
        <references count="3">
          <reference field="4294967294" count="1" selected="0">
            <x v="0"/>
          </reference>
          <reference field="0" count="1" selected="0">
            <x v="10"/>
          </reference>
          <reference field="1" count="1" selected="0">
            <x v="46"/>
          </reference>
        </references>
      </pivotArea>
    </chartFormat>
    <chartFormat chart="0" format="500">
      <pivotArea type="data" outline="0" fieldPosition="0">
        <references count="3">
          <reference field="4294967294" count="1" selected="0">
            <x v="0"/>
          </reference>
          <reference field="0" count="1" selected="0">
            <x v="10"/>
          </reference>
          <reference field="1" count="1" selected="0">
            <x v="47"/>
          </reference>
        </references>
      </pivotArea>
    </chartFormat>
    <chartFormat chart="0" format="501">
      <pivotArea type="data" outline="0" fieldPosition="0">
        <references count="3">
          <reference field="4294967294" count="1" selected="0">
            <x v="0"/>
          </reference>
          <reference field="0" count="1" selected="0">
            <x v="10"/>
          </reference>
          <reference field="1" count="1" selected="0">
            <x v="48"/>
          </reference>
        </references>
      </pivotArea>
    </chartFormat>
    <chartFormat chart="0" format="502">
      <pivotArea type="data" outline="0" fieldPosition="0">
        <references count="3">
          <reference field="4294967294" count="1" selected="0">
            <x v="0"/>
          </reference>
          <reference field="0" count="1" selected="0">
            <x v="10"/>
          </reference>
          <reference field="1" count="1" selected="0">
            <x v="49"/>
          </reference>
        </references>
      </pivotArea>
    </chartFormat>
    <chartFormat chart="0" format="503">
      <pivotArea type="data" outline="0" fieldPosition="0">
        <references count="3">
          <reference field="4294967294" count="1" selected="0">
            <x v="0"/>
          </reference>
          <reference field="0" count="1" selected="0">
            <x v="10"/>
          </reference>
          <reference field="1" count="1" selected="0">
            <x v="50"/>
          </reference>
        </references>
      </pivotArea>
    </chartFormat>
    <chartFormat chart="0" format="504">
      <pivotArea type="data" outline="0" fieldPosition="0">
        <references count="3">
          <reference field="4294967294" count="1" selected="0">
            <x v="0"/>
          </reference>
          <reference field="0" count="1" selected="0">
            <x v="10"/>
          </reference>
          <reference field="1" count="1" selected="0">
            <x v="51"/>
          </reference>
        </references>
      </pivotArea>
    </chartFormat>
    <chartFormat chart="0" format="505">
      <pivotArea type="data" outline="0" fieldPosition="0">
        <references count="3">
          <reference field="4294967294" count="1" selected="0">
            <x v="0"/>
          </reference>
          <reference field="0" count="1" selected="0">
            <x v="10"/>
          </reference>
          <reference field="1" count="1" selected="0">
            <x v="52"/>
          </reference>
        </references>
      </pivotArea>
    </chartFormat>
    <chartFormat chart="0" format="506">
      <pivotArea type="data" outline="0" fieldPosition="0">
        <references count="3">
          <reference field="4294967294" count="1" selected="0">
            <x v="0"/>
          </reference>
          <reference field="0" count="1" selected="0">
            <x v="10"/>
          </reference>
          <reference field="1" count="1" selected="0">
            <x v="53"/>
          </reference>
        </references>
      </pivotArea>
    </chartFormat>
    <chartFormat chart="0" format="507">
      <pivotArea type="data" outline="0" fieldPosition="0">
        <references count="3">
          <reference field="4294967294" count="1" selected="0">
            <x v="0"/>
          </reference>
          <reference field="0" count="1" selected="0">
            <x v="10"/>
          </reference>
          <reference field="1" count="1" selected="0">
            <x v="54"/>
          </reference>
        </references>
      </pivotArea>
    </chartFormat>
    <chartFormat chart="0" format="508">
      <pivotArea type="data" outline="0" fieldPosition="0">
        <references count="3">
          <reference field="4294967294" count="1" selected="0">
            <x v="0"/>
          </reference>
          <reference field="0" count="1" selected="0">
            <x v="10"/>
          </reference>
          <reference field="1" count="1" selected="0">
            <x v="55"/>
          </reference>
        </references>
      </pivotArea>
    </chartFormat>
    <chartFormat chart="0" format="509">
      <pivotArea type="data" outline="0" fieldPosition="0">
        <references count="3">
          <reference field="4294967294" count="1" selected="0">
            <x v="0"/>
          </reference>
          <reference field="0" count="1" selected="0">
            <x v="10"/>
          </reference>
          <reference field="1" count="1" selected="0">
            <x v="56"/>
          </reference>
        </references>
      </pivotArea>
    </chartFormat>
    <chartFormat chart="0" format="510">
      <pivotArea type="data" outline="0" fieldPosition="0">
        <references count="3">
          <reference field="4294967294" count="1" selected="0">
            <x v="0"/>
          </reference>
          <reference field="0" count="1" selected="0">
            <x v="10"/>
          </reference>
          <reference field="1" count="1" selected="0">
            <x v="57"/>
          </reference>
        </references>
      </pivotArea>
    </chartFormat>
    <chartFormat chart="0" format="511">
      <pivotArea type="data" outline="0" fieldPosition="0">
        <references count="3">
          <reference field="4294967294" count="1" selected="0">
            <x v="0"/>
          </reference>
          <reference field="0" count="1" selected="0">
            <x v="10"/>
          </reference>
          <reference field="1" count="1" selected="0">
            <x v="58"/>
          </reference>
        </references>
      </pivotArea>
    </chartFormat>
    <chartFormat chart="0" format="512">
      <pivotArea type="data" outline="0" fieldPosition="0">
        <references count="3">
          <reference field="4294967294" count="1" selected="0">
            <x v="0"/>
          </reference>
          <reference field="0" count="1" selected="0">
            <x v="10"/>
          </reference>
          <reference field="1" count="1" selected="0">
            <x v="59"/>
          </reference>
        </references>
      </pivotArea>
    </chartFormat>
    <chartFormat chart="0" format="513">
      <pivotArea type="data" outline="0" fieldPosition="0">
        <references count="3">
          <reference field="4294967294" count="1" selected="0">
            <x v="0"/>
          </reference>
          <reference field="0" count="1" selected="0">
            <x v="10"/>
          </reference>
          <reference field="1" count="1" selected="0">
            <x v="60"/>
          </reference>
        </references>
      </pivotArea>
    </chartFormat>
    <chartFormat chart="0" format="514">
      <pivotArea type="data" outline="0" fieldPosition="0">
        <references count="3">
          <reference field="4294967294" count="1" selected="0">
            <x v="0"/>
          </reference>
          <reference field="0" count="1" selected="0">
            <x v="10"/>
          </reference>
          <reference field="1" count="1" selected="0">
            <x v="61"/>
          </reference>
        </references>
      </pivotArea>
    </chartFormat>
    <chartFormat chart="0" format="515">
      <pivotArea type="data" outline="0" fieldPosition="0">
        <references count="3">
          <reference field="4294967294" count="1" selected="0">
            <x v="0"/>
          </reference>
          <reference field="0" count="1" selected="0">
            <x v="10"/>
          </reference>
          <reference field="1" count="1" selected="0">
            <x v="62"/>
          </reference>
        </references>
      </pivotArea>
    </chartFormat>
    <chartFormat chart="0" format="516">
      <pivotArea type="data" outline="0" fieldPosition="0">
        <references count="3">
          <reference field="4294967294" count="1" selected="0">
            <x v="0"/>
          </reference>
          <reference field="0" count="1" selected="0">
            <x v="10"/>
          </reference>
          <reference field="1" count="1" selected="0">
            <x v="63"/>
          </reference>
        </references>
      </pivotArea>
    </chartFormat>
    <chartFormat chart="0" format="517">
      <pivotArea type="data" outline="0" fieldPosition="0">
        <references count="3">
          <reference field="4294967294" count="1" selected="0">
            <x v="0"/>
          </reference>
          <reference field="0" count="1" selected="0">
            <x v="10"/>
          </reference>
          <reference field="1" count="1" selected="0">
            <x v="64"/>
          </reference>
        </references>
      </pivotArea>
    </chartFormat>
    <chartFormat chart="0" format="518">
      <pivotArea type="data" outline="0" fieldPosition="0">
        <references count="3">
          <reference field="4294967294" count="1" selected="0">
            <x v="0"/>
          </reference>
          <reference field="0" count="1" selected="0">
            <x v="10"/>
          </reference>
          <reference field="1" count="1" selected="0">
            <x v="65"/>
          </reference>
        </references>
      </pivotArea>
    </chartFormat>
    <chartFormat chart="0" format="519">
      <pivotArea type="data" outline="0" fieldPosition="0">
        <references count="3">
          <reference field="4294967294" count="1" selected="0">
            <x v="0"/>
          </reference>
          <reference field="0" count="1" selected="0">
            <x v="10"/>
          </reference>
          <reference field="1" count="1" selected="0">
            <x v="66"/>
          </reference>
        </references>
      </pivotArea>
    </chartFormat>
    <chartFormat chart="0" format="520">
      <pivotArea type="data" outline="0" fieldPosition="0">
        <references count="3">
          <reference field="4294967294" count="1" selected="0">
            <x v="0"/>
          </reference>
          <reference field="0" count="1" selected="0">
            <x v="10"/>
          </reference>
          <reference field="1" count="1" selected="0">
            <x v="67"/>
          </reference>
        </references>
      </pivotArea>
    </chartFormat>
    <chartFormat chart="0" format="521">
      <pivotArea type="data" outline="0" fieldPosition="0">
        <references count="3">
          <reference field="4294967294" count="1" selected="0">
            <x v="0"/>
          </reference>
          <reference field="0" count="1" selected="0">
            <x v="10"/>
          </reference>
          <reference field="1" count="1" selected="0">
            <x v="68"/>
          </reference>
        </references>
      </pivotArea>
    </chartFormat>
    <chartFormat chart="0" format="522">
      <pivotArea type="data" outline="0" fieldPosition="0">
        <references count="3">
          <reference field="4294967294" count="1" selected="0">
            <x v="0"/>
          </reference>
          <reference field="0" count="1" selected="0">
            <x v="10"/>
          </reference>
          <reference field="1" count="1" selected="0">
            <x v="69"/>
          </reference>
        </references>
      </pivotArea>
    </chartFormat>
    <chartFormat chart="0" format="523">
      <pivotArea type="data" outline="0" fieldPosition="0">
        <references count="3">
          <reference field="4294967294" count="1" selected="0">
            <x v="0"/>
          </reference>
          <reference field="0" count="1" selected="0">
            <x v="10"/>
          </reference>
          <reference field="1" count="1" selected="0">
            <x v="70"/>
          </reference>
        </references>
      </pivotArea>
    </chartFormat>
    <chartFormat chart="0" format="524">
      <pivotArea type="data" outline="0" fieldPosition="0">
        <references count="3">
          <reference field="4294967294" count="1" selected="0">
            <x v="0"/>
          </reference>
          <reference field="0" count="1" selected="0">
            <x v="10"/>
          </reference>
          <reference field="1" count="1" selected="0">
            <x v="71"/>
          </reference>
        </references>
      </pivotArea>
    </chartFormat>
    <chartFormat chart="0" format="525">
      <pivotArea type="data" outline="0" fieldPosition="0">
        <references count="3">
          <reference field="4294967294" count="1" selected="0">
            <x v="0"/>
          </reference>
          <reference field="0" count="1" selected="0">
            <x v="10"/>
          </reference>
          <reference field="1" count="1" selected="0">
            <x v="72"/>
          </reference>
        </references>
      </pivotArea>
    </chartFormat>
    <chartFormat chart="0" format="526">
      <pivotArea type="data" outline="0" fieldPosition="0">
        <references count="3">
          <reference field="4294967294" count="1" selected="0">
            <x v="0"/>
          </reference>
          <reference field="0" count="1" selected="0">
            <x v="10"/>
          </reference>
          <reference field="1" count="1" selected="0">
            <x v="73"/>
          </reference>
        </references>
      </pivotArea>
    </chartFormat>
    <chartFormat chart="0" format="527">
      <pivotArea type="data" outline="0" fieldPosition="0">
        <references count="3">
          <reference field="4294967294" count="1" selected="0">
            <x v="0"/>
          </reference>
          <reference field="0" count="1" selected="0">
            <x v="10"/>
          </reference>
          <reference field="1" count="1" selected="0">
            <x v="74"/>
          </reference>
        </references>
      </pivotArea>
    </chartFormat>
    <chartFormat chart="0" format="528">
      <pivotArea type="data" outline="0" fieldPosition="0">
        <references count="3">
          <reference field="4294967294" count="1" selected="0">
            <x v="0"/>
          </reference>
          <reference field="0" count="1" selected="0">
            <x v="10"/>
          </reference>
          <reference field="1" count="1" selected="0">
            <x v="75"/>
          </reference>
        </references>
      </pivotArea>
    </chartFormat>
    <chartFormat chart="0" format="529">
      <pivotArea type="data" outline="0" fieldPosition="0">
        <references count="3">
          <reference field="4294967294" count="1" selected="0">
            <x v="0"/>
          </reference>
          <reference field="0" count="1" selected="0">
            <x v="10"/>
          </reference>
          <reference field="1" count="1" selected="0">
            <x v="76"/>
          </reference>
        </references>
      </pivotArea>
    </chartFormat>
    <chartFormat chart="0" format="530">
      <pivotArea type="data" outline="0" fieldPosition="0">
        <references count="3">
          <reference field="4294967294" count="1" selected="0">
            <x v="0"/>
          </reference>
          <reference field="0" count="1" selected="0">
            <x v="10"/>
          </reference>
          <reference field="1" count="1" selected="0">
            <x v="77"/>
          </reference>
        </references>
      </pivotArea>
    </chartFormat>
    <chartFormat chart="0" format="531">
      <pivotArea type="data" outline="0" fieldPosition="0">
        <references count="3">
          <reference field="4294967294" count="1" selected="0">
            <x v="0"/>
          </reference>
          <reference field="0" count="1" selected="0">
            <x v="10"/>
          </reference>
          <reference field="1" count="1" selected="0">
            <x v="78"/>
          </reference>
        </references>
      </pivotArea>
    </chartFormat>
    <chartFormat chart="0" format="532">
      <pivotArea type="data" outline="0" fieldPosition="0">
        <references count="3">
          <reference field="4294967294" count="1" selected="0">
            <x v="0"/>
          </reference>
          <reference field="0" count="1" selected="0">
            <x v="11"/>
          </reference>
          <reference field="1" count="1" selected="0">
            <x v="31"/>
          </reference>
        </references>
      </pivotArea>
    </chartFormat>
    <chartFormat chart="0" format="533">
      <pivotArea type="data" outline="0" fieldPosition="0">
        <references count="3">
          <reference field="4294967294" count="1" selected="0">
            <x v="0"/>
          </reference>
          <reference field="0" count="1" selected="0">
            <x v="11"/>
          </reference>
          <reference field="1" count="1" selected="0">
            <x v="32"/>
          </reference>
        </references>
      </pivotArea>
    </chartFormat>
    <chartFormat chart="0" format="534">
      <pivotArea type="data" outline="0" fieldPosition="0">
        <references count="3">
          <reference field="4294967294" count="1" selected="0">
            <x v="0"/>
          </reference>
          <reference field="0" count="1" selected="0">
            <x v="11"/>
          </reference>
          <reference field="1" count="1" selected="0">
            <x v="33"/>
          </reference>
        </references>
      </pivotArea>
    </chartFormat>
    <chartFormat chart="0" format="535">
      <pivotArea type="data" outline="0" fieldPosition="0">
        <references count="3">
          <reference field="4294967294" count="1" selected="0">
            <x v="0"/>
          </reference>
          <reference field="0" count="1" selected="0">
            <x v="11"/>
          </reference>
          <reference field="1" count="1" selected="0">
            <x v="34"/>
          </reference>
        </references>
      </pivotArea>
    </chartFormat>
    <chartFormat chart="0" format="536">
      <pivotArea type="data" outline="0" fieldPosition="0">
        <references count="3">
          <reference field="4294967294" count="1" selected="0">
            <x v="0"/>
          </reference>
          <reference field="0" count="1" selected="0">
            <x v="11"/>
          </reference>
          <reference field="1" count="1" selected="0">
            <x v="63"/>
          </reference>
        </references>
      </pivotArea>
    </chartFormat>
    <chartFormat chart="0" format="537">
      <pivotArea type="data" outline="0" fieldPosition="0">
        <references count="3">
          <reference field="4294967294" count="1" selected="0">
            <x v="0"/>
          </reference>
          <reference field="0" count="1" selected="0">
            <x v="11"/>
          </reference>
          <reference field="1" count="1" selected="0">
            <x v="64"/>
          </reference>
        </references>
      </pivotArea>
    </chartFormat>
    <chartFormat chart="0" format="538">
      <pivotArea type="data" outline="0" fieldPosition="0">
        <references count="3">
          <reference field="4294967294" count="1" selected="0">
            <x v="0"/>
          </reference>
          <reference field="0" count="1" selected="0">
            <x v="11"/>
          </reference>
          <reference field="1" count="1" selected="0">
            <x v="65"/>
          </reference>
        </references>
      </pivotArea>
    </chartFormat>
    <chartFormat chart="0" format="539">
      <pivotArea type="data" outline="0" fieldPosition="0">
        <references count="3">
          <reference field="4294967294" count="1" selected="0">
            <x v="0"/>
          </reference>
          <reference field="0" count="1" selected="0">
            <x v="11"/>
          </reference>
          <reference field="1" count="1" selected="0">
            <x v="66"/>
          </reference>
        </references>
      </pivotArea>
    </chartFormat>
    <chartFormat chart="0" format="540">
      <pivotArea type="data" outline="0" fieldPosition="0">
        <references count="3">
          <reference field="4294967294" count="1" selected="0">
            <x v="0"/>
          </reference>
          <reference field="0" count="1" selected="0">
            <x v="11"/>
          </reference>
          <reference field="1" count="1" selected="0">
            <x v="67"/>
          </reference>
        </references>
      </pivotArea>
    </chartFormat>
    <chartFormat chart="0" format="541">
      <pivotArea type="data" outline="0" fieldPosition="0">
        <references count="3">
          <reference field="4294967294" count="1" selected="0">
            <x v="0"/>
          </reference>
          <reference field="0" count="1" selected="0">
            <x v="11"/>
          </reference>
          <reference field="1" count="1" selected="0">
            <x v="68"/>
          </reference>
        </references>
      </pivotArea>
    </chartFormat>
    <chartFormat chart="0" format="542">
      <pivotArea type="data" outline="0" fieldPosition="0">
        <references count="3">
          <reference field="4294967294" count="1" selected="0">
            <x v="0"/>
          </reference>
          <reference field="0" count="1" selected="0">
            <x v="11"/>
          </reference>
          <reference field="1" count="1" selected="0">
            <x v="69"/>
          </reference>
        </references>
      </pivotArea>
    </chartFormat>
    <chartFormat chart="0" format="543">
      <pivotArea type="data" outline="0" fieldPosition="0">
        <references count="3">
          <reference field="4294967294" count="1" selected="0">
            <x v="0"/>
          </reference>
          <reference field="0" count="1" selected="0">
            <x v="11"/>
          </reference>
          <reference field="1" count="1" selected="0">
            <x v="70"/>
          </reference>
        </references>
      </pivotArea>
    </chartFormat>
    <chartFormat chart="0" format="544">
      <pivotArea type="data" outline="0" fieldPosition="0">
        <references count="3">
          <reference field="4294967294" count="1" selected="0">
            <x v="0"/>
          </reference>
          <reference field="0" count="1" selected="0">
            <x v="11"/>
          </reference>
          <reference field="1" count="1" selected="0">
            <x v="71"/>
          </reference>
        </references>
      </pivotArea>
    </chartFormat>
    <chartFormat chart="0" format="545">
      <pivotArea type="data" outline="0" fieldPosition="0">
        <references count="3">
          <reference field="4294967294" count="1" selected="0">
            <x v="0"/>
          </reference>
          <reference field="0" count="1" selected="0">
            <x v="11"/>
          </reference>
          <reference field="1" count="1" selected="0">
            <x v="72"/>
          </reference>
        </references>
      </pivotArea>
    </chartFormat>
    <chartFormat chart="0" format="546">
      <pivotArea type="data" outline="0" fieldPosition="0">
        <references count="3">
          <reference field="4294967294" count="1" selected="0">
            <x v="0"/>
          </reference>
          <reference field="0" count="1" selected="0">
            <x v="11"/>
          </reference>
          <reference field="1" count="1" selected="0">
            <x v="73"/>
          </reference>
        </references>
      </pivotArea>
    </chartFormat>
    <chartFormat chart="0" format="547">
      <pivotArea type="data" outline="0" fieldPosition="0">
        <references count="3">
          <reference field="4294967294" count="1" selected="0">
            <x v="0"/>
          </reference>
          <reference field="0" count="1" selected="0">
            <x v="11"/>
          </reference>
          <reference field="1" count="1" selected="0">
            <x v="74"/>
          </reference>
        </references>
      </pivotArea>
    </chartFormat>
    <chartFormat chart="0" format="548">
      <pivotArea type="data" outline="0" fieldPosition="0">
        <references count="3">
          <reference field="4294967294" count="1" selected="0">
            <x v="0"/>
          </reference>
          <reference field="0" count="1" selected="0">
            <x v="11"/>
          </reference>
          <reference field="1" count="1" selected="0">
            <x v="75"/>
          </reference>
        </references>
      </pivotArea>
    </chartFormat>
    <chartFormat chart="0" format="549">
      <pivotArea type="data" outline="0" fieldPosition="0">
        <references count="3">
          <reference field="4294967294" count="1" selected="0">
            <x v="0"/>
          </reference>
          <reference field="0" count="1" selected="0">
            <x v="11"/>
          </reference>
          <reference field="1" count="1" selected="0">
            <x v="76"/>
          </reference>
        </references>
      </pivotArea>
    </chartFormat>
    <chartFormat chart="0" format="550">
      <pivotArea type="data" outline="0" fieldPosition="0">
        <references count="3">
          <reference field="4294967294" count="1" selected="0">
            <x v="0"/>
          </reference>
          <reference field="0" count="1" selected="0">
            <x v="11"/>
          </reference>
          <reference field="1" count="1" selected="0">
            <x v="77"/>
          </reference>
        </references>
      </pivotArea>
    </chartFormat>
    <chartFormat chart="0" format="551">
      <pivotArea type="data" outline="0" fieldPosition="0">
        <references count="3">
          <reference field="4294967294" count="1" selected="0">
            <x v="0"/>
          </reference>
          <reference field="0" count="1" selected="0">
            <x v="11"/>
          </reference>
          <reference field="1" count="1" selected="0">
            <x v="78"/>
          </reference>
        </references>
      </pivotArea>
    </chartFormat>
    <chartFormat chart="0" format="552">
      <pivotArea type="data" outline="0" fieldPosition="0">
        <references count="3">
          <reference field="4294967294" count="1" selected="0">
            <x v="2"/>
          </reference>
          <reference field="0" count="1" selected="0">
            <x v="6"/>
          </reference>
          <reference field="1" count="1" selected="0">
            <x v="31"/>
          </reference>
        </references>
      </pivotArea>
    </chartFormat>
    <chartFormat chart="0" format="553">
      <pivotArea type="data" outline="0" fieldPosition="0">
        <references count="3">
          <reference field="4294967294" count="1" selected="0">
            <x v="2"/>
          </reference>
          <reference field="0" count="1" selected="0">
            <x v="6"/>
          </reference>
          <reference field="1" count="1" selected="0">
            <x v="32"/>
          </reference>
        </references>
      </pivotArea>
    </chartFormat>
    <chartFormat chart="0" format="554">
      <pivotArea type="data" outline="0" fieldPosition="0">
        <references count="3">
          <reference field="4294967294" count="1" selected="0">
            <x v="2"/>
          </reference>
          <reference field="0" count="1" selected="0">
            <x v="6"/>
          </reference>
          <reference field="1" count="1" selected="0">
            <x v="33"/>
          </reference>
        </references>
      </pivotArea>
    </chartFormat>
    <chartFormat chart="0" format="555">
      <pivotArea type="data" outline="0" fieldPosition="0">
        <references count="3">
          <reference field="4294967294" count="1" selected="0">
            <x v="2"/>
          </reference>
          <reference field="0" count="1" selected="0">
            <x v="6"/>
          </reference>
          <reference field="1" count="1" selected="0">
            <x v="34"/>
          </reference>
        </references>
      </pivotArea>
    </chartFormat>
    <chartFormat chart="0" format="556">
      <pivotArea type="data" outline="0" fieldPosition="0">
        <references count="3">
          <reference field="4294967294" count="1" selected="0">
            <x v="2"/>
          </reference>
          <reference field="0" count="1" selected="0">
            <x v="6"/>
          </reference>
          <reference field="1" count="1" selected="0">
            <x v="35"/>
          </reference>
        </references>
      </pivotArea>
    </chartFormat>
    <chartFormat chart="0" format="557">
      <pivotArea type="data" outline="0" fieldPosition="0">
        <references count="3">
          <reference field="4294967294" count="1" selected="0">
            <x v="2"/>
          </reference>
          <reference field="0" count="1" selected="0">
            <x v="6"/>
          </reference>
          <reference field="1" count="1" selected="0">
            <x v="36"/>
          </reference>
        </references>
      </pivotArea>
    </chartFormat>
    <chartFormat chart="0" format="558">
      <pivotArea type="data" outline="0" fieldPosition="0">
        <references count="3">
          <reference field="4294967294" count="1" selected="0">
            <x v="2"/>
          </reference>
          <reference field="0" count="1" selected="0">
            <x v="6"/>
          </reference>
          <reference field="1" count="1" selected="0">
            <x v="37"/>
          </reference>
        </references>
      </pivotArea>
    </chartFormat>
    <chartFormat chart="0" format="559">
      <pivotArea type="data" outline="0" fieldPosition="0">
        <references count="3">
          <reference field="4294967294" count="1" selected="0">
            <x v="2"/>
          </reference>
          <reference field="0" count="1" selected="0">
            <x v="6"/>
          </reference>
          <reference field="1" count="1" selected="0">
            <x v="38"/>
          </reference>
        </references>
      </pivotArea>
    </chartFormat>
    <chartFormat chart="0" format="560">
      <pivotArea type="data" outline="0" fieldPosition="0">
        <references count="3">
          <reference field="4294967294" count="1" selected="0">
            <x v="2"/>
          </reference>
          <reference field="0" count="1" selected="0">
            <x v="6"/>
          </reference>
          <reference field="1" count="1" selected="0">
            <x v="39"/>
          </reference>
        </references>
      </pivotArea>
    </chartFormat>
    <chartFormat chart="0" format="561">
      <pivotArea type="data" outline="0" fieldPosition="0">
        <references count="3">
          <reference field="4294967294" count="1" selected="0">
            <x v="2"/>
          </reference>
          <reference field="0" count="1" selected="0">
            <x v="6"/>
          </reference>
          <reference field="1" count="1" selected="0">
            <x v="40"/>
          </reference>
        </references>
      </pivotArea>
    </chartFormat>
    <chartFormat chart="0" format="562">
      <pivotArea type="data" outline="0" fieldPosition="0">
        <references count="3">
          <reference field="4294967294" count="1" selected="0">
            <x v="2"/>
          </reference>
          <reference field="0" count="1" selected="0">
            <x v="6"/>
          </reference>
          <reference field="1" count="1" selected="0">
            <x v="41"/>
          </reference>
        </references>
      </pivotArea>
    </chartFormat>
    <chartFormat chart="0" format="563">
      <pivotArea type="data" outline="0" fieldPosition="0">
        <references count="3">
          <reference field="4294967294" count="1" selected="0">
            <x v="2"/>
          </reference>
          <reference field="0" count="1" selected="0">
            <x v="6"/>
          </reference>
          <reference field="1" count="1" selected="0">
            <x v="42"/>
          </reference>
        </references>
      </pivotArea>
    </chartFormat>
    <chartFormat chart="0" format="564">
      <pivotArea type="data" outline="0" fieldPosition="0">
        <references count="3">
          <reference field="4294967294" count="1" selected="0">
            <x v="2"/>
          </reference>
          <reference field="0" count="1" selected="0">
            <x v="6"/>
          </reference>
          <reference field="1" count="1" selected="0">
            <x v="43"/>
          </reference>
        </references>
      </pivotArea>
    </chartFormat>
    <chartFormat chart="0" format="565">
      <pivotArea type="data" outline="0" fieldPosition="0">
        <references count="3">
          <reference field="4294967294" count="1" selected="0">
            <x v="2"/>
          </reference>
          <reference field="0" count="1" selected="0">
            <x v="6"/>
          </reference>
          <reference field="1" count="1" selected="0">
            <x v="44"/>
          </reference>
        </references>
      </pivotArea>
    </chartFormat>
    <chartFormat chart="0" format="566">
      <pivotArea type="data" outline="0" fieldPosition="0">
        <references count="3">
          <reference field="4294967294" count="1" selected="0">
            <x v="2"/>
          </reference>
          <reference field="0" count="1" selected="0">
            <x v="6"/>
          </reference>
          <reference field="1" count="1" selected="0">
            <x v="45"/>
          </reference>
        </references>
      </pivotArea>
    </chartFormat>
    <chartFormat chart="0" format="567">
      <pivotArea type="data" outline="0" fieldPosition="0">
        <references count="3">
          <reference field="4294967294" count="1" selected="0">
            <x v="2"/>
          </reference>
          <reference field="0" count="1" selected="0">
            <x v="6"/>
          </reference>
          <reference field="1" count="1" selected="0">
            <x v="46"/>
          </reference>
        </references>
      </pivotArea>
    </chartFormat>
    <chartFormat chart="0" format="568">
      <pivotArea type="data" outline="0" fieldPosition="0">
        <references count="3">
          <reference field="4294967294" count="1" selected="0">
            <x v="2"/>
          </reference>
          <reference field="0" count="1" selected="0">
            <x v="6"/>
          </reference>
          <reference field="1" count="1" selected="0">
            <x v="47"/>
          </reference>
        </references>
      </pivotArea>
    </chartFormat>
    <chartFormat chart="0" format="569">
      <pivotArea type="data" outline="0" fieldPosition="0">
        <references count="3">
          <reference field="4294967294" count="1" selected="0">
            <x v="2"/>
          </reference>
          <reference field="0" count="1" selected="0">
            <x v="6"/>
          </reference>
          <reference field="1" count="1" selected="0">
            <x v="48"/>
          </reference>
        </references>
      </pivotArea>
    </chartFormat>
    <chartFormat chart="0" format="570">
      <pivotArea type="data" outline="0" fieldPosition="0">
        <references count="3">
          <reference field="4294967294" count="1" selected="0">
            <x v="2"/>
          </reference>
          <reference field="0" count="1" selected="0">
            <x v="6"/>
          </reference>
          <reference field="1" count="1" selected="0">
            <x v="49"/>
          </reference>
        </references>
      </pivotArea>
    </chartFormat>
    <chartFormat chart="0" format="571">
      <pivotArea type="data" outline="0" fieldPosition="0">
        <references count="3">
          <reference field="4294967294" count="1" selected="0">
            <x v="2"/>
          </reference>
          <reference field="0" count="1" selected="0">
            <x v="6"/>
          </reference>
          <reference field="1" count="1" selected="0">
            <x v="50"/>
          </reference>
        </references>
      </pivotArea>
    </chartFormat>
    <chartFormat chart="0" format="572">
      <pivotArea type="data" outline="0" fieldPosition="0">
        <references count="3">
          <reference field="4294967294" count="1" selected="0">
            <x v="2"/>
          </reference>
          <reference field="0" count="1" selected="0">
            <x v="6"/>
          </reference>
          <reference field="1" count="1" selected="0">
            <x v="51"/>
          </reference>
        </references>
      </pivotArea>
    </chartFormat>
    <chartFormat chart="0" format="573">
      <pivotArea type="data" outline="0" fieldPosition="0">
        <references count="3">
          <reference field="4294967294" count="1" selected="0">
            <x v="2"/>
          </reference>
          <reference field="0" count="1" selected="0">
            <x v="6"/>
          </reference>
          <reference field="1" count="1" selected="0">
            <x v="52"/>
          </reference>
        </references>
      </pivotArea>
    </chartFormat>
    <chartFormat chart="0" format="574">
      <pivotArea type="data" outline="0" fieldPosition="0">
        <references count="3">
          <reference field="4294967294" count="1" selected="0">
            <x v="2"/>
          </reference>
          <reference field="0" count="1" selected="0">
            <x v="6"/>
          </reference>
          <reference field="1" count="1" selected="0">
            <x v="53"/>
          </reference>
        </references>
      </pivotArea>
    </chartFormat>
    <chartFormat chart="0" format="575">
      <pivotArea type="data" outline="0" fieldPosition="0">
        <references count="3">
          <reference field="4294967294" count="1" selected="0">
            <x v="2"/>
          </reference>
          <reference field="0" count="1" selected="0">
            <x v="6"/>
          </reference>
          <reference field="1" count="1" selected="0">
            <x v="54"/>
          </reference>
        </references>
      </pivotArea>
    </chartFormat>
    <chartFormat chart="0" format="576">
      <pivotArea type="data" outline="0" fieldPosition="0">
        <references count="3">
          <reference field="4294967294" count="1" selected="0">
            <x v="2"/>
          </reference>
          <reference field="0" count="1" selected="0">
            <x v="6"/>
          </reference>
          <reference field="1" count="1" selected="0">
            <x v="55"/>
          </reference>
        </references>
      </pivotArea>
    </chartFormat>
    <chartFormat chart="0" format="577">
      <pivotArea type="data" outline="0" fieldPosition="0">
        <references count="3">
          <reference field="4294967294" count="1" selected="0">
            <x v="2"/>
          </reference>
          <reference field="0" count="1" selected="0">
            <x v="6"/>
          </reference>
          <reference field="1" count="1" selected="0">
            <x v="56"/>
          </reference>
        </references>
      </pivotArea>
    </chartFormat>
    <chartFormat chart="0" format="578">
      <pivotArea type="data" outline="0" fieldPosition="0">
        <references count="3">
          <reference field="4294967294" count="1" selected="0">
            <x v="2"/>
          </reference>
          <reference field="0" count="1" selected="0">
            <x v="6"/>
          </reference>
          <reference field="1" count="1" selected="0">
            <x v="57"/>
          </reference>
        </references>
      </pivotArea>
    </chartFormat>
    <chartFormat chart="0" format="579">
      <pivotArea type="data" outline="0" fieldPosition="0">
        <references count="3">
          <reference field="4294967294" count="1" selected="0">
            <x v="2"/>
          </reference>
          <reference field="0" count="1" selected="0">
            <x v="6"/>
          </reference>
          <reference field="1" count="1" selected="0">
            <x v="58"/>
          </reference>
        </references>
      </pivotArea>
    </chartFormat>
    <chartFormat chart="0" format="580">
      <pivotArea type="data" outline="0" fieldPosition="0">
        <references count="3">
          <reference field="4294967294" count="1" selected="0">
            <x v="2"/>
          </reference>
          <reference field="0" count="1" selected="0">
            <x v="6"/>
          </reference>
          <reference field="1" count="1" selected="0">
            <x v="59"/>
          </reference>
        </references>
      </pivotArea>
    </chartFormat>
    <chartFormat chart="0" format="581">
      <pivotArea type="data" outline="0" fieldPosition="0">
        <references count="3">
          <reference field="4294967294" count="1" selected="0">
            <x v="2"/>
          </reference>
          <reference field="0" count="1" selected="0">
            <x v="6"/>
          </reference>
          <reference field="1" count="1" selected="0">
            <x v="60"/>
          </reference>
        </references>
      </pivotArea>
    </chartFormat>
    <chartFormat chart="0" format="582">
      <pivotArea type="data" outline="0" fieldPosition="0">
        <references count="3">
          <reference field="4294967294" count="1" selected="0">
            <x v="2"/>
          </reference>
          <reference field="0" count="1" selected="0">
            <x v="6"/>
          </reference>
          <reference field="1" count="1" selected="0">
            <x v="61"/>
          </reference>
        </references>
      </pivotArea>
    </chartFormat>
    <chartFormat chart="0" format="583">
      <pivotArea type="data" outline="0" fieldPosition="0">
        <references count="3">
          <reference field="4294967294" count="1" selected="0">
            <x v="2"/>
          </reference>
          <reference field="0" count="1" selected="0">
            <x v="6"/>
          </reference>
          <reference field="1" count="1" selected="0">
            <x v="62"/>
          </reference>
        </references>
      </pivotArea>
    </chartFormat>
    <chartFormat chart="0" format="584">
      <pivotArea type="data" outline="0" fieldPosition="0">
        <references count="3">
          <reference field="4294967294" count="1" selected="0">
            <x v="2"/>
          </reference>
          <reference field="0" count="1" selected="0">
            <x v="6"/>
          </reference>
          <reference field="1" count="1" selected="0">
            <x v="73"/>
          </reference>
        </references>
      </pivotArea>
    </chartFormat>
    <chartFormat chart="0" format="585">
      <pivotArea type="data" outline="0" fieldPosition="0">
        <references count="3">
          <reference field="4294967294" count="1" selected="0">
            <x v="2"/>
          </reference>
          <reference field="0" count="1" selected="0">
            <x v="6"/>
          </reference>
          <reference field="1" count="1" selected="0">
            <x v="74"/>
          </reference>
        </references>
      </pivotArea>
    </chartFormat>
    <chartFormat chart="0" format="586">
      <pivotArea type="data" outline="0" fieldPosition="0">
        <references count="3">
          <reference field="4294967294" count="1" selected="0">
            <x v="2"/>
          </reference>
          <reference field="0" count="1" selected="0">
            <x v="6"/>
          </reference>
          <reference field="1" count="1" selected="0">
            <x v="75"/>
          </reference>
        </references>
      </pivotArea>
    </chartFormat>
    <chartFormat chart="0" format="587">
      <pivotArea type="data" outline="0" fieldPosition="0">
        <references count="3">
          <reference field="4294967294" count="1" selected="0">
            <x v="2"/>
          </reference>
          <reference field="0" count="1" selected="0">
            <x v="6"/>
          </reference>
          <reference field="1" count="1" selected="0">
            <x v="76"/>
          </reference>
        </references>
      </pivotArea>
    </chartFormat>
    <chartFormat chart="0" format="588">
      <pivotArea type="data" outline="0" fieldPosition="0">
        <references count="3">
          <reference field="4294967294" count="1" selected="0">
            <x v="2"/>
          </reference>
          <reference field="0" count="1" selected="0">
            <x v="6"/>
          </reference>
          <reference field="1" count="1" selected="0">
            <x v="77"/>
          </reference>
        </references>
      </pivotArea>
    </chartFormat>
    <chartFormat chart="0" format="589">
      <pivotArea type="data" outline="0" fieldPosition="0">
        <references count="3">
          <reference field="4294967294" count="1" selected="0">
            <x v="2"/>
          </reference>
          <reference field="0" count="1" selected="0">
            <x v="6"/>
          </reference>
          <reference field="1" count="1" selected="0">
            <x v="78"/>
          </reference>
        </references>
      </pivotArea>
    </chartFormat>
    <chartFormat chart="0" format="590">
      <pivotArea type="data" outline="0" fieldPosition="0">
        <references count="3">
          <reference field="4294967294" count="1" selected="0">
            <x v="2"/>
          </reference>
          <reference field="0" count="1" selected="0">
            <x v="7"/>
          </reference>
          <reference field="1" count="1" selected="0">
            <x v="31"/>
          </reference>
        </references>
      </pivotArea>
    </chartFormat>
    <chartFormat chart="0" format="591">
      <pivotArea type="data" outline="0" fieldPosition="0">
        <references count="3">
          <reference field="4294967294" count="1" selected="0">
            <x v="2"/>
          </reference>
          <reference field="0" count="1" selected="0">
            <x v="7"/>
          </reference>
          <reference field="1" count="1" selected="0">
            <x v="32"/>
          </reference>
        </references>
      </pivotArea>
    </chartFormat>
    <chartFormat chart="0" format="592">
      <pivotArea type="data" outline="0" fieldPosition="0">
        <references count="3">
          <reference field="4294967294" count="1" selected="0">
            <x v="2"/>
          </reference>
          <reference field="0" count="1" selected="0">
            <x v="7"/>
          </reference>
          <reference field="1" count="1" selected="0">
            <x v="33"/>
          </reference>
        </references>
      </pivotArea>
    </chartFormat>
    <chartFormat chart="0" format="593">
      <pivotArea type="data" outline="0" fieldPosition="0">
        <references count="3">
          <reference field="4294967294" count="1" selected="0">
            <x v="2"/>
          </reference>
          <reference field="0" count="1" selected="0">
            <x v="7"/>
          </reference>
          <reference field="1" count="1" selected="0">
            <x v="34"/>
          </reference>
        </references>
      </pivotArea>
    </chartFormat>
    <chartFormat chart="0" format="594">
      <pivotArea type="data" outline="0" fieldPosition="0">
        <references count="3">
          <reference field="4294967294" count="1" selected="0">
            <x v="2"/>
          </reference>
          <reference field="0" count="1" selected="0">
            <x v="7"/>
          </reference>
          <reference field="1" count="1" selected="0">
            <x v="35"/>
          </reference>
        </references>
      </pivotArea>
    </chartFormat>
    <chartFormat chart="0" format="595">
      <pivotArea type="data" outline="0" fieldPosition="0">
        <references count="3">
          <reference field="4294967294" count="1" selected="0">
            <x v="2"/>
          </reference>
          <reference field="0" count="1" selected="0">
            <x v="7"/>
          </reference>
          <reference field="1" count="1" selected="0">
            <x v="36"/>
          </reference>
        </references>
      </pivotArea>
    </chartFormat>
    <chartFormat chart="0" format="596">
      <pivotArea type="data" outline="0" fieldPosition="0">
        <references count="3">
          <reference field="4294967294" count="1" selected="0">
            <x v="2"/>
          </reference>
          <reference field="0" count="1" selected="0">
            <x v="7"/>
          </reference>
          <reference field="1" count="1" selected="0">
            <x v="37"/>
          </reference>
        </references>
      </pivotArea>
    </chartFormat>
    <chartFormat chart="0" format="597">
      <pivotArea type="data" outline="0" fieldPosition="0">
        <references count="3">
          <reference field="4294967294" count="1" selected="0">
            <x v="2"/>
          </reference>
          <reference field="0" count="1" selected="0">
            <x v="7"/>
          </reference>
          <reference field="1" count="1" selected="0">
            <x v="38"/>
          </reference>
        </references>
      </pivotArea>
    </chartFormat>
    <chartFormat chart="0" format="598">
      <pivotArea type="data" outline="0" fieldPosition="0">
        <references count="3">
          <reference field="4294967294" count="1" selected="0">
            <x v="2"/>
          </reference>
          <reference field="0" count="1" selected="0">
            <x v="7"/>
          </reference>
          <reference field="1" count="1" selected="0">
            <x v="39"/>
          </reference>
        </references>
      </pivotArea>
    </chartFormat>
    <chartFormat chart="0" format="599">
      <pivotArea type="data" outline="0" fieldPosition="0">
        <references count="3">
          <reference field="4294967294" count="1" selected="0">
            <x v="2"/>
          </reference>
          <reference field="0" count="1" selected="0">
            <x v="7"/>
          </reference>
          <reference field="1" count="1" selected="0">
            <x v="40"/>
          </reference>
        </references>
      </pivotArea>
    </chartFormat>
    <chartFormat chart="0" format="600">
      <pivotArea type="data" outline="0" fieldPosition="0">
        <references count="3">
          <reference field="4294967294" count="1" selected="0">
            <x v="2"/>
          </reference>
          <reference field="0" count="1" selected="0">
            <x v="7"/>
          </reference>
          <reference field="1" count="1" selected="0">
            <x v="41"/>
          </reference>
        </references>
      </pivotArea>
    </chartFormat>
    <chartFormat chart="0" format="601">
      <pivotArea type="data" outline="0" fieldPosition="0">
        <references count="3">
          <reference field="4294967294" count="1" selected="0">
            <x v="2"/>
          </reference>
          <reference field="0" count="1" selected="0">
            <x v="7"/>
          </reference>
          <reference field="1" count="1" selected="0">
            <x v="42"/>
          </reference>
        </references>
      </pivotArea>
    </chartFormat>
    <chartFormat chart="0" format="602">
      <pivotArea type="data" outline="0" fieldPosition="0">
        <references count="3">
          <reference field="4294967294" count="1" selected="0">
            <x v="2"/>
          </reference>
          <reference field="0" count="1" selected="0">
            <x v="7"/>
          </reference>
          <reference field="1" count="1" selected="0">
            <x v="43"/>
          </reference>
        </references>
      </pivotArea>
    </chartFormat>
    <chartFormat chart="0" format="603">
      <pivotArea type="data" outline="0" fieldPosition="0">
        <references count="3">
          <reference field="4294967294" count="1" selected="0">
            <x v="2"/>
          </reference>
          <reference field="0" count="1" selected="0">
            <x v="7"/>
          </reference>
          <reference field="1" count="1" selected="0">
            <x v="44"/>
          </reference>
        </references>
      </pivotArea>
    </chartFormat>
    <chartFormat chart="0" format="604">
      <pivotArea type="data" outline="0" fieldPosition="0">
        <references count="3">
          <reference field="4294967294" count="1" selected="0">
            <x v="2"/>
          </reference>
          <reference field="0" count="1" selected="0">
            <x v="7"/>
          </reference>
          <reference field="1" count="1" selected="0">
            <x v="45"/>
          </reference>
        </references>
      </pivotArea>
    </chartFormat>
    <chartFormat chart="0" format="605">
      <pivotArea type="data" outline="0" fieldPosition="0">
        <references count="3">
          <reference field="4294967294" count="1" selected="0">
            <x v="2"/>
          </reference>
          <reference field="0" count="1" selected="0">
            <x v="7"/>
          </reference>
          <reference field="1" count="1" selected="0">
            <x v="46"/>
          </reference>
        </references>
      </pivotArea>
    </chartFormat>
    <chartFormat chart="0" format="606">
      <pivotArea type="data" outline="0" fieldPosition="0">
        <references count="3">
          <reference field="4294967294" count="1" selected="0">
            <x v="2"/>
          </reference>
          <reference field="0" count="1" selected="0">
            <x v="7"/>
          </reference>
          <reference field="1" count="1" selected="0">
            <x v="47"/>
          </reference>
        </references>
      </pivotArea>
    </chartFormat>
    <chartFormat chart="0" format="607">
      <pivotArea type="data" outline="0" fieldPosition="0">
        <references count="3">
          <reference field="4294967294" count="1" selected="0">
            <x v="2"/>
          </reference>
          <reference field="0" count="1" selected="0">
            <x v="7"/>
          </reference>
          <reference field="1" count="1" selected="0">
            <x v="48"/>
          </reference>
        </references>
      </pivotArea>
    </chartFormat>
    <chartFormat chart="0" format="608">
      <pivotArea type="data" outline="0" fieldPosition="0">
        <references count="3">
          <reference field="4294967294" count="1" selected="0">
            <x v="2"/>
          </reference>
          <reference field="0" count="1" selected="0">
            <x v="7"/>
          </reference>
          <reference field="1" count="1" selected="0">
            <x v="49"/>
          </reference>
        </references>
      </pivotArea>
    </chartFormat>
    <chartFormat chart="0" format="609">
      <pivotArea type="data" outline="0" fieldPosition="0">
        <references count="3">
          <reference field="4294967294" count="1" selected="0">
            <x v="2"/>
          </reference>
          <reference field="0" count="1" selected="0">
            <x v="7"/>
          </reference>
          <reference field="1" count="1" selected="0">
            <x v="50"/>
          </reference>
        </references>
      </pivotArea>
    </chartFormat>
    <chartFormat chart="0" format="610">
      <pivotArea type="data" outline="0" fieldPosition="0">
        <references count="3">
          <reference field="4294967294" count="1" selected="0">
            <x v="2"/>
          </reference>
          <reference field="0" count="1" selected="0">
            <x v="7"/>
          </reference>
          <reference field="1" count="1" selected="0">
            <x v="51"/>
          </reference>
        </references>
      </pivotArea>
    </chartFormat>
    <chartFormat chart="0" format="611">
      <pivotArea type="data" outline="0" fieldPosition="0">
        <references count="3">
          <reference field="4294967294" count="1" selected="0">
            <x v="2"/>
          </reference>
          <reference field="0" count="1" selected="0">
            <x v="7"/>
          </reference>
          <reference field="1" count="1" selected="0">
            <x v="52"/>
          </reference>
        </references>
      </pivotArea>
    </chartFormat>
    <chartFormat chart="0" format="612">
      <pivotArea type="data" outline="0" fieldPosition="0">
        <references count="3">
          <reference field="4294967294" count="1" selected="0">
            <x v="2"/>
          </reference>
          <reference field="0" count="1" selected="0">
            <x v="7"/>
          </reference>
          <reference field="1" count="1" selected="0">
            <x v="53"/>
          </reference>
        </references>
      </pivotArea>
    </chartFormat>
    <chartFormat chart="0" format="613">
      <pivotArea type="data" outline="0" fieldPosition="0">
        <references count="3">
          <reference field="4294967294" count="1" selected="0">
            <x v="2"/>
          </reference>
          <reference field="0" count="1" selected="0">
            <x v="7"/>
          </reference>
          <reference field="1" count="1" selected="0">
            <x v="54"/>
          </reference>
        </references>
      </pivotArea>
    </chartFormat>
    <chartFormat chart="0" format="614">
      <pivotArea type="data" outline="0" fieldPosition="0">
        <references count="3">
          <reference field="4294967294" count="1" selected="0">
            <x v="2"/>
          </reference>
          <reference field="0" count="1" selected="0">
            <x v="7"/>
          </reference>
          <reference field="1" count="1" selected="0">
            <x v="55"/>
          </reference>
        </references>
      </pivotArea>
    </chartFormat>
    <chartFormat chart="0" format="615">
      <pivotArea type="data" outline="0" fieldPosition="0">
        <references count="3">
          <reference field="4294967294" count="1" selected="0">
            <x v="2"/>
          </reference>
          <reference field="0" count="1" selected="0">
            <x v="7"/>
          </reference>
          <reference field="1" count="1" selected="0">
            <x v="56"/>
          </reference>
        </references>
      </pivotArea>
    </chartFormat>
    <chartFormat chart="0" format="616">
      <pivotArea type="data" outline="0" fieldPosition="0">
        <references count="3">
          <reference field="4294967294" count="1" selected="0">
            <x v="2"/>
          </reference>
          <reference field="0" count="1" selected="0">
            <x v="7"/>
          </reference>
          <reference field="1" count="1" selected="0">
            <x v="57"/>
          </reference>
        </references>
      </pivotArea>
    </chartFormat>
    <chartFormat chart="0" format="617">
      <pivotArea type="data" outline="0" fieldPosition="0">
        <references count="3">
          <reference field="4294967294" count="1" selected="0">
            <x v="2"/>
          </reference>
          <reference field="0" count="1" selected="0">
            <x v="7"/>
          </reference>
          <reference field="1" count="1" selected="0">
            <x v="58"/>
          </reference>
        </references>
      </pivotArea>
    </chartFormat>
    <chartFormat chart="0" format="618">
      <pivotArea type="data" outline="0" fieldPosition="0">
        <references count="3">
          <reference field="4294967294" count="1" selected="0">
            <x v="2"/>
          </reference>
          <reference field="0" count="1" selected="0">
            <x v="7"/>
          </reference>
          <reference field="1" count="1" selected="0">
            <x v="59"/>
          </reference>
        </references>
      </pivotArea>
    </chartFormat>
    <chartFormat chart="0" format="619">
      <pivotArea type="data" outline="0" fieldPosition="0">
        <references count="3">
          <reference field="4294967294" count="1" selected="0">
            <x v="2"/>
          </reference>
          <reference field="0" count="1" selected="0">
            <x v="7"/>
          </reference>
          <reference field="1" count="1" selected="0">
            <x v="60"/>
          </reference>
        </references>
      </pivotArea>
    </chartFormat>
    <chartFormat chart="0" format="620">
      <pivotArea type="data" outline="0" fieldPosition="0">
        <references count="3">
          <reference field="4294967294" count="1" selected="0">
            <x v="2"/>
          </reference>
          <reference field="0" count="1" selected="0">
            <x v="7"/>
          </reference>
          <reference field="1" count="1" selected="0">
            <x v="61"/>
          </reference>
        </references>
      </pivotArea>
    </chartFormat>
    <chartFormat chart="0" format="621">
      <pivotArea type="data" outline="0" fieldPosition="0">
        <references count="3">
          <reference field="4294967294" count="1" selected="0">
            <x v="2"/>
          </reference>
          <reference field="0" count="1" selected="0">
            <x v="7"/>
          </reference>
          <reference field="1" count="1" selected="0">
            <x v="62"/>
          </reference>
        </references>
      </pivotArea>
    </chartFormat>
    <chartFormat chart="0" format="622">
      <pivotArea type="data" outline="0" fieldPosition="0">
        <references count="3">
          <reference field="4294967294" count="1" selected="0">
            <x v="2"/>
          </reference>
          <reference field="0" count="1" selected="0">
            <x v="7"/>
          </reference>
          <reference field="1" count="1" selected="0">
            <x v="63"/>
          </reference>
        </references>
      </pivotArea>
    </chartFormat>
    <chartFormat chart="0" format="623">
      <pivotArea type="data" outline="0" fieldPosition="0">
        <references count="3">
          <reference field="4294967294" count="1" selected="0">
            <x v="2"/>
          </reference>
          <reference field="0" count="1" selected="0">
            <x v="7"/>
          </reference>
          <reference field="1" count="1" selected="0">
            <x v="64"/>
          </reference>
        </references>
      </pivotArea>
    </chartFormat>
    <chartFormat chart="0" format="624">
      <pivotArea type="data" outline="0" fieldPosition="0">
        <references count="3">
          <reference field="4294967294" count="1" selected="0">
            <x v="2"/>
          </reference>
          <reference field="0" count="1" selected="0">
            <x v="7"/>
          </reference>
          <reference field="1" count="1" selected="0">
            <x v="65"/>
          </reference>
        </references>
      </pivotArea>
    </chartFormat>
    <chartFormat chart="0" format="625">
      <pivotArea type="data" outline="0" fieldPosition="0">
        <references count="3">
          <reference field="4294967294" count="1" selected="0">
            <x v="2"/>
          </reference>
          <reference field="0" count="1" selected="0">
            <x v="7"/>
          </reference>
          <reference field="1" count="1" selected="0">
            <x v="66"/>
          </reference>
        </references>
      </pivotArea>
    </chartFormat>
    <chartFormat chart="0" format="626">
      <pivotArea type="data" outline="0" fieldPosition="0">
        <references count="3">
          <reference field="4294967294" count="1" selected="0">
            <x v="2"/>
          </reference>
          <reference field="0" count="1" selected="0">
            <x v="7"/>
          </reference>
          <reference field="1" count="1" selected="0">
            <x v="67"/>
          </reference>
        </references>
      </pivotArea>
    </chartFormat>
    <chartFormat chart="0" format="627">
      <pivotArea type="data" outline="0" fieldPosition="0">
        <references count="3">
          <reference field="4294967294" count="1" selected="0">
            <x v="2"/>
          </reference>
          <reference field="0" count="1" selected="0">
            <x v="7"/>
          </reference>
          <reference field="1" count="1" selected="0">
            <x v="68"/>
          </reference>
        </references>
      </pivotArea>
    </chartFormat>
    <chartFormat chart="0" format="628">
      <pivotArea type="data" outline="0" fieldPosition="0">
        <references count="3">
          <reference field="4294967294" count="1" selected="0">
            <x v="2"/>
          </reference>
          <reference field="0" count="1" selected="0">
            <x v="7"/>
          </reference>
          <reference field="1" count="1" selected="0">
            <x v="69"/>
          </reference>
        </references>
      </pivotArea>
    </chartFormat>
    <chartFormat chart="0" format="629">
      <pivotArea type="data" outline="0" fieldPosition="0">
        <references count="3">
          <reference field="4294967294" count="1" selected="0">
            <x v="2"/>
          </reference>
          <reference field="0" count="1" selected="0">
            <x v="7"/>
          </reference>
          <reference field="1" count="1" selected="0">
            <x v="70"/>
          </reference>
        </references>
      </pivotArea>
    </chartFormat>
    <chartFormat chart="0" format="630">
      <pivotArea type="data" outline="0" fieldPosition="0">
        <references count="3">
          <reference field="4294967294" count="1" selected="0">
            <x v="2"/>
          </reference>
          <reference field="0" count="1" selected="0">
            <x v="7"/>
          </reference>
          <reference field="1" count="1" selected="0">
            <x v="71"/>
          </reference>
        </references>
      </pivotArea>
    </chartFormat>
    <chartFormat chart="0" format="631">
      <pivotArea type="data" outline="0" fieldPosition="0">
        <references count="3">
          <reference field="4294967294" count="1" selected="0">
            <x v="2"/>
          </reference>
          <reference field="0" count="1" selected="0">
            <x v="7"/>
          </reference>
          <reference field="1" count="1" selected="0">
            <x v="72"/>
          </reference>
        </references>
      </pivotArea>
    </chartFormat>
    <chartFormat chart="0" format="632">
      <pivotArea type="data" outline="0" fieldPosition="0">
        <references count="3">
          <reference field="4294967294" count="1" selected="0">
            <x v="2"/>
          </reference>
          <reference field="0" count="1" selected="0">
            <x v="7"/>
          </reference>
          <reference field="1" count="1" selected="0">
            <x v="73"/>
          </reference>
        </references>
      </pivotArea>
    </chartFormat>
    <chartFormat chart="0" format="633">
      <pivotArea type="data" outline="0" fieldPosition="0">
        <references count="3">
          <reference field="4294967294" count="1" selected="0">
            <x v="2"/>
          </reference>
          <reference field="0" count="1" selected="0">
            <x v="7"/>
          </reference>
          <reference field="1" count="1" selected="0">
            <x v="74"/>
          </reference>
        </references>
      </pivotArea>
    </chartFormat>
    <chartFormat chart="0" format="634">
      <pivotArea type="data" outline="0" fieldPosition="0">
        <references count="3">
          <reference field="4294967294" count="1" selected="0">
            <x v="2"/>
          </reference>
          <reference field="0" count="1" selected="0">
            <x v="7"/>
          </reference>
          <reference field="1" count="1" selected="0">
            <x v="75"/>
          </reference>
        </references>
      </pivotArea>
    </chartFormat>
    <chartFormat chart="0" format="635">
      <pivotArea type="data" outline="0" fieldPosition="0">
        <references count="3">
          <reference field="4294967294" count="1" selected="0">
            <x v="2"/>
          </reference>
          <reference field="0" count="1" selected="0">
            <x v="7"/>
          </reference>
          <reference field="1" count="1" selected="0">
            <x v="76"/>
          </reference>
        </references>
      </pivotArea>
    </chartFormat>
    <chartFormat chart="0" format="636">
      <pivotArea type="data" outline="0" fieldPosition="0">
        <references count="3">
          <reference field="4294967294" count="1" selected="0">
            <x v="2"/>
          </reference>
          <reference field="0" count="1" selected="0">
            <x v="7"/>
          </reference>
          <reference field="1" count="1" selected="0">
            <x v="77"/>
          </reference>
        </references>
      </pivotArea>
    </chartFormat>
    <chartFormat chart="0" format="637">
      <pivotArea type="data" outline="0" fieldPosition="0">
        <references count="3">
          <reference field="4294967294" count="1" selected="0">
            <x v="2"/>
          </reference>
          <reference field="0" count="1" selected="0">
            <x v="7"/>
          </reference>
          <reference field="1" count="1" selected="0">
            <x v="78"/>
          </reference>
        </references>
      </pivotArea>
    </chartFormat>
    <chartFormat chart="0" format="638">
      <pivotArea type="data" outline="0" fieldPosition="0">
        <references count="3">
          <reference field="4294967294" count="1" selected="0">
            <x v="2"/>
          </reference>
          <reference field="0" count="1" selected="0">
            <x v="8"/>
          </reference>
          <reference field="1" count="1" selected="0">
            <x v="31"/>
          </reference>
        </references>
      </pivotArea>
    </chartFormat>
    <chartFormat chart="0" format="639">
      <pivotArea type="data" outline="0" fieldPosition="0">
        <references count="3">
          <reference field="4294967294" count="1" selected="0">
            <x v="2"/>
          </reference>
          <reference field="0" count="1" selected="0">
            <x v="8"/>
          </reference>
          <reference field="1" count="1" selected="0">
            <x v="32"/>
          </reference>
        </references>
      </pivotArea>
    </chartFormat>
    <chartFormat chart="0" format="640">
      <pivotArea type="data" outline="0" fieldPosition="0">
        <references count="3">
          <reference field="4294967294" count="1" selected="0">
            <x v="2"/>
          </reference>
          <reference field="0" count="1" selected="0">
            <x v="8"/>
          </reference>
          <reference field="1" count="1" selected="0">
            <x v="33"/>
          </reference>
        </references>
      </pivotArea>
    </chartFormat>
    <chartFormat chart="0" format="641">
      <pivotArea type="data" outline="0" fieldPosition="0">
        <references count="3">
          <reference field="4294967294" count="1" selected="0">
            <x v="2"/>
          </reference>
          <reference field="0" count="1" selected="0">
            <x v="8"/>
          </reference>
          <reference field="1" count="1" selected="0">
            <x v="34"/>
          </reference>
        </references>
      </pivotArea>
    </chartFormat>
    <chartFormat chart="0" format="642">
      <pivotArea type="data" outline="0" fieldPosition="0">
        <references count="3">
          <reference field="4294967294" count="1" selected="0">
            <x v="2"/>
          </reference>
          <reference field="0" count="1" selected="0">
            <x v="8"/>
          </reference>
          <reference field="1" count="1" selected="0">
            <x v="35"/>
          </reference>
        </references>
      </pivotArea>
    </chartFormat>
    <chartFormat chart="0" format="643">
      <pivotArea type="data" outline="0" fieldPosition="0">
        <references count="3">
          <reference field="4294967294" count="1" selected="0">
            <x v="2"/>
          </reference>
          <reference field="0" count="1" selected="0">
            <x v="8"/>
          </reference>
          <reference field="1" count="1" selected="0">
            <x v="36"/>
          </reference>
        </references>
      </pivotArea>
    </chartFormat>
    <chartFormat chart="0" format="644">
      <pivotArea type="data" outline="0" fieldPosition="0">
        <references count="3">
          <reference field="4294967294" count="1" selected="0">
            <x v="2"/>
          </reference>
          <reference field="0" count="1" selected="0">
            <x v="8"/>
          </reference>
          <reference field="1" count="1" selected="0">
            <x v="37"/>
          </reference>
        </references>
      </pivotArea>
    </chartFormat>
    <chartFormat chart="0" format="645">
      <pivotArea type="data" outline="0" fieldPosition="0">
        <references count="3">
          <reference field="4294967294" count="1" selected="0">
            <x v="2"/>
          </reference>
          <reference field="0" count="1" selected="0">
            <x v="8"/>
          </reference>
          <reference field="1" count="1" selected="0">
            <x v="38"/>
          </reference>
        </references>
      </pivotArea>
    </chartFormat>
    <chartFormat chart="0" format="646">
      <pivotArea type="data" outline="0" fieldPosition="0">
        <references count="3">
          <reference field="4294967294" count="1" selected="0">
            <x v="2"/>
          </reference>
          <reference field="0" count="1" selected="0">
            <x v="8"/>
          </reference>
          <reference field="1" count="1" selected="0">
            <x v="39"/>
          </reference>
        </references>
      </pivotArea>
    </chartFormat>
    <chartFormat chart="0" format="647">
      <pivotArea type="data" outline="0" fieldPosition="0">
        <references count="3">
          <reference field="4294967294" count="1" selected="0">
            <x v="2"/>
          </reference>
          <reference field="0" count="1" selected="0">
            <x v="8"/>
          </reference>
          <reference field="1" count="1" selected="0">
            <x v="40"/>
          </reference>
        </references>
      </pivotArea>
    </chartFormat>
    <chartFormat chart="0" format="648">
      <pivotArea type="data" outline="0" fieldPosition="0">
        <references count="3">
          <reference field="4294967294" count="1" selected="0">
            <x v="2"/>
          </reference>
          <reference field="0" count="1" selected="0">
            <x v="8"/>
          </reference>
          <reference field="1" count="1" selected="0">
            <x v="41"/>
          </reference>
        </references>
      </pivotArea>
    </chartFormat>
    <chartFormat chart="0" format="649">
      <pivotArea type="data" outline="0" fieldPosition="0">
        <references count="3">
          <reference field="4294967294" count="1" selected="0">
            <x v="2"/>
          </reference>
          <reference field="0" count="1" selected="0">
            <x v="8"/>
          </reference>
          <reference field="1" count="1" selected="0">
            <x v="42"/>
          </reference>
        </references>
      </pivotArea>
    </chartFormat>
    <chartFormat chart="0" format="650">
      <pivotArea type="data" outline="0" fieldPosition="0">
        <references count="3">
          <reference field="4294967294" count="1" selected="0">
            <x v="2"/>
          </reference>
          <reference field="0" count="1" selected="0">
            <x v="8"/>
          </reference>
          <reference field="1" count="1" selected="0">
            <x v="43"/>
          </reference>
        </references>
      </pivotArea>
    </chartFormat>
    <chartFormat chart="0" format="651">
      <pivotArea type="data" outline="0" fieldPosition="0">
        <references count="3">
          <reference field="4294967294" count="1" selected="0">
            <x v="2"/>
          </reference>
          <reference field="0" count="1" selected="0">
            <x v="8"/>
          </reference>
          <reference field="1" count="1" selected="0">
            <x v="44"/>
          </reference>
        </references>
      </pivotArea>
    </chartFormat>
    <chartFormat chart="0" format="652">
      <pivotArea type="data" outline="0" fieldPosition="0">
        <references count="3">
          <reference field="4294967294" count="1" selected="0">
            <x v="2"/>
          </reference>
          <reference field="0" count="1" selected="0">
            <x v="8"/>
          </reference>
          <reference field="1" count="1" selected="0">
            <x v="45"/>
          </reference>
        </references>
      </pivotArea>
    </chartFormat>
    <chartFormat chart="0" format="653">
      <pivotArea type="data" outline="0" fieldPosition="0">
        <references count="3">
          <reference field="4294967294" count="1" selected="0">
            <x v="2"/>
          </reference>
          <reference field="0" count="1" selected="0">
            <x v="8"/>
          </reference>
          <reference field="1" count="1" selected="0">
            <x v="46"/>
          </reference>
        </references>
      </pivotArea>
    </chartFormat>
    <chartFormat chart="0" format="654">
      <pivotArea type="data" outline="0" fieldPosition="0">
        <references count="3">
          <reference field="4294967294" count="1" selected="0">
            <x v="2"/>
          </reference>
          <reference field="0" count="1" selected="0">
            <x v="8"/>
          </reference>
          <reference field="1" count="1" selected="0">
            <x v="47"/>
          </reference>
        </references>
      </pivotArea>
    </chartFormat>
    <chartFormat chart="0" format="655">
      <pivotArea type="data" outline="0" fieldPosition="0">
        <references count="3">
          <reference field="4294967294" count="1" selected="0">
            <x v="2"/>
          </reference>
          <reference field="0" count="1" selected="0">
            <x v="8"/>
          </reference>
          <reference field="1" count="1" selected="0">
            <x v="48"/>
          </reference>
        </references>
      </pivotArea>
    </chartFormat>
    <chartFormat chart="0" format="656">
      <pivotArea type="data" outline="0" fieldPosition="0">
        <references count="3">
          <reference field="4294967294" count="1" selected="0">
            <x v="2"/>
          </reference>
          <reference field="0" count="1" selected="0">
            <x v="8"/>
          </reference>
          <reference field="1" count="1" selected="0">
            <x v="49"/>
          </reference>
        </references>
      </pivotArea>
    </chartFormat>
    <chartFormat chart="0" format="657">
      <pivotArea type="data" outline="0" fieldPosition="0">
        <references count="3">
          <reference field="4294967294" count="1" selected="0">
            <x v="2"/>
          </reference>
          <reference field="0" count="1" selected="0">
            <x v="8"/>
          </reference>
          <reference field="1" count="1" selected="0">
            <x v="50"/>
          </reference>
        </references>
      </pivotArea>
    </chartFormat>
    <chartFormat chart="0" format="658">
      <pivotArea type="data" outline="0" fieldPosition="0">
        <references count="3">
          <reference field="4294967294" count="1" selected="0">
            <x v="2"/>
          </reference>
          <reference field="0" count="1" selected="0">
            <x v="8"/>
          </reference>
          <reference field="1" count="1" selected="0">
            <x v="51"/>
          </reference>
        </references>
      </pivotArea>
    </chartFormat>
    <chartFormat chart="0" format="659">
      <pivotArea type="data" outline="0" fieldPosition="0">
        <references count="3">
          <reference field="4294967294" count="1" selected="0">
            <x v="2"/>
          </reference>
          <reference field="0" count="1" selected="0">
            <x v="8"/>
          </reference>
          <reference field="1" count="1" selected="0">
            <x v="52"/>
          </reference>
        </references>
      </pivotArea>
    </chartFormat>
    <chartFormat chart="0" format="660">
      <pivotArea type="data" outline="0" fieldPosition="0">
        <references count="3">
          <reference field="4294967294" count="1" selected="0">
            <x v="2"/>
          </reference>
          <reference field="0" count="1" selected="0">
            <x v="8"/>
          </reference>
          <reference field="1" count="1" selected="0">
            <x v="53"/>
          </reference>
        </references>
      </pivotArea>
    </chartFormat>
    <chartFormat chart="0" format="661">
      <pivotArea type="data" outline="0" fieldPosition="0">
        <references count="3">
          <reference field="4294967294" count="1" selected="0">
            <x v="2"/>
          </reference>
          <reference field="0" count="1" selected="0">
            <x v="8"/>
          </reference>
          <reference field="1" count="1" selected="0">
            <x v="54"/>
          </reference>
        </references>
      </pivotArea>
    </chartFormat>
    <chartFormat chart="0" format="662">
      <pivotArea type="data" outline="0" fieldPosition="0">
        <references count="3">
          <reference field="4294967294" count="1" selected="0">
            <x v="2"/>
          </reference>
          <reference field="0" count="1" selected="0">
            <x v="8"/>
          </reference>
          <reference field="1" count="1" selected="0">
            <x v="55"/>
          </reference>
        </references>
      </pivotArea>
    </chartFormat>
    <chartFormat chart="0" format="663">
      <pivotArea type="data" outline="0" fieldPosition="0">
        <references count="3">
          <reference field="4294967294" count="1" selected="0">
            <x v="2"/>
          </reference>
          <reference field="0" count="1" selected="0">
            <x v="8"/>
          </reference>
          <reference field="1" count="1" selected="0">
            <x v="56"/>
          </reference>
        </references>
      </pivotArea>
    </chartFormat>
    <chartFormat chart="0" format="664">
      <pivotArea type="data" outline="0" fieldPosition="0">
        <references count="3">
          <reference field="4294967294" count="1" selected="0">
            <x v="2"/>
          </reference>
          <reference field="0" count="1" selected="0">
            <x v="8"/>
          </reference>
          <reference field="1" count="1" selected="0">
            <x v="57"/>
          </reference>
        </references>
      </pivotArea>
    </chartFormat>
    <chartFormat chart="0" format="665">
      <pivotArea type="data" outline="0" fieldPosition="0">
        <references count="3">
          <reference field="4294967294" count="1" selected="0">
            <x v="2"/>
          </reference>
          <reference field="0" count="1" selected="0">
            <x v="8"/>
          </reference>
          <reference field="1" count="1" selected="0">
            <x v="58"/>
          </reference>
        </references>
      </pivotArea>
    </chartFormat>
    <chartFormat chart="0" format="666">
      <pivotArea type="data" outline="0" fieldPosition="0">
        <references count="3">
          <reference field="4294967294" count="1" selected="0">
            <x v="2"/>
          </reference>
          <reference field="0" count="1" selected="0">
            <x v="8"/>
          </reference>
          <reference field="1" count="1" selected="0">
            <x v="59"/>
          </reference>
        </references>
      </pivotArea>
    </chartFormat>
    <chartFormat chart="0" format="667">
      <pivotArea type="data" outline="0" fieldPosition="0">
        <references count="3">
          <reference field="4294967294" count="1" selected="0">
            <x v="2"/>
          </reference>
          <reference field="0" count="1" selected="0">
            <x v="8"/>
          </reference>
          <reference field="1" count="1" selected="0">
            <x v="60"/>
          </reference>
        </references>
      </pivotArea>
    </chartFormat>
    <chartFormat chart="0" format="668">
      <pivotArea type="data" outline="0" fieldPosition="0">
        <references count="3">
          <reference field="4294967294" count="1" selected="0">
            <x v="2"/>
          </reference>
          <reference field="0" count="1" selected="0">
            <x v="8"/>
          </reference>
          <reference field="1" count="1" selected="0">
            <x v="61"/>
          </reference>
        </references>
      </pivotArea>
    </chartFormat>
    <chartFormat chart="0" format="669">
      <pivotArea type="data" outline="0" fieldPosition="0">
        <references count="3">
          <reference field="4294967294" count="1" selected="0">
            <x v="2"/>
          </reference>
          <reference field="0" count="1" selected="0">
            <x v="8"/>
          </reference>
          <reference field="1" count="1" selected="0">
            <x v="62"/>
          </reference>
        </references>
      </pivotArea>
    </chartFormat>
    <chartFormat chart="0" format="670">
      <pivotArea type="data" outline="0" fieldPosition="0">
        <references count="3">
          <reference field="4294967294" count="1" selected="0">
            <x v="2"/>
          </reference>
          <reference field="0" count="1" selected="0">
            <x v="8"/>
          </reference>
          <reference field="1" count="1" selected="0">
            <x v="63"/>
          </reference>
        </references>
      </pivotArea>
    </chartFormat>
    <chartFormat chart="0" format="671">
      <pivotArea type="data" outline="0" fieldPosition="0">
        <references count="3">
          <reference field="4294967294" count="1" selected="0">
            <x v="2"/>
          </reference>
          <reference field="0" count="1" selected="0">
            <x v="8"/>
          </reference>
          <reference field="1" count="1" selected="0">
            <x v="64"/>
          </reference>
        </references>
      </pivotArea>
    </chartFormat>
    <chartFormat chart="0" format="672">
      <pivotArea type="data" outline="0" fieldPosition="0">
        <references count="3">
          <reference field="4294967294" count="1" selected="0">
            <x v="2"/>
          </reference>
          <reference field="0" count="1" selected="0">
            <x v="8"/>
          </reference>
          <reference field="1" count="1" selected="0">
            <x v="65"/>
          </reference>
        </references>
      </pivotArea>
    </chartFormat>
    <chartFormat chart="0" format="673">
      <pivotArea type="data" outline="0" fieldPosition="0">
        <references count="3">
          <reference field="4294967294" count="1" selected="0">
            <x v="2"/>
          </reference>
          <reference field="0" count="1" selected="0">
            <x v="8"/>
          </reference>
          <reference field="1" count="1" selected="0">
            <x v="66"/>
          </reference>
        </references>
      </pivotArea>
    </chartFormat>
    <chartFormat chart="0" format="674">
      <pivotArea type="data" outline="0" fieldPosition="0">
        <references count="3">
          <reference field="4294967294" count="1" selected="0">
            <x v="2"/>
          </reference>
          <reference field="0" count="1" selected="0">
            <x v="8"/>
          </reference>
          <reference field="1" count="1" selected="0">
            <x v="67"/>
          </reference>
        </references>
      </pivotArea>
    </chartFormat>
    <chartFormat chart="0" format="675">
      <pivotArea type="data" outline="0" fieldPosition="0">
        <references count="3">
          <reference field="4294967294" count="1" selected="0">
            <x v="2"/>
          </reference>
          <reference field="0" count="1" selected="0">
            <x v="8"/>
          </reference>
          <reference field="1" count="1" selected="0">
            <x v="68"/>
          </reference>
        </references>
      </pivotArea>
    </chartFormat>
    <chartFormat chart="0" format="676">
      <pivotArea type="data" outline="0" fieldPosition="0">
        <references count="3">
          <reference field="4294967294" count="1" selected="0">
            <x v="2"/>
          </reference>
          <reference field="0" count="1" selected="0">
            <x v="8"/>
          </reference>
          <reference field="1" count="1" selected="0">
            <x v="69"/>
          </reference>
        </references>
      </pivotArea>
    </chartFormat>
    <chartFormat chart="0" format="677">
      <pivotArea type="data" outline="0" fieldPosition="0">
        <references count="3">
          <reference field="4294967294" count="1" selected="0">
            <x v="2"/>
          </reference>
          <reference field="0" count="1" selected="0">
            <x v="8"/>
          </reference>
          <reference field="1" count="1" selected="0">
            <x v="70"/>
          </reference>
        </references>
      </pivotArea>
    </chartFormat>
    <chartFormat chart="0" format="678">
      <pivotArea type="data" outline="0" fieldPosition="0">
        <references count="3">
          <reference field="4294967294" count="1" selected="0">
            <x v="2"/>
          </reference>
          <reference field="0" count="1" selected="0">
            <x v="8"/>
          </reference>
          <reference field="1" count="1" selected="0">
            <x v="71"/>
          </reference>
        </references>
      </pivotArea>
    </chartFormat>
    <chartFormat chart="0" format="679">
      <pivotArea type="data" outline="0" fieldPosition="0">
        <references count="3">
          <reference field="4294967294" count="1" selected="0">
            <x v="2"/>
          </reference>
          <reference field="0" count="1" selected="0">
            <x v="8"/>
          </reference>
          <reference field="1" count="1" selected="0">
            <x v="72"/>
          </reference>
        </references>
      </pivotArea>
    </chartFormat>
    <chartFormat chart="0" format="680">
      <pivotArea type="data" outline="0" fieldPosition="0">
        <references count="3">
          <reference field="4294967294" count="1" selected="0">
            <x v="2"/>
          </reference>
          <reference field="0" count="1" selected="0">
            <x v="8"/>
          </reference>
          <reference field="1" count="1" selected="0">
            <x v="73"/>
          </reference>
        </references>
      </pivotArea>
    </chartFormat>
    <chartFormat chart="0" format="681">
      <pivotArea type="data" outline="0" fieldPosition="0">
        <references count="3">
          <reference field="4294967294" count="1" selected="0">
            <x v="2"/>
          </reference>
          <reference field="0" count="1" selected="0">
            <x v="8"/>
          </reference>
          <reference field="1" count="1" selected="0">
            <x v="74"/>
          </reference>
        </references>
      </pivotArea>
    </chartFormat>
    <chartFormat chart="0" format="682">
      <pivotArea type="data" outline="0" fieldPosition="0">
        <references count="3">
          <reference field="4294967294" count="1" selected="0">
            <x v="2"/>
          </reference>
          <reference field="0" count="1" selected="0">
            <x v="8"/>
          </reference>
          <reference field="1" count="1" selected="0">
            <x v="75"/>
          </reference>
        </references>
      </pivotArea>
    </chartFormat>
    <chartFormat chart="0" format="683">
      <pivotArea type="data" outline="0" fieldPosition="0">
        <references count="3">
          <reference field="4294967294" count="1" selected="0">
            <x v="2"/>
          </reference>
          <reference field="0" count="1" selected="0">
            <x v="8"/>
          </reference>
          <reference field="1" count="1" selected="0">
            <x v="76"/>
          </reference>
        </references>
      </pivotArea>
    </chartFormat>
    <chartFormat chart="0" format="684">
      <pivotArea type="data" outline="0" fieldPosition="0">
        <references count="3">
          <reference field="4294967294" count="1" selected="0">
            <x v="2"/>
          </reference>
          <reference field="0" count="1" selected="0">
            <x v="8"/>
          </reference>
          <reference field="1" count="1" selected="0">
            <x v="77"/>
          </reference>
        </references>
      </pivotArea>
    </chartFormat>
    <chartFormat chart="0" format="685">
      <pivotArea type="data" outline="0" fieldPosition="0">
        <references count="3">
          <reference field="4294967294" count="1" selected="0">
            <x v="2"/>
          </reference>
          <reference field="0" count="1" selected="0">
            <x v="8"/>
          </reference>
          <reference field="1" count="1" selected="0">
            <x v="78"/>
          </reference>
        </references>
      </pivotArea>
    </chartFormat>
    <chartFormat chart="0" format="686">
      <pivotArea type="data" outline="0" fieldPosition="0">
        <references count="3">
          <reference field="4294967294" count="1" selected="0">
            <x v="2"/>
          </reference>
          <reference field="0" count="1" selected="0">
            <x v="9"/>
          </reference>
          <reference field="1" count="1" selected="0">
            <x v="31"/>
          </reference>
        </references>
      </pivotArea>
    </chartFormat>
    <chartFormat chart="0" format="687">
      <pivotArea type="data" outline="0" fieldPosition="0">
        <references count="3">
          <reference field="4294967294" count="1" selected="0">
            <x v="2"/>
          </reference>
          <reference field="0" count="1" selected="0">
            <x v="9"/>
          </reference>
          <reference field="1" count="1" selected="0">
            <x v="32"/>
          </reference>
        </references>
      </pivotArea>
    </chartFormat>
    <chartFormat chart="0" format="688">
      <pivotArea type="data" outline="0" fieldPosition="0">
        <references count="3">
          <reference field="4294967294" count="1" selected="0">
            <x v="2"/>
          </reference>
          <reference field="0" count="1" selected="0">
            <x v="9"/>
          </reference>
          <reference field="1" count="1" selected="0">
            <x v="33"/>
          </reference>
        </references>
      </pivotArea>
    </chartFormat>
    <chartFormat chart="0" format="689">
      <pivotArea type="data" outline="0" fieldPosition="0">
        <references count="3">
          <reference field="4294967294" count="1" selected="0">
            <x v="2"/>
          </reference>
          <reference field="0" count="1" selected="0">
            <x v="9"/>
          </reference>
          <reference field="1" count="1" selected="0">
            <x v="34"/>
          </reference>
        </references>
      </pivotArea>
    </chartFormat>
    <chartFormat chart="0" format="690">
      <pivotArea type="data" outline="0" fieldPosition="0">
        <references count="3">
          <reference field="4294967294" count="1" selected="0">
            <x v="2"/>
          </reference>
          <reference field="0" count="1" selected="0">
            <x v="9"/>
          </reference>
          <reference field="1" count="1" selected="0">
            <x v="35"/>
          </reference>
        </references>
      </pivotArea>
    </chartFormat>
    <chartFormat chart="0" format="691">
      <pivotArea type="data" outline="0" fieldPosition="0">
        <references count="3">
          <reference field="4294967294" count="1" selected="0">
            <x v="2"/>
          </reference>
          <reference field="0" count="1" selected="0">
            <x v="9"/>
          </reference>
          <reference field="1" count="1" selected="0">
            <x v="36"/>
          </reference>
        </references>
      </pivotArea>
    </chartFormat>
    <chartFormat chart="0" format="692">
      <pivotArea type="data" outline="0" fieldPosition="0">
        <references count="3">
          <reference field="4294967294" count="1" selected="0">
            <x v="2"/>
          </reference>
          <reference field="0" count="1" selected="0">
            <x v="9"/>
          </reference>
          <reference field="1" count="1" selected="0">
            <x v="37"/>
          </reference>
        </references>
      </pivotArea>
    </chartFormat>
    <chartFormat chart="0" format="693">
      <pivotArea type="data" outline="0" fieldPosition="0">
        <references count="3">
          <reference field="4294967294" count="1" selected="0">
            <x v="2"/>
          </reference>
          <reference field="0" count="1" selected="0">
            <x v="9"/>
          </reference>
          <reference field="1" count="1" selected="0">
            <x v="38"/>
          </reference>
        </references>
      </pivotArea>
    </chartFormat>
    <chartFormat chart="0" format="694">
      <pivotArea type="data" outline="0" fieldPosition="0">
        <references count="3">
          <reference field="4294967294" count="1" selected="0">
            <x v="2"/>
          </reference>
          <reference field="0" count="1" selected="0">
            <x v="9"/>
          </reference>
          <reference field="1" count="1" selected="0">
            <x v="39"/>
          </reference>
        </references>
      </pivotArea>
    </chartFormat>
    <chartFormat chart="0" format="695">
      <pivotArea type="data" outline="0" fieldPosition="0">
        <references count="3">
          <reference field="4294967294" count="1" selected="0">
            <x v="2"/>
          </reference>
          <reference field="0" count="1" selected="0">
            <x v="9"/>
          </reference>
          <reference field="1" count="1" selected="0">
            <x v="40"/>
          </reference>
        </references>
      </pivotArea>
    </chartFormat>
    <chartFormat chart="0" format="696">
      <pivotArea type="data" outline="0" fieldPosition="0">
        <references count="3">
          <reference field="4294967294" count="1" selected="0">
            <x v="2"/>
          </reference>
          <reference field="0" count="1" selected="0">
            <x v="9"/>
          </reference>
          <reference field="1" count="1" selected="0">
            <x v="41"/>
          </reference>
        </references>
      </pivotArea>
    </chartFormat>
    <chartFormat chart="0" format="697">
      <pivotArea type="data" outline="0" fieldPosition="0">
        <references count="3">
          <reference field="4294967294" count="1" selected="0">
            <x v="2"/>
          </reference>
          <reference field="0" count="1" selected="0">
            <x v="9"/>
          </reference>
          <reference field="1" count="1" selected="0">
            <x v="42"/>
          </reference>
        </references>
      </pivotArea>
    </chartFormat>
    <chartFormat chart="0" format="698">
      <pivotArea type="data" outline="0" fieldPosition="0">
        <references count="3">
          <reference field="4294967294" count="1" selected="0">
            <x v="2"/>
          </reference>
          <reference field="0" count="1" selected="0">
            <x v="9"/>
          </reference>
          <reference field="1" count="1" selected="0">
            <x v="43"/>
          </reference>
        </references>
      </pivotArea>
    </chartFormat>
    <chartFormat chart="0" format="699">
      <pivotArea type="data" outline="0" fieldPosition="0">
        <references count="3">
          <reference field="4294967294" count="1" selected="0">
            <x v="2"/>
          </reference>
          <reference field="0" count="1" selected="0">
            <x v="9"/>
          </reference>
          <reference field="1" count="1" selected="0">
            <x v="44"/>
          </reference>
        </references>
      </pivotArea>
    </chartFormat>
    <chartFormat chart="0" format="700">
      <pivotArea type="data" outline="0" fieldPosition="0">
        <references count="3">
          <reference field="4294967294" count="1" selected="0">
            <x v="2"/>
          </reference>
          <reference field="0" count="1" selected="0">
            <x v="9"/>
          </reference>
          <reference field="1" count="1" selected="0">
            <x v="45"/>
          </reference>
        </references>
      </pivotArea>
    </chartFormat>
    <chartFormat chart="0" format="701">
      <pivotArea type="data" outline="0" fieldPosition="0">
        <references count="3">
          <reference field="4294967294" count="1" selected="0">
            <x v="2"/>
          </reference>
          <reference field="0" count="1" selected="0">
            <x v="9"/>
          </reference>
          <reference field="1" count="1" selected="0">
            <x v="46"/>
          </reference>
        </references>
      </pivotArea>
    </chartFormat>
    <chartFormat chart="0" format="702">
      <pivotArea type="data" outline="0" fieldPosition="0">
        <references count="3">
          <reference field="4294967294" count="1" selected="0">
            <x v="2"/>
          </reference>
          <reference field="0" count="1" selected="0">
            <x v="9"/>
          </reference>
          <reference field="1" count="1" selected="0">
            <x v="47"/>
          </reference>
        </references>
      </pivotArea>
    </chartFormat>
    <chartFormat chart="0" format="703">
      <pivotArea type="data" outline="0" fieldPosition="0">
        <references count="3">
          <reference field="4294967294" count="1" selected="0">
            <x v="2"/>
          </reference>
          <reference field="0" count="1" selected="0">
            <x v="9"/>
          </reference>
          <reference field="1" count="1" selected="0">
            <x v="48"/>
          </reference>
        </references>
      </pivotArea>
    </chartFormat>
    <chartFormat chart="0" format="704">
      <pivotArea type="data" outline="0" fieldPosition="0">
        <references count="3">
          <reference field="4294967294" count="1" selected="0">
            <x v="2"/>
          </reference>
          <reference field="0" count="1" selected="0">
            <x v="9"/>
          </reference>
          <reference field="1" count="1" selected="0">
            <x v="49"/>
          </reference>
        </references>
      </pivotArea>
    </chartFormat>
    <chartFormat chart="0" format="705">
      <pivotArea type="data" outline="0" fieldPosition="0">
        <references count="3">
          <reference field="4294967294" count="1" selected="0">
            <x v="2"/>
          </reference>
          <reference field="0" count="1" selected="0">
            <x v="9"/>
          </reference>
          <reference field="1" count="1" selected="0">
            <x v="50"/>
          </reference>
        </references>
      </pivotArea>
    </chartFormat>
    <chartFormat chart="0" format="706">
      <pivotArea type="data" outline="0" fieldPosition="0">
        <references count="3">
          <reference field="4294967294" count="1" selected="0">
            <x v="2"/>
          </reference>
          <reference field="0" count="1" selected="0">
            <x v="9"/>
          </reference>
          <reference field="1" count="1" selected="0">
            <x v="51"/>
          </reference>
        </references>
      </pivotArea>
    </chartFormat>
    <chartFormat chart="0" format="707">
      <pivotArea type="data" outline="0" fieldPosition="0">
        <references count="3">
          <reference field="4294967294" count="1" selected="0">
            <x v="2"/>
          </reference>
          <reference field="0" count="1" selected="0">
            <x v="9"/>
          </reference>
          <reference field="1" count="1" selected="0">
            <x v="52"/>
          </reference>
        </references>
      </pivotArea>
    </chartFormat>
    <chartFormat chart="0" format="708">
      <pivotArea type="data" outline="0" fieldPosition="0">
        <references count="3">
          <reference field="4294967294" count="1" selected="0">
            <x v="2"/>
          </reference>
          <reference field="0" count="1" selected="0">
            <x v="9"/>
          </reference>
          <reference field="1" count="1" selected="0">
            <x v="53"/>
          </reference>
        </references>
      </pivotArea>
    </chartFormat>
    <chartFormat chart="0" format="709">
      <pivotArea type="data" outline="0" fieldPosition="0">
        <references count="3">
          <reference field="4294967294" count="1" selected="0">
            <x v="2"/>
          </reference>
          <reference field="0" count="1" selected="0">
            <x v="9"/>
          </reference>
          <reference field="1" count="1" selected="0">
            <x v="54"/>
          </reference>
        </references>
      </pivotArea>
    </chartFormat>
    <chartFormat chart="0" format="710">
      <pivotArea type="data" outline="0" fieldPosition="0">
        <references count="3">
          <reference field="4294967294" count="1" selected="0">
            <x v="2"/>
          </reference>
          <reference field="0" count="1" selected="0">
            <x v="9"/>
          </reference>
          <reference field="1" count="1" selected="0">
            <x v="55"/>
          </reference>
        </references>
      </pivotArea>
    </chartFormat>
    <chartFormat chart="0" format="711">
      <pivotArea type="data" outline="0" fieldPosition="0">
        <references count="3">
          <reference field="4294967294" count="1" selected="0">
            <x v="2"/>
          </reference>
          <reference field="0" count="1" selected="0">
            <x v="9"/>
          </reference>
          <reference field="1" count="1" selected="0">
            <x v="56"/>
          </reference>
        </references>
      </pivotArea>
    </chartFormat>
    <chartFormat chart="0" format="712">
      <pivotArea type="data" outline="0" fieldPosition="0">
        <references count="3">
          <reference field="4294967294" count="1" selected="0">
            <x v="2"/>
          </reference>
          <reference field="0" count="1" selected="0">
            <x v="9"/>
          </reference>
          <reference field="1" count="1" selected="0">
            <x v="57"/>
          </reference>
        </references>
      </pivotArea>
    </chartFormat>
    <chartFormat chart="0" format="713">
      <pivotArea type="data" outline="0" fieldPosition="0">
        <references count="3">
          <reference field="4294967294" count="1" selected="0">
            <x v="2"/>
          </reference>
          <reference field="0" count="1" selected="0">
            <x v="9"/>
          </reference>
          <reference field="1" count="1" selected="0">
            <x v="58"/>
          </reference>
        </references>
      </pivotArea>
    </chartFormat>
    <chartFormat chart="0" format="714">
      <pivotArea type="data" outline="0" fieldPosition="0">
        <references count="3">
          <reference field="4294967294" count="1" selected="0">
            <x v="2"/>
          </reference>
          <reference field="0" count="1" selected="0">
            <x v="9"/>
          </reference>
          <reference field="1" count="1" selected="0">
            <x v="59"/>
          </reference>
        </references>
      </pivotArea>
    </chartFormat>
    <chartFormat chart="0" format="715">
      <pivotArea type="data" outline="0" fieldPosition="0">
        <references count="3">
          <reference field="4294967294" count="1" selected="0">
            <x v="2"/>
          </reference>
          <reference field="0" count="1" selected="0">
            <x v="9"/>
          </reference>
          <reference field="1" count="1" selected="0">
            <x v="60"/>
          </reference>
        </references>
      </pivotArea>
    </chartFormat>
    <chartFormat chart="0" format="716">
      <pivotArea type="data" outline="0" fieldPosition="0">
        <references count="3">
          <reference field="4294967294" count="1" selected="0">
            <x v="2"/>
          </reference>
          <reference field="0" count="1" selected="0">
            <x v="9"/>
          </reference>
          <reference field="1" count="1" selected="0">
            <x v="61"/>
          </reference>
        </references>
      </pivotArea>
    </chartFormat>
    <chartFormat chart="0" format="717">
      <pivotArea type="data" outline="0" fieldPosition="0">
        <references count="3">
          <reference field="4294967294" count="1" selected="0">
            <x v="2"/>
          </reference>
          <reference field="0" count="1" selected="0">
            <x v="9"/>
          </reference>
          <reference field="1" count="1" selected="0">
            <x v="62"/>
          </reference>
        </references>
      </pivotArea>
    </chartFormat>
    <chartFormat chart="0" format="718">
      <pivotArea type="data" outline="0" fieldPosition="0">
        <references count="3">
          <reference field="4294967294" count="1" selected="0">
            <x v="2"/>
          </reference>
          <reference field="0" count="1" selected="0">
            <x v="9"/>
          </reference>
          <reference field="1" count="1" selected="0">
            <x v="63"/>
          </reference>
        </references>
      </pivotArea>
    </chartFormat>
    <chartFormat chart="0" format="719">
      <pivotArea type="data" outline="0" fieldPosition="0">
        <references count="3">
          <reference field="4294967294" count="1" selected="0">
            <x v="2"/>
          </reference>
          <reference field="0" count="1" selected="0">
            <x v="9"/>
          </reference>
          <reference field="1" count="1" selected="0">
            <x v="64"/>
          </reference>
        </references>
      </pivotArea>
    </chartFormat>
    <chartFormat chart="0" format="720">
      <pivotArea type="data" outline="0" fieldPosition="0">
        <references count="3">
          <reference field="4294967294" count="1" selected="0">
            <x v="2"/>
          </reference>
          <reference field="0" count="1" selected="0">
            <x v="9"/>
          </reference>
          <reference field="1" count="1" selected="0">
            <x v="65"/>
          </reference>
        </references>
      </pivotArea>
    </chartFormat>
    <chartFormat chart="0" format="721">
      <pivotArea type="data" outline="0" fieldPosition="0">
        <references count="3">
          <reference field="4294967294" count="1" selected="0">
            <x v="2"/>
          </reference>
          <reference field="0" count="1" selected="0">
            <x v="9"/>
          </reference>
          <reference field="1" count="1" selected="0">
            <x v="66"/>
          </reference>
        </references>
      </pivotArea>
    </chartFormat>
    <chartFormat chart="0" format="722">
      <pivotArea type="data" outline="0" fieldPosition="0">
        <references count="3">
          <reference field="4294967294" count="1" selected="0">
            <x v="2"/>
          </reference>
          <reference field="0" count="1" selected="0">
            <x v="9"/>
          </reference>
          <reference field="1" count="1" selected="0">
            <x v="67"/>
          </reference>
        </references>
      </pivotArea>
    </chartFormat>
    <chartFormat chart="0" format="723">
      <pivotArea type="data" outline="0" fieldPosition="0">
        <references count="3">
          <reference field="4294967294" count="1" selected="0">
            <x v="2"/>
          </reference>
          <reference field="0" count="1" selected="0">
            <x v="9"/>
          </reference>
          <reference field="1" count="1" selected="0">
            <x v="68"/>
          </reference>
        </references>
      </pivotArea>
    </chartFormat>
    <chartFormat chart="0" format="724">
      <pivotArea type="data" outline="0" fieldPosition="0">
        <references count="3">
          <reference field="4294967294" count="1" selected="0">
            <x v="2"/>
          </reference>
          <reference field="0" count="1" selected="0">
            <x v="9"/>
          </reference>
          <reference field="1" count="1" selected="0">
            <x v="69"/>
          </reference>
        </references>
      </pivotArea>
    </chartFormat>
    <chartFormat chart="0" format="725">
      <pivotArea type="data" outline="0" fieldPosition="0">
        <references count="3">
          <reference field="4294967294" count="1" selected="0">
            <x v="2"/>
          </reference>
          <reference field="0" count="1" selected="0">
            <x v="9"/>
          </reference>
          <reference field="1" count="1" selected="0">
            <x v="70"/>
          </reference>
        </references>
      </pivotArea>
    </chartFormat>
    <chartFormat chart="0" format="726">
      <pivotArea type="data" outline="0" fieldPosition="0">
        <references count="3">
          <reference field="4294967294" count="1" selected="0">
            <x v="2"/>
          </reference>
          <reference field="0" count="1" selected="0">
            <x v="9"/>
          </reference>
          <reference field="1" count="1" selected="0">
            <x v="71"/>
          </reference>
        </references>
      </pivotArea>
    </chartFormat>
    <chartFormat chart="0" format="727">
      <pivotArea type="data" outline="0" fieldPosition="0">
        <references count="3">
          <reference field="4294967294" count="1" selected="0">
            <x v="2"/>
          </reference>
          <reference field="0" count="1" selected="0">
            <x v="9"/>
          </reference>
          <reference field="1" count="1" selected="0">
            <x v="72"/>
          </reference>
        </references>
      </pivotArea>
    </chartFormat>
    <chartFormat chart="0" format="728">
      <pivotArea type="data" outline="0" fieldPosition="0">
        <references count="3">
          <reference field="4294967294" count="1" selected="0">
            <x v="2"/>
          </reference>
          <reference field="0" count="1" selected="0">
            <x v="9"/>
          </reference>
          <reference field="1" count="1" selected="0">
            <x v="73"/>
          </reference>
        </references>
      </pivotArea>
    </chartFormat>
    <chartFormat chart="0" format="729">
      <pivotArea type="data" outline="0" fieldPosition="0">
        <references count="3">
          <reference field="4294967294" count="1" selected="0">
            <x v="2"/>
          </reference>
          <reference field="0" count="1" selected="0">
            <x v="9"/>
          </reference>
          <reference field="1" count="1" selected="0">
            <x v="74"/>
          </reference>
        </references>
      </pivotArea>
    </chartFormat>
    <chartFormat chart="0" format="730">
      <pivotArea type="data" outline="0" fieldPosition="0">
        <references count="3">
          <reference field="4294967294" count="1" selected="0">
            <x v="2"/>
          </reference>
          <reference field="0" count="1" selected="0">
            <x v="9"/>
          </reference>
          <reference field="1" count="1" selected="0">
            <x v="75"/>
          </reference>
        </references>
      </pivotArea>
    </chartFormat>
    <chartFormat chart="0" format="731">
      <pivotArea type="data" outline="0" fieldPosition="0">
        <references count="3">
          <reference field="4294967294" count="1" selected="0">
            <x v="2"/>
          </reference>
          <reference field="0" count="1" selected="0">
            <x v="9"/>
          </reference>
          <reference field="1" count="1" selected="0">
            <x v="76"/>
          </reference>
        </references>
      </pivotArea>
    </chartFormat>
    <chartFormat chart="0" format="732">
      <pivotArea type="data" outline="0" fieldPosition="0">
        <references count="3">
          <reference field="4294967294" count="1" selected="0">
            <x v="2"/>
          </reference>
          <reference field="0" count="1" selected="0">
            <x v="9"/>
          </reference>
          <reference field="1" count="1" selected="0">
            <x v="77"/>
          </reference>
        </references>
      </pivotArea>
    </chartFormat>
    <chartFormat chart="0" format="733">
      <pivotArea type="data" outline="0" fieldPosition="0">
        <references count="3">
          <reference field="4294967294" count="1" selected="0">
            <x v="2"/>
          </reference>
          <reference field="0" count="1" selected="0">
            <x v="9"/>
          </reference>
          <reference field="1" count="1" selected="0">
            <x v="78"/>
          </reference>
        </references>
      </pivotArea>
    </chartFormat>
    <chartFormat chart="0" format="734">
      <pivotArea type="data" outline="0" fieldPosition="0">
        <references count="3">
          <reference field="4294967294" count="1" selected="0">
            <x v="2"/>
          </reference>
          <reference field="0" count="1" selected="0">
            <x v="10"/>
          </reference>
          <reference field="1" count="1" selected="0">
            <x v="31"/>
          </reference>
        </references>
      </pivotArea>
    </chartFormat>
    <chartFormat chart="0" format="735">
      <pivotArea type="data" outline="0" fieldPosition="0">
        <references count="3">
          <reference field="4294967294" count="1" selected="0">
            <x v="2"/>
          </reference>
          <reference field="0" count="1" selected="0">
            <x v="10"/>
          </reference>
          <reference field="1" count="1" selected="0">
            <x v="32"/>
          </reference>
        </references>
      </pivotArea>
    </chartFormat>
    <chartFormat chart="0" format="736">
      <pivotArea type="data" outline="0" fieldPosition="0">
        <references count="3">
          <reference field="4294967294" count="1" selected="0">
            <x v="2"/>
          </reference>
          <reference field="0" count="1" selected="0">
            <x v="10"/>
          </reference>
          <reference field="1" count="1" selected="0">
            <x v="33"/>
          </reference>
        </references>
      </pivotArea>
    </chartFormat>
    <chartFormat chart="0" format="737">
      <pivotArea type="data" outline="0" fieldPosition="0">
        <references count="3">
          <reference field="4294967294" count="1" selected="0">
            <x v="2"/>
          </reference>
          <reference field="0" count="1" selected="0">
            <x v="10"/>
          </reference>
          <reference field="1" count="1" selected="0">
            <x v="34"/>
          </reference>
        </references>
      </pivotArea>
    </chartFormat>
    <chartFormat chart="0" format="738">
      <pivotArea type="data" outline="0" fieldPosition="0">
        <references count="3">
          <reference field="4294967294" count="1" selected="0">
            <x v="2"/>
          </reference>
          <reference field="0" count="1" selected="0">
            <x v="10"/>
          </reference>
          <reference field="1" count="1" selected="0">
            <x v="35"/>
          </reference>
        </references>
      </pivotArea>
    </chartFormat>
    <chartFormat chart="0" format="739">
      <pivotArea type="data" outline="0" fieldPosition="0">
        <references count="3">
          <reference field="4294967294" count="1" selected="0">
            <x v="2"/>
          </reference>
          <reference field="0" count="1" selected="0">
            <x v="10"/>
          </reference>
          <reference field="1" count="1" selected="0">
            <x v="36"/>
          </reference>
        </references>
      </pivotArea>
    </chartFormat>
    <chartFormat chart="0" format="740">
      <pivotArea type="data" outline="0" fieldPosition="0">
        <references count="3">
          <reference field="4294967294" count="1" selected="0">
            <x v="2"/>
          </reference>
          <reference field="0" count="1" selected="0">
            <x v="10"/>
          </reference>
          <reference field="1" count="1" selected="0">
            <x v="37"/>
          </reference>
        </references>
      </pivotArea>
    </chartFormat>
    <chartFormat chart="0" format="741">
      <pivotArea type="data" outline="0" fieldPosition="0">
        <references count="3">
          <reference field="4294967294" count="1" selected="0">
            <x v="2"/>
          </reference>
          <reference field="0" count="1" selected="0">
            <x v="10"/>
          </reference>
          <reference field="1" count="1" selected="0">
            <x v="38"/>
          </reference>
        </references>
      </pivotArea>
    </chartFormat>
    <chartFormat chart="0" format="742">
      <pivotArea type="data" outline="0" fieldPosition="0">
        <references count="3">
          <reference field="4294967294" count="1" selected="0">
            <x v="2"/>
          </reference>
          <reference field="0" count="1" selected="0">
            <x v="10"/>
          </reference>
          <reference field="1" count="1" selected="0">
            <x v="39"/>
          </reference>
        </references>
      </pivotArea>
    </chartFormat>
    <chartFormat chart="0" format="743">
      <pivotArea type="data" outline="0" fieldPosition="0">
        <references count="3">
          <reference field="4294967294" count="1" selected="0">
            <x v="2"/>
          </reference>
          <reference field="0" count="1" selected="0">
            <x v="10"/>
          </reference>
          <reference field="1" count="1" selected="0">
            <x v="40"/>
          </reference>
        </references>
      </pivotArea>
    </chartFormat>
    <chartFormat chart="0" format="744">
      <pivotArea type="data" outline="0" fieldPosition="0">
        <references count="3">
          <reference field="4294967294" count="1" selected="0">
            <x v="2"/>
          </reference>
          <reference field="0" count="1" selected="0">
            <x v="10"/>
          </reference>
          <reference field="1" count="1" selected="0">
            <x v="41"/>
          </reference>
        </references>
      </pivotArea>
    </chartFormat>
    <chartFormat chart="0" format="745">
      <pivotArea type="data" outline="0" fieldPosition="0">
        <references count="3">
          <reference field="4294967294" count="1" selected="0">
            <x v="2"/>
          </reference>
          <reference field="0" count="1" selected="0">
            <x v="10"/>
          </reference>
          <reference field="1" count="1" selected="0">
            <x v="42"/>
          </reference>
        </references>
      </pivotArea>
    </chartFormat>
    <chartFormat chart="0" format="746">
      <pivotArea type="data" outline="0" fieldPosition="0">
        <references count="3">
          <reference field="4294967294" count="1" selected="0">
            <x v="2"/>
          </reference>
          <reference field="0" count="1" selected="0">
            <x v="10"/>
          </reference>
          <reference field="1" count="1" selected="0">
            <x v="43"/>
          </reference>
        </references>
      </pivotArea>
    </chartFormat>
    <chartFormat chart="0" format="747">
      <pivotArea type="data" outline="0" fieldPosition="0">
        <references count="3">
          <reference field="4294967294" count="1" selected="0">
            <x v="2"/>
          </reference>
          <reference field="0" count="1" selected="0">
            <x v="10"/>
          </reference>
          <reference field="1" count="1" selected="0">
            <x v="44"/>
          </reference>
        </references>
      </pivotArea>
    </chartFormat>
    <chartFormat chart="0" format="748">
      <pivotArea type="data" outline="0" fieldPosition="0">
        <references count="3">
          <reference field="4294967294" count="1" selected="0">
            <x v="2"/>
          </reference>
          <reference field="0" count="1" selected="0">
            <x v="10"/>
          </reference>
          <reference field="1" count="1" selected="0">
            <x v="45"/>
          </reference>
        </references>
      </pivotArea>
    </chartFormat>
    <chartFormat chart="0" format="749">
      <pivotArea type="data" outline="0" fieldPosition="0">
        <references count="3">
          <reference field="4294967294" count="1" selected="0">
            <x v="2"/>
          </reference>
          <reference field="0" count="1" selected="0">
            <x v="10"/>
          </reference>
          <reference field="1" count="1" selected="0">
            <x v="46"/>
          </reference>
        </references>
      </pivotArea>
    </chartFormat>
    <chartFormat chart="0" format="750">
      <pivotArea type="data" outline="0" fieldPosition="0">
        <references count="3">
          <reference field="4294967294" count="1" selected="0">
            <x v="2"/>
          </reference>
          <reference field="0" count="1" selected="0">
            <x v="10"/>
          </reference>
          <reference field="1" count="1" selected="0">
            <x v="47"/>
          </reference>
        </references>
      </pivotArea>
    </chartFormat>
    <chartFormat chart="0" format="751">
      <pivotArea type="data" outline="0" fieldPosition="0">
        <references count="3">
          <reference field="4294967294" count="1" selected="0">
            <x v="2"/>
          </reference>
          <reference field="0" count="1" selected="0">
            <x v="10"/>
          </reference>
          <reference field="1" count="1" selected="0">
            <x v="48"/>
          </reference>
        </references>
      </pivotArea>
    </chartFormat>
    <chartFormat chart="0" format="752">
      <pivotArea type="data" outline="0" fieldPosition="0">
        <references count="3">
          <reference field="4294967294" count="1" selected="0">
            <x v="2"/>
          </reference>
          <reference field="0" count="1" selected="0">
            <x v="10"/>
          </reference>
          <reference field="1" count="1" selected="0">
            <x v="49"/>
          </reference>
        </references>
      </pivotArea>
    </chartFormat>
    <chartFormat chart="0" format="753">
      <pivotArea type="data" outline="0" fieldPosition="0">
        <references count="3">
          <reference field="4294967294" count="1" selected="0">
            <x v="2"/>
          </reference>
          <reference field="0" count="1" selected="0">
            <x v="10"/>
          </reference>
          <reference field="1" count="1" selected="0">
            <x v="50"/>
          </reference>
        </references>
      </pivotArea>
    </chartFormat>
    <chartFormat chart="0" format="754">
      <pivotArea type="data" outline="0" fieldPosition="0">
        <references count="3">
          <reference field="4294967294" count="1" selected="0">
            <x v="2"/>
          </reference>
          <reference field="0" count="1" selected="0">
            <x v="10"/>
          </reference>
          <reference field="1" count="1" selected="0">
            <x v="51"/>
          </reference>
        </references>
      </pivotArea>
    </chartFormat>
    <chartFormat chart="0" format="755">
      <pivotArea type="data" outline="0" fieldPosition="0">
        <references count="3">
          <reference field="4294967294" count="1" selected="0">
            <x v="2"/>
          </reference>
          <reference field="0" count="1" selected="0">
            <x v="10"/>
          </reference>
          <reference field="1" count="1" selected="0">
            <x v="52"/>
          </reference>
        </references>
      </pivotArea>
    </chartFormat>
    <chartFormat chart="0" format="756">
      <pivotArea type="data" outline="0" fieldPosition="0">
        <references count="3">
          <reference field="4294967294" count="1" selected="0">
            <x v="2"/>
          </reference>
          <reference field="0" count="1" selected="0">
            <x v="10"/>
          </reference>
          <reference field="1" count="1" selected="0">
            <x v="53"/>
          </reference>
        </references>
      </pivotArea>
    </chartFormat>
    <chartFormat chart="0" format="757">
      <pivotArea type="data" outline="0" fieldPosition="0">
        <references count="3">
          <reference field="4294967294" count="1" selected="0">
            <x v="2"/>
          </reference>
          <reference field="0" count="1" selected="0">
            <x v="10"/>
          </reference>
          <reference field="1" count="1" selected="0">
            <x v="54"/>
          </reference>
        </references>
      </pivotArea>
    </chartFormat>
    <chartFormat chart="0" format="758">
      <pivotArea type="data" outline="0" fieldPosition="0">
        <references count="3">
          <reference field="4294967294" count="1" selected="0">
            <x v="2"/>
          </reference>
          <reference field="0" count="1" selected="0">
            <x v="10"/>
          </reference>
          <reference field="1" count="1" selected="0">
            <x v="55"/>
          </reference>
        </references>
      </pivotArea>
    </chartFormat>
    <chartFormat chart="0" format="759">
      <pivotArea type="data" outline="0" fieldPosition="0">
        <references count="3">
          <reference field="4294967294" count="1" selected="0">
            <x v="2"/>
          </reference>
          <reference field="0" count="1" selected="0">
            <x v="10"/>
          </reference>
          <reference field="1" count="1" selected="0">
            <x v="56"/>
          </reference>
        </references>
      </pivotArea>
    </chartFormat>
    <chartFormat chart="0" format="760">
      <pivotArea type="data" outline="0" fieldPosition="0">
        <references count="3">
          <reference field="4294967294" count="1" selected="0">
            <x v="2"/>
          </reference>
          <reference field="0" count="1" selected="0">
            <x v="10"/>
          </reference>
          <reference field="1" count="1" selected="0">
            <x v="57"/>
          </reference>
        </references>
      </pivotArea>
    </chartFormat>
    <chartFormat chart="0" format="761">
      <pivotArea type="data" outline="0" fieldPosition="0">
        <references count="3">
          <reference field="4294967294" count="1" selected="0">
            <x v="2"/>
          </reference>
          <reference field="0" count="1" selected="0">
            <x v="10"/>
          </reference>
          <reference field="1" count="1" selected="0">
            <x v="58"/>
          </reference>
        </references>
      </pivotArea>
    </chartFormat>
    <chartFormat chart="0" format="762">
      <pivotArea type="data" outline="0" fieldPosition="0">
        <references count="3">
          <reference field="4294967294" count="1" selected="0">
            <x v="2"/>
          </reference>
          <reference field="0" count="1" selected="0">
            <x v="10"/>
          </reference>
          <reference field="1" count="1" selected="0">
            <x v="59"/>
          </reference>
        </references>
      </pivotArea>
    </chartFormat>
    <chartFormat chart="0" format="763">
      <pivotArea type="data" outline="0" fieldPosition="0">
        <references count="3">
          <reference field="4294967294" count="1" selected="0">
            <x v="2"/>
          </reference>
          <reference field="0" count="1" selected="0">
            <x v="10"/>
          </reference>
          <reference field="1" count="1" selected="0">
            <x v="60"/>
          </reference>
        </references>
      </pivotArea>
    </chartFormat>
    <chartFormat chart="0" format="764">
      <pivotArea type="data" outline="0" fieldPosition="0">
        <references count="3">
          <reference field="4294967294" count="1" selected="0">
            <x v="2"/>
          </reference>
          <reference field="0" count="1" selected="0">
            <x v="10"/>
          </reference>
          <reference field="1" count="1" selected="0">
            <x v="61"/>
          </reference>
        </references>
      </pivotArea>
    </chartFormat>
    <chartFormat chart="0" format="765">
      <pivotArea type="data" outline="0" fieldPosition="0">
        <references count="3">
          <reference field="4294967294" count="1" selected="0">
            <x v="2"/>
          </reference>
          <reference field="0" count="1" selected="0">
            <x v="10"/>
          </reference>
          <reference field="1" count="1" selected="0">
            <x v="62"/>
          </reference>
        </references>
      </pivotArea>
    </chartFormat>
    <chartFormat chart="0" format="766">
      <pivotArea type="data" outline="0" fieldPosition="0">
        <references count="3">
          <reference field="4294967294" count="1" selected="0">
            <x v="2"/>
          </reference>
          <reference field="0" count="1" selected="0">
            <x v="10"/>
          </reference>
          <reference field="1" count="1" selected="0">
            <x v="63"/>
          </reference>
        </references>
      </pivotArea>
    </chartFormat>
    <chartFormat chart="0" format="767">
      <pivotArea type="data" outline="0" fieldPosition="0">
        <references count="3">
          <reference field="4294967294" count="1" selected="0">
            <x v="2"/>
          </reference>
          <reference field="0" count="1" selected="0">
            <x v="10"/>
          </reference>
          <reference field="1" count="1" selected="0">
            <x v="64"/>
          </reference>
        </references>
      </pivotArea>
    </chartFormat>
    <chartFormat chart="0" format="768">
      <pivotArea type="data" outline="0" fieldPosition="0">
        <references count="3">
          <reference field="4294967294" count="1" selected="0">
            <x v="2"/>
          </reference>
          <reference field="0" count="1" selected="0">
            <x v="10"/>
          </reference>
          <reference field="1" count="1" selected="0">
            <x v="65"/>
          </reference>
        </references>
      </pivotArea>
    </chartFormat>
    <chartFormat chart="0" format="769">
      <pivotArea type="data" outline="0" fieldPosition="0">
        <references count="3">
          <reference field="4294967294" count="1" selected="0">
            <x v="2"/>
          </reference>
          <reference field="0" count="1" selected="0">
            <x v="10"/>
          </reference>
          <reference field="1" count="1" selected="0">
            <x v="66"/>
          </reference>
        </references>
      </pivotArea>
    </chartFormat>
    <chartFormat chart="0" format="770">
      <pivotArea type="data" outline="0" fieldPosition="0">
        <references count="3">
          <reference field="4294967294" count="1" selected="0">
            <x v="2"/>
          </reference>
          <reference field="0" count="1" selected="0">
            <x v="10"/>
          </reference>
          <reference field="1" count="1" selected="0">
            <x v="67"/>
          </reference>
        </references>
      </pivotArea>
    </chartFormat>
    <chartFormat chart="0" format="771">
      <pivotArea type="data" outline="0" fieldPosition="0">
        <references count="3">
          <reference field="4294967294" count="1" selected="0">
            <x v="2"/>
          </reference>
          <reference field="0" count="1" selected="0">
            <x v="10"/>
          </reference>
          <reference field="1" count="1" selected="0">
            <x v="68"/>
          </reference>
        </references>
      </pivotArea>
    </chartFormat>
    <chartFormat chart="0" format="772">
      <pivotArea type="data" outline="0" fieldPosition="0">
        <references count="3">
          <reference field="4294967294" count="1" selected="0">
            <x v="2"/>
          </reference>
          <reference field="0" count="1" selected="0">
            <x v="10"/>
          </reference>
          <reference field="1" count="1" selected="0">
            <x v="69"/>
          </reference>
        </references>
      </pivotArea>
    </chartFormat>
    <chartFormat chart="0" format="773">
      <pivotArea type="data" outline="0" fieldPosition="0">
        <references count="3">
          <reference field="4294967294" count="1" selected="0">
            <x v="2"/>
          </reference>
          <reference field="0" count="1" selected="0">
            <x v="10"/>
          </reference>
          <reference field="1" count="1" selected="0">
            <x v="70"/>
          </reference>
        </references>
      </pivotArea>
    </chartFormat>
    <chartFormat chart="0" format="774">
      <pivotArea type="data" outline="0" fieldPosition="0">
        <references count="3">
          <reference field="4294967294" count="1" selected="0">
            <x v="2"/>
          </reference>
          <reference field="0" count="1" selected="0">
            <x v="10"/>
          </reference>
          <reference field="1" count="1" selected="0">
            <x v="71"/>
          </reference>
        </references>
      </pivotArea>
    </chartFormat>
    <chartFormat chart="0" format="775">
      <pivotArea type="data" outline="0" fieldPosition="0">
        <references count="3">
          <reference field="4294967294" count="1" selected="0">
            <x v="2"/>
          </reference>
          <reference field="0" count="1" selected="0">
            <x v="10"/>
          </reference>
          <reference field="1" count="1" selected="0">
            <x v="72"/>
          </reference>
        </references>
      </pivotArea>
    </chartFormat>
    <chartFormat chart="0" format="776">
      <pivotArea type="data" outline="0" fieldPosition="0">
        <references count="3">
          <reference field="4294967294" count="1" selected="0">
            <x v="2"/>
          </reference>
          <reference field="0" count="1" selected="0">
            <x v="10"/>
          </reference>
          <reference field="1" count="1" selected="0">
            <x v="73"/>
          </reference>
        </references>
      </pivotArea>
    </chartFormat>
    <chartFormat chart="0" format="777">
      <pivotArea type="data" outline="0" fieldPosition="0">
        <references count="3">
          <reference field="4294967294" count="1" selected="0">
            <x v="2"/>
          </reference>
          <reference field="0" count="1" selected="0">
            <x v="10"/>
          </reference>
          <reference field="1" count="1" selected="0">
            <x v="74"/>
          </reference>
        </references>
      </pivotArea>
    </chartFormat>
    <chartFormat chart="0" format="778">
      <pivotArea type="data" outline="0" fieldPosition="0">
        <references count="3">
          <reference field="4294967294" count="1" selected="0">
            <x v="2"/>
          </reference>
          <reference field="0" count="1" selected="0">
            <x v="10"/>
          </reference>
          <reference field="1" count="1" selected="0">
            <x v="75"/>
          </reference>
        </references>
      </pivotArea>
    </chartFormat>
    <chartFormat chart="0" format="779">
      <pivotArea type="data" outline="0" fieldPosition="0">
        <references count="3">
          <reference field="4294967294" count="1" selected="0">
            <x v="2"/>
          </reference>
          <reference field="0" count="1" selected="0">
            <x v="10"/>
          </reference>
          <reference field="1" count="1" selected="0">
            <x v="76"/>
          </reference>
        </references>
      </pivotArea>
    </chartFormat>
    <chartFormat chart="0" format="780">
      <pivotArea type="data" outline="0" fieldPosition="0">
        <references count="3">
          <reference field="4294967294" count="1" selected="0">
            <x v="2"/>
          </reference>
          <reference field="0" count="1" selected="0">
            <x v="10"/>
          </reference>
          <reference field="1" count="1" selected="0">
            <x v="77"/>
          </reference>
        </references>
      </pivotArea>
    </chartFormat>
    <chartFormat chart="0" format="781">
      <pivotArea type="data" outline="0" fieldPosition="0">
        <references count="3">
          <reference field="4294967294" count="1" selected="0">
            <x v="2"/>
          </reference>
          <reference field="0" count="1" selected="0">
            <x v="10"/>
          </reference>
          <reference field="1" count="1" selected="0">
            <x v="78"/>
          </reference>
        </references>
      </pivotArea>
    </chartFormat>
    <chartFormat chart="0" format="782">
      <pivotArea type="data" outline="0" fieldPosition="0">
        <references count="3">
          <reference field="4294967294" count="1" selected="0">
            <x v="2"/>
          </reference>
          <reference field="0" count="1" selected="0">
            <x v="11"/>
          </reference>
          <reference field="1" count="1" selected="0">
            <x v="31"/>
          </reference>
        </references>
      </pivotArea>
    </chartFormat>
    <chartFormat chart="0" format="783">
      <pivotArea type="data" outline="0" fieldPosition="0">
        <references count="3">
          <reference field="4294967294" count="1" selected="0">
            <x v="2"/>
          </reference>
          <reference field="0" count="1" selected="0">
            <x v="11"/>
          </reference>
          <reference field="1" count="1" selected="0">
            <x v="32"/>
          </reference>
        </references>
      </pivotArea>
    </chartFormat>
    <chartFormat chart="0" format="784">
      <pivotArea type="data" outline="0" fieldPosition="0">
        <references count="3">
          <reference field="4294967294" count="1" selected="0">
            <x v="2"/>
          </reference>
          <reference field="0" count="1" selected="0">
            <x v="11"/>
          </reference>
          <reference field="1" count="1" selected="0">
            <x v="33"/>
          </reference>
        </references>
      </pivotArea>
    </chartFormat>
    <chartFormat chart="0" format="785">
      <pivotArea type="data" outline="0" fieldPosition="0">
        <references count="3">
          <reference field="4294967294" count="1" selected="0">
            <x v="2"/>
          </reference>
          <reference field="0" count="1" selected="0">
            <x v="11"/>
          </reference>
          <reference field="1" count="1" selected="0">
            <x v="34"/>
          </reference>
        </references>
      </pivotArea>
    </chartFormat>
    <chartFormat chart="0" format="786">
      <pivotArea type="data" outline="0" fieldPosition="0">
        <references count="3">
          <reference field="4294967294" count="1" selected="0">
            <x v="2"/>
          </reference>
          <reference field="0" count="1" selected="0">
            <x v="11"/>
          </reference>
          <reference field="1" count="1" selected="0">
            <x v="63"/>
          </reference>
        </references>
      </pivotArea>
    </chartFormat>
    <chartFormat chart="0" format="787">
      <pivotArea type="data" outline="0" fieldPosition="0">
        <references count="3">
          <reference field="4294967294" count="1" selected="0">
            <x v="2"/>
          </reference>
          <reference field="0" count="1" selected="0">
            <x v="11"/>
          </reference>
          <reference field="1" count="1" selected="0">
            <x v="64"/>
          </reference>
        </references>
      </pivotArea>
    </chartFormat>
    <chartFormat chart="0" format="788">
      <pivotArea type="data" outline="0" fieldPosition="0">
        <references count="3">
          <reference field="4294967294" count="1" selected="0">
            <x v="2"/>
          </reference>
          <reference field="0" count="1" selected="0">
            <x v="11"/>
          </reference>
          <reference field="1" count="1" selected="0">
            <x v="65"/>
          </reference>
        </references>
      </pivotArea>
    </chartFormat>
    <chartFormat chart="0" format="789">
      <pivotArea type="data" outline="0" fieldPosition="0">
        <references count="3">
          <reference field="4294967294" count="1" selected="0">
            <x v="2"/>
          </reference>
          <reference field="0" count="1" selected="0">
            <x v="11"/>
          </reference>
          <reference field="1" count="1" selected="0">
            <x v="66"/>
          </reference>
        </references>
      </pivotArea>
    </chartFormat>
    <chartFormat chart="0" format="790">
      <pivotArea type="data" outline="0" fieldPosition="0">
        <references count="3">
          <reference field="4294967294" count="1" selected="0">
            <x v="2"/>
          </reference>
          <reference field="0" count="1" selected="0">
            <x v="11"/>
          </reference>
          <reference field="1" count="1" selected="0">
            <x v="67"/>
          </reference>
        </references>
      </pivotArea>
    </chartFormat>
    <chartFormat chart="0" format="791">
      <pivotArea type="data" outline="0" fieldPosition="0">
        <references count="3">
          <reference field="4294967294" count="1" selected="0">
            <x v="2"/>
          </reference>
          <reference field="0" count="1" selected="0">
            <x v="11"/>
          </reference>
          <reference field="1" count="1" selected="0">
            <x v="68"/>
          </reference>
        </references>
      </pivotArea>
    </chartFormat>
    <chartFormat chart="0" format="792">
      <pivotArea type="data" outline="0" fieldPosition="0">
        <references count="3">
          <reference field="4294967294" count="1" selected="0">
            <x v="2"/>
          </reference>
          <reference field="0" count="1" selected="0">
            <x v="11"/>
          </reference>
          <reference field="1" count="1" selected="0">
            <x v="69"/>
          </reference>
        </references>
      </pivotArea>
    </chartFormat>
    <chartFormat chart="0" format="793">
      <pivotArea type="data" outline="0" fieldPosition="0">
        <references count="3">
          <reference field="4294967294" count="1" selected="0">
            <x v="2"/>
          </reference>
          <reference field="0" count="1" selected="0">
            <x v="11"/>
          </reference>
          <reference field="1" count="1" selected="0">
            <x v="70"/>
          </reference>
        </references>
      </pivotArea>
    </chartFormat>
    <chartFormat chart="0" format="794">
      <pivotArea type="data" outline="0" fieldPosition="0">
        <references count="3">
          <reference field="4294967294" count="1" selected="0">
            <x v="2"/>
          </reference>
          <reference field="0" count="1" selected="0">
            <x v="11"/>
          </reference>
          <reference field="1" count="1" selected="0">
            <x v="71"/>
          </reference>
        </references>
      </pivotArea>
    </chartFormat>
    <chartFormat chart="0" format="795">
      <pivotArea type="data" outline="0" fieldPosition="0">
        <references count="3">
          <reference field="4294967294" count="1" selected="0">
            <x v="2"/>
          </reference>
          <reference field="0" count="1" selected="0">
            <x v="11"/>
          </reference>
          <reference field="1" count="1" selected="0">
            <x v="72"/>
          </reference>
        </references>
      </pivotArea>
    </chartFormat>
    <chartFormat chart="0" format="796">
      <pivotArea type="data" outline="0" fieldPosition="0">
        <references count="3">
          <reference field="4294967294" count="1" selected="0">
            <x v="2"/>
          </reference>
          <reference field="0" count="1" selected="0">
            <x v="11"/>
          </reference>
          <reference field="1" count="1" selected="0">
            <x v="73"/>
          </reference>
        </references>
      </pivotArea>
    </chartFormat>
    <chartFormat chart="0" format="797">
      <pivotArea type="data" outline="0" fieldPosition="0">
        <references count="3">
          <reference field="4294967294" count="1" selected="0">
            <x v="2"/>
          </reference>
          <reference field="0" count="1" selected="0">
            <x v="11"/>
          </reference>
          <reference field="1" count="1" selected="0">
            <x v="74"/>
          </reference>
        </references>
      </pivotArea>
    </chartFormat>
    <chartFormat chart="0" format="798">
      <pivotArea type="data" outline="0" fieldPosition="0">
        <references count="3">
          <reference field="4294967294" count="1" selected="0">
            <x v="2"/>
          </reference>
          <reference field="0" count="1" selected="0">
            <x v="11"/>
          </reference>
          <reference field="1" count="1" selected="0">
            <x v="75"/>
          </reference>
        </references>
      </pivotArea>
    </chartFormat>
    <chartFormat chart="0" format="799">
      <pivotArea type="data" outline="0" fieldPosition="0">
        <references count="3">
          <reference field="4294967294" count="1" selected="0">
            <x v="2"/>
          </reference>
          <reference field="0" count="1" selected="0">
            <x v="11"/>
          </reference>
          <reference field="1" count="1" selected="0">
            <x v="76"/>
          </reference>
        </references>
      </pivotArea>
    </chartFormat>
    <chartFormat chart="0" format="800">
      <pivotArea type="data" outline="0" fieldPosition="0">
        <references count="3">
          <reference field="4294967294" count="1" selected="0">
            <x v="2"/>
          </reference>
          <reference field="0" count="1" selected="0">
            <x v="11"/>
          </reference>
          <reference field="1" count="1" selected="0">
            <x v="77"/>
          </reference>
        </references>
      </pivotArea>
    </chartFormat>
    <chartFormat chart="0" format="801">
      <pivotArea type="data" outline="0" fieldPosition="0">
        <references count="3">
          <reference field="4294967294" count="1" selected="0">
            <x v="2"/>
          </reference>
          <reference field="0" count="1" selected="0">
            <x v="11"/>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vl3_generic_5"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12">
        <item x="0"/>
        <item m="1" x="5"/>
        <item m="1" x="9"/>
        <item x="1"/>
        <item x="2"/>
        <item m="1" x="11"/>
        <item m="1" x="6"/>
        <item m="1" x="7"/>
        <item m="1" x="3"/>
        <item m="1" x="8"/>
        <item m="1" x="4"/>
        <item m="1" x="10"/>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6">
        <item x="0"/>
        <item x="1"/>
        <item m="1" x="4"/>
        <item x="2"/>
        <item m="1" x="3"/>
        <item t="default"/>
      </items>
    </pivotField>
    <pivotField axis="axisPage" compact="0" outline="0" multipleItemSelectionAllowed="1" showAll="0">
      <items count="3">
        <item x="0"/>
        <item h="1" x="1"/>
        <item t="default"/>
      </items>
    </pivotField>
    <pivotField axis="axisPage" compact="0" outline="0" multipleItemSelectionAllowed="1" showAll="0">
      <items count="9">
        <item x="0"/>
        <item h="1" x="1"/>
        <item h="1" x="2"/>
        <item h="1" x="3"/>
        <item h="1" x="4"/>
        <item h="1" x="5"/>
        <item h="1" x="6"/>
        <item h="1" m="1" x="7"/>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2">
      <pivotArea type="data" outline="0" fieldPosition="0">
        <references count="1">
          <reference field="4294967294" count="1" selected="0">
            <x v="2"/>
          </reference>
        </references>
      </pivotArea>
    </chartFormat>
    <chartFormat chart="0" format="23">
      <pivotArea type="data" outline="0" fieldPosition="0">
        <references count="1">
          <reference field="4294967294" count="1" selected="0">
            <x v="0"/>
          </reference>
        </references>
      </pivotArea>
    </chartFormat>
    <chartFormat chart="0" format="24">
      <pivotArea type="data" outline="0" fieldPosition="0">
        <references count="3">
          <reference field="4294967294" count="1" selected="0">
            <x v="0"/>
          </reference>
          <reference field="0" count="1" selected="0">
            <x v="0"/>
          </reference>
          <reference field="1" count="1" selected="0">
            <x v="0"/>
          </reference>
        </references>
      </pivotArea>
    </chartFormat>
    <chartFormat chart="0" format="25">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vl3_generic_6"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12">
        <item x="0"/>
        <item m="1" x="5"/>
        <item m="1" x="9"/>
        <item x="1"/>
        <item x="2"/>
        <item m="1" x="11"/>
        <item m="1" x="6"/>
        <item m="1" x="7"/>
        <item m="1" x="3"/>
        <item m="1" x="8"/>
        <item m="1" x="4"/>
        <item m="1" x="10"/>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6">
        <item x="0"/>
        <item x="1"/>
        <item m="1" x="4"/>
        <item x="2"/>
        <item m="1" x="3"/>
        <item t="default"/>
      </items>
    </pivotField>
    <pivotField axis="axisPage" compact="0" outline="0" multipleItemSelectionAllowed="1" showAll="0">
      <items count="3">
        <item x="0"/>
        <item h="1" x="1"/>
        <item t="default"/>
      </items>
    </pivotField>
    <pivotField axis="axisPage" compact="0" outline="0" multipleItemSelectionAllowed="1" showAll="0">
      <items count="9">
        <item x="0"/>
        <item h="1" x="1"/>
        <item h="1" x="2"/>
        <item h="1" x="3"/>
        <item h="1" x="4"/>
        <item h="1" x="5"/>
        <item h="1" x="6"/>
        <item h="1" m="1" x="7"/>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m="1" x="4"/>
        <item t="default"/>
      </items>
    </pivotField>
    <pivotField axis="axisPage" compact="0" outline="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40">
      <pivotArea type="data" outline="0" fieldPosition="0">
        <references count="1">
          <reference field="4294967294" count="1" selected="0">
            <x v="2"/>
          </reference>
        </references>
      </pivotArea>
    </chartFormat>
    <chartFormat chart="0" format="141">
      <pivotArea type="data" outline="0" fieldPosition="0">
        <references count="1">
          <reference field="4294967294" count="1" selected="0">
            <x v="0"/>
          </reference>
        </references>
      </pivotArea>
    </chartFormat>
    <chartFormat chart="0" format="142">
      <pivotArea type="data" outline="0" fieldPosition="0">
        <references count="3">
          <reference field="4294967294" count="1" selected="0">
            <x v="0"/>
          </reference>
          <reference field="0" count="1" selected="0">
            <x v="0"/>
          </reference>
          <reference field="1" count="1" selected="0">
            <x v="0"/>
          </reference>
        </references>
      </pivotArea>
    </chartFormat>
    <chartFormat chart="0" format="143">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t.lvl3_generic_7"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7" firstHeaderRow="0" firstDataRow="1" firstDataCol="2" rowPageCount="5" colPageCount="1"/>
  <pivotFields count="13">
    <pivotField axis="axisRow" compact="0" outline="0" subtotalTop="0" showAll="0" defaultSubtotal="0">
      <items count="12">
        <item x="0"/>
        <item m="1" x="5"/>
        <item m="1" x="9"/>
        <item x="1"/>
        <item x="2"/>
        <item m="1" x="11"/>
        <item m="1" x="6"/>
        <item m="1" x="7"/>
        <item m="1" x="3"/>
        <item m="1" x="8"/>
        <item m="1" x="4"/>
        <item m="1" x="10"/>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5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3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98">
      <pivotArea type="data" outline="0" fieldPosition="0">
        <references count="3">
          <reference field="4294967294" count="1" selected="0">
            <x v="0"/>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1"/>
          </reference>
        </references>
      </pivotArea>
    </chartFormat>
    <chartFormat chart="0" format="200">
      <pivotArea type="data" outline="0" fieldPosition="0">
        <references count="3">
          <reference field="4294967294" count="1" selected="0">
            <x v="0"/>
          </reference>
          <reference field="0" count="1" selected="0">
            <x v="1"/>
          </reference>
          <reference field="1" count="1" selected="0">
            <x v="2"/>
          </reference>
        </references>
      </pivotArea>
    </chartFormat>
    <chartFormat chart="0" format="201">
      <pivotArea type="data" outline="0" fieldPosition="0">
        <references count="3">
          <reference field="4294967294" count="1" selected="0">
            <x v="2"/>
          </reference>
          <reference field="0" count="1" selected="0">
            <x v="0"/>
          </reference>
          <reference field="1" count="1" selected="0">
            <x v="0"/>
          </reference>
        </references>
      </pivotArea>
    </chartFormat>
    <chartFormat chart="0" format="202">
      <pivotArea type="data" outline="0" fieldPosition="0">
        <references count="3">
          <reference field="4294967294" count="1" selected="0">
            <x v="2"/>
          </reference>
          <reference field="0" count="1" selected="0">
            <x v="1"/>
          </reference>
          <reference field="1" count="1" selected="0">
            <x v="1"/>
          </reference>
        </references>
      </pivotArea>
    </chartFormat>
    <chartFormat chart="0" format="203">
      <pivotArea type="data" outline="0" fieldPosition="0">
        <references count="3">
          <reference field="4294967294" count="1" selected="0">
            <x v="2"/>
          </reference>
          <reference field="0" count="1" selected="0">
            <x v="1"/>
          </reference>
          <reference field="1" count="1" selected="0">
            <x v="2"/>
          </reference>
        </references>
      </pivotArea>
    </chartFormat>
    <chartFormat chart="0" format="204">
      <pivotArea type="data" outline="0" fieldPosition="0">
        <references count="3">
          <reference field="4294967294" count="1" selected="0">
            <x v="2"/>
          </reference>
          <reference field="0" count="1" selected="0">
            <x v="2"/>
          </reference>
          <reference field="1" count="1" selected="0">
            <x v="3"/>
          </reference>
        </references>
      </pivotArea>
    </chartFormat>
    <chartFormat chart="0" format="205">
      <pivotArea type="data" outline="0" fieldPosition="0">
        <references count="3">
          <reference field="4294967294" count="1" selected="0">
            <x v="2"/>
          </reference>
          <reference field="0" count="1" selected="0">
            <x v="2"/>
          </reference>
          <reference field="1" count="1" selected="0">
            <x v="4"/>
          </reference>
        </references>
      </pivotArea>
    </chartFormat>
    <chartFormat chart="0" format="206">
      <pivotArea type="data" outline="0" fieldPosition="0">
        <references count="3">
          <reference field="4294967294" count="1" selected="0">
            <x v="2"/>
          </reference>
          <reference field="0" count="1" selected="0">
            <x v="2"/>
          </reference>
          <reference field="1" count="1" selected="0">
            <x v="5"/>
          </reference>
        </references>
      </pivotArea>
    </chartFormat>
    <chartFormat chart="0" format="207">
      <pivotArea type="data" outline="0" fieldPosition="0">
        <references count="3">
          <reference field="4294967294" count="1" selected="0">
            <x v="2"/>
          </reference>
          <reference field="0" count="1" selected="0">
            <x v="2"/>
          </reference>
          <reference field="1" count="1" selected="0">
            <x v="6"/>
          </reference>
        </references>
      </pivotArea>
    </chartFormat>
    <chartFormat chart="0" format="208">
      <pivotArea type="data" outline="0" fieldPosition="0">
        <references count="3">
          <reference field="4294967294" count="1" selected="0">
            <x v="2"/>
          </reference>
          <reference field="0" count="1" selected="0">
            <x v="2"/>
          </reference>
          <reference field="1" count="1" selected="0">
            <x v="7"/>
          </reference>
        </references>
      </pivotArea>
    </chartFormat>
    <chartFormat chart="0" format="209">
      <pivotArea type="data" outline="0" fieldPosition="0">
        <references count="3">
          <reference field="4294967294" count="1" selected="0">
            <x v="2"/>
          </reference>
          <reference field="0" count="1" selected="0">
            <x v="2"/>
          </reference>
          <reference field="1" count="1" selected="0">
            <x v="8"/>
          </reference>
        </references>
      </pivotArea>
    </chartFormat>
    <chartFormat chart="0" format="210">
      <pivotArea type="data" outline="0" fieldPosition="0">
        <references count="3">
          <reference field="4294967294" count="1" selected="0">
            <x v="2"/>
          </reference>
          <reference field="0" count="1" selected="0">
            <x v="2"/>
          </reference>
          <reference field="1" count="1" selected="0">
            <x v="9"/>
          </reference>
        </references>
      </pivotArea>
    </chartFormat>
    <chartFormat chart="0" format="211">
      <pivotArea type="data" outline="0" fieldPosition="0">
        <references count="3">
          <reference field="4294967294" count="1" selected="0">
            <x v="2"/>
          </reference>
          <reference field="0" count="1" selected="0">
            <x v="2"/>
          </reference>
          <reference field="1" count="1" selected="0">
            <x v="10"/>
          </reference>
        </references>
      </pivotArea>
    </chartFormat>
    <chartFormat chart="0" format="212">
      <pivotArea type="data" outline="0" fieldPosition="0">
        <references count="3">
          <reference field="4294967294" count="1" selected="0">
            <x v="2"/>
          </reference>
          <reference field="0" count="1" selected="0">
            <x v="2"/>
          </reference>
          <reference field="1" count="1" selected="0">
            <x v="11"/>
          </reference>
        </references>
      </pivotArea>
    </chartFormat>
    <chartFormat chart="0" format="213">
      <pivotArea type="data" outline="0" fieldPosition="0">
        <references count="3">
          <reference field="4294967294" count="1" selected="0">
            <x v="2"/>
          </reference>
          <reference field="0" count="1" selected="0">
            <x v="2"/>
          </reference>
          <reference field="1" count="1" selected="0">
            <x v="12"/>
          </reference>
        </references>
      </pivotArea>
    </chartFormat>
    <chartFormat chart="0" format="214">
      <pivotArea type="data" outline="0" fieldPosition="0">
        <references count="3">
          <reference field="4294967294" count="1" selected="0">
            <x v="2"/>
          </reference>
          <reference field="0" count="1" selected="0">
            <x v="2"/>
          </reference>
          <reference field="1" count="1" selected="0">
            <x v="13"/>
          </reference>
        </references>
      </pivotArea>
    </chartFormat>
    <chartFormat chart="0" format="215">
      <pivotArea type="data" outline="0" fieldPosition="0">
        <references count="3">
          <reference field="4294967294" count="1" selected="0">
            <x v="2"/>
          </reference>
          <reference field="0" count="1" selected="0">
            <x v="2"/>
          </reference>
          <reference field="1" count="1" selected="0">
            <x v="14"/>
          </reference>
        </references>
      </pivotArea>
    </chartFormat>
    <chartFormat chart="0" format="216">
      <pivotArea type="data" outline="0" fieldPosition="0">
        <references count="3">
          <reference field="4294967294" count="1" selected="0">
            <x v="2"/>
          </reference>
          <reference field="0" count="1" selected="0">
            <x v="2"/>
          </reference>
          <reference field="1" count="1" selected="0">
            <x v="15"/>
          </reference>
        </references>
      </pivotArea>
    </chartFormat>
    <chartFormat chart="0" format="217">
      <pivotArea type="data" outline="0" fieldPosition="0">
        <references count="3">
          <reference field="4294967294" count="1" selected="0">
            <x v="2"/>
          </reference>
          <reference field="0" count="1" selected="0">
            <x v="2"/>
          </reference>
          <reference field="1" count="1" selected="0">
            <x v="16"/>
          </reference>
        </references>
      </pivotArea>
    </chartFormat>
    <chartFormat chart="0" format="218">
      <pivotArea type="data" outline="0" fieldPosition="0">
        <references count="3">
          <reference field="4294967294" count="1" selected="0">
            <x v="2"/>
          </reference>
          <reference field="0" count="1" selected="0">
            <x v="2"/>
          </reference>
          <reference field="1" count="1" selected="0">
            <x v="17"/>
          </reference>
        </references>
      </pivotArea>
    </chartFormat>
    <chartFormat chart="0" format="219">
      <pivotArea type="data" outline="0" fieldPosition="0">
        <references count="3">
          <reference field="4294967294" count="1" selected="0">
            <x v="2"/>
          </reference>
          <reference field="0" count="1" selected="0">
            <x v="2"/>
          </reference>
          <reference field="1" count="1" selected="0">
            <x v="18"/>
          </reference>
        </references>
      </pivotArea>
    </chartFormat>
    <chartFormat chart="0" format="220">
      <pivotArea type="data" outline="0" fieldPosition="0">
        <references count="3">
          <reference field="4294967294" count="1" selected="0">
            <x v="2"/>
          </reference>
          <reference field="0" count="1" selected="0">
            <x v="2"/>
          </reference>
          <reference field="1" count="1" selected="0">
            <x v="19"/>
          </reference>
        </references>
      </pivotArea>
    </chartFormat>
    <chartFormat chart="0" format="221">
      <pivotArea type="data" outline="0" fieldPosition="0">
        <references count="3">
          <reference field="4294967294" count="1" selected="0">
            <x v="2"/>
          </reference>
          <reference field="0" count="1" selected="0">
            <x v="2"/>
          </reference>
          <reference field="1" count="1" selected="0">
            <x v="20"/>
          </reference>
        </references>
      </pivotArea>
    </chartFormat>
    <chartFormat chart="0" format="222">
      <pivotArea type="data" outline="0" fieldPosition="0">
        <references count="3">
          <reference field="4294967294" count="1" selected="0">
            <x v="2"/>
          </reference>
          <reference field="0" count="1" selected="0">
            <x v="2"/>
          </reference>
          <reference field="1" count="1" selected="0">
            <x v="21"/>
          </reference>
        </references>
      </pivotArea>
    </chartFormat>
    <chartFormat chart="0" format="223">
      <pivotArea type="data" outline="0" fieldPosition="0">
        <references count="3">
          <reference field="4294967294" count="1" selected="0">
            <x v="2"/>
          </reference>
          <reference field="0" count="1" selected="0">
            <x v="2"/>
          </reference>
          <reference field="1" count="1" selected="0">
            <x v="22"/>
          </reference>
        </references>
      </pivotArea>
    </chartFormat>
    <chartFormat chart="0" format="224">
      <pivotArea type="data" outline="0" fieldPosition="0">
        <references count="3">
          <reference field="4294967294" count="1" selected="0">
            <x v="2"/>
          </reference>
          <reference field="0" count="1" selected="0">
            <x v="2"/>
          </reference>
          <reference field="1" count="1" selected="0">
            <x v="23"/>
          </reference>
        </references>
      </pivotArea>
    </chartFormat>
    <chartFormat chart="0" format="225">
      <pivotArea type="data" outline="0" fieldPosition="0">
        <references count="3">
          <reference field="4294967294" count="1" selected="0">
            <x v="2"/>
          </reference>
          <reference field="0" count="1" selected="0">
            <x v="2"/>
          </reference>
          <reference field="1" count="1" selected="0">
            <x v="24"/>
          </reference>
        </references>
      </pivotArea>
    </chartFormat>
    <chartFormat chart="0" format="226">
      <pivotArea type="data" outline="0" fieldPosition="0">
        <references count="3">
          <reference field="4294967294" count="1" selected="0">
            <x v="2"/>
          </reference>
          <reference field="0" count="1" selected="0">
            <x v="2"/>
          </reference>
          <reference field="1" count="1" selected="0">
            <x v="25"/>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0"/>
          </reference>
          <reference field="0" count="1" selected="0">
            <x v="2"/>
          </reference>
          <reference field="1" count="1" selected="0">
            <x v="3"/>
          </reference>
        </references>
      </pivotArea>
    </chartFormat>
    <chartFormat chart="0" format="229">
      <pivotArea type="data" outline="0" fieldPosition="0">
        <references count="3">
          <reference field="4294967294" count="1" selected="0">
            <x v="0"/>
          </reference>
          <reference field="0" count="1" selected="0">
            <x v="2"/>
          </reference>
          <reference field="1" count="1" selected="0">
            <x v="4"/>
          </reference>
        </references>
      </pivotArea>
    </chartFormat>
    <chartFormat chart="0" format="230">
      <pivotArea type="data" outline="0" fieldPosition="0">
        <references count="3">
          <reference field="4294967294" count="1" selected="0">
            <x v="0"/>
          </reference>
          <reference field="0" count="1" selected="0">
            <x v="2"/>
          </reference>
          <reference field="1" count="1" selected="0">
            <x v="5"/>
          </reference>
        </references>
      </pivotArea>
    </chartFormat>
    <chartFormat chart="0" format="231">
      <pivotArea type="data" outline="0" fieldPosition="0">
        <references count="3">
          <reference field="4294967294" count="1" selected="0">
            <x v="0"/>
          </reference>
          <reference field="0" count="1" selected="0">
            <x v="2"/>
          </reference>
          <reference field="1" count="1" selected="0">
            <x v="6"/>
          </reference>
        </references>
      </pivotArea>
    </chartFormat>
    <chartFormat chart="0" format="232">
      <pivotArea type="data" outline="0" fieldPosition="0">
        <references count="3">
          <reference field="4294967294" count="1" selected="0">
            <x v="0"/>
          </reference>
          <reference field="0" count="1" selected="0">
            <x v="2"/>
          </reference>
          <reference field="1" count="1" selected="0">
            <x v="7"/>
          </reference>
        </references>
      </pivotArea>
    </chartFormat>
    <chartFormat chart="0" format="233">
      <pivotArea type="data" outline="0" fieldPosition="0">
        <references count="3">
          <reference field="4294967294" count="1" selected="0">
            <x v="0"/>
          </reference>
          <reference field="0" count="1" selected="0">
            <x v="2"/>
          </reference>
          <reference field="1" count="1" selected="0">
            <x v="8"/>
          </reference>
        </references>
      </pivotArea>
    </chartFormat>
    <chartFormat chart="0" format="234">
      <pivotArea type="data" outline="0" fieldPosition="0">
        <references count="3">
          <reference field="4294967294" count="1" selected="0">
            <x v="0"/>
          </reference>
          <reference field="0" count="1" selected="0">
            <x v="2"/>
          </reference>
          <reference field="1" count="1" selected="0">
            <x v="9"/>
          </reference>
        </references>
      </pivotArea>
    </chartFormat>
    <chartFormat chart="0" format="235">
      <pivotArea type="data" outline="0" fieldPosition="0">
        <references count="3">
          <reference field="4294967294" count="1" selected="0">
            <x v="0"/>
          </reference>
          <reference field="0" count="1" selected="0">
            <x v="2"/>
          </reference>
          <reference field="1" count="1" selected="0">
            <x v="10"/>
          </reference>
        </references>
      </pivotArea>
    </chartFormat>
    <chartFormat chart="0" format="236">
      <pivotArea type="data" outline="0" fieldPosition="0">
        <references count="3">
          <reference field="4294967294" count="1" selected="0">
            <x v="0"/>
          </reference>
          <reference field="0" count="1" selected="0">
            <x v="2"/>
          </reference>
          <reference field="1" count="1" selected="0">
            <x v="11"/>
          </reference>
        </references>
      </pivotArea>
    </chartFormat>
    <chartFormat chart="0" format="237">
      <pivotArea type="data" outline="0" fieldPosition="0">
        <references count="3">
          <reference field="4294967294" count="1" selected="0">
            <x v="0"/>
          </reference>
          <reference field="0" count="1" selected="0">
            <x v="2"/>
          </reference>
          <reference field="1" count="1" selected="0">
            <x v="12"/>
          </reference>
        </references>
      </pivotArea>
    </chartFormat>
    <chartFormat chart="0" format="238">
      <pivotArea type="data" outline="0" fieldPosition="0">
        <references count="3">
          <reference field="4294967294" count="1" selected="0">
            <x v="0"/>
          </reference>
          <reference field="0" count="1" selected="0">
            <x v="2"/>
          </reference>
          <reference field="1" count="1" selected="0">
            <x v="13"/>
          </reference>
        </references>
      </pivotArea>
    </chartFormat>
    <chartFormat chart="0" format="239">
      <pivotArea type="data" outline="0" fieldPosition="0">
        <references count="3">
          <reference field="4294967294" count="1" selected="0">
            <x v="0"/>
          </reference>
          <reference field="0" count="1" selected="0">
            <x v="2"/>
          </reference>
          <reference field="1" count="1" selected="0">
            <x v="14"/>
          </reference>
        </references>
      </pivotArea>
    </chartFormat>
    <chartFormat chart="0" format="240">
      <pivotArea type="data" outline="0" fieldPosition="0">
        <references count="3">
          <reference field="4294967294" count="1" selected="0">
            <x v="0"/>
          </reference>
          <reference field="0" count="1" selected="0">
            <x v="2"/>
          </reference>
          <reference field="1" count="1" selected="0">
            <x v="15"/>
          </reference>
        </references>
      </pivotArea>
    </chartFormat>
    <chartFormat chart="0" format="241">
      <pivotArea type="data" outline="0" fieldPosition="0">
        <references count="3">
          <reference field="4294967294" count="1" selected="0">
            <x v="0"/>
          </reference>
          <reference field="0" count="1" selected="0">
            <x v="2"/>
          </reference>
          <reference field="1" count="1" selected="0">
            <x v="16"/>
          </reference>
        </references>
      </pivotArea>
    </chartFormat>
    <chartFormat chart="0" format="242">
      <pivotArea type="data" outline="0" fieldPosition="0">
        <references count="3">
          <reference field="4294967294" count="1" selected="0">
            <x v="0"/>
          </reference>
          <reference field="0" count="1" selected="0">
            <x v="2"/>
          </reference>
          <reference field="1" count="1" selected="0">
            <x v="17"/>
          </reference>
        </references>
      </pivotArea>
    </chartFormat>
    <chartFormat chart="0" format="243">
      <pivotArea type="data" outline="0" fieldPosition="0">
        <references count="3">
          <reference field="4294967294" count="1" selected="0">
            <x v="0"/>
          </reference>
          <reference field="0" count="1" selected="0">
            <x v="2"/>
          </reference>
          <reference field="1" count="1" selected="0">
            <x v="18"/>
          </reference>
        </references>
      </pivotArea>
    </chartFormat>
    <chartFormat chart="0" format="244">
      <pivotArea type="data" outline="0" fieldPosition="0">
        <references count="3">
          <reference field="4294967294" count="1" selected="0">
            <x v="0"/>
          </reference>
          <reference field="0" count="1" selected="0">
            <x v="2"/>
          </reference>
          <reference field="1" count="1" selected="0">
            <x v="19"/>
          </reference>
        </references>
      </pivotArea>
    </chartFormat>
    <chartFormat chart="0" format="245">
      <pivotArea type="data" outline="0" fieldPosition="0">
        <references count="3">
          <reference field="4294967294" count="1" selected="0">
            <x v="0"/>
          </reference>
          <reference field="0" count="1" selected="0">
            <x v="2"/>
          </reference>
          <reference field="1" count="1" selected="0">
            <x v="20"/>
          </reference>
        </references>
      </pivotArea>
    </chartFormat>
    <chartFormat chart="0" format="246">
      <pivotArea type="data" outline="0" fieldPosition="0">
        <references count="3">
          <reference field="4294967294" count="1" selected="0">
            <x v="0"/>
          </reference>
          <reference field="0" count="1" selected="0">
            <x v="2"/>
          </reference>
          <reference field="1" count="1" selected="0">
            <x v="21"/>
          </reference>
        </references>
      </pivotArea>
    </chartFormat>
    <chartFormat chart="0" format="247">
      <pivotArea type="data" outline="0" fieldPosition="0">
        <references count="3">
          <reference field="4294967294" count="1" selected="0">
            <x v="0"/>
          </reference>
          <reference field="0" count="1" selected="0">
            <x v="2"/>
          </reference>
          <reference field="1" count="1" selected="0">
            <x v="22"/>
          </reference>
        </references>
      </pivotArea>
    </chartFormat>
    <chartFormat chart="0" format="248">
      <pivotArea type="data" outline="0" fieldPosition="0">
        <references count="3">
          <reference field="4294967294" count="1" selected="0">
            <x v="0"/>
          </reference>
          <reference field="0" count="1" selected="0">
            <x v="2"/>
          </reference>
          <reference field="1" count="1" selected="0">
            <x v="23"/>
          </reference>
        </references>
      </pivotArea>
    </chartFormat>
    <chartFormat chart="0" format="249">
      <pivotArea type="data" outline="0" fieldPosition="0">
        <references count="3">
          <reference field="4294967294" count="1" selected="0">
            <x v="0"/>
          </reference>
          <reference field="0" count="1" selected="0">
            <x v="2"/>
          </reference>
          <reference field="1" count="1" selected="0">
            <x v="24"/>
          </reference>
        </references>
      </pivotArea>
    </chartFormat>
    <chartFormat chart="0" format="250">
      <pivotArea type="data" outline="0" fieldPosition="0">
        <references count="3">
          <reference field="4294967294" count="1" selected="0">
            <x v="0"/>
          </reference>
          <reference field="0" count="1" selected="0">
            <x v="2"/>
          </reference>
          <reference field="1" count="1" selected="0">
            <x v="25"/>
          </reference>
        </references>
      </pivotArea>
    </chartFormat>
    <chartFormat chart="0" format="251">
      <pivotArea type="data" outline="0" fieldPosition="0">
        <references count="3">
          <reference field="4294967294" count="1" selected="0">
            <x v="0"/>
          </reference>
          <reference field="0" count="1" selected="0">
            <x v="2"/>
          </reference>
          <reference field="1" count="1" selected="0">
            <x v="26"/>
          </reference>
        </references>
      </pivotArea>
    </chartFormat>
    <chartFormat chart="0" format="252">
      <pivotArea type="data" outline="0" fieldPosition="0">
        <references count="3">
          <reference field="4294967294" count="1" selected="0">
            <x v="0"/>
          </reference>
          <reference field="0" count="1" selected="0">
            <x v="2"/>
          </reference>
          <reference field="1" count="1" selected="0">
            <x v="27"/>
          </reference>
        </references>
      </pivotArea>
    </chartFormat>
    <chartFormat chart="0" format="253">
      <pivotArea type="data" outline="0" fieldPosition="0">
        <references count="3">
          <reference field="4294967294" count="1" selected="0">
            <x v="0"/>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7"/>
          </reference>
        </references>
      </pivotArea>
    </chartFormat>
    <chartFormat chart="0" format="255">
      <pivotArea type="data" outline="0" fieldPosition="0">
        <references count="3">
          <reference field="4294967294" count="1" selected="0">
            <x v="2"/>
          </reference>
          <reference field="0" count="1" selected="0">
            <x v="2"/>
          </reference>
          <reference field="1" count="1" selected="0">
            <x v="28"/>
          </reference>
        </references>
      </pivotArea>
    </chartFormat>
    <chartFormat chart="0" format="256">
      <pivotArea type="data" outline="0" fieldPosition="0">
        <references count="3">
          <reference field="4294967294" count="1" selected="0">
            <x v="2"/>
          </reference>
          <reference field="0" count="1" selected="0">
            <x v="2"/>
          </reference>
          <reference field="1" count="1" selected="0">
            <x v="29"/>
          </reference>
        </references>
      </pivotArea>
    </chartFormat>
    <chartFormat chart="0" format="257">
      <pivotArea type="data" outline="0" fieldPosition="0">
        <references count="3">
          <reference field="4294967294" count="1" selected="0">
            <x v="2"/>
          </reference>
          <reference field="0" count="1" selected="0">
            <x v="2"/>
          </reference>
          <reference field="1" count="1" selected="0">
            <x v="30"/>
          </reference>
        </references>
      </pivotArea>
    </chartFormat>
    <chartFormat chart="0" format="258">
      <pivotArea type="data" outline="0" fieldPosition="0">
        <references count="3">
          <reference field="4294967294" count="1" selected="0">
            <x v="2"/>
          </reference>
          <reference field="0" count="1" selected="0">
            <x v="3"/>
          </reference>
          <reference field="1" count="1" selected="0">
            <x v="31"/>
          </reference>
        </references>
      </pivotArea>
    </chartFormat>
    <chartFormat chart="0" format="259">
      <pivotArea type="data" outline="0" fieldPosition="0">
        <references count="3">
          <reference field="4294967294" count="1" selected="0">
            <x v="2"/>
          </reference>
          <reference field="0" count="1" selected="0">
            <x v="3"/>
          </reference>
          <reference field="1" count="1" selected="0">
            <x v="32"/>
          </reference>
        </references>
      </pivotArea>
    </chartFormat>
    <chartFormat chart="0" format="260">
      <pivotArea type="data" outline="0" fieldPosition="0">
        <references count="3">
          <reference field="4294967294" count="1" selected="0">
            <x v="2"/>
          </reference>
          <reference field="0" count="1" selected="0">
            <x v="3"/>
          </reference>
          <reference field="1" count="1" selected="0">
            <x v="33"/>
          </reference>
        </references>
      </pivotArea>
    </chartFormat>
    <chartFormat chart="0" format="261">
      <pivotArea type="data" outline="0" fieldPosition="0">
        <references count="3">
          <reference field="4294967294" count="1" selected="0">
            <x v="2"/>
          </reference>
          <reference field="0" count="1" selected="0">
            <x v="3"/>
          </reference>
          <reference field="1" count="1" selected="0">
            <x v="34"/>
          </reference>
        </references>
      </pivotArea>
    </chartFormat>
    <chartFormat chart="0" format="262">
      <pivotArea type="data" outline="0" fieldPosition="0">
        <references count="3">
          <reference field="4294967294" count="1" selected="0">
            <x v="2"/>
          </reference>
          <reference field="0" count="1" selected="0">
            <x v="3"/>
          </reference>
          <reference field="1" count="1" selected="0">
            <x v="35"/>
          </reference>
        </references>
      </pivotArea>
    </chartFormat>
    <chartFormat chart="0" format="263">
      <pivotArea type="data" outline="0" fieldPosition="0">
        <references count="3">
          <reference field="4294967294" count="1" selected="0">
            <x v="2"/>
          </reference>
          <reference field="0" count="1" selected="0">
            <x v="3"/>
          </reference>
          <reference field="1" count="1" selected="0">
            <x v="36"/>
          </reference>
        </references>
      </pivotArea>
    </chartFormat>
    <chartFormat chart="0" format="264">
      <pivotArea type="data" outline="0" fieldPosition="0">
        <references count="3">
          <reference field="4294967294" count="1" selected="0">
            <x v="2"/>
          </reference>
          <reference field="0" count="1" selected="0">
            <x v="3"/>
          </reference>
          <reference field="1" count="1" selected="0">
            <x v="37"/>
          </reference>
        </references>
      </pivotArea>
    </chartFormat>
    <chartFormat chart="0" format="265">
      <pivotArea type="data" outline="0" fieldPosition="0">
        <references count="3">
          <reference field="4294967294" count="1" selected="0">
            <x v="2"/>
          </reference>
          <reference field="0" count="1" selected="0">
            <x v="3"/>
          </reference>
          <reference field="1" count="1" selected="0">
            <x v="38"/>
          </reference>
        </references>
      </pivotArea>
    </chartFormat>
    <chartFormat chart="0" format="266">
      <pivotArea type="data" outline="0" fieldPosition="0">
        <references count="3">
          <reference field="4294967294" count="1" selected="0">
            <x v="2"/>
          </reference>
          <reference field="0" count="1" selected="0">
            <x v="3"/>
          </reference>
          <reference field="1" count="1" selected="0">
            <x v="39"/>
          </reference>
        </references>
      </pivotArea>
    </chartFormat>
    <chartFormat chart="0" format="267">
      <pivotArea type="data" outline="0" fieldPosition="0">
        <references count="3">
          <reference field="4294967294" count="1" selected="0">
            <x v="2"/>
          </reference>
          <reference field="0" count="1" selected="0">
            <x v="3"/>
          </reference>
          <reference field="1" count="1" selected="0">
            <x v="40"/>
          </reference>
        </references>
      </pivotArea>
    </chartFormat>
    <chartFormat chart="0" format="268">
      <pivotArea type="data" outline="0" fieldPosition="0">
        <references count="3">
          <reference field="4294967294" count="1" selected="0">
            <x v="2"/>
          </reference>
          <reference field="0" count="1" selected="0">
            <x v="3"/>
          </reference>
          <reference field="1" count="1" selected="0">
            <x v="41"/>
          </reference>
        </references>
      </pivotArea>
    </chartFormat>
    <chartFormat chart="0" format="269">
      <pivotArea type="data" outline="0" fieldPosition="0">
        <references count="3">
          <reference field="4294967294" count="1" selected="0">
            <x v="2"/>
          </reference>
          <reference field="0" count="1" selected="0">
            <x v="3"/>
          </reference>
          <reference field="1" count="1" selected="0">
            <x v="42"/>
          </reference>
        </references>
      </pivotArea>
    </chartFormat>
    <chartFormat chart="0" format="270">
      <pivotArea type="data" outline="0" fieldPosition="0">
        <references count="3">
          <reference field="4294967294" count="1" selected="0">
            <x v="2"/>
          </reference>
          <reference field="0" count="1" selected="0">
            <x v="3"/>
          </reference>
          <reference field="1" count="1" selected="0">
            <x v="43"/>
          </reference>
        </references>
      </pivotArea>
    </chartFormat>
    <chartFormat chart="0" format="271">
      <pivotArea type="data" outline="0" fieldPosition="0">
        <references count="3">
          <reference field="4294967294" count="1" selected="0">
            <x v="2"/>
          </reference>
          <reference field="0" count="1" selected="0">
            <x v="3"/>
          </reference>
          <reference field="1" count="1" selected="0">
            <x v="44"/>
          </reference>
        </references>
      </pivotArea>
    </chartFormat>
    <chartFormat chart="0" format="272">
      <pivotArea type="data" outline="0" fieldPosition="0">
        <references count="3">
          <reference field="4294967294" count="1" selected="0">
            <x v="2"/>
          </reference>
          <reference field="0" count="1" selected="0">
            <x v="3"/>
          </reference>
          <reference field="1" count="1" selected="0">
            <x v="45"/>
          </reference>
        </references>
      </pivotArea>
    </chartFormat>
    <chartFormat chart="0" format="273">
      <pivotArea type="data" outline="0" fieldPosition="0">
        <references count="3">
          <reference field="4294967294" count="1" selected="0">
            <x v="2"/>
          </reference>
          <reference field="0" count="1" selected="0">
            <x v="3"/>
          </reference>
          <reference field="1" count="1" selected="0">
            <x v="46"/>
          </reference>
        </references>
      </pivotArea>
    </chartFormat>
    <chartFormat chart="0" format="274">
      <pivotArea type="data" outline="0" fieldPosition="0">
        <references count="3">
          <reference field="4294967294" count="1" selected="0">
            <x v="2"/>
          </reference>
          <reference field="0" count="1" selected="0">
            <x v="3"/>
          </reference>
          <reference field="1" count="1" selected="0">
            <x v="47"/>
          </reference>
        </references>
      </pivotArea>
    </chartFormat>
    <chartFormat chart="0" format="275">
      <pivotArea type="data" outline="0" fieldPosition="0">
        <references count="3">
          <reference field="4294967294" count="1" selected="0">
            <x v="2"/>
          </reference>
          <reference field="0" count="1" selected="0">
            <x v="3"/>
          </reference>
          <reference field="1" count="1" selected="0">
            <x v="48"/>
          </reference>
        </references>
      </pivotArea>
    </chartFormat>
    <chartFormat chart="0" format="276">
      <pivotArea type="data" outline="0" fieldPosition="0">
        <references count="3">
          <reference field="4294967294" count="1" selected="0">
            <x v="2"/>
          </reference>
          <reference field="0" count="1" selected="0">
            <x v="3"/>
          </reference>
          <reference field="1" count="1" selected="0">
            <x v="49"/>
          </reference>
        </references>
      </pivotArea>
    </chartFormat>
    <chartFormat chart="0" format="277">
      <pivotArea type="data" outline="0" fieldPosition="0">
        <references count="3">
          <reference field="4294967294" count="1" selected="0">
            <x v="2"/>
          </reference>
          <reference field="0" count="1" selected="0">
            <x v="3"/>
          </reference>
          <reference field="1" count="1" selected="0">
            <x v="50"/>
          </reference>
        </references>
      </pivotArea>
    </chartFormat>
    <chartFormat chart="0" format="278">
      <pivotArea type="data" outline="0" fieldPosition="0">
        <references count="3">
          <reference field="4294967294" count="1" selected="0">
            <x v="2"/>
          </reference>
          <reference field="0" count="1" selected="0">
            <x v="3"/>
          </reference>
          <reference field="1" count="1" selected="0">
            <x v="51"/>
          </reference>
        </references>
      </pivotArea>
    </chartFormat>
    <chartFormat chart="0" format="279">
      <pivotArea type="data" outline="0" fieldPosition="0">
        <references count="3">
          <reference field="4294967294" count="1" selected="0">
            <x v="2"/>
          </reference>
          <reference field="0" count="1" selected="0">
            <x v="3"/>
          </reference>
          <reference field="1" count="1" selected="0">
            <x v="52"/>
          </reference>
        </references>
      </pivotArea>
    </chartFormat>
    <chartFormat chart="0" format="280">
      <pivotArea type="data" outline="0" fieldPosition="0">
        <references count="3">
          <reference field="4294967294" count="1" selected="0">
            <x v="2"/>
          </reference>
          <reference field="0" count="1" selected="0">
            <x v="3"/>
          </reference>
          <reference field="1" count="1" selected="0">
            <x v="53"/>
          </reference>
        </references>
      </pivotArea>
    </chartFormat>
    <chartFormat chart="0" format="281">
      <pivotArea type="data" outline="0" fieldPosition="0">
        <references count="3">
          <reference field="4294967294" count="1" selected="0">
            <x v="2"/>
          </reference>
          <reference field="0" count="1" selected="0">
            <x v="3"/>
          </reference>
          <reference field="1" count="1" selected="0">
            <x v="54"/>
          </reference>
        </references>
      </pivotArea>
    </chartFormat>
    <chartFormat chart="0" format="282">
      <pivotArea type="data" outline="0" fieldPosition="0">
        <references count="3">
          <reference field="4294967294" count="1" selected="0">
            <x v="2"/>
          </reference>
          <reference field="0" count="1" selected="0">
            <x v="3"/>
          </reference>
          <reference field="1" count="1" selected="0">
            <x v="55"/>
          </reference>
        </references>
      </pivotArea>
    </chartFormat>
    <chartFormat chart="0" format="283">
      <pivotArea type="data" outline="0" fieldPosition="0">
        <references count="3">
          <reference field="4294967294" count="1" selected="0">
            <x v="2"/>
          </reference>
          <reference field="0" count="1" selected="0">
            <x v="3"/>
          </reference>
          <reference field="1" count="1" selected="0">
            <x v="56"/>
          </reference>
        </references>
      </pivotArea>
    </chartFormat>
    <chartFormat chart="0" format="284">
      <pivotArea type="data" outline="0" fieldPosition="0">
        <references count="3">
          <reference field="4294967294" count="1" selected="0">
            <x v="2"/>
          </reference>
          <reference field="0" count="1" selected="0">
            <x v="3"/>
          </reference>
          <reference field="1" count="1" selected="0">
            <x v="57"/>
          </reference>
        </references>
      </pivotArea>
    </chartFormat>
    <chartFormat chart="0" format="285">
      <pivotArea type="data" outline="0" fieldPosition="0">
        <references count="3">
          <reference field="4294967294" count="1" selected="0">
            <x v="2"/>
          </reference>
          <reference field="0" count="1" selected="0">
            <x v="3"/>
          </reference>
          <reference field="1" count="1" selected="0">
            <x v="58"/>
          </reference>
        </references>
      </pivotArea>
    </chartFormat>
    <chartFormat chart="0" format="286">
      <pivotArea type="data" outline="0" fieldPosition="0">
        <references count="3">
          <reference field="4294967294" count="1" selected="0">
            <x v="2"/>
          </reference>
          <reference field="0" count="1" selected="0">
            <x v="3"/>
          </reference>
          <reference field="1" count="1" selected="0">
            <x v="59"/>
          </reference>
        </references>
      </pivotArea>
    </chartFormat>
    <chartFormat chart="0" format="287">
      <pivotArea type="data" outline="0" fieldPosition="0">
        <references count="3">
          <reference field="4294967294" count="1" selected="0">
            <x v="2"/>
          </reference>
          <reference field="0" count="1" selected="0">
            <x v="3"/>
          </reference>
          <reference field="1" count="1" selected="0">
            <x v="60"/>
          </reference>
        </references>
      </pivotArea>
    </chartFormat>
    <chartFormat chart="0" format="288">
      <pivotArea type="data" outline="0" fieldPosition="0">
        <references count="3">
          <reference field="4294967294" count="1" selected="0">
            <x v="2"/>
          </reference>
          <reference field="0" count="1" selected="0">
            <x v="3"/>
          </reference>
          <reference field="1" count="1" selected="0">
            <x v="61"/>
          </reference>
        </references>
      </pivotArea>
    </chartFormat>
    <chartFormat chart="0" format="289">
      <pivotArea type="data" outline="0" fieldPosition="0">
        <references count="3">
          <reference field="4294967294" count="1" selected="0">
            <x v="2"/>
          </reference>
          <reference field="0" count="1" selected="0">
            <x v="3"/>
          </reference>
          <reference field="1" count="1" selected="0">
            <x v="6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1"/>
          </reference>
        </references>
      </pivotArea>
    </chartFormat>
    <chartFormat chart="0" format="291">
      <pivotArea type="data" outline="0" fieldPosition="0">
        <references count="3">
          <reference field="4294967294" count="1" selected="0">
            <x v="2"/>
          </reference>
          <reference field="0" count="1" selected="0">
            <x v="4"/>
          </reference>
          <reference field="1" count="1" selected="0">
            <x v="32"/>
          </reference>
        </references>
      </pivotArea>
    </chartFormat>
    <chartFormat chart="0" format="292">
      <pivotArea type="data" outline="0" fieldPosition="0">
        <references count="3">
          <reference field="4294967294" count="1" selected="0">
            <x v="2"/>
          </reference>
          <reference field="0" count="1" selected="0">
            <x v="4"/>
          </reference>
          <reference field="1" count="1" selected="0">
            <x v="33"/>
          </reference>
        </references>
      </pivotArea>
    </chartFormat>
    <chartFormat chart="0" format="293">
      <pivotArea type="data" outline="0" fieldPosition="0">
        <references count="3">
          <reference field="4294967294" count="1" selected="0">
            <x v="2"/>
          </reference>
          <reference field="0" count="1" selected="0">
            <x v="4"/>
          </reference>
          <reference field="1" count="1" selected="0">
            <x v="34"/>
          </reference>
        </references>
      </pivotArea>
    </chartFormat>
    <chartFormat chart="0" format="294">
      <pivotArea type="data" outline="0" fieldPosition="0">
        <references count="3">
          <reference field="4294967294" count="1" selected="0">
            <x v="2"/>
          </reference>
          <reference field="0" count="1" selected="0">
            <x v="4"/>
          </reference>
          <reference field="1" count="1" selected="0">
            <x v="35"/>
          </reference>
        </references>
      </pivotArea>
    </chartFormat>
    <chartFormat chart="0" format="295">
      <pivotArea type="data" outline="0" fieldPosition="0">
        <references count="3">
          <reference field="4294967294" count="1" selected="0">
            <x v="2"/>
          </reference>
          <reference field="0" count="1" selected="0">
            <x v="4"/>
          </reference>
          <reference field="1" count="1" selected="0">
            <x v="36"/>
          </reference>
        </references>
      </pivotArea>
    </chartFormat>
    <chartFormat chart="0" format="296">
      <pivotArea type="data" outline="0" fieldPosition="0">
        <references count="3">
          <reference field="4294967294" count="1" selected="0">
            <x v="2"/>
          </reference>
          <reference field="0" count="1" selected="0">
            <x v="4"/>
          </reference>
          <reference field="1" count="1" selected="0">
            <x v="37"/>
          </reference>
        </references>
      </pivotArea>
    </chartFormat>
    <chartFormat chart="0" format="297">
      <pivotArea type="data" outline="0" fieldPosition="0">
        <references count="3">
          <reference field="4294967294" count="1" selected="0">
            <x v="2"/>
          </reference>
          <reference field="0" count="1" selected="0">
            <x v="4"/>
          </reference>
          <reference field="1" count="1" selected="0">
            <x v="38"/>
          </reference>
        </references>
      </pivotArea>
    </chartFormat>
    <chartFormat chart="0" format="298">
      <pivotArea type="data" outline="0" fieldPosition="0">
        <references count="3">
          <reference field="4294967294" count="1" selected="0">
            <x v="2"/>
          </reference>
          <reference field="0" count="1" selected="0">
            <x v="4"/>
          </reference>
          <reference field="1" count="1" selected="0">
            <x v="39"/>
          </reference>
        </references>
      </pivotArea>
    </chartFormat>
    <chartFormat chart="0" format="299">
      <pivotArea type="data" outline="0" fieldPosition="0">
        <references count="3">
          <reference field="4294967294" count="1" selected="0">
            <x v="2"/>
          </reference>
          <reference field="0" count="1" selected="0">
            <x v="4"/>
          </reference>
          <reference field="1" count="1" selected="0">
            <x v="40"/>
          </reference>
        </references>
      </pivotArea>
    </chartFormat>
    <chartFormat chart="0" format="300">
      <pivotArea type="data" outline="0" fieldPosition="0">
        <references count="3">
          <reference field="4294967294" count="1" selected="0">
            <x v="2"/>
          </reference>
          <reference field="0" count="1" selected="0">
            <x v="4"/>
          </reference>
          <reference field="1" count="1" selected="0">
            <x v="41"/>
          </reference>
        </references>
      </pivotArea>
    </chartFormat>
    <chartFormat chart="0" format="301">
      <pivotArea type="data" outline="0" fieldPosition="0">
        <references count="3">
          <reference field="4294967294" count="1" selected="0">
            <x v="2"/>
          </reference>
          <reference field="0" count="1" selected="0">
            <x v="4"/>
          </reference>
          <reference field="1" count="1" selected="0">
            <x v="42"/>
          </reference>
        </references>
      </pivotArea>
    </chartFormat>
    <chartFormat chart="0" format="302">
      <pivotArea type="data" outline="0" fieldPosition="0">
        <references count="3">
          <reference field="4294967294" count="1" selected="0">
            <x v="2"/>
          </reference>
          <reference field="0" count="1" selected="0">
            <x v="4"/>
          </reference>
          <reference field="1" count="1" selected="0">
            <x v="43"/>
          </reference>
        </references>
      </pivotArea>
    </chartFormat>
    <chartFormat chart="0" format="303">
      <pivotArea type="data" outline="0" fieldPosition="0">
        <references count="3">
          <reference field="4294967294" count="1" selected="0">
            <x v="2"/>
          </reference>
          <reference field="0" count="1" selected="0">
            <x v="4"/>
          </reference>
          <reference field="1" count="1" selected="0">
            <x v="51"/>
          </reference>
        </references>
      </pivotArea>
    </chartFormat>
    <chartFormat chart="0" format="304">
      <pivotArea type="data" outline="0" fieldPosition="0">
        <references count="3">
          <reference field="4294967294" count="1" selected="0">
            <x v="2"/>
          </reference>
          <reference field="0" count="1" selected="0">
            <x v="4"/>
          </reference>
          <reference field="1" count="1" selected="0">
            <x v="52"/>
          </reference>
        </references>
      </pivotArea>
    </chartFormat>
    <chartFormat chart="0" format="305">
      <pivotArea type="data" outline="0" fieldPosition="0">
        <references count="3">
          <reference field="4294967294" count="1" selected="0">
            <x v="2"/>
          </reference>
          <reference field="0" count="1" selected="0">
            <x v="4"/>
          </reference>
          <reference field="1" count="1" selected="0">
            <x v="53"/>
          </reference>
        </references>
      </pivotArea>
    </chartFormat>
    <chartFormat chart="0" format="306">
      <pivotArea type="data" outline="0" fieldPosition="0">
        <references count="3">
          <reference field="4294967294" count="1" selected="0">
            <x v="2"/>
          </reference>
          <reference field="0" count="1" selected="0">
            <x v="4"/>
          </reference>
          <reference field="1" count="1" selected="0">
            <x v="54"/>
          </reference>
        </references>
      </pivotArea>
    </chartFormat>
    <chartFormat chart="0" format="307">
      <pivotArea type="data" outline="0" fieldPosition="0">
        <references count="3">
          <reference field="4294967294" count="1" selected="0">
            <x v="2"/>
          </reference>
          <reference field="0" count="1" selected="0">
            <x v="4"/>
          </reference>
          <reference field="1" count="1" selected="0">
            <x v="55"/>
          </reference>
        </references>
      </pivotArea>
    </chartFormat>
    <chartFormat chart="0" format="308">
      <pivotArea type="data" outline="0" fieldPosition="0">
        <references count="3">
          <reference field="4294967294" count="1" selected="0">
            <x v="2"/>
          </reference>
          <reference field="0" count="1" selected="0">
            <x v="4"/>
          </reference>
          <reference field="1" count="1" selected="0">
            <x v="56"/>
          </reference>
        </references>
      </pivotArea>
    </chartFormat>
    <chartFormat chart="0" format="309">
      <pivotArea type="data" outline="0" fieldPosition="0">
        <references count="3">
          <reference field="4294967294" count="1" selected="0">
            <x v="2"/>
          </reference>
          <reference field="0" count="1" selected="0">
            <x v="4"/>
          </reference>
          <reference field="1" count="1" selected="0">
            <x v="57"/>
          </reference>
        </references>
      </pivotArea>
    </chartFormat>
    <chartFormat chart="0" format="310">
      <pivotArea type="data" outline="0" fieldPosition="0">
        <references count="3">
          <reference field="4294967294" count="1" selected="0">
            <x v="2"/>
          </reference>
          <reference field="0" count="1" selected="0">
            <x v="4"/>
          </reference>
          <reference field="1" count="1" selected="0">
            <x v="58"/>
          </reference>
        </references>
      </pivotArea>
    </chartFormat>
    <chartFormat chart="0" format="311">
      <pivotArea type="data" outline="0" fieldPosition="0">
        <references count="3">
          <reference field="4294967294" count="1" selected="0">
            <x v="2"/>
          </reference>
          <reference field="0" count="1" selected="0">
            <x v="4"/>
          </reference>
          <reference field="1" count="1" selected="0">
            <x v="59"/>
          </reference>
        </references>
      </pivotArea>
    </chartFormat>
    <chartFormat chart="0" format="312">
      <pivotArea type="data" outline="0" fieldPosition="0">
        <references count="3">
          <reference field="4294967294" count="1" selected="0">
            <x v="2"/>
          </reference>
          <reference field="0" count="1" selected="0">
            <x v="4"/>
          </reference>
          <reference field="1" count="1" selected="0">
            <x v="60"/>
          </reference>
        </references>
      </pivotArea>
    </chartFormat>
    <chartFormat chart="0" format="313">
      <pivotArea type="data" outline="0" fieldPosition="0">
        <references count="3">
          <reference field="4294967294" count="1" selected="0">
            <x v="2"/>
          </reference>
          <reference field="0" count="1" selected="0">
            <x v="4"/>
          </reference>
          <reference field="1" count="1" selected="0">
            <x v="63"/>
          </reference>
        </references>
      </pivotArea>
    </chartFormat>
    <chartFormat chart="0" format="314">
      <pivotArea type="data" outline="0" fieldPosition="0">
        <references count="3">
          <reference field="4294967294" count="1" selected="0">
            <x v="2"/>
          </reference>
          <reference field="0" count="1" selected="0">
            <x v="4"/>
          </reference>
          <reference field="1" count="1" selected="0">
            <x v="64"/>
          </reference>
        </references>
      </pivotArea>
    </chartFormat>
    <chartFormat chart="0" format="315">
      <pivotArea type="data" outline="0" fieldPosition="0">
        <references count="3">
          <reference field="4294967294" count="1" selected="0">
            <x v="2"/>
          </reference>
          <reference field="0" count="1" selected="0">
            <x v="4"/>
          </reference>
          <reference field="1" count="1" selected="0">
            <x v="65"/>
          </reference>
        </references>
      </pivotArea>
    </chartFormat>
    <chartFormat chart="0" format="316">
      <pivotArea type="data" outline="0" fieldPosition="0">
        <references count="3">
          <reference field="4294967294" count="1" selected="0">
            <x v="2"/>
          </reference>
          <reference field="0" count="1" selected="0">
            <x v="4"/>
          </reference>
          <reference field="1" count="1" selected="0">
            <x v="66"/>
          </reference>
        </references>
      </pivotArea>
    </chartFormat>
    <chartFormat chart="0" format="317">
      <pivotArea type="data" outline="0" fieldPosition="0">
        <references count="3">
          <reference field="4294967294" count="1" selected="0">
            <x v="2"/>
          </reference>
          <reference field="0" count="1" selected="0">
            <x v="4"/>
          </reference>
          <reference field="1" count="1" selected="0">
            <x v="67"/>
          </reference>
        </references>
      </pivotArea>
    </chartFormat>
    <chartFormat chart="0" format="318">
      <pivotArea type="data" outline="0" fieldPosition="0">
        <references count="3">
          <reference field="4294967294" count="1" selected="0">
            <x v="2"/>
          </reference>
          <reference field="0" count="1" selected="0">
            <x v="4"/>
          </reference>
          <reference field="1" count="1" selected="0">
            <x v="68"/>
          </reference>
        </references>
      </pivotArea>
    </chartFormat>
    <chartFormat chart="0" format="319">
      <pivotArea type="data" outline="0" fieldPosition="0">
        <references count="3">
          <reference field="4294967294" count="1" selected="0">
            <x v="2"/>
          </reference>
          <reference field="0" count="1" selected="0">
            <x v="4"/>
          </reference>
          <reference field="1" count="1" selected="0">
            <x v="69"/>
          </reference>
        </references>
      </pivotArea>
    </chartFormat>
    <chartFormat chart="0" format="320">
      <pivotArea type="data" outline="0" fieldPosition="0">
        <references count="3">
          <reference field="4294967294" count="1" selected="0">
            <x v="2"/>
          </reference>
          <reference field="0" count="1" selected="0">
            <x v="4"/>
          </reference>
          <reference field="1" count="1" selected="0">
            <x v="70"/>
          </reference>
        </references>
      </pivotArea>
    </chartFormat>
    <chartFormat chart="0" format="321">
      <pivotArea type="data" outline="0" fieldPosition="0">
        <references count="3">
          <reference field="4294967294" count="1" selected="0">
            <x v="2"/>
          </reference>
          <reference field="0" count="1" selected="0">
            <x v="4"/>
          </reference>
          <reference field="1" count="1" selected="0">
            <x v="71"/>
          </reference>
        </references>
      </pivotArea>
    </chartFormat>
    <chartFormat chart="0" format="322">
      <pivotArea type="data" outline="0" fieldPosition="0">
        <references count="3">
          <reference field="4294967294" count="1" selected="0">
            <x v="2"/>
          </reference>
          <reference field="0" count="1" selected="0">
            <x v="4"/>
          </reference>
          <reference field="1" count="1" selected="0">
            <x v="72"/>
          </reference>
        </references>
      </pivotArea>
    </chartFormat>
    <chartFormat chart="0" format="323">
      <pivotArea type="data" outline="0" fieldPosition="0">
        <references count="3">
          <reference field="4294967294" count="1" selected="0">
            <x v="2"/>
          </reference>
          <reference field="0" count="1" selected="0">
            <x v="4"/>
          </reference>
          <reference field="1" count="1" selected="0">
            <x v="73"/>
          </reference>
        </references>
      </pivotArea>
    </chartFormat>
    <chartFormat chart="0" format="324">
      <pivotArea type="data" outline="0" fieldPosition="0">
        <references count="3">
          <reference field="4294967294" count="1" selected="0">
            <x v="2"/>
          </reference>
          <reference field="0" count="1" selected="0">
            <x v="4"/>
          </reference>
          <reference field="1" count="1" selected="0">
            <x v="74"/>
          </reference>
        </references>
      </pivotArea>
    </chartFormat>
    <chartFormat chart="0" format="325">
      <pivotArea type="data" outline="0" fieldPosition="0">
        <references count="3">
          <reference field="4294967294" count="1" selected="0">
            <x v="2"/>
          </reference>
          <reference field="0" count="1" selected="0">
            <x v="4"/>
          </reference>
          <reference field="1" count="1" selected="0">
            <x v="75"/>
          </reference>
        </references>
      </pivotArea>
    </chartFormat>
    <chartFormat chart="0" format="326">
      <pivotArea type="data" outline="0" fieldPosition="0">
        <references count="3">
          <reference field="4294967294" count="1" selected="0">
            <x v="2"/>
          </reference>
          <reference field="0" count="1" selected="0">
            <x v="4"/>
          </reference>
          <reference field="1" count="1" selected="0">
            <x v="76"/>
          </reference>
        </references>
      </pivotArea>
    </chartFormat>
    <chartFormat chart="0" format="327">
      <pivotArea type="data" outline="0" fieldPosition="0">
        <references count="3">
          <reference field="4294967294" count="1" selected="0">
            <x v="0"/>
          </reference>
          <reference field="0" count="1" selected="0">
            <x v="3"/>
          </reference>
          <reference field="1" count="1" selected="0">
            <x v="31"/>
          </reference>
        </references>
      </pivotArea>
    </chartFormat>
    <chartFormat chart="0" format="328">
      <pivotArea type="data" outline="0" fieldPosition="0">
        <references count="3">
          <reference field="4294967294" count="1" selected="0">
            <x v="0"/>
          </reference>
          <reference field="0" count="1" selected="0">
            <x v="3"/>
          </reference>
          <reference field="1" count="1" selected="0">
            <x v="32"/>
          </reference>
        </references>
      </pivotArea>
    </chartFormat>
    <chartFormat chart="0" format="329">
      <pivotArea type="data" outline="0" fieldPosition="0">
        <references count="3">
          <reference field="4294967294" count="1" selected="0">
            <x v="0"/>
          </reference>
          <reference field="0" count="1" selected="0">
            <x v="3"/>
          </reference>
          <reference field="1" count="1" selected="0">
            <x v="33"/>
          </reference>
        </references>
      </pivotArea>
    </chartFormat>
    <chartFormat chart="0" format="330">
      <pivotArea type="data" outline="0" fieldPosition="0">
        <references count="3">
          <reference field="4294967294" count="1" selected="0">
            <x v="0"/>
          </reference>
          <reference field="0" count="1" selected="0">
            <x v="3"/>
          </reference>
          <reference field="1" count="1" selected="0">
            <x v="34"/>
          </reference>
        </references>
      </pivotArea>
    </chartFormat>
    <chartFormat chart="0" format="331">
      <pivotArea type="data" outline="0" fieldPosition="0">
        <references count="3">
          <reference field="4294967294" count="1" selected="0">
            <x v="0"/>
          </reference>
          <reference field="0" count="1" selected="0">
            <x v="3"/>
          </reference>
          <reference field="1" count="1" selected="0">
            <x v="35"/>
          </reference>
        </references>
      </pivotArea>
    </chartFormat>
    <chartFormat chart="0" format="332">
      <pivotArea type="data" outline="0" fieldPosition="0">
        <references count="3">
          <reference field="4294967294" count="1" selected="0">
            <x v="0"/>
          </reference>
          <reference field="0" count="1" selected="0">
            <x v="3"/>
          </reference>
          <reference field="1" count="1" selected="0">
            <x v="36"/>
          </reference>
        </references>
      </pivotArea>
    </chartFormat>
    <chartFormat chart="0" format="333">
      <pivotArea type="data" outline="0" fieldPosition="0">
        <references count="3">
          <reference field="4294967294" count="1" selected="0">
            <x v="0"/>
          </reference>
          <reference field="0" count="1" selected="0">
            <x v="3"/>
          </reference>
          <reference field="1" count="1" selected="0">
            <x v="37"/>
          </reference>
        </references>
      </pivotArea>
    </chartFormat>
    <chartFormat chart="0" format="334">
      <pivotArea type="data" outline="0" fieldPosition="0">
        <references count="3">
          <reference field="4294967294" count="1" selected="0">
            <x v="0"/>
          </reference>
          <reference field="0" count="1" selected="0">
            <x v="3"/>
          </reference>
          <reference field="1" count="1" selected="0">
            <x v="38"/>
          </reference>
        </references>
      </pivotArea>
    </chartFormat>
    <chartFormat chart="0" format="335">
      <pivotArea type="data" outline="0" fieldPosition="0">
        <references count="3">
          <reference field="4294967294" count="1" selected="0">
            <x v="0"/>
          </reference>
          <reference field="0" count="1" selected="0">
            <x v="3"/>
          </reference>
          <reference field="1" count="1" selected="0">
            <x v="39"/>
          </reference>
        </references>
      </pivotArea>
    </chartFormat>
    <chartFormat chart="0" format="336">
      <pivotArea type="data" outline="0" fieldPosition="0">
        <references count="3">
          <reference field="4294967294" count="1" selected="0">
            <x v="0"/>
          </reference>
          <reference field="0" count="1" selected="0">
            <x v="3"/>
          </reference>
          <reference field="1" count="1" selected="0">
            <x v="40"/>
          </reference>
        </references>
      </pivotArea>
    </chartFormat>
    <chartFormat chart="0" format="337">
      <pivotArea type="data" outline="0" fieldPosition="0">
        <references count="3">
          <reference field="4294967294" count="1" selected="0">
            <x v="0"/>
          </reference>
          <reference field="0" count="1" selected="0">
            <x v="3"/>
          </reference>
          <reference field="1" count="1" selected="0">
            <x v="41"/>
          </reference>
        </references>
      </pivotArea>
    </chartFormat>
    <chartFormat chart="0" format="338">
      <pivotArea type="data" outline="0" fieldPosition="0">
        <references count="3">
          <reference field="4294967294" count="1" selected="0">
            <x v="0"/>
          </reference>
          <reference field="0" count="1" selected="0">
            <x v="3"/>
          </reference>
          <reference field="1" count="1" selected="0">
            <x v="42"/>
          </reference>
        </references>
      </pivotArea>
    </chartFormat>
    <chartFormat chart="0" format="339">
      <pivotArea type="data" outline="0" fieldPosition="0">
        <references count="3">
          <reference field="4294967294" count="1" selected="0">
            <x v="0"/>
          </reference>
          <reference field="0" count="1" selected="0">
            <x v="3"/>
          </reference>
          <reference field="1" count="1" selected="0">
            <x v="43"/>
          </reference>
        </references>
      </pivotArea>
    </chartFormat>
    <chartFormat chart="0" format="340">
      <pivotArea type="data" outline="0" fieldPosition="0">
        <references count="3">
          <reference field="4294967294" count="1" selected="0">
            <x v="0"/>
          </reference>
          <reference field="0" count="1" selected="0">
            <x v="3"/>
          </reference>
          <reference field="1" count="1" selected="0">
            <x v="44"/>
          </reference>
        </references>
      </pivotArea>
    </chartFormat>
    <chartFormat chart="0" format="341">
      <pivotArea type="data" outline="0" fieldPosition="0">
        <references count="3">
          <reference field="4294967294" count="1" selected="0">
            <x v="0"/>
          </reference>
          <reference field="0" count="1" selected="0">
            <x v="3"/>
          </reference>
          <reference field="1" count="1" selected="0">
            <x v="45"/>
          </reference>
        </references>
      </pivotArea>
    </chartFormat>
    <chartFormat chart="0" format="342">
      <pivotArea type="data" outline="0" fieldPosition="0">
        <references count="3">
          <reference field="4294967294" count="1" selected="0">
            <x v="0"/>
          </reference>
          <reference field="0" count="1" selected="0">
            <x v="3"/>
          </reference>
          <reference field="1" count="1" selected="0">
            <x v="46"/>
          </reference>
        </references>
      </pivotArea>
    </chartFormat>
    <chartFormat chart="0" format="343">
      <pivotArea type="data" outline="0" fieldPosition="0">
        <references count="3">
          <reference field="4294967294" count="1" selected="0">
            <x v="0"/>
          </reference>
          <reference field="0" count="1" selected="0">
            <x v="3"/>
          </reference>
          <reference field="1" count="1" selected="0">
            <x v="47"/>
          </reference>
        </references>
      </pivotArea>
    </chartFormat>
    <chartFormat chart="0" format="344">
      <pivotArea type="data" outline="0" fieldPosition="0">
        <references count="3">
          <reference field="4294967294" count="1" selected="0">
            <x v="0"/>
          </reference>
          <reference field="0" count="1" selected="0">
            <x v="3"/>
          </reference>
          <reference field="1" count="1" selected="0">
            <x v="48"/>
          </reference>
        </references>
      </pivotArea>
    </chartFormat>
    <chartFormat chart="0" format="345">
      <pivotArea type="data" outline="0" fieldPosition="0">
        <references count="3">
          <reference field="4294967294" count="1" selected="0">
            <x v="0"/>
          </reference>
          <reference field="0" count="1" selected="0">
            <x v="3"/>
          </reference>
          <reference field="1" count="1" selected="0">
            <x v="49"/>
          </reference>
        </references>
      </pivotArea>
    </chartFormat>
    <chartFormat chart="0" format="346">
      <pivotArea type="data" outline="0" fieldPosition="0">
        <references count="3">
          <reference field="4294967294" count="1" selected="0">
            <x v="0"/>
          </reference>
          <reference field="0" count="1" selected="0">
            <x v="3"/>
          </reference>
          <reference field="1" count="1" selected="0">
            <x v="50"/>
          </reference>
        </references>
      </pivotArea>
    </chartFormat>
    <chartFormat chart="0" format="347">
      <pivotArea type="data" outline="0" fieldPosition="0">
        <references count="3">
          <reference field="4294967294" count="1" selected="0">
            <x v="0"/>
          </reference>
          <reference field="0" count="1" selected="0">
            <x v="3"/>
          </reference>
          <reference field="1" count="1" selected="0">
            <x v="51"/>
          </reference>
        </references>
      </pivotArea>
    </chartFormat>
    <chartFormat chart="0" format="348">
      <pivotArea type="data" outline="0" fieldPosition="0">
        <references count="3">
          <reference field="4294967294" count="1" selected="0">
            <x v="0"/>
          </reference>
          <reference field="0" count="1" selected="0">
            <x v="3"/>
          </reference>
          <reference field="1" count="1" selected="0">
            <x v="52"/>
          </reference>
        </references>
      </pivotArea>
    </chartFormat>
    <chartFormat chart="0" format="349">
      <pivotArea type="data" outline="0" fieldPosition="0">
        <references count="3">
          <reference field="4294967294" count="1" selected="0">
            <x v="0"/>
          </reference>
          <reference field="0" count="1" selected="0">
            <x v="3"/>
          </reference>
          <reference field="1" count="1" selected="0">
            <x v="53"/>
          </reference>
        </references>
      </pivotArea>
    </chartFormat>
    <chartFormat chart="0" format="350">
      <pivotArea type="data" outline="0" fieldPosition="0">
        <references count="3">
          <reference field="4294967294" count="1" selected="0">
            <x v="0"/>
          </reference>
          <reference field="0" count="1" selected="0">
            <x v="3"/>
          </reference>
          <reference field="1" count="1" selected="0">
            <x v="54"/>
          </reference>
        </references>
      </pivotArea>
    </chartFormat>
    <chartFormat chart="0" format="351">
      <pivotArea type="data" outline="0" fieldPosition="0">
        <references count="3">
          <reference field="4294967294" count="1" selected="0">
            <x v="0"/>
          </reference>
          <reference field="0" count="1" selected="0">
            <x v="3"/>
          </reference>
          <reference field="1" count="1" selected="0">
            <x v="55"/>
          </reference>
        </references>
      </pivotArea>
    </chartFormat>
    <chartFormat chart="0" format="352">
      <pivotArea type="data" outline="0" fieldPosition="0">
        <references count="3">
          <reference field="4294967294" count="1" selected="0">
            <x v="0"/>
          </reference>
          <reference field="0" count="1" selected="0">
            <x v="3"/>
          </reference>
          <reference field="1" count="1" selected="0">
            <x v="56"/>
          </reference>
        </references>
      </pivotArea>
    </chartFormat>
    <chartFormat chart="0" format="353">
      <pivotArea type="data" outline="0" fieldPosition="0">
        <references count="3">
          <reference field="4294967294" count="1" selected="0">
            <x v="0"/>
          </reference>
          <reference field="0" count="1" selected="0">
            <x v="3"/>
          </reference>
          <reference field="1" count="1" selected="0">
            <x v="57"/>
          </reference>
        </references>
      </pivotArea>
    </chartFormat>
    <chartFormat chart="0" format="354">
      <pivotArea type="data" outline="0" fieldPosition="0">
        <references count="3">
          <reference field="4294967294" count="1" selected="0">
            <x v="0"/>
          </reference>
          <reference field="0" count="1" selected="0">
            <x v="3"/>
          </reference>
          <reference field="1" count="1" selected="0">
            <x v="58"/>
          </reference>
        </references>
      </pivotArea>
    </chartFormat>
    <chartFormat chart="0" format="355">
      <pivotArea type="data" outline="0" fieldPosition="0">
        <references count="3">
          <reference field="4294967294" count="1" selected="0">
            <x v="0"/>
          </reference>
          <reference field="0" count="1" selected="0">
            <x v="3"/>
          </reference>
          <reference field="1" count="1" selected="0">
            <x v="59"/>
          </reference>
        </references>
      </pivotArea>
    </chartFormat>
    <chartFormat chart="0" format="356">
      <pivotArea type="data" outline="0" fieldPosition="0">
        <references count="3">
          <reference field="4294967294" count="1" selected="0">
            <x v="0"/>
          </reference>
          <reference field="0" count="1" selected="0">
            <x v="3"/>
          </reference>
          <reference field="1" count="1" selected="0">
            <x v="60"/>
          </reference>
        </references>
      </pivotArea>
    </chartFormat>
    <chartFormat chart="0" format="357">
      <pivotArea type="data" outline="0" fieldPosition="0">
        <references count="3">
          <reference field="4294967294" count="1" selected="0">
            <x v="0"/>
          </reference>
          <reference field="0" count="1" selected="0">
            <x v="3"/>
          </reference>
          <reference field="1" count="1" selected="0">
            <x v="61"/>
          </reference>
        </references>
      </pivotArea>
    </chartFormat>
    <chartFormat chart="0" format="358">
      <pivotArea type="data" outline="0" fieldPosition="0">
        <references count="3">
          <reference field="4294967294" count="1" selected="0">
            <x v="0"/>
          </reference>
          <reference field="0" count="1" selected="0">
            <x v="3"/>
          </reference>
          <reference field="1" count="1" selected="0">
            <x v="6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1"/>
          </reference>
        </references>
      </pivotArea>
    </chartFormat>
    <chartFormat chart="0" format="360">
      <pivotArea type="data" outline="0" fieldPosition="0">
        <references count="3">
          <reference field="4294967294" count="1" selected="0">
            <x v="0"/>
          </reference>
          <reference field="0" count="1" selected="0">
            <x v="4"/>
          </reference>
          <reference field="1" count="1" selected="0">
            <x v="32"/>
          </reference>
        </references>
      </pivotArea>
    </chartFormat>
    <chartFormat chart="0" format="361">
      <pivotArea type="data" outline="0" fieldPosition="0">
        <references count="3">
          <reference field="4294967294" count="1" selected="0">
            <x v="0"/>
          </reference>
          <reference field="0" count="1" selected="0">
            <x v="4"/>
          </reference>
          <reference field="1" count="1" selected="0">
            <x v="33"/>
          </reference>
        </references>
      </pivotArea>
    </chartFormat>
    <chartFormat chart="0" format="362">
      <pivotArea type="data" outline="0" fieldPosition="0">
        <references count="3">
          <reference field="4294967294" count="1" selected="0">
            <x v="0"/>
          </reference>
          <reference field="0" count="1" selected="0">
            <x v="4"/>
          </reference>
          <reference field="1" count="1" selected="0">
            <x v="34"/>
          </reference>
        </references>
      </pivotArea>
    </chartFormat>
    <chartFormat chart="0" format="363">
      <pivotArea type="data" outline="0" fieldPosition="0">
        <references count="3">
          <reference field="4294967294" count="1" selected="0">
            <x v="0"/>
          </reference>
          <reference field="0" count="1" selected="0">
            <x v="4"/>
          </reference>
          <reference field="1" count="1" selected="0">
            <x v="35"/>
          </reference>
        </references>
      </pivotArea>
    </chartFormat>
    <chartFormat chart="0" format="364">
      <pivotArea type="data" outline="0" fieldPosition="0">
        <references count="3">
          <reference field="4294967294" count="1" selected="0">
            <x v="0"/>
          </reference>
          <reference field="0" count="1" selected="0">
            <x v="4"/>
          </reference>
          <reference field="1" count="1" selected="0">
            <x v="36"/>
          </reference>
        </references>
      </pivotArea>
    </chartFormat>
    <chartFormat chart="0" format="365">
      <pivotArea type="data" outline="0" fieldPosition="0">
        <references count="3">
          <reference field="4294967294" count="1" selected="0">
            <x v="0"/>
          </reference>
          <reference field="0" count="1" selected="0">
            <x v="4"/>
          </reference>
          <reference field="1" count="1" selected="0">
            <x v="37"/>
          </reference>
        </references>
      </pivotArea>
    </chartFormat>
    <chartFormat chart="0" format="366">
      <pivotArea type="data" outline="0" fieldPosition="0">
        <references count="3">
          <reference field="4294967294" count="1" selected="0">
            <x v="0"/>
          </reference>
          <reference field="0" count="1" selected="0">
            <x v="4"/>
          </reference>
          <reference field="1" count="1" selected="0">
            <x v="38"/>
          </reference>
        </references>
      </pivotArea>
    </chartFormat>
    <chartFormat chart="0" format="367">
      <pivotArea type="data" outline="0" fieldPosition="0">
        <references count="3">
          <reference field="4294967294" count="1" selected="0">
            <x v="0"/>
          </reference>
          <reference field="0" count="1" selected="0">
            <x v="4"/>
          </reference>
          <reference field="1" count="1" selected="0">
            <x v="39"/>
          </reference>
        </references>
      </pivotArea>
    </chartFormat>
    <chartFormat chart="0" format="368">
      <pivotArea type="data" outline="0" fieldPosition="0">
        <references count="3">
          <reference field="4294967294" count="1" selected="0">
            <x v="0"/>
          </reference>
          <reference field="0" count="1" selected="0">
            <x v="4"/>
          </reference>
          <reference field="1" count="1" selected="0">
            <x v="40"/>
          </reference>
        </references>
      </pivotArea>
    </chartFormat>
    <chartFormat chart="0" format="369">
      <pivotArea type="data" outline="0" fieldPosition="0">
        <references count="3">
          <reference field="4294967294" count="1" selected="0">
            <x v="0"/>
          </reference>
          <reference field="0" count="1" selected="0">
            <x v="4"/>
          </reference>
          <reference field="1" count="1" selected="0">
            <x v="41"/>
          </reference>
        </references>
      </pivotArea>
    </chartFormat>
    <chartFormat chart="0" format="370">
      <pivotArea type="data" outline="0" fieldPosition="0">
        <references count="3">
          <reference field="4294967294" count="1" selected="0">
            <x v="0"/>
          </reference>
          <reference field="0" count="1" selected="0">
            <x v="4"/>
          </reference>
          <reference field="1" count="1" selected="0">
            <x v="42"/>
          </reference>
        </references>
      </pivotArea>
    </chartFormat>
    <chartFormat chart="0" format="371">
      <pivotArea type="data" outline="0" fieldPosition="0">
        <references count="3">
          <reference field="4294967294" count="1" selected="0">
            <x v="0"/>
          </reference>
          <reference field="0" count="1" selected="0">
            <x v="4"/>
          </reference>
          <reference field="1" count="1" selected="0">
            <x v="43"/>
          </reference>
        </references>
      </pivotArea>
    </chartFormat>
    <chartFormat chart="0" format="372">
      <pivotArea type="data" outline="0" fieldPosition="0">
        <references count="3">
          <reference field="4294967294" count="1" selected="0">
            <x v="0"/>
          </reference>
          <reference field="0" count="1" selected="0">
            <x v="4"/>
          </reference>
          <reference field="1" count="1" selected="0">
            <x v="44"/>
          </reference>
        </references>
      </pivotArea>
    </chartFormat>
    <chartFormat chart="0" format="373">
      <pivotArea type="data" outline="0" fieldPosition="0">
        <references count="3">
          <reference field="4294967294" count="1" selected="0">
            <x v="0"/>
          </reference>
          <reference field="0" count="1" selected="0">
            <x v="4"/>
          </reference>
          <reference field="1" count="1" selected="0">
            <x v="45"/>
          </reference>
        </references>
      </pivotArea>
    </chartFormat>
    <chartFormat chart="0" format="374">
      <pivotArea type="data" outline="0" fieldPosition="0">
        <references count="3">
          <reference field="4294967294" count="1" selected="0">
            <x v="0"/>
          </reference>
          <reference field="0" count="1" selected="0">
            <x v="4"/>
          </reference>
          <reference field="1" count="1" selected="0">
            <x v="46"/>
          </reference>
        </references>
      </pivotArea>
    </chartFormat>
    <chartFormat chart="0" format="375">
      <pivotArea type="data" outline="0" fieldPosition="0">
        <references count="3">
          <reference field="4294967294" count="1" selected="0">
            <x v="0"/>
          </reference>
          <reference field="0" count="1" selected="0">
            <x v="4"/>
          </reference>
          <reference field="1" count="1" selected="0">
            <x v="47"/>
          </reference>
        </references>
      </pivotArea>
    </chartFormat>
    <chartFormat chart="0" format="376">
      <pivotArea type="data" outline="0" fieldPosition="0">
        <references count="3">
          <reference field="4294967294" count="1" selected="0">
            <x v="0"/>
          </reference>
          <reference field="0" count="1" selected="0">
            <x v="4"/>
          </reference>
          <reference field="1" count="1" selected="0">
            <x v="48"/>
          </reference>
        </references>
      </pivotArea>
    </chartFormat>
    <chartFormat chart="0" format="377">
      <pivotArea type="data" outline="0" fieldPosition="0">
        <references count="3">
          <reference field="4294967294" count="1" selected="0">
            <x v="0"/>
          </reference>
          <reference field="0" count="1" selected="0">
            <x v="4"/>
          </reference>
          <reference field="1" count="1" selected="0">
            <x v="49"/>
          </reference>
        </references>
      </pivotArea>
    </chartFormat>
    <chartFormat chart="0" format="378">
      <pivotArea type="data" outline="0" fieldPosition="0">
        <references count="3">
          <reference field="4294967294" count="1" selected="0">
            <x v="0"/>
          </reference>
          <reference field="0" count="1" selected="0">
            <x v="4"/>
          </reference>
          <reference field="1" count="1" selected="0">
            <x v="50"/>
          </reference>
        </references>
      </pivotArea>
    </chartFormat>
    <chartFormat chart="0" format="379">
      <pivotArea type="data" outline="0" fieldPosition="0">
        <references count="3">
          <reference field="4294967294" count="1" selected="0">
            <x v="0"/>
          </reference>
          <reference field="0" count="1" selected="0">
            <x v="4"/>
          </reference>
          <reference field="1" count="1" selected="0">
            <x v="51"/>
          </reference>
        </references>
      </pivotArea>
    </chartFormat>
    <chartFormat chart="0" format="380">
      <pivotArea type="data" outline="0" fieldPosition="0">
        <references count="3">
          <reference field="4294967294" count="1" selected="0">
            <x v="0"/>
          </reference>
          <reference field="0" count="1" selected="0">
            <x v="4"/>
          </reference>
          <reference field="1" count="1" selected="0">
            <x v="52"/>
          </reference>
        </references>
      </pivotArea>
    </chartFormat>
    <chartFormat chart="0" format="381">
      <pivotArea type="data" outline="0" fieldPosition="0">
        <references count="3">
          <reference field="4294967294" count="1" selected="0">
            <x v="0"/>
          </reference>
          <reference field="0" count="1" selected="0">
            <x v="4"/>
          </reference>
          <reference field="1" count="1" selected="0">
            <x v="53"/>
          </reference>
        </references>
      </pivotArea>
    </chartFormat>
    <chartFormat chart="0" format="382">
      <pivotArea type="data" outline="0" fieldPosition="0">
        <references count="3">
          <reference field="4294967294" count="1" selected="0">
            <x v="0"/>
          </reference>
          <reference field="0" count="1" selected="0">
            <x v="4"/>
          </reference>
          <reference field="1" count="1" selected="0">
            <x v="54"/>
          </reference>
        </references>
      </pivotArea>
    </chartFormat>
    <chartFormat chart="0" format="383">
      <pivotArea type="data" outline="0" fieldPosition="0">
        <references count="3">
          <reference field="4294967294" count="1" selected="0">
            <x v="0"/>
          </reference>
          <reference field="0" count="1" selected="0">
            <x v="4"/>
          </reference>
          <reference field="1" count="1" selected="0">
            <x v="55"/>
          </reference>
        </references>
      </pivotArea>
    </chartFormat>
    <chartFormat chart="0" format="384">
      <pivotArea type="data" outline="0" fieldPosition="0">
        <references count="3">
          <reference field="4294967294" count="1" selected="0">
            <x v="0"/>
          </reference>
          <reference field="0" count="1" selected="0">
            <x v="4"/>
          </reference>
          <reference field="1" count="1" selected="0">
            <x v="56"/>
          </reference>
        </references>
      </pivotArea>
    </chartFormat>
    <chartFormat chart="0" format="385">
      <pivotArea type="data" outline="0" fieldPosition="0">
        <references count="3">
          <reference field="4294967294" count="1" selected="0">
            <x v="0"/>
          </reference>
          <reference field="0" count="1" selected="0">
            <x v="4"/>
          </reference>
          <reference field="1" count="1" selected="0">
            <x v="57"/>
          </reference>
        </references>
      </pivotArea>
    </chartFormat>
    <chartFormat chart="0" format="386">
      <pivotArea type="data" outline="0" fieldPosition="0">
        <references count="3">
          <reference field="4294967294" count="1" selected="0">
            <x v="0"/>
          </reference>
          <reference field="0" count="1" selected="0">
            <x v="4"/>
          </reference>
          <reference field="1" count="1" selected="0">
            <x v="58"/>
          </reference>
        </references>
      </pivotArea>
    </chartFormat>
    <chartFormat chart="0" format="387">
      <pivotArea type="data" outline="0" fieldPosition="0">
        <references count="3">
          <reference field="4294967294" count="1" selected="0">
            <x v="0"/>
          </reference>
          <reference field="0" count="1" selected="0">
            <x v="4"/>
          </reference>
          <reference field="1" count="1" selected="0">
            <x v="59"/>
          </reference>
        </references>
      </pivotArea>
    </chartFormat>
    <chartFormat chart="0" format="388">
      <pivotArea type="data" outline="0" fieldPosition="0">
        <references count="3">
          <reference field="4294967294" count="1" selected="0">
            <x v="0"/>
          </reference>
          <reference field="0" count="1" selected="0">
            <x v="4"/>
          </reference>
          <reference field="1" count="1" selected="0">
            <x v="60"/>
          </reference>
        </references>
      </pivotArea>
    </chartFormat>
    <chartFormat chart="0" format="389">
      <pivotArea type="data" outline="0" fieldPosition="0">
        <references count="3">
          <reference field="4294967294" count="1" selected="0">
            <x v="0"/>
          </reference>
          <reference field="0" count="1" selected="0">
            <x v="4"/>
          </reference>
          <reference field="1" count="1" selected="0">
            <x v="63"/>
          </reference>
        </references>
      </pivotArea>
    </chartFormat>
    <chartFormat chart="0" format="390">
      <pivotArea type="data" outline="0" fieldPosition="0">
        <references count="3">
          <reference field="4294967294" count="1" selected="0">
            <x v="0"/>
          </reference>
          <reference field="0" count="1" selected="0">
            <x v="4"/>
          </reference>
          <reference field="1" count="1" selected="0">
            <x v="64"/>
          </reference>
        </references>
      </pivotArea>
    </chartFormat>
    <chartFormat chart="0" format="391">
      <pivotArea type="data" outline="0" fieldPosition="0">
        <references count="3">
          <reference field="4294967294" count="1" selected="0">
            <x v="0"/>
          </reference>
          <reference field="0" count="1" selected="0">
            <x v="4"/>
          </reference>
          <reference field="1" count="1" selected="0">
            <x v="65"/>
          </reference>
        </references>
      </pivotArea>
    </chartFormat>
    <chartFormat chart="0" format="392">
      <pivotArea type="data" outline="0" fieldPosition="0">
        <references count="3">
          <reference field="4294967294" count="1" selected="0">
            <x v="0"/>
          </reference>
          <reference field="0" count="1" selected="0">
            <x v="4"/>
          </reference>
          <reference field="1" count="1" selected="0">
            <x v="66"/>
          </reference>
        </references>
      </pivotArea>
    </chartFormat>
    <chartFormat chart="0" format="393">
      <pivotArea type="data" outline="0" fieldPosition="0">
        <references count="3">
          <reference field="4294967294" count="1" selected="0">
            <x v="0"/>
          </reference>
          <reference field="0" count="1" selected="0">
            <x v="4"/>
          </reference>
          <reference field="1" count="1" selected="0">
            <x v="67"/>
          </reference>
        </references>
      </pivotArea>
    </chartFormat>
    <chartFormat chart="0" format="394">
      <pivotArea type="data" outline="0" fieldPosition="0">
        <references count="3">
          <reference field="4294967294" count="1" selected="0">
            <x v="0"/>
          </reference>
          <reference field="0" count="1" selected="0">
            <x v="4"/>
          </reference>
          <reference field="1" count="1" selected="0">
            <x v="68"/>
          </reference>
        </references>
      </pivotArea>
    </chartFormat>
    <chartFormat chart="0" format="395">
      <pivotArea type="data" outline="0" fieldPosition="0">
        <references count="3">
          <reference field="4294967294" count="1" selected="0">
            <x v="0"/>
          </reference>
          <reference field="0" count="1" selected="0">
            <x v="4"/>
          </reference>
          <reference field="1" count="1" selected="0">
            <x v="69"/>
          </reference>
        </references>
      </pivotArea>
    </chartFormat>
    <chartFormat chart="0" format="396">
      <pivotArea type="data" outline="0" fieldPosition="0">
        <references count="3">
          <reference field="4294967294" count="1" selected="0">
            <x v="0"/>
          </reference>
          <reference field="0" count="1" selected="0">
            <x v="4"/>
          </reference>
          <reference field="1" count="1" selected="0">
            <x v="70"/>
          </reference>
        </references>
      </pivotArea>
    </chartFormat>
    <chartFormat chart="0" format="397">
      <pivotArea type="data" outline="0" fieldPosition="0">
        <references count="3">
          <reference field="4294967294" count="1" selected="0">
            <x v="0"/>
          </reference>
          <reference field="0" count="1" selected="0">
            <x v="4"/>
          </reference>
          <reference field="1" count="1" selected="0">
            <x v="71"/>
          </reference>
        </references>
      </pivotArea>
    </chartFormat>
    <chartFormat chart="0" format="398">
      <pivotArea type="data" outline="0" fieldPosition="0">
        <references count="3">
          <reference field="4294967294" count="1" selected="0">
            <x v="0"/>
          </reference>
          <reference field="0" count="1" selected="0">
            <x v="4"/>
          </reference>
          <reference field="1" count="1" selected="0">
            <x v="72"/>
          </reference>
        </references>
      </pivotArea>
    </chartFormat>
    <chartFormat chart="0" format="399">
      <pivotArea type="data" outline="0" fieldPosition="0">
        <references count="3">
          <reference field="4294967294" count="1" selected="0">
            <x v="0"/>
          </reference>
          <reference field="0" count="1" selected="0">
            <x v="4"/>
          </reference>
          <reference field="1" count="1" selected="0">
            <x v="73"/>
          </reference>
        </references>
      </pivotArea>
    </chartFormat>
    <chartFormat chart="0" format="400">
      <pivotArea type="data" outline="0" fieldPosition="0">
        <references count="3">
          <reference field="4294967294" count="1" selected="0">
            <x v="0"/>
          </reference>
          <reference field="0" count="1" selected="0">
            <x v="4"/>
          </reference>
          <reference field="1" count="1" selected="0">
            <x v="74"/>
          </reference>
        </references>
      </pivotArea>
    </chartFormat>
    <chartFormat chart="0" format="401">
      <pivotArea type="data" outline="0" fieldPosition="0">
        <references count="3">
          <reference field="4294967294" count="1" selected="0">
            <x v="0"/>
          </reference>
          <reference field="0" count="1" selected="0">
            <x v="4"/>
          </reference>
          <reference field="1" count="1" selected="0">
            <x v="75"/>
          </reference>
        </references>
      </pivotArea>
    </chartFormat>
    <chartFormat chart="0" format="402">
      <pivotArea type="data" outline="0" fieldPosition="0">
        <references count="3">
          <reference field="4294967294" count="1" selected="0">
            <x v="0"/>
          </reference>
          <reference field="0" count="1" selected="0">
            <x v="4"/>
          </reference>
          <reference field="1" count="1" selected="0">
            <x v="76"/>
          </reference>
        </references>
      </pivotArea>
    </chartFormat>
    <chartFormat chart="0" format="403">
      <pivotArea type="data" outline="0" fieldPosition="0">
        <references count="3">
          <reference field="4294967294" count="1" selected="0">
            <x v="0"/>
          </reference>
          <reference field="0" count="1" selected="0">
            <x v="4"/>
          </reference>
          <reference field="1" count="1" selected="0">
            <x v="77"/>
          </reference>
        </references>
      </pivotArea>
    </chartFormat>
    <chartFormat chart="0" format="404">
      <pivotArea type="data" outline="0" fieldPosition="0">
        <references count="3">
          <reference field="4294967294" count="1" selected="0">
            <x v="0"/>
          </reference>
          <reference field="0" count="1" selected="0">
            <x v="4"/>
          </reference>
          <reference field="1" count="1" selected="0">
            <x v="78"/>
          </reference>
        </references>
      </pivotArea>
    </chartFormat>
    <chartFormat chart="0" format="405">
      <pivotArea type="data" outline="0" fieldPosition="0">
        <references count="3">
          <reference field="4294967294" count="1" selected="0">
            <x v="2"/>
          </reference>
          <reference field="0" count="1" selected="0">
            <x v="4"/>
          </reference>
          <reference field="1" count="1" selected="0">
            <x v="44"/>
          </reference>
        </references>
      </pivotArea>
    </chartFormat>
    <chartFormat chart="0" format="406">
      <pivotArea type="data" outline="0" fieldPosition="0">
        <references count="3">
          <reference field="4294967294" count="1" selected="0">
            <x v="2"/>
          </reference>
          <reference field="0" count="1" selected="0">
            <x v="4"/>
          </reference>
          <reference field="1" count="1" selected="0">
            <x v="45"/>
          </reference>
        </references>
      </pivotArea>
    </chartFormat>
    <chartFormat chart="0" format="407">
      <pivotArea type="data" outline="0" fieldPosition="0">
        <references count="3">
          <reference field="4294967294" count="1" selected="0">
            <x v="2"/>
          </reference>
          <reference field="0" count="1" selected="0">
            <x v="4"/>
          </reference>
          <reference field="1" count="1" selected="0">
            <x v="46"/>
          </reference>
        </references>
      </pivotArea>
    </chartFormat>
    <chartFormat chart="0" format="408">
      <pivotArea type="data" outline="0" fieldPosition="0">
        <references count="3">
          <reference field="4294967294" count="1" selected="0">
            <x v="2"/>
          </reference>
          <reference field="0" count="1" selected="0">
            <x v="4"/>
          </reference>
          <reference field="1" count="1" selected="0">
            <x v="47"/>
          </reference>
        </references>
      </pivotArea>
    </chartFormat>
    <chartFormat chart="0" format="409">
      <pivotArea type="data" outline="0" fieldPosition="0">
        <references count="3">
          <reference field="4294967294" count="1" selected="0">
            <x v="2"/>
          </reference>
          <reference field="0" count="1" selected="0">
            <x v="4"/>
          </reference>
          <reference field="1" count="1" selected="0">
            <x v="48"/>
          </reference>
        </references>
      </pivotArea>
    </chartFormat>
    <chartFormat chart="0" format="410">
      <pivotArea type="data" outline="0" fieldPosition="0">
        <references count="3">
          <reference field="4294967294" count="1" selected="0">
            <x v="2"/>
          </reference>
          <reference field="0" count="1" selected="0">
            <x v="4"/>
          </reference>
          <reference field="1" count="1" selected="0">
            <x v="49"/>
          </reference>
        </references>
      </pivotArea>
    </chartFormat>
    <chartFormat chart="0" format="411">
      <pivotArea type="data" outline="0" fieldPosition="0">
        <references count="3">
          <reference field="4294967294" count="1" selected="0">
            <x v="2"/>
          </reference>
          <reference field="0" count="1" selected="0">
            <x v="4"/>
          </reference>
          <reference field="1" count="1" selected="0">
            <x v="50"/>
          </reference>
        </references>
      </pivotArea>
    </chartFormat>
    <chartFormat chart="0" format="412">
      <pivotArea type="data" outline="0" fieldPosition="0">
        <references count="3">
          <reference field="4294967294" count="1" selected="0">
            <x v="2"/>
          </reference>
          <reference field="0" count="1" selected="0">
            <x v="4"/>
          </reference>
          <reference field="1" count="1" selected="0">
            <x v="77"/>
          </reference>
        </references>
      </pivotArea>
    </chartFormat>
    <chartFormat chart="0" format="413">
      <pivotArea type="data" outline="0" fieldPosition="0">
        <references count="3">
          <reference field="4294967294" count="1" selected="0">
            <x v="2"/>
          </reference>
          <reference field="0" count="1" selected="0">
            <x v="4"/>
          </reference>
          <reference field="1" count="1" selected="0">
            <x v="78"/>
          </reference>
        </references>
      </pivotArea>
    </chartFormat>
    <chartFormat chart="0" format="414">
      <pivotArea type="data" outline="0" fieldPosition="0">
        <references count="3">
          <reference field="4294967294" count="1" selected="0">
            <x v="0"/>
          </reference>
          <reference field="0" count="1" selected="0">
            <x v="4"/>
          </reference>
          <reference field="1" count="1" selected="0">
            <x v="61"/>
          </reference>
        </references>
      </pivotArea>
    </chartFormat>
    <chartFormat chart="0" format="415">
      <pivotArea type="data" outline="0" fieldPosition="0">
        <references count="3">
          <reference field="4294967294" count="1" selected="0">
            <x v="0"/>
          </reference>
          <reference field="0" count="1" selected="0">
            <x v="4"/>
          </reference>
          <reference field="1" count="1" selected="0">
            <x v="62"/>
          </reference>
        </references>
      </pivotArea>
    </chartFormat>
    <chartFormat chart="0" format="416">
      <pivotArea type="data" outline="0" fieldPosition="0">
        <references count="3">
          <reference field="4294967294" count="1" selected="0">
            <x v="2"/>
          </reference>
          <reference field="0" count="1" selected="0">
            <x v="4"/>
          </reference>
          <reference field="1" count="1" selected="0">
            <x v="61"/>
          </reference>
        </references>
      </pivotArea>
    </chartFormat>
    <chartFormat chart="0" format="417">
      <pivotArea type="data" outline="0" fieldPosition="0">
        <references count="3">
          <reference field="4294967294" count="1" selected="0">
            <x v="2"/>
          </reference>
          <reference field="0" count="1" selected="0">
            <x v="4"/>
          </reference>
          <reference field="1" count="1" selected="0">
            <x v="62"/>
          </reference>
        </references>
      </pivotArea>
    </chartFormat>
    <chartFormat chart="0" format="418">
      <pivotArea type="data" outline="0" fieldPosition="0">
        <references count="3">
          <reference field="4294967294" count="1" selected="0">
            <x v="0"/>
          </reference>
          <reference field="0" count="1" selected="0">
            <x v="5"/>
          </reference>
          <reference field="1" count="1" selected="0">
            <x v="31"/>
          </reference>
        </references>
      </pivotArea>
    </chartFormat>
    <chartFormat chart="0" format="419">
      <pivotArea type="data" outline="0" fieldPosition="0">
        <references count="3">
          <reference field="4294967294" count="1" selected="0">
            <x v="0"/>
          </reference>
          <reference field="0" count="1" selected="0">
            <x v="5"/>
          </reference>
          <reference field="1" count="1" selected="0">
            <x v="32"/>
          </reference>
        </references>
      </pivotArea>
    </chartFormat>
    <chartFormat chart="0" format="420">
      <pivotArea type="data" outline="0" fieldPosition="0">
        <references count="3">
          <reference field="4294967294" count="1" selected="0">
            <x v="0"/>
          </reference>
          <reference field="0" count="1" selected="0">
            <x v="5"/>
          </reference>
          <reference field="1" count="1" selected="0">
            <x v="33"/>
          </reference>
        </references>
      </pivotArea>
    </chartFormat>
    <chartFormat chart="0" format="421">
      <pivotArea type="data" outline="0" fieldPosition="0">
        <references count="3">
          <reference field="4294967294" count="1" selected="0">
            <x v="0"/>
          </reference>
          <reference field="0" count="1" selected="0">
            <x v="5"/>
          </reference>
          <reference field="1" count="1" selected="0">
            <x v="34"/>
          </reference>
        </references>
      </pivotArea>
    </chartFormat>
    <chartFormat chart="0" format="422">
      <pivotArea type="data" outline="0" fieldPosition="0">
        <references count="3">
          <reference field="4294967294" count="1" selected="0">
            <x v="0"/>
          </reference>
          <reference field="0" count="1" selected="0">
            <x v="5"/>
          </reference>
          <reference field="1" count="1" selected="0">
            <x v="35"/>
          </reference>
        </references>
      </pivotArea>
    </chartFormat>
    <chartFormat chart="0" format="423">
      <pivotArea type="data" outline="0" fieldPosition="0">
        <references count="3">
          <reference field="4294967294" count="1" selected="0">
            <x v="0"/>
          </reference>
          <reference field="0" count="1" selected="0">
            <x v="5"/>
          </reference>
          <reference field="1" count="1" selected="0">
            <x v="36"/>
          </reference>
        </references>
      </pivotArea>
    </chartFormat>
    <chartFormat chart="0" format="424">
      <pivotArea type="data" outline="0" fieldPosition="0">
        <references count="3">
          <reference field="4294967294" count="1" selected="0">
            <x v="0"/>
          </reference>
          <reference field="0" count="1" selected="0">
            <x v="5"/>
          </reference>
          <reference field="1" count="1" selected="0">
            <x v="37"/>
          </reference>
        </references>
      </pivotArea>
    </chartFormat>
    <chartFormat chart="0" format="425">
      <pivotArea type="data" outline="0" fieldPosition="0">
        <references count="3">
          <reference field="4294967294" count="1" selected="0">
            <x v="0"/>
          </reference>
          <reference field="0" count="1" selected="0">
            <x v="5"/>
          </reference>
          <reference field="1" count="1" selected="0">
            <x v="38"/>
          </reference>
        </references>
      </pivotArea>
    </chartFormat>
    <chartFormat chart="0" format="426">
      <pivotArea type="data" outline="0" fieldPosition="0">
        <references count="3">
          <reference field="4294967294" count="1" selected="0">
            <x v="0"/>
          </reference>
          <reference field="0" count="1" selected="0">
            <x v="5"/>
          </reference>
          <reference field="1" count="1" selected="0">
            <x v="40"/>
          </reference>
        </references>
      </pivotArea>
    </chartFormat>
    <chartFormat chart="0" format="427">
      <pivotArea type="data" outline="0" fieldPosition="0">
        <references count="3">
          <reference field="4294967294" count="1" selected="0">
            <x v="0"/>
          </reference>
          <reference field="0" count="1" selected="0">
            <x v="5"/>
          </reference>
          <reference field="1" count="1" selected="0">
            <x v="63"/>
          </reference>
        </references>
      </pivotArea>
    </chartFormat>
    <chartFormat chart="0" format="428">
      <pivotArea type="data" outline="0" fieldPosition="0">
        <references count="3">
          <reference field="4294967294" count="1" selected="0">
            <x v="0"/>
          </reference>
          <reference field="0" count="1" selected="0">
            <x v="5"/>
          </reference>
          <reference field="1" count="1" selected="0">
            <x v="64"/>
          </reference>
        </references>
      </pivotArea>
    </chartFormat>
    <chartFormat chart="0" format="429">
      <pivotArea type="data" outline="0" fieldPosition="0">
        <references count="3">
          <reference field="4294967294" count="1" selected="0">
            <x v="0"/>
          </reference>
          <reference field="0" count="1" selected="0">
            <x v="5"/>
          </reference>
          <reference field="1" count="1" selected="0">
            <x v="65"/>
          </reference>
        </references>
      </pivotArea>
    </chartFormat>
    <chartFormat chart="0" format="430">
      <pivotArea type="data" outline="0" fieldPosition="0">
        <references count="3">
          <reference field="4294967294" count="1" selected="0">
            <x v="0"/>
          </reference>
          <reference field="0" count="1" selected="0">
            <x v="5"/>
          </reference>
          <reference field="1" count="1" selected="0">
            <x v="66"/>
          </reference>
        </references>
      </pivotArea>
    </chartFormat>
    <chartFormat chart="0" format="431">
      <pivotArea type="data" outline="0" fieldPosition="0">
        <references count="3">
          <reference field="4294967294" count="1" selected="0">
            <x v="0"/>
          </reference>
          <reference field="0" count="1" selected="0">
            <x v="5"/>
          </reference>
          <reference field="1" count="1" selected="0">
            <x v="67"/>
          </reference>
        </references>
      </pivotArea>
    </chartFormat>
    <chartFormat chart="0" format="432">
      <pivotArea type="data" outline="0" fieldPosition="0">
        <references count="3">
          <reference field="4294967294" count="1" selected="0">
            <x v="0"/>
          </reference>
          <reference field="0" count="1" selected="0">
            <x v="5"/>
          </reference>
          <reference field="1" count="1" selected="0">
            <x v="68"/>
          </reference>
        </references>
      </pivotArea>
    </chartFormat>
    <chartFormat chart="0" format="433">
      <pivotArea type="data" outline="0" fieldPosition="0">
        <references count="3">
          <reference field="4294967294" count="1" selected="0">
            <x v="0"/>
          </reference>
          <reference field="0" count="1" selected="0">
            <x v="5"/>
          </reference>
          <reference field="1" count="1" selected="0">
            <x v="69"/>
          </reference>
        </references>
      </pivotArea>
    </chartFormat>
    <chartFormat chart="0" format="434">
      <pivotArea type="data" outline="0" fieldPosition="0">
        <references count="3">
          <reference field="4294967294" count="1" selected="0">
            <x v="0"/>
          </reference>
          <reference field="0" count="1" selected="0">
            <x v="5"/>
          </reference>
          <reference field="1" count="1" selected="0">
            <x v="70"/>
          </reference>
        </references>
      </pivotArea>
    </chartFormat>
    <chartFormat chart="0" format="435">
      <pivotArea type="data" outline="0" fieldPosition="0">
        <references count="3">
          <reference field="4294967294" count="1" selected="0">
            <x v="0"/>
          </reference>
          <reference field="0" count="1" selected="0">
            <x v="5"/>
          </reference>
          <reference field="1" count="1" selected="0">
            <x v="71"/>
          </reference>
        </references>
      </pivotArea>
    </chartFormat>
    <chartFormat chart="0" format="436">
      <pivotArea type="data" outline="0" fieldPosition="0">
        <references count="3">
          <reference field="4294967294" count="1" selected="0">
            <x v="0"/>
          </reference>
          <reference field="0" count="1" selected="0">
            <x v="5"/>
          </reference>
          <reference field="1" count="1" selected="0">
            <x v="72"/>
          </reference>
        </references>
      </pivotArea>
    </chartFormat>
    <chartFormat chart="0" format="437">
      <pivotArea type="data" outline="0" fieldPosition="0">
        <references count="3">
          <reference field="4294967294" count="1" selected="0">
            <x v="0"/>
          </reference>
          <reference field="0" count="1" selected="0">
            <x v="5"/>
          </reference>
          <reference field="1" count="1" selected="0">
            <x v="73"/>
          </reference>
        </references>
      </pivotArea>
    </chartFormat>
    <chartFormat chart="0" format="438">
      <pivotArea type="data" outline="0" fieldPosition="0">
        <references count="3">
          <reference field="4294967294" count="1" selected="0">
            <x v="0"/>
          </reference>
          <reference field="0" count="1" selected="0">
            <x v="5"/>
          </reference>
          <reference field="1" count="1" selected="0">
            <x v="74"/>
          </reference>
        </references>
      </pivotArea>
    </chartFormat>
    <chartFormat chart="0" format="439">
      <pivotArea type="data" outline="0" fieldPosition="0">
        <references count="3">
          <reference field="4294967294" count="1" selected="0">
            <x v="0"/>
          </reference>
          <reference field="0" count="1" selected="0">
            <x v="5"/>
          </reference>
          <reference field="1" count="1" selected="0">
            <x v="75"/>
          </reference>
        </references>
      </pivotArea>
    </chartFormat>
    <chartFormat chart="0" format="440">
      <pivotArea type="data" outline="0" fieldPosition="0">
        <references count="3">
          <reference field="4294967294" count="1" selected="0">
            <x v="0"/>
          </reference>
          <reference field="0" count="1" selected="0">
            <x v="5"/>
          </reference>
          <reference field="1" count="1" selected="0">
            <x v="76"/>
          </reference>
        </references>
      </pivotArea>
    </chartFormat>
    <chartFormat chart="0" format="441">
      <pivotArea type="data" outline="0" fieldPosition="0">
        <references count="3">
          <reference field="4294967294" count="1" selected="0">
            <x v="0"/>
          </reference>
          <reference field="0" count="1" selected="0">
            <x v="5"/>
          </reference>
          <reference field="1" count="1" selected="0">
            <x v="77"/>
          </reference>
        </references>
      </pivotArea>
    </chartFormat>
    <chartFormat chart="0" format="442">
      <pivotArea type="data" outline="0" fieldPosition="0">
        <references count="3">
          <reference field="4294967294" count="1" selected="0">
            <x v="0"/>
          </reference>
          <reference field="0" count="1" selected="0">
            <x v="5"/>
          </reference>
          <reference field="1" count="1" selected="0">
            <x v="78"/>
          </reference>
        </references>
      </pivotArea>
    </chartFormat>
    <chartFormat chart="0" format="443">
      <pivotArea type="data" outline="0" fieldPosition="0">
        <references count="3">
          <reference field="4294967294" count="1" selected="0">
            <x v="2"/>
          </reference>
          <reference field="0" count="1" selected="0">
            <x v="5"/>
          </reference>
          <reference field="1" count="1" selected="0">
            <x v="31"/>
          </reference>
        </references>
      </pivotArea>
    </chartFormat>
    <chartFormat chart="0" format="444">
      <pivotArea type="data" outline="0" fieldPosition="0">
        <references count="3">
          <reference field="4294967294" count="1" selected="0">
            <x v="2"/>
          </reference>
          <reference field="0" count="1" selected="0">
            <x v="5"/>
          </reference>
          <reference field="1" count="1" selected="0">
            <x v="32"/>
          </reference>
        </references>
      </pivotArea>
    </chartFormat>
    <chartFormat chart="0" format="445">
      <pivotArea type="data" outline="0" fieldPosition="0">
        <references count="3">
          <reference field="4294967294" count="1" selected="0">
            <x v="2"/>
          </reference>
          <reference field="0" count="1" selected="0">
            <x v="5"/>
          </reference>
          <reference field="1" count="1" selected="0">
            <x v="33"/>
          </reference>
        </references>
      </pivotArea>
    </chartFormat>
    <chartFormat chart="0" format="446">
      <pivotArea type="data" outline="0" fieldPosition="0">
        <references count="3">
          <reference field="4294967294" count="1" selected="0">
            <x v="2"/>
          </reference>
          <reference field="0" count="1" selected="0">
            <x v="5"/>
          </reference>
          <reference field="1" count="1" selected="0">
            <x v="34"/>
          </reference>
        </references>
      </pivotArea>
    </chartFormat>
    <chartFormat chart="0" format="447">
      <pivotArea type="data" outline="0" fieldPosition="0">
        <references count="3">
          <reference field="4294967294" count="1" selected="0">
            <x v="2"/>
          </reference>
          <reference field="0" count="1" selected="0">
            <x v="5"/>
          </reference>
          <reference field="1" count="1" selected="0">
            <x v="35"/>
          </reference>
        </references>
      </pivotArea>
    </chartFormat>
    <chartFormat chart="0" format="448">
      <pivotArea type="data" outline="0" fieldPosition="0">
        <references count="3">
          <reference field="4294967294" count="1" selected="0">
            <x v="2"/>
          </reference>
          <reference field="0" count="1" selected="0">
            <x v="5"/>
          </reference>
          <reference field="1" count="1" selected="0">
            <x v="36"/>
          </reference>
        </references>
      </pivotArea>
    </chartFormat>
    <chartFormat chart="0" format="449">
      <pivotArea type="data" outline="0" fieldPosition="0">
        <references count="3">
          <reference field="4294967294" count="1" selected="0">
            <x v="2"/>
          </reference>
          <reference field="0" count="1" selected="0">
            <x v="5"/>
          </reference>
          <reference field="1" count="1" selected="0">
            <x v="37"/>
          </reference>
        </references>
      </pivotArea>
    </chartFormat>
    <chartFormat chart="0" format="450">
      <pivotArea type="data" outline="0" fieldPosition="0">
        <references count="3">
          <reference field="4294967294" count="1" selected="0">
            <x v="2"/>
          </reference>
          <reference field="0" count="1" selected="0">
            <x v="5"/>
          </reference>
          <reference field="1" count="1" selected="0">
            <x v="38"/>
          </reference>
        </references>
      </pivotArea>
    </chartFormat>
    <chartFormat chart="0" format="451">
      <pivotArea type="data" outline="0" fieldPosition="0">
        <references count="3">
          <reference field="4294967294" count="1" selected="0">
            <x v="2"/>
          </reference>
          <reference field="0" count="1" selected="0">
            <x v="5"/>
          </reference>
          <reference field="1" count="1" selected="0">
            <x v="40"/>
          </reference>
        </references>
      </pivotArea>
    </chartFormat>
    <chartFormat chart="0" format="452">
      <pivotArea type="data" outline="0" fieldPosition="0">
        <references count="3">
          <reference field="4294967294" count="1" selected="0">
            <x v="2"/>
          </reference>
          <reference field="0" count="1" selected="0">
            <x v="5"/>
          </reference>
          <reference field="1" count="1" selected="0">
            <x v="63"/>
          </reference>
        </references>
      </pivotArea>
    </chartFormat>
    <chartFormat chart="0" format="453">
      <pivotArea type="data" outline="0" fieldPosition="0">
        <references count="3">
          <reference field="4294967294" count="1" selected="0">
            <x v="2"/>
          </reference>
          <reference field="0" count="1" selected="0">
            <x v="5"/>
          </reference>
          <reference field="1" count="1" selected="0">
            <x v="64"/>
          </reference>
        </references>
      </pivotArea>
    </chartFormat>
    <chartFormat chart="0" format="454">
      <pivotArea type="data" outline="0" fieldPosition="0">
        <references count="3">
          <reference field="4294967294" count="1" selected="0">
            <x v="2"/>
          </reference>
          <reference field="0" count="1" selected="0">
            <x v="5"/>
          </reference>
          <reference field="1" count="1" selected="0">
            <x v="65"/>
          </reference>
        </references>
      </pivotArea>
    </chartFormat>
    <chartFormat chart="0" format="455">
      <pivotArea type="data" outline="0" fieldPosition="0">
        <references count="3">
          <reference field="4294967294" count="1" selected="0">
            <x v="2"/>
          </reference>
          <reference field="0" count="1" selected="0">
            <x v="5"/>
          </reference>
          <reference field="1" count="1" selected="0">
            <x v="66"/>
          </reference>
        </references>
      </pivotArea>
    </chartFormat>
    <chartFormat chart="0" format="456">
      <pivotArea type="data" outline="0" fieldPosition="0">
        <references count="3">
          <reference field="4294967294" count="1" selected="0">
            <x v="2"/>
          </reference>
          <reference field="0" count="1" selected="0">
            <x v="5"/>
          </reference>
          <reference field="1" count="1" selected="0">
            <x v="67"/>
          </reference>
        </references>
      </pivotArea>
    </chartFormat>
    <chartFormat chart="0" format="457">
      <pivotArea type="data" outline="0" fieldPosition="0">
        <references count="3">
          <reference field="4294967294" count="1" selected="0">
            <x v="2"/>
          </reference>
          <reference field="0" count="1" selected="0">
            <x v="5"/>
          </reference>
          <reference field="1" count="1" selected="0">
            <x v="68"/>
          </reference>
        </references>
      </pivotArea>
    </chartFormat>
    <chartFormat chart="0" format="458">
      <pivotArea type="data" outline="0" fieldPosition="0">
        <references count="3">
          <reference field="4294967294" count="1" selected="0">
            <x v="2"/>
          </reference>
          <reference field="0" count="1" selected="0">
            <x v="5"/>
          </reference>
          <reference field="1" count="1" selected="0">
            <x v="69"/>
          </reference>
        </references>
      </pivotArea>
    </chartFormat>
    <chartFormat chart="0" format="459">
      <pivotArea type="data" outline="0" fieldPosition="0">
        <references count="3">
          <reference field="4294967294" count="1" selected="0">
            <x v="2"/>
          </reference>
          <reference field="0" count="1" selected="0">
            <x v="5"/>
          </reference>
          <reference field="1" count="1" selected="0">
            <x v="70"/>
          </reference>
        </references>
      </pivotArea>
    </chartFormat>
    <chartFormat chart="0" format="460">
      <pivotArea type="data" outline="0" fieldPosition="0">
        <references count="3">
          <reference field="4294967294" count="1" selected="0">
            <x v="2"/>
          </reference>
          <reference field="0" count="1" selected="0">
            <x v="5"/>
          </reference>
          <reference field="1" count="1" selected="0">
            <x v="71"/>
          </reference>
        </references>
      </pivotArea>
    </chartFormat>
    <chartFormat chart="0" format="461">
      <pivotArea type="data" outline="0" fieldPosition="0">
        <references count="3">
          <reference field="4294967294" count="1" selected="0">
            <x v="2"/>
          </reference>
          <reference field="0" count="1" selected="0">
            <x v="5"/>
          </reference>
          <reference field="1" count="1" selected="0">
            <x v="72"/>
          </reference>
        </references>
      </pivotArea>
    </chartFormat>
    <chartFormat chart="0" format="462">
      <pivotArea type="data" outline="0" fieldPosition="0">
        <references count="3">
          <reference field="4294967294" count="1" selected="0">
            <x v="2"/>
          </reference>
          <reference field="0" count="1" selected="0">
            <x v="5"/>
          </reference>
          <reference field="1" count="1" selected="0">
            <x v="73"/>
          </reference>
        </references>
      </pivotArea>
    </chartFormat>
    <chartFormat chart="0" format="463">
      <pivotArea type="data" outline="0" fieldPosition="0">
        <references count="3">
          <reference field="4294967294" count="1" selected="0">
            <x v="2"/>
          </reference>
          <reference field="0" count="1" selected="0">
            <x v="5"/>
          </reference>
          <reference field="1" count="1" selected="0">
            <x v="74"/>
          </reference>
        </references>
      </pivotArea>
    </chartFormat>
    <chartFormat chart="0" format="464">
      <pivotArea type="data" outline="0" fieldPosition="0">
        <references count="3">
          <reference field="4294967294" count="1" selected="0">
            <x v="2"/>
          </reference>
          <reference field="0" count="1" selected="0">
            <x v="5"/>
          </reference>
          <reference field="1" count="1" selected="0">
            <x v="75"/>
          </reference>
        </references>
      </pivotArea>
    </chartFormat>
    <chartFormat chart="0" format="465">
      <pivotArea type="data" outline="0" fieldPosition="0">
        <references count="3">
          <reference field="4294967294" count="1" selected="0">
            <x v="2"/>
          </reference>
          <reference field="0" count="1" selected="0">
            <x v="5"/>
          </reference>
          <reference field="1" count="1" selected="0">
            <x v="76"/>
          </reference>
        </references>
      </pivotArea>
    </chartFormat>
    <chartFormat chart="0" format="466">
      <pivotArea type="data" outline="0" fieldPosition="0">
        <references count="3">
          <reference field="4294967294" count="1" selected="0">
            <x v="2"/>
          </reference>
          <reference field="0" count="1" selected="0">
            <x v="5"/>
          </reference>
          <reference field="1" count="1" selected="0">
            <x v="77"/>
          </reference>
        </references>
      </pivotArea>
    </chartFormat>
    <chartFormat chart="0" format="467">
      <pivotArea type="data" outline="0" fieldPosition="0">
        <references count="3">
          <reference field="4294967294" count="1" selected="0">
            <x v="2"/>
          </reference>
          <reference field="0" count="1" selected="0">
            <x v="5"/>
          </reference>
          <reference field="1" count="1" selected="0">
            <x v="78"/>
          </reference>
        </references>
      </pivotArea>
    </chartFormat>
    <chartFormat chart="0" format="468">
      <pivotArea type="data" outline="0" fieldPosition="0">
        <references count="3">
          <reference field="4294967294" count="1" selected="0">
            <x v="0"/>
          </reference>
          <reference field="0" count="1" selected="0">
            <x v="5"/>
          </reference>
          <reference field="1" count="1" selected="0">
            <x v="41"/>
          </reference>
        </references>
      </pivotArea>
    </chartFormat>
    <chartFormat chart="0" format="469">
      <pivotArea type="data" outline="0" fieldPosition="0">
        <references count="3">
          <reference field="4294967294" count="1" selected="0">
            <x v="0"/>
          </reference>
          <reference field="0" count="1" selected="0">
            <x v="5"/>
          </reference>
          <reference field="1" count="1" selected="0">
            <x v="42"/>
          </reference>
        </references>
      </pivotArea>
    </chartFormat>
    <chartFormat chart="0" format="470">
      <pivotArea type="data" outline="0" fieldPosition="0">
        <references count="3">
          <reference field="4294967294" count="1" selected="0">
            <x v="2"/>
          </reference>
          <reference field="0" count="1" selected="0">
            <x v="5"/>
          </reference>
          <reference field="1" count="1" selected="0">
            <x v="41"/>
          </reference>
        </references>
      </pivotArea>
    </chartFormat>
    <chartFormat chart="0" format="471">
      <pivotArea type="data" outline="0" fieldPosition="0">
        <references count="3">
          <reference field="4294967294" count="1" selected="0">
            <x v="2"/>
          </reference>
          <reference field="0" count="1" selected="0">
            <x v="5"/>
          </reference>
          <reference field="1" count="1" selected="0">
            <x v="42"/>
          </reference>
        </references>
      </pivotArea>
    </chartFormat>
    <chartFormat chart="0" format="472">
      <pivotArea type="data" outline="0" fieldPosition="0">
        <references count="3">
          <reference field="4294967294" count="1" selected="0">
            <x v="0"/>
          </reference>
          <reference field="0" count="1" selected="0">
            <x v="5"/>
          </reference>
          <reference field="1" count="1" selected="0">
            <x v="43"/>
          </reference>
        </references>
      </pivotArea>
    </chartFormat>
    <chartFormat chart="0" format="473">
      <pivotArea type="data" outline="0" fieldPosition="0">
        <references count="3">
          <reference field="4294967294" count="1" selected="0">
            <x v="0"/>
          </reference>
          <reference field="0" count="1" selected="0">
            <x v="5"/>
          </reference>
          <reference field="1" count="1" selected="0">
            <x v="44"/>
          </reference>
        </references>
      </pivotArea>
    </chartFormat>
    <chartFormat chart="0" format="474">
      <pivotArea type="data" outline="0" fieldPosition="0">
        <references count="3">
          <reference field="4294967294" count="1" selected="0">
            <x v="0"/>
          </reference>
          <reference field="0" count="1" selected="0">
            <x v="5"/>
          </reference>
          <reference field="1" count="1" selected="0">
            <x v="45"/>
          </reference>
        </references>
      </pivotArea>
    </chartFormat>
    <chartFormat chart="0" format="475">
      <pivotArea type="data" outline="0" fieldPosition="0">
        <references count="3">
          <reference field="4294967294" count="1" selected="0">
            <x v="0"/>
          </reference>
          <reference field="0" count="1" selected="0">
            <x v="5"/>
          </reference>
          <reference field="1" count="1" selected="0">
            <x v="46"/>
          </reference>
        </references>
      </pivotArea>
    </chartFormat>
    <chartFormat chart="0" format="476">
      <pivotArea type="data" outline="0" fieldPosition="0">
        <references count="3">
          <reference field="4294967294" count="1" selected="0">
            <x v="0"/>
          </reference>
          <reference field="0" count="1" selected="0">
            <x v="5"/>
          </reference>
          <reference field="1" count="1" selected="0">
            <x v="47"/>
          </reference>
        </references>
      </pivotArea>
    </chartFormat>
    <chartFormat chart="0" format="477">
      <pivotArea type="data" outline="0" fieldPosition="0">
        <references count="3">
          <reference field="4294967294" count="1" selected="0">
            <x v="0"/>
          </reference>
          <reference field="0" count="1" selected="0">
            <x v="5"/>
          </reference>
          <reference field="1" count="1" selected="0">
            <x v="48"/>
          </reference>
        </references>
      </pivotArea>
    </chartFormat>
    <chartFormat chart="0" format="478">
      <pivotArea type="data" outline="0" fieldPosition="0">
        <references count="3">
          <reference field="4294967294" count="1" selected="0">
            <x v="0"/>
          </reference>
          <reference field="0" count="1" selected="0">
            <x v="5"/>
          </reference>
          <reference field="1" count="1" selected="0">
            <x v="49"/>
          </reference>
        </references>
      </pivotArea>
    </chartFormat>
    <chartFormat chart="0" format="479">
      <pivotArea type="data" outline="0" fieldPosition="0">
        <references count="3">
          <reference field="4294967294" count="1" selected="0">
            <x v="0"/>
          </reference>
          <reference field="0" count="1" selected="0">
            <x v="5"/>
          </reference>
          <reference field="1" count="1" selected="0">
            <x v="50"/>
          </reference>
        </references>
      </pivotArea>
    </chartFormat>
    <chartFormat chart="0" format="480">
      <pivotArea type="data" outline="0" fieldPosition="0">
        <references count="3">
          <reference field="4294967294" count="1" selected="0">
            <x v="0"/>
          </reference>
          <reference field="0" count="1" selected="0">
            <x v="5"/>
          </reference>
          <reference field="1" count="1" selected="0">
            <x v="51"/>
          </reference>
        </references>
      </pivotArea>
    </chartFormat>
    <chartFormat chart="0" format="481">
      <pivotArea type="data" outline="0" fieldPosition="0">
        <references count="3">
          <reference field="4294967294" count="1" selected="0">
            <x v="0"/>
          </reference>
          <reference field="0" count="1" selected="0">
            <x v="5"/>
          </reference>
          <reference field="1" count="1" selected="0">
            <x v="52"/>
          </reference>
        </references>
      </pivotArea>
    </chartFormat>
    <chartFormat chart="0" format="482">
      <pivotArea type="data" outline="0" fieldPosition="0">
        <references count="3">
          <reference field="4294967294" count="1" selected="0">
            <x v="0"/>
          </reference>
          <reference field="0" count="1" selected="0">
            <x v="5"/>
          </reference>
          <reference field="1" count="1" selected="0">
            <x v="53"/>
          </reference>
        </references>
      </pivotArea>
    </chartFormat>
    <chartFormat chart="0" format="483">
      <pivotArea type="data" outline="0" fieldPosition="0">
        <references count="3">
          <reference field="4294967294" count="1" selected="0">
            <x v="0"/>
          </reference>
          <reference field="0" count="1" selected="0">
            <x v="5"/>
          </reference>
          <reference field="1" count="1" selected="0">
            <x v="54"/>
          </reference>
        </references>
      </pivotArea>
    </chartFormat>
    <chartFormat chart="0" format="484">
      <pivotArea type="data" outline="0" fieldPosition="0">
        <references count="3">
          <reference field="4294967294" count="1" selected="0">
            <x v="0"/>
          </reference>
          <reference field="0" count="1" selected="0">
            <x v="5"/>
          </reference>
          <reference field="1" count="1" selected="0">
            <x v="55"/>
          </reference>
        </references>
      </pivotArea>
    </chartFormat>
    <chartFormat chart="0" format="485">
      <pivotArea type="data" outline="0" fieldPosition="0">
        <references count="3">
          <reference field="4294967294" count="1" selected="0">
            <x v="0"/>
          </reference>
          <reference field="0" count="1" selected="0">
            <x v="5"/>
          </reference>
          <reference field="1" count="1" selected="0">
            <x v="56"/>
          </reference>
        </references>
      </pivotArea>
    </chartFormat>
    <chartFormat chart="0" format="486">
      <pivotArea type="data" outline="0" fieldPosition="0">
        <references count="3">
          <reference field="4294967294" count="1" selected="0">
            <x v="2"/>
          </reference>
          <reference field="0" count="1" selected="0">
            <x v="5"/>
          </reference>
          <reference field="1" count="1" selected="0">
            <x v="43"/>
          </reference>
        </references>
      </pivotArea>
    </chartFormat>
    <chartFormat chart="0" format="487">
      <pivotArea type="data" outline="0" fieldPosition="0">
        <references count="3">
          <reference field="4294967294" count="1" selected="0">
            <x v="2"/>
          </reference>
          <reference field="0" count="1" selected="0">
            <x v="5"/>
          </reference>
          <reference field="1" count="1" selected="0">
            <x v="44"/>
          </reference>
        </references>
      </pivotArea>
    </chartFormat>
    <chartFormat chart="0" format="488">
      <pivotArea type="data" outline="0" fieldPosition="0">
        <references count="3">
          <reference field="4294967294" count="1" selected="0">
            <x v="2"/>
          </reference>
          <reference field="0" count="1" selected="0">
            <x v="5"/>
          </reference>
          <reference field="1" count="1" selected="0">
            <x v="45"/>
          </reference>
        </references>
      </pivotArea>
    </chartFormat>
    <chartFormat chart="0" format="489">
      <pivotArea type="data" outline="0" fieldPosition="0">
        <references count="3">
          <reference field="4294967294" count="1" selected="0">
            <x v="2"/>
          </reference>
          <reference field="0" count="1" selected="0">
            <x v="5"/>
          </reference>
          <reference field="1" count="1" selected="0">
            <x v="46"/>
          </reference>
        </references>
      </pivotArea>
    </chartFormat>
    <chartFormat chart="0" format="490">
      <pivotArea type="data" outline="0" fieldPosition="0">
        <references count="3">
          <reference field="4294967294" count="1" selected="0">
            <x v="2"/>
          </reference>
          <reference field="0" count="1" selected="0">
            <x v="5"/>
          </reference>
          <reference field="1" count="1" selected="0">
            <x v="47"/>
          </reference>
        </references>
      </pivotArea>
    </chartFormat>
    <chartFormat chart="0" format="491">
      <pivotArea type="data" outline="0" fieldPosition="0">
        <references count="3">
          <reference field="4294967294" count="1" selected="0">
            <x v="2"/>
          </reference>
          <reference field="0" count="1" selected="0">
            <x v="5"/>
          </reference>
          <reference field="1" count="1" selected="0">
            <x v="48"/>
          </reference>
        </references>
      </pivotArea>
    </chartFormat>
    <chartFormat chart="0" format="492">
      <pivotArea type="data" outline="0" fieldPosition="0">
        <references count="3">
          <reference field="4294967294" count="1" selected="0">
            <x v="2"/>
          </reference>
          <reference field="0" count="1" selected="0">
            <x v="5"/>
          </reference>
          <reference field="1" count="1" selected="0">
            <x v="49"/>
          </reference>
        </references>
      </pivotArea>
    </chartFormat>
    <chartFormat chart="0" format="493">
      <pivotArea type="data" outline="0" fieldPosition="0">
        <references count="3">
          <reference field="4294967294" count="1" selected="0">
            <x v="2"/>
          </reference>
          <reference field="0" count="1" selected="0">
            <x v="5"/>
          </reference>
          <reference field="1" count="1" selected="0">
            <x v="50"/>
          </reference>
        </references>
      </pivotArea>
    </chartFormat>
    <chartFormat chart="0" format="494">
      <pivotArea type="data" outline="0" fieldPosition="0">
        <references count="3">
          <reference field="4294967294" count="1" selected="0">
            <x v="2"/>
          </reference>
          <reference field="0" count="1" selected="0">
            <x v="5"/>
          </reference>
          <reference field="1" count="1" selected="0">
            <x v="51"/>
          </reference>
        </references>
      </pivotArea>
    </chartFormat>
    <chartFormat chart="0" format="495">
      <pivotArea type="data" outline="0" fieldPosition="0">
        <references count="3">
          <reference field="4294967294" count="1" selected="0">
            <x v="2"/>
          </reference>
          <reference field="0" count="1" selected="0">
            <x v="5"/>
          </reference>
          <reference field="1" count="1" selected="0">
            <x v="52"/>
          </reference>
        </references>
      </pivotArea>
    </chartFormat>
    <chartFormat chart="0" format="496">
      <pivotArea type="data" outline="0" fieldPosition="0">
        <references count="3">
          <reference field="4294967294" count="1" selected="0">
            <x v="2"/>
          </reference>
          <reference field="0" count="1" selected="0">
            <x v="5"/>
          </reference>
          <reference field="1" count="1" selected="0">
            <x v="53"/>
          </reference>
        </references>
      </pivotArea>
    </chartFormat>
    <chartFormat chart="0" format="497">
      <pivotArea type="data" outline="0" fieldPosition="0">
        <references count="3">
          <reference field="4294967294" count="1" selected="0">
            <x v="2"/>
          </reference>
          <reference field="0" count="1" selected="0">
            <x v="5"/>
          </reference>
          <reference field="1" count="1" selected="0">
            <x v="54"/>
          </reference>
        </references>
      </pivotArea>
    </chartFormat>
    <chartFormat chart="0" format="498">
      <pivotArea type="data" outline="0" fieldPosition="0">
        <references count="3">
          <reference field="4294967294" count="1" selected="0">
            <x v="2"/>
          </reference>
          <reference field="0" count="1" selected="0">
            <x v="5"/>
          </reference>
          <reference field="1" count="1" selected="0">
            <x v="55"/>
          </reference>
        </references>
      </pivotArea>
    </chartFormat>
    <chartFormat chart="0" format="499">
      <pivotArea type="data" outline="0" fieldPosition="0">
        <references count="3">
          <reference field="4294967294" count="1" selected="0">
            <x v="2"/>
          </reference>
          <reference field="0" count="1" selected="0">
            <x v="5"/>
          </reference>
          <reference field="1" count="1" selected="0">
            <x v="56"/>
          </reference>
        </references>
      </pivotArea>
    </chartFormat>
    <chartFormat chart="0" format="500">
      <pivotArea type="data" outline="0" fieldPosition="0">
        <references count="3">
          <reference field="4294967294" count="1" selected="0">
            <x v="0"/>
          </reference>
          <reference field="0" count="1" selected="0">
            <x v="5"/>
          </reference>
          <reference field="1" count="1" selected="0">
            <x v="57"/>
          </reference>
        </references>
      </pivotArea>
    </chartFormat>
    <chartFormat chart="0" format="501">
      <pivotArea type="data" outline="0" fieldPosition="0">
        <references count="3">
          <reference field="4294967294" count="1" selected="0">
            <x v="0"/>
          </reference>
          <reference field="0" count="1" selected="0">
            <x v="5"/>
          </reference>
          <reference field="1" count="1" selected="0">
            <x v="58"/>
          </reference>
        </references>
      </pivotArea>
    </chartFormat>
    <chartFormat chart="0" format="502">
      <pivotArea type="data" outline="0" fieldPosition="0">
        <references count="3">
          <reference field="4294967294" count="1" selected="0">
            <x v="0"/>
          </reference>
          <reference field="0" count="1" selected="0">
            <x v="5"/>
          </reference>
          <reference field="1" count="1" selected="0">
            <x v="59"/>
          </reference>
        </references>
      </pivotArea>
    </chartFormat>
    <chartFormat chart="0" format="503">
      <pivotArea type="data" outline="0" fieldPosition="0">
        <references count="3">
          <reference field="4294967294" count="1" selected="0">
            <x v="0"/>
          </reference>
          <reference field="0" count="1" selected="0">
            <x v="5"/>
          </reference>
          <reference field="1" count="1" selected="0">
            <x v="60"/>
          </reference>
        </references>
      </pivotArea>
    </chartFormat>
    <chartFormat chart="0" format="504">
      <pivotArea type="data" outline="0" fieldPosition="0">
        <references count="3">
          <reference field="4294967294" count="1" selected="0">
            <x v="0"/>
          </reference>
          <reference field="0" count="1" selected="0">
            <x v="5"/>
          </reference>
          <reference field="1" count="1" selected="0">
            <x v="61"/>
          </reference>
        </references>
      </pivotArea>
    </chartFormat>
    <chartFormat chart="0" format="505">
      <pivotArea type="data" outline="0" fieldPosition="0">
        <references count="3">
          <reference field="4294967294" count="1" selected="0">
            <x v="0"/>
          </reference>
          <reference field="0" count="1" selected="0">
            <x v="5"/>
          </reference>
          <reference field="1" count="1" selected="0">
            <x v="62"/>
          </reference>
        </references>
      </pivotArea>
    </chartFormat>
    <chartFormat chart="0" format="506">
      <pivotArea type="data" outline="0" fieldPosition="0">
        <references count="3">
          <reference field="4294967294" count="1" selected="0">
            <x v="0"/>
          </reference>
          <reference field="0" count="1" selected="0">
            <x v="6"/>
          </reference>
          <reference field="1" count="1" selected="0">
            <x v="63"/>
          </reference>
        </references>
      </pivotArea>
    </chartFormat>
    <chartFormat chart="0" format="507">
      <pivotArea type="data" outline="0" fieldPosition="0">
        <references count="3">
          <reference field="4294967294" count="1" selected="0">
            <x v="0"/>
          </reference>
          <reference field="0" count="1" selected="0">
            <x v="6"/>
          </reference>
          <reference field="1" count="1" selected="0">
            <x v="64"/>
          </reference>
        </references>
      </pivotArea>
    </chartFormat>
    <chartFormat chart="0" format="508">
      <pivotArea type="data" outline="0" fieldPosition="0">
        <references count="3">
          <reference field="4294967294" count="1" selected="0">
            <x v="2"/>
          </reference>
          <reference field="0" count="1" selected="0">
            <x v="5"/>
          </reference>
          <reference field="1" count="1" selected="0">
            <x v="57"/>
          </reference>
        </references>
      </pivotArea>
    </chartFormat>
    <chartFormat chart="0" format="509">
      <pivotArea type="data" outline="0" fieldPosition="0">
        <references count="3">
          <reference field="4294967294" count="1" selected="0">
            <x v="2"/>
          </reference>
          <reference field="0" count="1" selected="0">
            <x v="5"/>
          </reference>
          <reference field="1" count="1" selected="0">
            <x v="58"/>
          </reference>
        </references>
      </pivotArea>
    </chartFormat>
    <chartFormat chart="0" format="510">
      <pivotArea type="data" outline="0" fieldPosition="0">
        <references count="3">
          <reference field="4294967294" count="1" selected="0">
            <x v="2"/>
          </reference>
          <reference field="0" count="1" selected="0">
            <x v="5"/>
          </reference>
          <reference field="1" count="1" selected="0">
            <x v="59"/>
          </reference>
        </references>
      </pivotArea>
    </chartFormat>
    <chartFormat chart="0" format="511">
      <pivotArea type="data" outline="0" fieldPosition="0">
        <references count="3">
          <reference field="4294967294" count="1" selected="0">
            <x v="2"/>
          </reference>
          <reference field="0" count="1" selected="0">
            <x v="5"/>
          </reference>
          <reference field="1" count="1" selected="0">
            <x v="60"/>
          </reference>
        </references>
      </pivotArea>
    </chartFormat>
    <chartFormat chart="0" format="512">
      <pivotArea type="data" outline="0" fieldPosition="0">
        <references count="3">
          <reference field="4294967294" count="1" selected="0">
            <x v="2"/>
          </reference>
          <reference field="0" count="1" selected="0">
            <x v="5"/>
          </reference>
          <reference field="1" count="1" selected="0">
            <x v="61"/>
          </reference>
        </references>
      </pivotArea>
    </chartFormat>
    <chartFormat chart="0" format="513">
      <pivotArea type="data" outline="0" fieldPosition="0">
        <references count="3">
          <reference field="4294967294" count="1" selected="0">
            <x v="2"/>
          </reference>
          <reference field="0" count="1" selected="0">
            <x v="5"/>
          </reference>
          <reference field="1" count="1" selected="0">
            <x v="62"/>
          </reference>
        </references>
      </pivotArea>
    </chartFormat>
    <chartFormat chart="0" format="514">
      <pivotArea type="data" outline="0" fieldPosition="0">
        <references count="3">
          <reference field="4294967294" count="1" selected="0">
            <x v="2"/>
          </reference>
          <reference field="0" count="1" selected="0">
            <x v="6"/>
          </reference>
          <reference field="1" count="1" selected="0">
            <x v="63"/>
          </reference>
        </references>
      </pivotArea>
    </chartFormat>
    <chartFormat chart="0" format="515">
      <pivotArea type="data" outline="0" fieldPosition="0">
        <references count="3">
          <reference field="4294967294" count="1" selected="0">
            <x v="2"/>
          </reference>
          <reference field="0" count="1" selected="0">
            <x v="6"/>
          </reference>
          <reference field="1" count="1" selected="0">
            <x v="64"/>
          </reference>
        </references>
      </pivotArea>
    </chartFormat>
    <chartFormat chart="0" format="516">
      <pivotArea type="data" outline="0" fieldPosition="0">
        <references count="3">
          <reference field="4294967294" count="1" selected="0">
            <x v="0"/>
          </reference>
          <reference field="0" count="1" selected="0">
            <x v="6"/>
          </reference>
          <reference field="1" count="1" selected="0">
            <x v="65"/>
          </reference>
        </references>
      </pivotArea>
    </chartFormat>
    <chartFormat chart="0" format="517">
      <pivotArea type="data" outline="0" fieldPosition="0">
        <references count="3">
          <reference field="4294967294" count="1" selected="0">
            <x v="0"/>
          </reference>
          <reference field="0" count="1" selected="0">
            <x v="6"/>
          </reference>
          <reference field="1" count="1" selected="0">
            <x v="66"/>
          </reference>
        </references>
      </pivotArea>
    </chartFormat>
    <chartFormat chart="0" format="518">
      <pivotArea type="data" outline="0" fieldPosition="0">
        <references count="3">
          <reference field="4294967294" count="1" selected="0">
            <x v="0"/>
          </reference>
          <reference field="0" count="1" selected="0">
            <x v="6"/>
          </reference>
          <reference field="1" count="1" selected="0">
            <x v="67"/>
          </reference>
        </references>
      </pivotArea>
    </chartFormat>
    <chartFormat chart="0" format="519">
      <pivotArea type="data" outline="0" fieldPosition="0">
        <references count="3">
          <reference field="4294967294" count="1" selected="0">
            <x v="0"/>
          </reference>
          <reference field="0" count="1" selected="0">
            <x v="6"/>
          </reference>
          <reference field="1" count="1" selected="0">
            <x v="68"/>
          </reference>
        </references>
      </pivotArea>
    </chartFormat>
    <chartFormat chart="0" format="520">
      <pivotArea type="data" outline="0" fieldPosition="0">
        <references count="3">
          <reference field="4294967294" count="1" selected="0">
            <x v="2"/>
          </reference>
          <reference field="0" count="1" selected="0">
            <x v="6"/>
          </reference>
          <reference field="1" count="1" selected="0">
            <x v="65"/>
          </reference>
        </references>
      </pivotArea>
    </chartFormat>
    <chartFormat chart="0" format="521">
      <pivotArea type="data" outline="0" fieldPosition="0">
        <references count="3">
          <reference field="4294967294" count="1" selected="0">
            <x v="2"/>
          </reference>
          <reference field="0" count="1" selected="0">
            <x v="6"/>
          </reference>
          <reference field="1" count="1" selected="0">
            <x v="66"/>
          </reference>
        </references>
      </pivotArea>
    </chartFormat>
    <chartFormat chart="0" format="522">
      <pivotArea type="data" outline="0" fieldPosition="0">
        <references count="3">
          <reference field="4294967294" count="1" selected="0">
            <x v="2"/>
          </reference>
          <reference field="0" count="1" selected="0">
            <x v="6"/>
          </reference>
          <reference field="1" count="1" selected="0">
            <x v="67"/>
          </reference>
        </references>
      </pivotArea>
    </chartFormat>
    <chartFormat chart="0" format="523">
      <pivotArea type="data" outline="0" fieldPosition="0">
        <references count="3">
          <reference field="4294967294" count="1" selected="0">
            <x v="2"/>
          </reference>
          <reference field="0" count="1" selected="0">
            <x v="6"/>
          </reference>
          <reference field="1" count="1" selected="0">
            <x v="68"/>
          </reference>
        </references>
      </pivotArea>
    </chartFormat>
    <chartFormat chart="0" format="524">
      <pivotArea type="data" outline="0" fieldPosition="0">
        <references count="3">
          <reference field="4294967294" count="1" selected="0">
            <x v="0"/>
          </reference>
          <reference field="0" count="1" selected="0">
            <x v="6"/>
          </reference>
          <reference field="1" count="1" selected="0">
            <x v="69"/>
          </reference>
        </references>
      </pivotArea>
    </chartFormat>
    <chartFormat chart="0" format="525">
      <pivotArea type="data" outline="0" fieldPosition="0">
        <references count="3">
          <reference field="4294967294" count="1" selected="0">
            <x v="0"/>
          </reference>
          <reference field="0" count="1" selected="0">
            <x v="6"/>
          </reference>
          <reference field="1" count="1" selected="0">
            <x v="70"/>
          </reference>
        </references>
      </pivotArea>
    </chartFormat>
    <chartFormat chart="0" format="526">
      <pivotArea type="data" outline="0" fieldPosition="0">
        <references count="3">
          <reference field="4294967294" count="1" selected="0">
            <x v="2"/>
          </reference>
          <reference field="0" count="1" selected="0">
            <x v="6"/>
          </reference>
          <reference field="1" count="1" selected="0">
            <x v="69"/>
          </reference>
        </references>
      </pivotArea>
    </chartFormat>
    <chartFormat chart="0" format="527">
      <pivotArea type="data" outline="0" fieldPosition="0">
        <references count="3">
          <reference field="4294967294" count="1" selected="0">
            <x v="2"/>
          </reference>
          <reference field="0" count="1" selected="0">
            <x v="6"/>
          </reference>
          <reference field="1" count="1" selected="0">
            <x v="70"/>
          </reference>
        </references>
      </pivotArea>
    </chartFormat>
    <chartFormat chart="0" format="528">
      <pivotArea type="data" outline="0" fieldPosition="0">
        <references count="3">
          <reference field="4294967294" count="1" selected="0">
            <x v="0"/>
          </reference>
          <reference field="0" count="1" selected="0">
            <x v="6"/>
          </reference>
          <reference field="1" count="1" selected="0">
            <x v="71"/>
          </reference>
        </references>
      </pivotArea>
    </chartFormat>
    <chartFormat chart="0" format="529">
      <pivotArea type="data" outline="0" fieldPosition="0">
        <references count="3">
          <reference field="4294967294" count="1" selected="0">
            <x v="0"/>
          </reference>
          <reference field="0" count="1" selected="0">
            <x v="6"/>
          </reference>
          <reference field="1" count="1" selected="0">
            <x v="72"/>
          </reference>
        </references>
      </pivotArea>
    </chartFormat>
    <chartFormat chart="0" format="530">
      <pivotArea type="data" outline="0" fieldPosition="0">
        <references count="3">
          <reference field="4294967294" count="1" selected="0">
            <x v="2"/>
          </reference>
          <reference field="0" count="1" selected="0">
            <x v="6"/>
          </reference>
          <reference field="1" count="1" selected="0">
            <x v="71"/>
          </reference>
        </references>
      </pivotArea>
    </chartFormat>
    <chartFormat chart="0" format="531">
      <pivotArea type="data" outline="0" fieldPosition="0">
        <references count="3">
          <reference field="4294967294" count="1" selected="0">
            <x v="2"/>
          </reference>
          <reference field="0" count="1" selected="0">
            <x v="6"/>
          </reference>
          <reference field="1" count="1" selected="0">
            <x v="72"/>
          </reference>
        </references>
      </pivotArea>
    </chartFormat>
    <chartFormat chart="0" format="532">
      <pivotArea type="data" outline="0" fieldPosition="0">
        <references count="3">
          <reference field="4294967294" count="1" selected="0">
            <x v="0"/>
          </reference>
          <reference field="0" count="1" selected="0">
            <x v="6"/>
          </reference>
          <reference field="1" count="1" selected="0">
            <x v="31"/>
          </reference>
        </references>
      </pivotArea>
    </chartFormat>
    <chartFormat chart="0" format="533">
      <pivotArea type="data" outline="0" fieldPosition="0">
        <references count="3">
          <reference field="4294967294" count="1" selected="0">
            <x v="0"/>
          </reference>
          <reference field="0" count="1" selected="0">
            <x v="6"/>
          </reference>
          <reference field="1" count="1" selected="0">
            <x v="32"/>
          </reference>
        </references>
      </pivotArea>
    </chartFormat>
    <chartFormat chart="0" format="534">
      <pivotArea type="data" outline="0" fieldPosition="0">
        <references count="3">
          <reference field="4294967294" count="1" selected="0">
            <x v="0"/>
          </reference>
          <reference field="0" count="1" selected="0">
            <x v="6"/>
          </reference>
          <reference field="1" count="1" selected="0">
            <x v="33"/>
          </reference>
        </references>
      </pivotArea>
    </chartFormat>
    <chartFormat chart="0" format="535">
      <pivotArea type="data" outline="0" fieldPosition="0">
        <references count="3">
          <reference field="4294967294" count="1" selected="0">
            <x v="0"/>
          </reference>
          <reference field="0" count="1" selected="0">
            <x v="6"/>
          </reference>
          <reference field="1" count="1" selected="0">
            <x v="34"/>
          </reference>
        </references>
      </pivotArea>
    </chartFormat>
    <chartFormat chart="0" format="536">
      <pivotArea type="data" outline="0" fieldPosition="0">
        <references count="3">
          <reference field="4294967294" count="1" selected="0">
            <x v="0"/>
          </reference>
          <reference field="0" count="1" selected="0">
            <x v="6"/>
          </reference>
          <reference field="1" count="1" selected="0">
            <x v="35"/>
          </reference>
        </references>
      </pivotArea>
    </chartFormat>
    <chartFormat chart="0" format="537">
      <pivotArea type="data" outline="0" fieldPosition="0">
        <references count="3">
          <reference field="4294967294" count="1" selected="0">
            <x v="0"/>
          </reference>
          <reference field="0" count="1" selected="0">
            <x v="6"/>
          </reference>
          <reference field="1" count="1" selected="0">
            <x v="36"/>
          </reference>
        </references>
      </pivotArea>
    </chartFormat>
    <chartFormat chart="0" format="538">
      <pivotArea type="data" outline="0" fieldPosition="0">
        <references count="3">
          <reference field="4294967294" count="1" selected="0">
            <x v="0"/>
          </reference>
          <reference field="0" count="1" selected="0">
            <x v="6"/>
          </reference>
          <reference field="1" count="1" selected="0">
            <x v="37"/>
          </reference>
        </references>
      </pivotArea>
    </chartFormat>
    <chartFormat chart="0" format="539">
      <pivotArea type="data" outline="0" fieldPosition="0">
        <references count="3">
          <reference field="4294967294" count="1" selected="0">
            <x v="0"/>
          </reference>
          <reference field="0" count="1" selected="0">
            <x v="6"/>
          </reference>
          <reference field="1" count="1" selected="0">
            <x v="38"/>
          </reference>
        </references>
      </pivotArea>
    </chartFormat>
    <chartFormat chart="0" format="540">
      <pivotArea type="data" outline="0" fieldPosition="0">
        <references count="3">
          <reference field="4294967294" count="1" selected="0">
            <x v="0"/>
          </reference>
          <reference field="0" count="1" selected="0">
            <x v="6"/>
          </reference>
          <reference field="1" count="1" selected="0">
            <x v="39"/>
          </reference>
        </references>
      </pivotArea>
    </chartFormat>
    <chartFormat chart="0" format="541">
      <pivotArea type="data" outline="0" fieldPosition="0">
        <references count="3">
          <reference field="4294967294" count="1" selected="0">
            <x v="0"/>
          </reference>
          <reference field="0" count="1" selected="0">
            <x v="6"/>
          </reference>
          <reference field="1" count="1" selected="0">
            <x v="40"/>
          </reference>
        </references>
      </pivotArea>
    </chartFormat>
    <chartFormat chart="0" format="542">
      <pivotArea type="data" outline="0" fieldPosition="0">
        <references count="3">
          <reference field="4294967294" count="1" selected="0">
            <x v="2"/>
          </reference>
          <reference field="0" count="1" selected="0">
            <x v="6"/>
          </reference>
          <reference field="1" count="1" selected="0">
            <x v="31"/>
          </reference>
        </references>
      </pivotArea>
    </chartFormat>
    <chartFormat chart="0" format="543">
      <pivotArea type="data" outline="0" fieldPosition="0">
        <references count="3">
          <reference field="4294967294" count="1" selected="0">
            <x v="2"/>
          </reference>
          <reference field="0" count="1" selected="0">
            <x v="6"/>
          </reference>
          <reference field="1" count="1" selected="0">
            <x v="32"/>
          </reference>
        </references>
      </pivotArea>
    </chartFormat>
    <chartFormat chart="0" format="544">
      <pivotArea type="data" outline="0" fieldPosition="0">
        <references count="3">
          <reference field="4294967294" count="1" selected="0">
            <x v="2"/>
          </reference>
          <reference field="0" count="1" selected="0">
            <x v="6"/>
          </reference>
          <reference field="1" count="1" selected="0">
            <x v="33"/>
          </reference>
        </references>
      </pivotArea>
    </chartFormat>
    <chartFormat chart="0" format="545">
      <pivotArea type="data" outline="0" fieldPosition="0">
        <references count="3">
          <reference field="4294967294" count="1" selected="0">
            <x v="2"/>
          </reference>
          <reference field="0" count="1" selected="0">
            <x v="6"/>
          </reference>
          <reference field="1" count="1" selected="0">
            <x v="34"/>
          </reference>
        </references>
      </pivotArea>
    </chartFormat>
    <chartFormat chart="0" format="546">
      <pivotArea type="data" outline="0" fieldPosition="0">
        <references count="3">
          <reference field="4294967294" count="1" selected="0">
            <x v="2"/>
          </reference>
          <reference field="0" count="1" selected="0">
            <x v="6"/>
          </reference>
          <reference field="1" count="1" selected="0">
            <x v="35"/>
          </reference>
        </references>
      </pivotArea>
    </chartFormat>
    <chartFormat chart="0" format="547">
      <pivotArea type="data" outline="0" fieldPosition="0">
        <references count="3">
          <reference field="4294967294" count="1" selected="0">
            <x v="2"/>
          </reference>
          <reference field="0" count="1" selected="0">
            <x v="6"/>
          </reference>
          <reference field="1" count="1" selected="0">
            <x v="36"/>
          </reference>
        </references>
      </pivotArea>
    </chartFormat>
    <chartFormat chart="0" format="548">
      <pivotArea type="data" outline="0" fieldPosition="0">
        <references count="3">
          <reference field="4294967294" count="1" selected="0">
            <x v="2"/>
          </reference>
          <reference field="0" count="1" selected="0">
            <x v="6"/>
          </reference>
          <reference field="1" count="1" selected="0">
            <x v="37"/>
          </reference>
        </references>
      </pivotArea>
    </chartFormat>
    <chartFormat chart="0" format="549">
      <pivotArea type="data" outline="0" fieldPosition="0">
        <references count="3">
          <reference field="4294967294" count="1" selected="0">
            <x v="2"/>
          </reference>
          <reference field="0" count="1" selected="0">
            <x v="6"/>
          </reference>
          <reference field="1" count="1" selected="0">
            <x v="38"/>
          </reference>
        </references>
      </pivotArea>
    </chartFormat>
    <chartFormat chart="0" format="550">
      <pivotArea type="data" outline="0" fieldPosition="0">
        <references count="3">
          <reference field="4294967294" count="1" selected="0">
            <x v="2"/>
          </reference>
          <reference field="0" count="1" selected="0">
            <x v="6"/>
          </reference>
          <reference field="1" count="1" selected="0">
            <x v="39"/>
          </reference>
        </references>
      </pivotArea>
    </chartFormat>
    <chartFormat chart="0" format="551">
      <pivotArea type="data" outline="0" fieldPosition="0">
        <references count="3">
          <reference field="4294967294" count="1" selected="0">
            <x v="2"/>
          </reference>
          <reference field="0" count="1" selected="0">
            <x v="6"/>
          </reference>
          <reference field="1" count="1" selected="0">
            <x v="40"/>
          </reference>
        </references>
      </pivotArea>
    </chartFormat>
    <chartFormat chart="0" format="552">
      <pivotArea type="data" outline="0" fieldPosition="0">
        <references count="3">
          <reference field="4294967294" count="1" selected="0">
            <x v="0"/>
          </reference>
          <reference field="0" count="1" selected="0">
            <x v="6"/>
          </reference>
          <reference field="1" count="1" selected="0">
            <x v="41"/>
          </reference>
        </references>
      </pivotArea>
    </chartFormat>
    <chartFormat chart="0" format="553">
      <pivotArea type="data" outline="0" fieldPosition="0">
        <references count="3">
          <reference field="4294967294" count="1" selected="0">
            <x v="0"/>
          </reference>
          <reference field="0" count="1" selected="0">
            <x v="6"/>
          </reference>
          <reference field="1" count="1" selected="0">
            <x v="42"/>
          </reference>
        </references>
      </pivotArea>
    </chartFormat>
    <chartFormat chart="0" format="554">
      <pivotArea type="data" outline="0" fieldPosition="0">
        <references count="3">
          <reference field="4294967294" count="1" selected="0">
            <x v="0"/>
          </reference>
          <reference field="0" count="1" selected="0">
            <x v="6"/>
          </reference>
          <reference field="1" count="1" selected="0">
            <x v="43"/>
          </reference>
        </references>
      </pivotArea>
    </chartFormat>
    <chartFormat chart="0" format="555">
      <pivotArea type="data" outline="0" fieldPosition="0">
        <references count="3">
          <reference field="4294967294" count="1" selected="0">
            <x v="0"/>
          </reference>
          <reference field="0" count="1" selected="0">
            <x v="6"/>
          </reference>
          <reference field="1" count="1" selected="0">
            <x v="44"/>
          </reference>
        </references>
      </pivotArea>
    </chartFormat>
    <chartFormat chart="0" format="556">
      <pivotArea type="data" outline="0" fieldPosition="0">
        <references count="3">
          <reference field="4294967294" count="1" selected="0">
            <x v="0"/>
          </reference>
          <reference field="0" count="1" selected="0">
            <x v="6"/>
          </reference>
          <reference field="1" count="1" selected="0">
            <x v="45"/>
          </reference>
        </references>
      </pivotArea>
    </chartFormat>
    <chartFormat chart="0" format="557">
      <pivotArea type="data" outline="0" fieldPosition="0">
        <references count="3">
          <reference field="4294967294" count="1" selected="0">
            <x v="0"/>
          </reference>
          <reference field="0" count="1" selected="0">
            <x v="6"/>
          </reference>
          <reference field="1" count="1" selected="0">
            <x v="46"/>
          </reference>
        </references>
      </pivotArea>
    </chartFormat>
    <chartFormat chart="0" format="558">
      <pivotArea type="data" outline="0" fieldPosition="0">
        <references count="3">
          <reference field="4294967294" count="1" selected="0">
            <x v="0"/>
          </reference>
          <reference field="0" count="1" selected="0">
            <x v="6"/>
          </reference>
          <reference field="1" count="1" selected="0">
            <x v="47"/>
          </reference>
        </references>
      </pivotArea>
    </chartFormat>
    <chartFormat chart="0" format="559">
      <pivotArea type="data" outline="0" fieldPosition="0">
        <references count="3">
          <reference field="4294967294" count="1" selected="0">
            <x v="0"/>
          </reference>
          <reference field="0" count="1" selected="0">
            <x v="6"/>
          </reference>
          <reference field="1" count="1" selected="0">
            <x v="48"/>
          </reference>
        </references>
      </pivotArea>
    </chartFormat>
    <chartFormat chart="0" format="560">
      <pivotArea type="data" outline="0" fieldPosition="0">
        <references count="3">
          <reference field="4294967294" count="1" selected="0">
            <x v="0"/>
          </reference>
          <reference field="0" count="1" selected="0">
            <x v="6"/>
          </reference>
          <reference field="1" count="1" selected="0">
            <x v="49"/>
          </reference>
        </references>
      </pivotArea>
    </chartFormat>
    <chartFormat chart="0" format="561">
      <pivotArea type="data" outline="0" fieldPosition="0">
        <references count="3">
          <reference field="4294967294" count="1" selected="0">
            <x v="0"/>
          </reference>
          <reference field="0" count="1" selected="0">
            <x v="6"/>
          </reference>
          <reference field="1" count="1" selected="0">
            <x v="50"/>
          </reference>
        </references>
      </pivotArea>
    </chartFormat>
    <chartFormat chart="0" format="562">
      <pivotArea type="data" outline="0" fieldPosition="0">
        <references count="3">
          <reference field="4294967294" count="1" selected="0">
            <x v="0"/>
          </reference>
          <reference field="0" count="1" selected="0">
            <x v="6"/>
          </reference>
          <reference field="1" count="1" selected="0">
            <x v="51"/>
          </reference>
        </references>
      </pivotArea>
    </chartFormat>
    <chartFormat chart="0" format="563">
      <pivotArea type="data" outline="0" fieldPosition="0">
        <references count="3">
          <reference field="4294967294" count="1" selected="0">
            <x v="0"/>
          </reference>
          <reference field="0" count="1" selected="0">
            <x v="6"/>
          </reference>
          <reference field="1" count="1" selected="0">
            <x v="52"/>
          </reference>
        </references>
      </pivotArea>
    </chartFormat>
    <chartFormat chart="0" format="564">
      <pivotArea type="data" outline="0" fieldPosition="0">
        <references count="3">
          <reference field="4294967294" count="1" selected="0">
            <x v="0"/>
          </reference>
          <reference field="0" count="1" selected="0">
            <x v="6"/>
          </reference>
          <reference field="1" count="1" selected="0">
            <x v="53"/>
          </reference>
        </references>
      </pivotArea>
    </chartFormat>
    <chartFormat chart="0" format="565">
      <pivotArea type="data" outline="0" fieldPosition="0">
        <references count="3">
          <reference field="4294967294" count="1" selected="0">
            <x v="0"/>
          </reference>
          <reference field="0" count="1" selected="0">
            <x v="6"/>
          </reference>
          <reference field="1" count="1" selected="0">
            <x v="54"/>
          </reference>
        </references>
      </pivotArea>
    </chartFormat>
    <chartFormat chart="0" format="566">
      <pivotArea type="data" outline="0" fieldPosition="0">
        <references count="3">
          <reference field="4294967294" count="1" selected="0">
            <x v="0"/>
          </reference>
          <reference field="0" count="1" selected="0">
            <x v="6"/>
          </reference>
          <reference field="1" count="1" selected="0">
            <x v="55"/>
          </reference>
        </references>
      </pivotArea>
    </chartFormat>
    <chartFormat chart="0" format="567">
      <pivotArea type="data" outline="0" fieldPosition="0">
        <references count="3">
          <reference field="4294967294" count="1" selected="0">
            <x v="0"/>
          </reference>
          <reference field="0" count="1" selected="0">
            <x v="6"/>
          </reference>
          <reference field="1" count="1" selected="0">
            <x v="56"/>
          </reference>
        </references>
      </pivotArea>
    </chartFormat>
    <chartFormat chart="0" format="568">
      <pivotArea type="data" outline="0" fieldPosition="0">
        <references count="3">
          <reference field="4294967294" count="1" selected="0">
            <x v="0"/>
          </reference>
          <reference field="0" count="1" selected="0">
            <x v="6"/>
          </reference>
          <reference field="1" count="1" selected="0">
            <x v="57"/>
          </reference>
        </references>
      </pivotArea>
    </chartFormat>
    <chartFormat chart="0" format="569">
      <pivotArea type="data" outline="0" fieldPosition="0">
        <references count="3">
          <reference field="4294967294" count="1" selected="0">
            <x v="0"/>
          </reference>
          <reference field="0" count="1" selected="0">
            <x v="6"/>
          </reference>
          <reference field="1" count="1" selected="0">
            <x v="58"/>
          </reference>
        </references>
      </pivotArea>
    </chartFormat>
    <chartFormat chart="0" format="570">
      <pivotArea type="data" outline="0" fieldPosition="0">
        <references count="3">
          <reference field="4294967294" count="1" selected="0">
            <x v="0"/>
          </reference>
          <reference field="0" count="1" selected="0">
            <x v="6"/>
          </reference>
          <reference field="1" count="1" selected="0">
            <x v="59"/>
          </reference>
        </references>
      </pivotArea>
    </chartFormat>
    <chartFormat chart="0" format="571">
      <pivotArea type="data" outline="0" fieldPosition="0">
        <references count="3">
          <reference field="4294967294" count="1" selected="0">
            <x v="0"/>
          </reference>
          <reference field="0" count="1" selected="0">
            <x v="6"/>
          </reference>
          <reference field="1" count="1" selected="0">
            <x v="60"/>
          </reference>
        </references>
      </pivotArea>
    </chartFormat>
    <chartFormat chart="0" format="572">
      <pivotArea type="data" outline="0" fieldPosition="0">
        <references count="3">
          <reference field="4294967294" count="1" selected="0">
            <x v="0"/>
          </reference>
          <reference field="0" count="1" selected="0">
            <x v="6"/>
          </reference>
          <reference field="1" count="1" selected="0">
            <x v="61"/>
          </reference>
        </references>
      </pivotArea>
    </chartFormat>
    <chartFormat chart="0" format="573">
      <pivotArea type="data" outline="0" fieldPosition="0">
        <references count="3">
          <reference field="4294967294" count="1" selected="0">
            <x v="0"/>
          </reference>
          <reference field="0" count="1" selected="0">
            <x v="6"/>
          </reference>
          <reference field="1" count="1" selected="0">
            <x v="62"/>
          </reference>
        </references>
      </pivotArea>
    </chartFormat>
    <chartFormat chart="0" format="574">
      <pivotArea type="data" outline="0" fieldPosition="0">
        <references count="3">
          <reference field="4294967294" count="1" selected="0">
            <x v="0"/>
          </reference>
          <reference field="0" count="1" selected="0">
            <x v="6"/>
          </reference>
          <reference field="1" count="1" selected="0">
            <x v="73"/>
          </reference>
        </references>
      </pivotArea>
    </chartFormat>
    <chartFormat chart="0" format="575">
      <pivotArea type="data" outline="0" fieldPosition="0">
        <references count="3">
          <reference field="4294967294" count="1" selected="0">
            <x v="0"/>
          </reference>
          <reference field="0" count="1" selected="0">
            <x v="6"/>
          </reference>
          <reference field="1" count="1" selected="0">
            <x v="74"/>
          </reference>
        </references>
      </pivotArea>
    </chartFormat>
    <chartFormat chart="0" format="576">
      <pivotArea type="data" outline="0" fieldPosition="0">
        <references count="3">
          <reference field="4294967294" count="1" selected="0">
            <x v="0"/>
          </reference>
          <reference field="0" count="1" selected="0">
            <x v="6"/>
          </reference>
          <reference field="1" count="1" selected="0">
            <x v="75"/>
          </reference>
        </references>
      </pivotArea>
    </chartFormat>
    <chartFormat chart="0" format="577">
      <pivotArea type="data" outline="0" fieldPosition="0">
        <references count="3">
          <reference field="4294967294" count="1" selected="0">
            <x v="0"/>
          </reference>
          <reference field="0" count="1" selected="0">
            <x v="6"/>
          </reference>
          <reference field="1" count="1" selected="0">
            <x v="76"/>
          </reference>
        </references>
      </pivotArea>
    </chartFormat>
    <chartFormat chart="0" format="578">
      <pivotArea type="data" outline="0" fieldPosition="0">
        <references count="3">
          <reference field="4294967294" count="1" selected="0">
            <x v="0"/>
          </reference>
          <reference field="0" count="1" selected="0">
            <x v="6"/>
          </reference>
          <reference field="1" count="1" selected="0">
            <x v="77"/>
          </reference>
        </references>
      </pivotArea>
    </chartFormat>
    <chartFormat chart="0" format="579">
      <pivotArea type="data" outline="0" fieldPosition="0">
        <references count="3">
          <reference field="4294967294" count="1" selected="0">
            <x v="0"/>
          </reference>
          <reference field="0" count="1" selected="0">
            <x v="6"/>
          </reference>
          <reference field="1" count="1" selected="0">
            <x v="78"/>
          </reference>
        </references>
      </pivotArea>
    </chartFormat>
    <chartFormat chart="0" format="580">
      <pivotArea type="data" outline="0" fieldPosition="0">
        <references count="3">
          <reference field="4294967294" count="1" selected="0">
            <x v="0"/>
          </reference>
          <reference field="0" count="1" selected="0">
            <x v="7"/>
          </reference>
          <reference field="1" count="1" selected="0">
            <x v="31"/>
          </reference>
        </references>
      </pivotArea>
    </chartFormat>
    <chartFormat chart="0" format="581">
      <pivotArea type="data" outline="0" fieldPosition="0">
        <references count="3">
          <reference field="4294967294" count="1" selected="0">
            <x v="0"/>
          </reference>
          <reference field="0" count="1" selected="0">
            <x v="7"/>
          </reference>
          <reference field="1" count="1" selected="0">
            <x v="32"/>
          </reference>
        </references>
      </pivotArea>
    </chartFormat>
    <chartFormat chart="0" format="582">
      <pivotArea type="data" outline="0" fieldPosition="0">
        <references count="3">
          <reference field="4294967294" count="1" selected="0">
            <x v="0"/>
          </reference>
          <reference field="0" count="1" selected="0">
            <x v="7"/>
          </reference>
          <reference field="1" count="1" selected="0">
            <x v="33"/>
          </reference>
        </references>
      </pivotArea>
    </chartFormat>
    <chartFormat chart="0" format="583">
      <pivotArea type="data" outline="0" fieldPosition="0">
        <references count="3">
          <reference field="4294967294" count="1" selected="0">
            <x v="0"/>
          </reference>
          <reference field="0" count="1" selected="0">
            <x v="7"/>
          </reference>
          <reference field="1" count="1" selected="0">
            <x v="34"/>
          </reference>
        </references>
      </pivotArea>
    </chartFormat>
    <chartFormat chart="0" format="584">
      <pivotArea type="data" outline="0" fieldPosition="0">
        <references count="3">
          <reference field="4294967294" count="1" selected="0">
            <x v="0"/>
          </reference>
          <reference field="0" count="1" selected="0">
            <x v="7"/>
          </reference>
          <reference field="1" count="1" selected="0">
            <x v="35"/>
          </reference>
        </references>
      </pivotArea>
    </chartFormat>
    <chartFormat chart="0" format="585">
      <pivotArea type="data" outline="0" fieldPosition="0">
        <references count="3">
          <reference field="4294967294" count="1" selected="0">
            <x v="0"/>
          </reference>
          <reference field="0" count="1" selected="0">
            <x v="7"/>
          </reference>
          <reference field="1" count="1" selected="0">
            <x v="36"/>
          </reference>
        </references>
      </pivotArea>
    </chartFormat>
    <chartFormat chart="0" format="586">
      <pivotArea type="data" outline="0" fieldPosition="0">
        <references count="3">
          <reference field="4294967294" count="1" selected="0">
            <x v="0"/>
          </reference>
          <reference field="0" count="1" selected="0">
            <x v="7"/>
          </reference>
          <reference field="1" count="1" selected="0">
            <x v="37"/>
          </reference>
        </references>
      </pivotArea>
    </chartFormat>
    <chartFormat chart="0" format="587">
      <pivotArea type="data" outline="0" fieldPosition="0">
        <references count="3">
          <reference field="4294967294" count="1" selected="0">
            <x v="0"/>
          </reference>
          <reference field="0" count="1" selected="0">
            <x v="7"/>
          </reference>
          <reference field="1" count="1" selected="0">
            <x v="38"/>
          </reference>
        </references>
      </pivotArea>
    </chartFormat>
    <chartFormat chart="0" format="588">
      <pivotArea type="data" outline="0" fieldPosition="0">
        <references count="3">
          <reference field="4294967294" count="1" selected="0">
            <x v="0"/>
          </reference>
          <reference field="0" count="1" selected="0">
            <x v="7"/>
          </reference>
          <reference field="1" count="1" selected="0">
            <x v="39"/>
          </reference>
        </references>
      </pivotArea>
    </chartFormat>
    <chartFormat chart="0" format="589">
      <pivotArea type="data" outline="0" fieldPosition="0">
        <references count="3">
          <reference field="4294967294" count="1" selected="0">
            <x v="0"/>
          </reference>
          <reference field="0" count="1" selected="0">
            <x v="7"/>
          </reference>
          <reference field="1" count="1" selected="0">
            <x v="40"/>
          </reference>
        </references>
      </pivotArea>
    </chartFormat>
    <chartFormat chart="0" format="590">
      <pivotArea type="data" outline="0" fieldPosition="0">
        <references count="3">
          <reference field="4294967294" count="1" selected="0">
            <x v="0"/>
          </reference>
          <reference field="0" count="1" selected="0">
            <x v="7"/>
          </reference>
          <reference field="1" count="1" selected="0">
            <x v="41"/>
          </reference>
        </references>
      </pivotArea>
    </chartFormat>
    <chartFormat chart="0" format="591">
      <pivotArea type="data" outline="0" fieldPosition="0">
        <references count="3">
          <reference field="4294967294" count="1" selected="0">
            <x v="0"/>
          </reference>
          <reference field="0" count="1" selected="0">
            <x v="7"/>
          </reference>
          <reference field="1" count="1" selected="0">
            <x v="42"/>
          </reference>
        </references>
      </pivotArea>
    </chartFormat>
    <chartFormat chart="0" format="592">
      <pivotArea type="data" outline="0" fieldPosition="0">
        <references count="3">
          <reference field="4294967294" count="1" selected="0">
            <x v="0"/>
          </reference>
          <reference field="0" count="1" selected="0">
            <x v="7"/>
          </reference>
          <reference field="1" count="1" selected="0">
            <x v="43"/>
          </reference>
        </references>
      </pivotArea>
    </chartFormat>
    <chartFormat chart="0" format="593">
      <pivotArea type="data" outline="0" fieldPosition="0">
        <references count="3">
          <reference field="4294967294" count="1" selected="0">
            <x v="0"/>
          </reference>
          <reference field="0" count="1" selected="0">
            <x v="7"/>
          </reference>
          <reference field="1" count="1" selected="0">
            <x v="44"/>
          </reference>
        </references>
      </pivotArea>
    </chartFormat>
    <chartFormat chart="0" format="594">
      <pivotArea type="data" outline="0" fieldPosition="0">
        <references count="3">
          <reference field="4294967294" count="1" selected="0">
            <x v="0"/>
          </reference>
          <reference field="0" count="1" selected="0">
            <x v="7"/>
          </reference>
          <reference field="1" count="1" selected="0">
            <x v="45"/>
          </reference>
        </references>
      </pivotArea>
    </chartFormat>
    <chartFormat chart="0" format="595">
      <pivotArea type="data" outline="0" fieldPosition="0">
        <references count="3">
          <reference field="4294967294" count="1" selected="0">
            <x v="0"/>
          </reference>
          <reference field="0" count="1" selected="0">
            <x v="7"/>
          </reference>
          <reference field="1" count="1" selected="0">
            <x v="46"/>
          </reference>
        </references>
      </pivotArea>
    </chartFormat>
    <chartFormat chart="0" format="596">
      <pivotArea type="data" outline="0" fieldPosition="0">
        <references count="3">
          <reference field="4294967294" count="1" selected="0">
            <x v="0"/>
          </reference>
          <reference field="0" count="1" selected="0">
            <x v="7"/>
          </reference>
          <reference field="1" count="1" selected="0">
            <x v="47"/>
          </reference>
        </references>
      </pivotArea>
    </chartFormat>
    <chartFormat chart="0" format="597">
      <pivotArea type="data" outline="0" fieldPosition="0">
        <references count="3">
          <reference field="4294967294" count="1" selected="0">
            <x v="0"/>
          </reference>
          <reference field="0" count="1" selected="0">
            <x v="7"/>
          </reference>
          <reference field="1" count="1" selected="0">
            <x v="48"/>
          </reference>
        </references>
      </pivotArea>
    </chartFormat>
    <chartFormat chart="0" format="598">
      <pivotArea type="data" outline="0" fieldPosition="0">
        <references count="3">
          <reference field="4294967294" count="1" selected="0">
            <x v="0"/>
          </reference>
          <reference field="0" count="1" selected="0">
            <x v="7"/>
          </reference>
          <reference field="1" count="1" selected="0">
            <x v="49"/>
          </reference>
        </references>
      </pivotArea>
    </chartFormat>
    <chartFormat chart="0" format="599">
      <pivotArea type="data" outline="0" fieldPosition="0">
        <references count="3">
          <reference field="4294967294" count="1" selected="0">
            <x v="0"/>
          </reference>
          <reference field="0" count="1" selected="0">
            <x v="7"/>
          </reference>
          <reference field="1" count="1" selected="0">
            <x v="50"/>
          </reference>
        </references>
      </pivotArea>
    </chartFormat>
    <chartFormat chart="0" format="600">
      <pivotArea type="data" outline="0" fieldPosition="0">
        <references count="3">
          <reference field="4294967294" count="1" selected="0">
            <x v="0"/>
          </reference>
          <reference field="0" count="1" selected="0">
            <x v="7"/>
          </reference>
          <reference field="1" count="1" selected="0">
            <x v="51"/>
          </reference>
        </references>
      </pivotArea>
    </chartFormat>
    <chartFormat chart="0" format="601">
      <pivotArea type="data" outline="0" fieldPosition="0">
        <references count="3">
          <reference field="4294967294" count="1" selected="0">
            <x v="0"/>
          </reference>
          <reference field="0" count="1" selected="0">
            <x v="7"/>
          </reference>
          <reference field="1" count="1" selected="0">
            <x v="52"/>
          </reference>
        </references>
      </pivotArea>
    </chartFormat>
    <chartFormat chart="0" format="602">
      <pivotArea type="data" outline="0" fieldPosition="0">
        <references count="3">
          <reference field="4294967294" count="1" selected="0">
            <x v="0"/>
          </reference>
          <reference field="0" count="1" selected="0">
            <x v="7"/>
          </reference>
          <reference field="1" count="1" selected="0">
            <x v="53"/>
          </reference>
        </references>
      </pivotArea>
    </chartFormat>
    <chartFormat chart="0" format="603">
      <pivotArea type="data" outline="0" fieldPosition="0">
        <references count="3">
          <reference field="4294967294" count="1" selected="0">
            <x v="0"/>
          </reference>
          <reference field="0" count="1" selected="0">
            <x v="7"/>
          </reference>
          <reference field="1" count="1" selected="0">
            <x v="54"/>
          </reference>
        </references>
      </pivotArea>
    </chartFormat>
    <chartFormat chart="0" format="604">
      <pivotArea type="data" outline="0" fieldPosition="0">
        <references count="3">
          <reference field="4294967294" count="1" selected="0">
            <x v="0"/>
          </reference>
          <reference field="0" count="1" selected="0">
            <x v="7"/>
          </reference>
          <reference field="1" count="1" selected="0">
            <x v="55"/>
          </reference>
        </references>
      </pivotArea>
    </chartFormat>
    <chartFormat chart="0" format="605">
      <pivotArea type="data" outline="0" fieldPosition="0">
        <references count="3">
          <reference field="4294967294" count="1" selected="0">
            <x v="0"/>
          </reference>
          <reference field="0" count="1" selected="0">
            <x v="7"/>
          </reference>
          <reference field="1" count="1" selected="0">
            <x v="56"/>
          </reference>
        </references>
      </pivotArea>
    </chartFormat>
    <chartFormat chart="0" format="606">
      <pivotArea type="data" outline="0" fieldPosition="0">
        <references count="3">
          <reference field="4294967294" count="1" selected="0">
            <x v="0"/>
          </reference>
          <reference field="0" count="1" selected="0">
            <x v="7"/>
          </reference>
          <reference field="1" count="1" selected="0">
            <x v="57"/>
          </reference>
        </references>
      </pivotArea>
    </chartFormat>
    <chartFormat chart="0" format="607">
      <pivotArea type="data" outline="0" fieldPosition="0">
        <references count="3">
          <reference field="4294967294" count="1" selected="0">
            <x v="0"/>
          </reference>
          <reference field="0" count="1" selected="0">
            <x v="7"/>
          </reference>
          <reference field="1" count="1" selected="0">
            <x v="58"/>
          </reference>
        </references>
      </pivotArea>
    </chartFormat>
    <chartFormat chart="0" format="608">
      <pivotArea type="data" outline="0" fieldPosition="0">
        <references count="3">
          <reference field="4294967294" count="1" selected="0">
            <x v="0"/>
          </reference>
          <reference field="0" count="1" selected="0">
            <x v="7"/>
          </reference>
          <reference field="1" count="1" selected="0">
            <x v="59"/>
          </reference>
        </references>
      </pivotArea>
    </chartFormat>
    <chartFormat chart="0" format="609">
      <pivotArea type="data" outline="0" fieldPosition="0">
        <references count="3">
          <reference field="4294967294" count="1" selected="0">
            <x v="0"/>
          </reference>
          <reference field="0" count="1" selected="0">
            <x v="7"/>
          </reference>
          <reference field="1" count="1" selected="0">
            <x v="60"/>
          </reference>
        </references>
      </pivotArea>
    </chartFormat>
    <chartFormat chart="0" format="610">
      <pivotArea type="data" outline="0" fieldPosition="0">
        <references count="3">
          <reference field="4294967294" count="1" selected="0">
            <x v="0"/>
          </reference>
          <reference field="0" count="1" selected="0">
            <x v="7"/>
          </reference>
          <reference field="1" count="1" selected="0">
            <x v="61"/>
          </reference>
        </references>
      </pivotArea>
    </chartFormat>
    <chartFormat chart="0" format="611">
      <pivotArea type="data" outline="0" fieldPosition="0">
        <references count="3">
          <reference field="4294967294" count="1" selected="0">
            <x v="0"/>
          </reference>
          <reference field="0" count="1" selected="0">
            <x v="7"/>
          </reference>
          <reference field="1" count="1" selected="0">
            <x v="62"/>
          </reference>
        </references>
      </pivotArea>
    </chartFormat>
    <chartFormat chart="0" format="612">
      <pivotArea type="data" outline="0" fieldPosition="0">
        <references count="3">
          <reference field="4294967294" count="1" selected="0">
            <x v="0"/>
          </reference>
          <reference field="0" count="1" selected="0">
            <x v="7"/>
          </reference>
          <reference field="1" count="1" selected="0">
            <x v="63"/>
          </reference>
        </references>
      </pivotArea>
    </chartFormat>
    <chartFormat chart="0" format="613">
      <pivotArea type="data" outline="0" fieldPosition="0">
        <references count="3">
          <reference field="4294967294" count="1" selected="0">
            <x v="0"/>
          </reference>
          <reference field="0" count="1" selected="0">
            <x v="7"/>
          </reference>
          <reference field="1" count="1" selected="0">
            <x v="64"/>
          </reference>
        </references>
      </pivotArea>
    </chartFormat>
    <chartFormat chart="0" format="614">
      <pivotArea type="data" outline="0" fieldPosition="0">
        <references count="3">
          <reference field="4294967294" count="1" selected="0">
            <x v="0"/>
          </reference>
          <reference field="0" count="1" selected="0">
            <x v="7"/>
          </reference>
          <reference field="1" count="1" selected="0">
            <x v="65"/>
          </reference>
        </references>
      </pivotArea>
    </chartFormat>
    <chartFormat chart="0" format="615">
      <pivotArea type="data" outline="0" fieldPosition="0">
        <references count="3">
          <reference field="4294967294" count="1" selected="0">
            <x v="0"/>
          </reference>
          <reference field="0" count="1" selected="0">
            <x v="7"/>
          </reference>
          <reference field="1" count="1" selected="0">
            <x v="66"/>
          </reference>
        </references>
      </pivotArea>
    </chartFormat>
    <chartFormat chart="0" format="616">
      <pivotArea type="data" outline="0" fieldPosition="0">
        <references count="3">
          <reference field="4294967294" count="1" selected="0">
            <x v="0"/>
          </reference>
          <reference field="0" count="1" selected="0">
            <x v="7"/>
          </reference>
          <reference field="1" count="1" selected="0">
            <x v="67"/>
          </reference>
        </references>
      </pivotArea>
    </chartFormat>
    <chartFormat chart="0" format="617">
      <pivotArea type="data" outline="0" fieldPosition="0">
        <references count="3">
          <reference field="4294967294" count="1" selected="0">
            <x v="0"/>
          </reference>
          <reference field="0" count="1" selected="0">
            <x v="7"/>
          </reference>
          <reference field="1" count="1" selected="0">
            <x v="68"/>
          </reference>
        </references>
      </pivotArea>
    </chartFormat>
    <chartFormat chart="0" format="618">
      <pivotArea type="data" outline="0" fieldPosition="0">
        <references count="3">
          <reference field="4294967294" count="1" selected="0">
            <x v="0"/>
          </reference>
          <reference field="0" count="1" selected="0">
            <x v="7"/>
          </reference>
          <reference field="1" count="1" selected="0">
            <x v="69"/>
          </reference>
        </references>
      </pivotArea>
    </chartFormat>
    <chartFormat chart="0" format="619">
      <pivotArea type="data" outline="0" fieldPosition="0">
        <references count="3">
          <reference field="4294967294" count="1" selected="0">
            <x v="0"/>
          </reference>
          <reference field="0" count="1" selected="0">
            <x v="7"/>
          </reference>
          <reference field="1" count="1" selected="0">
            <x v="70"/>
          </reference>
        </references>
      </pivotArea>
    </chartFormat>
    <chartFormat chart="0" format="620">
      <pivotArea type="data" outline="0" fieldPosition="0">
        <references count="3">
          <reference field="4294967294" count="1" selected="0">
            <x v="0"/>
          </reference>
          <reference field="0" count="1" selected="0">
            <x v="7"/>
          </reference>
          <reference field="1" count="1" selected="0">
            <x v="71"/>
          </reference>
        </references>
      </pivotArea>
    </chartFormat>
    <chartFormat chart="0" format="621">
      <pivotArea type="data" outline="0" fieldPosition="0">
        <references count="3">
          <reference field="4294967294" count="1" selected="0">
            <x v="0"/>
          </reference>
          <reference field="0" count="1" selected="0">
            <x v="7"/>
          </reference>
          <reference field="1" count="1" selected="0">
            <x v="72"/>
          </reference>
        </references>
      </pivotArea>
    </chartFormat>
    <chartFormat chart="0" format="622">
      <pivotArea type="data" outline="0" fieldPosition="0">
        <references count="3">
          <reference field="4294967294" count="1" selected="0">
            <x v="0"/>
          </reference>
          <reference field="0" count="1" selected="0">
            <x v="7"/>
          </reference>
          <reference field="1" count="1" selected="0">
            <x v="73"/>
          </reference>
        </references>
      </pivotArea>
    </chartFormat>
    <chartFormat chart="0" format="623">
      <pivotArea type="data" outline="0" fieldPosition="0">
        <references count="3">
          <reference field="4294967294" count="1" selected="0">
            <x v="0"/>
          </reference>
          <reference field="0" count="1" selected="0">
            <x v="7"/>
          </reference>
          <reference field="1" count="1" selected="0">
            <x v="74"/>
          </reference>
        </references>
      </pivotArea>
    </chartFormat>
    <chartFormat chart="0" format="624">
      <pivotArea type="data" outline="0" fieldPosition="0">
        <references count="3">
          <reference field="4294967294" count="1" selected="0">
            <x v="0"/>
          </reference>
          <reference field="0" count="1" selected="0">
            <x v="7"/>
          </reference>
          <reference field="1" count="1" selected="0">
            <x v="75"/>
          </reference>
        </references>
      </pivotArea>
    </chartFormat>
    <chartFormat chart="0" format="625">
      <pivotArea type="data" outline="0" fieldPosition="0">
        <references count="3">
          <reference field="4294967294" count="1" selected="0">
            <x v="0"/>
          </reference>
          <reference field="0" count="1" selected="0">
            <x v="7"/>
          </reference>
          <reference field="1" count="1" selected="0">
            <x v="76"/>
          </reference>
        </references>
      </pivotArea>
    </chartFormat>
    <chartFormat chart="0" format="626">
      <pivotArea type="data" outline="0" fieldPosition="0">
        <references count="3">
          <reference field="4294967294" count="1" selected="0">
            <x v="0"/>
          </reference>
          <reference field="0" count="1" selected="0">
            <x v="7"/>
          </reference>
          <reference field="1" count="1" selected="0">
            <x v="77"/>
          </reference>
        </references>
      </pivotArea>
    </chartFormat>
    <chartFormat chart="0" format="627">
      <pivotArea type="data" outline="0" fieldPosition="0">
        <references count="3">
          <reference field="4294967294" count="1" selected="0">
            <x v="0"/>
          </reference>
          <reference field="0" count="1" selected="0">
            <x v="7"/>
          </reference>
          <reference field="1" count="1" selected="0">
            <x v="78"/>
          </reference>
        </references>
      </pivotArea>
    </chartFormat>
    <chartFormat chart="0" format="628">
      <pivotArea type="data" outline="0" fieldPosition="0">
        <references count="3">
          <reference field="4294967294" count="1" selected="0">
            <x v="0"/>
          </reference>
          <reference field="0" count="1" selected="0">
            <x v="8"/>
          </reference>
          <reference field="1" count="1" selected="0">
            <x v="31"/>
          </reference>
        </references>
      </pivotArea>
    </chartFormat>
    <chartFormat chart="0" format="629">
      <pivotArea type="data" outline="0" fieldPosition="0">
        <references count="3">
          <reference field="4294967294" count="1" selected="0">
            <x v="0"/>
          </reference>
          <reference field="0" count="1" selected="0">
            <x v="8"/>
          </reference>
          <reference field="1" count="1" selected="0">
            <x v="32"/>
          </reference>
        </references>
      </pivotArea>
    </chartFormat>
    <chartFormat chart="0" format="630">
      <pivotArea type="data" outline="0" fieldPosition="0">
        <references count="3">
          <reference field="4294967294" count="1" selected="0">
            <x v="0"/>
          </reference>
          <reference field="0" count="1" selected="0">
            <x v="8"/>
          </reference>
          <reference field="1" count="1" selected="0">
            <x v="33"/>
          </reference>
        </references>
      </pivotArea>
    </chartFormat>
    <chartFormat chart="0" format="631">
      <pivotArea type="data" outline="0" fieldPosition="0">
        <references count="3">
          <reference field="4294967294" count="1" selected="0">
            <x v="0"/>
          </reference>
          <reference field="0" count="1" selected="0">
            <x v="8"/>
          </reference>
          <reference field="1" count="1" selected="0">
            <x v="34"/>
          </reference>
        </references>
      </pivotArea>
    </chartFormat>
    <chartFormat chart="0" format="632">
      <pivotArea type="data" outline="0" fieldPosition="0">
        <references count="3">
          <reference field="4294967294" count="1" selected="0">
            <x v="0"/>
          </reference>
          <reference field="0" count="1" selected="0">
            <x v="8"/>
          </reference>
          <reference field="1" count="1" selected="0">
            <x v="35"/>
          </reference>
        </references>
      </pivotArea>
    </chartFormat>
    <chartFormat chart="0" format="633">
      <pivotArea type="data" outline="0" fieldPosition="0">
        <references count="3">
          <reference field="4294967294" count="1" selected="0">
            <x v="0"/>
          </reference>
          <reference field="0" count="1" selected="0">
            <x v="8"/>
          </reference>
          <reference field="1" count="1" selected="0">
            <x v="36"/>
          </reference>
        </references>
      </pivotArea>
    </chartFormat>
    <chartFormat chart="0" format="634">
      <pivotArea type="data" outline="0" fieldPosition="0">
        <references count="3">
          <reference field="4294967294" count="1" selected="0">
            <x v="0"/>
          </reference>
          <reference field="0" count="1" selected="0">
            <x v="8"/>
          </reference>
          <reference field="1" count="1" selected="0">
            <x v="37"/>
          </reference>
        </references>
      </pivotArea>
    </chartFormat>
    <chartFormat chart="0" format="635">
      <pivotArea type="data" outline="0" fieldPosition="0">
        <references count="3">
          <reference field="4294967294" count="1" selected="0">
            <x v="0"/>
          </reference>
          <reference field="0" count="1" selected="0">
            <x v="8"/>
          </reference>
          <reference field="1" count="1" selected="0">
            <x v="38"/>
          </reference>
        </references>
      </pivotArea>
    </chartFormat>
    <chartFormat chart="0" format="636">
      <pivotArea type="data" outline="0" fieldPosition="0">
        <references count="3">
          <reference field="4294967294" count="1" selected="0">
            <x v="0"/>
          </reference>
          <reference field="0" count="1" selected="0">
            <x v="8"/>
          </reference>
          <reference field="1" count="1" selected="0">
            <x v="39"/>
          </reference>
        </references>
      </pivotArea>
    </chartFormat>
    <chartFormat chart="0" format="637">
      <pivotArea type="data" outline="0" fieldPosition="0">
        <references count="3">
          <reference field="4294967294" count="1" selected="0">
            <x v="0"/>
          </reference>
          <reference field="0" count="1" selected="0">
            <x v="8"/>
          </reference>
          <reference field="1" count="1" selected="0">
            <x v="40"/>
          </reference>
        </references>
      </pivotArea>
    </chartFormat>
    <chartFormat chart="0" format="638">
      <pivotArea type="data" outline="0" fieldPosition="0">
        <references count="3">
          <reference field="4294967294" count="1" selected="0">
            <x v="0"/>
          </reference>
          <reference field="0" count="1" selected="0">
            <x v="8"/>
          </reference>
          <reference field="1" count="1" selected="0">
            <x v="41"/>
          </reference>
        </references>
      </pivotArea>
    </chartFormat>
    <chartFormat chart="0" format="639">
      <pivotArea type="data" outline="0" fieldPosition="0">
        <references count="3">
          <reference field="4294967294" count="1" selected="0">
            <x v="0"/>
          </reference>
          <reference field="0" count="1" selected="0">
            <x v="8"/>
          </reference>
          <reference field="1" count="1" selected="0">
            <x v="42"/>
          </reference>
        </references>
      </pivotArea>
    </chartFormat>
    <chartFormat chart="0" format="640">
      <pivotArea type="data" outline="0" fieldPosition="0">
        <references count="3">
          <reference field="4294967294" count="1" selected="0">
            <x v="0"/>
          </reference>
          <reference field="0" count="1" selected="0">
            <x v="8"/>
          </reference>
          <reference field="1" count="1" selected="0">
            <x v="43"/>
          </reference>
        </references>
      </pivotArea>
    </chartFormat>
    <chartFormat chart="0" format="641">
      <pivotArea type="data" outline="0" fieldPosition="0">
        <references count="3">
          <reference field="4294967294" count="1" selected="0">
            <x v="0"/>
          </reference>
          <reference field="0" count="1" selected="0">
            <x v="8"/>
          </reference>
          <reference field="1" count="1" selected="0">
            <x v="44"/>
          </reference>
        </references>
      </pivotArea>
    </chartFormat>
    <chartFormat chart="0" format="642">
      <pivotArea type="data" outline="0" fieldPosition="0">
        <references count="3">
          <reference field="4294967294" count="1" selected="0">
            <x v="0"/>
          </reference>
          <reference field="0" count="1" selected="0">
            <x v="8"/>
          </reference>
          <reference field="1" count="1" selected="0">
            <x v="45"/>
          </reference>
        </references>
      </pivotArea>
    </chartFormat>
    <chartFormat chart="0" format="643">
      <pivotArea type="data" outline="0" fieldPosition="0">
        <references count="3">
          <reference field="4294967294" count="1" selected="0">
            <x v="0"/>
          </reference>
          <reference field="0" count="1" selected="0">
            <x v="8"/>
          </reference>
          <reference field="1" count="1" selected="0">
            <x v="46"/>
          </reference>
        </references>
      </pivotArea>
    </chartFormat>
    <chartFormat chart="0" format="644">
      <pivotArea type="data" outline="0" fieldPosition="0">
        <references count="3">
          <reference field="4294967294" count="1" selected="0">
            <x v="0"/>
          </reference>
          <reference field="0" count="1" selected="0">
            <x v="8"/>
          </reference>
          <reference field="1" count="1" selected="0">
            <x v="47"/>
          </reference>
        </references>
      </pivotArea>
    </chartFormat>
    <chartFormat chart="0" format="645">
      <pivotArea type="data" outline="0" fieldPosition="0">
        <references count="3">
          <reference field="4294967294" count="1" selected="0">
            <x v="0"/>
          </reference>
          <reference field="0" count="1" selected="0">
            <x v="8"/>
          </reference>
          <reference field="1" count="1" selected="0">
            <x v="48"/>
          </reference>
        </references>
      </pivotArea>
    </chartFormat>
    <chartFormat chart="0" format="646">
      <pivotArea type="data" outline="0" fieldPosition="0">
        <references count="3">
          <reference field="4294967294" count="1" selected="0">
            <x v="0"/>
          </reference>
          <reference field="0" count="1" selected="0">
            <x v="8"/>
          </reference>
          <reference field="1" count="1" selected="0">
            <x v="49"/>
          </reference>
        </references>
      </pivotArea>
    </chartFormat>
    <chartFormat chart="0" format="647">
      <pivotArea type="data" outline="0" fieldPosition="0">
        <references count="3">
          <reference field="4294967294" count="1" selected="0">
            <x v="0"/>
          </reference>
          <reference field="0" count="1" selected="0">
            <x v="8"/>
          </reference>
          <reference field="1" count="1" selected="0">
            <x v="50"/>
          </reference>
        </references>
      </pivotArea>
    </chartFormat>
    <chartFormat chart="0" format="648">
      <pivotArea type="data" outline="0" fieldPosition="0">
        <references count="3">
          <reference field="4294967294" count="1" selected="0">
            <x v="0"/>
          </reference>
          <reference field="0" count="1" selected="0">
            <x v="8"/>
          </reference>
          <reference field="1" count="1" selected="0">
            <x v="51"/>
          </reference>
        </references>
      </pivotArea>
    </chartFormat>
    <chartFormat chart="0" format="649">
      <pivotArea type="data" outline="0" fieldPosition="0">
        <references count="3">
          <reference field="4294967294" count="1" selected="0">
            <x v="0"/>
          </reference>
          <reference field="0" count="1" selected="0">
            <x v="8"/>
          </reference>
          <reference field="1" count="1" selected="0">
            <x v="52"/>
          </reference>
        </references>
      </pivotArea>
    </chartFormat>
    <chartFormat chart="0" format="650">
      <pivotArea type="data" outline="0" fieldPosition="0">
        <references count="3">
          <reference field="4294967294" count="1" selected="0">
            <x v="0"/>
          </reference>
          <reference field="0" count="1" selected="0">
            <x v="8"/>
          </reference>
          <reference field="1" count="1" selected="0">
            <x v="53"/>
          </reference>
        </references>
      </pivotArea>
    </chartFormat>
    <chartFormat chart="0" format="651">
      <pivotArea type="data" outline="0" fieldPosition="0">
        <references count="3">
          <reference field="4294967294" count="1" selected="0">
            <x v="0"/>
          </reference>
          <reference field="0" count="1" selected="0">
            <x v="8"/>
          </reference>
          <reference field="1" count="1" selected="0">
            <x v="54"/>
          </reference>
        </references>
      </pivotArea>
    </chartFormat>
    <chartFormat chart="0" format="652">
      <pivotArea type="data" outline="0" fieldPosition="0">
        <references count="3">
          <reference field="4294967294" count="1" selected="0">
            <x v="0"/>
          </reference>
          <reference field="0" count="1" selected="0">
            <x v="8"/>
          </reference>
          <reference field="1" count="1" selected="0">
            <x v="55"/>
          </reference>
        </references>
      </pivotArea>
    </chartFormat>
    <chartFormat chart="0" format="653">
      <pivotArea type="data" outline="0" fieldPosition="0">
        <references count="3">
          <reference field="4294967294" count="1" selected="0">
            <x v="0"/>
          </reference>
          <reference field="0" count="1" selected="0">
            <x v="8"/>
          </reference>
          <reference field="1" count="1" selected="0">
            <x v="56"/>
          </reference>
        </references>
      </pivotArea>
    </chartFormat>
    <chartFormat chart="0" format="654">
      <pivotArea type="data" outline="0" fieldPosition="0">
        <references count="3">
          <reference field="4294967294" count="1" selected="0">
            <x v="0"/>
          </reference>
          <reference field="0" count="1" selected="0">
            <x v="8"/>
          </reference>
          <reference field="1" count="1" selected="0">
            <x v="57"/>
          </reference>
        </references>
      </pivotArea>
    </chartFormat>
    <chartFormat chart="0" format="655">
      <pivotArea type="data" outline="0" fieldPosition="0">
        <references count="3">
          <reference field="4294967294" count="1" selected="0">
            <x v="0"/>
          </reference>
          <reference field="0" count="1" selected="0">
            <x v="8"/>
          </reference>
          <reference field="1" count="1" selected="0">
            <x v="58"/>
          </reference>
        </references>
      </pivotArea>
    </chartFormat>
    <chartFormat chart="0" format="656">
      <pivotArea type="data" outline="0" fieldPosition="0">
        <references count="3">
          <reference field="4294967294" count="1" selected="0">
            <x v="0"/>
          </reference>
          <reference field="0" count="1" selected="0">
            <x v="8"/>
          </reference>
          <reference field="1" count="1" selected="0">
            <x v="59"/>
          </reference>
        </references>
      </pivotArea>
    </chartFormat>
    <chartFormat chart="0" format="657">
      <pivotArea type="data" outline="0" fieldPosition="0">
        <references count="3">
          <reference field="4294967294" count="1" selected="0">
            <x v="0"/>
          </reference>
          <reference field="0" count="1" selected="0">
            <x v="8"/>
          </reference>
          <reference field="1" count="1" selected="0">
            <x v="60"/>
          </reference>
        </references>
      </pivotArea>
    </chartFormat>
    <chartFormat chart="0" format="658">
      <pivotArea type="data" outline="0" fieldPosition="0">
        <references count="3">
          <reference field="4294967294" count="1" selected="0">
            <x v="0"/>
          </reference>
          <reference field="0" count="1" selected="0">
            <x v="8"/>
          </reference>
          <reference field="1" count="1" selected="0">
            <x v="61"/>
          </reference>
        </references>
      </pivotArea>
    </chartFormat>
    <chartFormat chart="0" format="659">
      <pivotArea type="data" outline="0" fieldPosition="0">
        <references count="3">
          <reference field="4294967294" count="1" selected="0">
            <x v="0"/>
          </reference>
          <reference field="0" count="1" selected="0">
            <x v="8"/>
          </reference>
          <reference field="1" count="1" selected="0">
            <x v="62"/>
          </reference>
        </references>
      </pivotArea>
    </chartFormat>
    <chartFormat chart="0" format="660">
      <pivotArea type="data" outline="0" fieldPosition="0">
        <references count="3">
          <reference field="4294967294" count="1" selected="0">
            <x v="0"/>
          </reference>
          <reference field="0" count="1" selected="0">
            <x v="8"/>
          </reference>
          <reference field="1" count="1" selected="0">
            <x v="63"/>
          </reference>
        </references>
      </pivotArea>
    </chartFormat>
    <chartFormat chart="0" format="661">
      <pivotArea type="data" outline="0" fieldPosition="0">
        <references count="3">
          <reference field="4294967294" count="1" selected="0">
            <x v="0"/>
          </reference>
          <reference field="0" count="1" selected="0">
            <x v="8"/>
          </reference>
          <reference field="1" count="1" selected="0">
            <x v="64"/>
          </reference>
        </references>
      </pivotArea>
    </chartFormat>
    <chartFormat chart="0" format="662">
      <pivotArea type="data" outline="0" fieldPosition="0">
        <references count="3">
          <reference field="4294967294" count="1" selected="0">
            <x v="0"/>
          </reference>
          <reference field="0" count="1" selected="0">
            <x v="8"/>
          </reference>
          <reference field="1" count="1" selected="0">
            <x v="65"/>
          </reference>
        </references>
      </pivotArea>
    </chartFormat>
    <chartFormat chart="0" format="663">
      <pivotArea type="data" outline="0" fieldPosition="0">
        <references count="3">
          <reference field="4294967294" count="1" selected="0">
            <x v="0"/>
          </reference>
          <reference field="0" count="1" selected="0">
            <x v="8"/>
          </reference>
          <reference field="1" count="1" selected="0">
            <x v="66"/>
          </reference>
        </references>
      </pivotArea>
    </chartFormat>
    <chartFormat chart="0" format="664">
      <pivotArea type="data" outline="0" fieldPosition="0">
        <references count="3">
          <reference field="4294967294" count="1" selected="0">
            <x v="0"/>
          </reference>
          <reference field="0" count="1" selected="0">
            <x v="8"/>
          </reference>
          <reference field="1" count="1" selected="0">
            <x v="67"/>
          </reference>
        </references>
      </pivotArea>
    </chartFormat>
    <chartFormat chart="0" format="665">
      <pivotArea type="data" outline="0" fieldPosition="0">
        <references count="3">
          <reference field="4294967294" count="1" selected="0">
            <x v="0"/>
          </reference>
          <reference field="0" count="1" selected="0">
            <x v="8"/>
          </reference>
          <reference field="1" count="1" selected="0">
            <x v="68"/>
          </reference>
        </references>
      </pivotArea>
    </chartFormat>
    <chartFormat chart="0" format="666">
      <pivotArea type="data" outline="0" fieldPosition="0">
        <references count="3">
          <reference field="4294967294" count="1" selected="0">
            <x v="0"/>
          </reference>
          <reference field="0" count="1" selected="0">
            <x v="8"/>
          </reference>
          <reference field="1" count="1" selected="0">
            <x v="69"/>
          </reference>
        </references>
      </pivotArea>
    </chartFormat>
    <chartFormat chart="0" format="667">
      <pivotArea type="data" outline="0" fieldPosition="0">
        <references count="3">
          <reference field="4294967294" count="1" selected="0">
            <x v="0"/>
          </reference>
          <reference field="0" count="1" selected="0">
            <x v="8"/>
          </reference>
          <reference field="1" count="1" selected="0">
            <x v="70"/>
          </reference>
        </references>
      </pivotArea>
    </chartFormat>
    <chartFormat chart="0" format="668">
      <pivotArea type="data" outline="0" fieldPosition="0">
        <references count="3">
          <reference field="4294967294" count="1" selected="0">
            <x v="0"/>
          </reference>
          <reference field="0" count="1" selected="0">
            <x v="8"/>
          </reference>
          <reference field="1" count="1" selected="0">
            <x v="71"/>
          </reference>
        </references>
      </pivotArea>
    </chartFormat>
    <chartFormat chart="0" format="669">
      <pivotArea type="data" outline="0" fieldPosition="0">
        <references count="3">
          <reference field="4294967294" count="1" selected="0">
            <x v="0"/>
          </reference>
          <reference field="0" count="1" selected="0">
            <x v="8"/>
          </reference>
          <reference field="1" count="1" selected="0">
            <x v="72"/>
          </reference>
        </references>
      </pivotArea>
    </chartFormat>
    <chartFormat chart="0" format="670">
      <pivotArea type="data" outline="0" fieldPosition="0">
        <references count="3">
          <reference field="4294967294" count="1" selected="0">
            <x v="0"/>
          </reference>
          <reference field="0" count="1" selected="0">
            <x v="8"/>
          </reference>
          <reference field="1" count="1" selected="0">
            <x v="73"/>
          </reference>
        </references>
      </pivotArea>
    </chartFormat>
    <chartFormat chart="0" format="671">
      <pivotArea type="data" outline="0" fieldPosition="0">
        <references count="3">
          <reference field="4294967294" count="1" selected="0">
            <x v="0"/>
          </reference>
          <reference field="0" count="1" selected="0">
            <x v="8"/>
          </reference>
          <reference field="1" count="1" selected="0">
            <x v="74"/>
          </reference>
        </references>
      </pivotArea>
    </chartFormat>
    <chartFormat chart="0" format="672">
      <pivotArea type="data" outline="0" fieldPosition="0">
        <references count="3">
          <reference field="4294967294" count="1" selected="0">
            <x v="0"/>
          </reference>
          <reference field="0" count="1" selected="0">
            <x v="8"/>
          </reference>
          <reference field="1" count="1" selected="0">
            <x v="75"/>
          </reference>
        </references>
      </pivotArea>
    </chartFormat>
    <chartFormat chart="0" format="673">
      <pivotArea type="data" outline="0" fieldPosition="0">
        <references count="3">
          <reference field="4294967294" count="1" selected="0">
            <x v="0"/>
          </reference>
          <reference field="0" count="1" selected="0">
            <x v="8"/>
          </reference>
          <reference field="1" count="1" selected="0">
            <x v="76"/>
          </reference>
        </references>
      </pivotArea>
    </chartFormat>
    <chartFormat chart="0" format="674">
      <pivotArea type="data" outline="0" fieldPosition="0">
        <references count="3">
          <reference field="4294967294" count="1" selected="0">
            <x v="0"/>
          </reference>
          <reference field="0" count="1" selected="0">
            <x v="8"/>
          </reference>
          <reference field="1" count="1" selected="0">
            <x v="77"/>
          </reference>
        </references>
      </pivotArea>
    </chartFormat>
    <chartFormat chart="0" format="675">
      <pivotArea type="data" outline="0" fieldPosition="0">
        <references count="3">
          <reference field="4294967294" count="1" selected="0">
            <x v="0"/>
          </reference>
          <reference field="0" count="1" selected="0">
            <x v="8"/>
          </reference>
          <reference field="1" count="1" selected="0">
            <x v="78"/>
          </reference>
        </references>
      </pivotArea>
    </chartFormat>
    <chartFormat chart="0" format="676">
      <pivotArea type="data" outline="0" fieldPosition="0">
        <references count="3">
          <reference field="4294967294" count="1" selected="0">
            <x v="0"/>
          </reference>
          <reference field="0" count="1" selected="0">
            <x v="9"/>
          </reference>
          <reference field="1" count="1" selected="0">
            <x v="31"/>
          </reference>
        </references>
      </pivotArea>
    </chartFormat>
    <chartFormat chart="0" format="677">
      <pivotArea type="data" outline="0" fieldPosition="0">
        <references count="3">
          <reference field="4294967294" count="1" selected="0">
            <x v="0"/>
          </reference>
          <reference field="0" count="1" selected="0">
            <x v="9"/>
          </reference>
          <reference field="1" count="1" selected="0">
            <x v="32"/>
          </reference>
        </references>
      </pivotArea>
    </chartFormat>
    <chartFormat chart="0" format="678">
      <pivotArea type="data" outline="0" fieldPosition="0">
        <references count="3">
          <reference field="4294967294" count="1" selected="0">
            <x v="0"/>
          </reference>
          <reference field="0" count="1" selected="0">
            <x v="9"/>
          </reference>
          <reference field="1" count="1" selected="0">
            <x v="33"/>
          </reference>
        </references>
      </pivotArea>
    </chartFormat>
    <chartFormat chart="0" format="679">
      <pivotArea type="data" outline="0" fieldPosition="0">
        <references count="3">
          <reference field="4294967294" count="1" selected="0">
            <x v="0"/>
          </reference>
          <reference field="0" count="1" selected="0">
            <x v="9"/>
          </reference>
          <reference field="1" count="1" selected="0">
            <x v="34"/>
          </reference>
        </references>
      </pivotArea>
    </chartFormat>
    <chartFormat chart="0" format="680">
      <pivotArea type="data" outline="0" fieldPosition="0">
        <references count="3">
          <reference field="4294967294" count="1" selected="0">
            <x v="0"/>
          </reference>
          <reference field="0" count="1" selected="0">
            <x v="9"/>
          </reference>
          <reference field="1" count="1" selected="0">
            <x v="35"/>
          </reference>
        </references>
      </pivotArea>
    </chartFormat>
    <chartFormat chart="0" format="681">
      <pivotArea type="data" outline="0" fieldPosition="0">
        <references count="3">
          <reference field="4294967294" count="1" selected="0">
            <x v="0"/>
          </reference>
          <reference field="0" count="1" selected="0">
            <x v="9"/>
          </reference>
          <reference field="1" count="1" selected="0">
            <x v="36"/>
          </reference>
        </references>
      </pivotArea>
    </chartFormat>
    <chartFormat chart="0" format="682">
      <pivotArea type="data" outline="0" fieldPosition="0">
        <references count="3">
          <reference field="4294967294" count="1" selected="0">
            <x v="0"/>
          </reference>
          <reference field="0" count="1" selected="0">
            <x v="9"/>
          </reference>
          <reference field="1" count="1" selected="0">
            <x v="37"/>
          </reference>
        </references>
      </pivotArea>
    </chartFormat>
    <chartFormat chart="0" format="683">
      <pivotArea type="data" outline="0" fieldPosition="0">
        <references count="3">
          <reference field="4294967294" count="1" selected="0">
            <x v="0"/>
          </reference>
          <reference field="0" count="1" selected="0">
            <x v="9"/>
          </reference>
          <reference field="1" count="1" selected="0">
            <x v="38"/>
          </reference>
        </references>
      </pivotArea>
    </chartFormat>
    <chartFormat chart="0" format="684">
      <pivotArea type="data" outline="0" fieldPosition="0">
        <references count="3">
          <reference field="4294967294" count="1" selected="0">
            <x v="0"/>
          </reference>
          <reference field="0" count="1" selected="0">
            <x v="9"/>
          </reference>
          <reference field="1" count="1" selected="0">
            <x v="39"/>
          </reference>
        </references>
      </pivotArea>
    </chartFormat>
    <chartFormat chart="0" format="685">
      <pivotArea type="data" outline="0" fieldPosition="0">
        <references count="3">
          <reference field="4294967294" count="1" selected="0">
            <x v="0"/>
          </reference>
          <reference field="0" count="1" selected="0">
            <x v="9"/>
          </reference>
          <reference field="1" count="1" selected="0">
            <x v="40"/>
          </reference>
        </references>
      </pivotArea>
    </chartFormat>
    <chartFormat chart="0" format="686">
      <pivotArea type="data" outline="0" fieldPosition="0">
        <references count="3">
          <reference field="4294967294" count="1" selected="0">
            <x v="0"/>
          </reference>
          <reference field="0" count="1" selected="0">
            <x v="9"/>
          </reference>
          <reference field="1" count="1" selected="0">
            <x v="41"/>
          </reference>
        </references>
      </pivotArea>
    </chartFormat>
    <chartFormat chart="0" format="687">
      <pivotArea type="data" outline="0" fieldPosition="0">
        <references count="3">
          <reference field="4294967294" count="1" selected="0">
            <x v="0"/>
          </reference>
          <reference field="0" count="1" selected="0">
            <x v="9"/>
          </reference>
          <reference field="1" count="1" selected="0">
            <x v="42"/>
          </reference>
        </references>
      </pivotArea>
    </chartFormat>
    <chartFormat chart="0" format="688">
      <pivotArea type="data" outline="0" fieldPosition="0">
        <references count="3">
          <reference field="4294967294" count="1" selected="0">
            <x v="0"/>
          </reference>
          <reference field="0" count="1" selected="0">
            <x v="9"/>
          </reference>
          <reference field="1" count="1" selected="0">
            <x v="43"/>
          </reference>
        </references>
      </pivotArea>
    </chartFormat>
    <chartFormat chart="0" format="689">
      <pivotArea type="data" outline="0" fieldPosition="0">
        <references count="3">
          <reference field="4294967294" count="1" selected="0">
            <x v="0"/>
          </reference>
          <reference field="0" count="1" selected="0">
            <x v="9"/>
          </reference>
          <reference field="1" count="1" selected="0">
            <x v="44"/>
          </reference>
        </references>
      </pivotArea>
    </chartFormat>
    <chartFormat chart="0" format="690">
      <pivotArea type="data" outline="0" fieldPosition="0">
        <references count="3">
          <reference field="4294967294" count="1" selected="0">
            <x v="0"/>
          </reference>
          <reference field="0" count="1" selected="0">
            <x v="9"/>
          </reference>
          <reference field="1" count="1" selected="0">
            <x v="45"/>
          </reference>
        </references>
      </pivotArea>
    </chartFormat>
    <chartFormat chart="0" format="691">
      <pivotArea type="data" outline="0" fieldPosition="0">
        <references count="3">
          <reference field="4294967294" count="1" selected="0">
            <x v="0"/>
          </reference>
          <reference field="0" count="1" selected="0">
            <x v="9"/>
          </reference>
          <reference field="1" count="1" selected="0">
            <x v="46"/>
          </reference>
        </references>
      </pivotArea>
    </chartFormat>
    <chartFormat chart="0" format="692">
      <pivotArea type="data" outline="0" fieldPosition="0">
        <references count="3">
          <reference field="4294967294" count="1" selected="0">
            <x v="0"/>
          </reference>
          <reference field="0" count="1" selected="0">
            <x v="9"/>
          </reference>
          <reference field="1" count="1" selected="0">
            <x v="47"/>
          </reference>
        </references>
      </pivotArea>
    </chartFormat>
    <chartFormat chart="0" format="693">
      <pivotArea type="data" outline="0" fieldPosition="0">
        <references count="3">
          <reference field="4294967294" count="1" selected="0">
            <x v="0"/>
          </reference>
          <reference field="0" count="1" selected="0">
            <x v="9"/>
          </reference>
          <reference field="1" count="1" selected="0">
            <x v="48"/>
          </reference>
        </references>
      </pivotArea>
    </chartFormat>
    <chartFormat chart="0" format="694">
      <pivotArea type="data" outline="0" fieldPosition="0">
        <references count="3">
          <reference field="4294967294" count="1" selected="0">
            <x v="0"/>
          </reference>
          <reference field="0" count="1" selected="0">
            <x v="9"/>
          </reference>
          <reference field="1" count="1" selected="0">
            <x v="49"/>
          </reference>
        </references>
      </pivotArea>
    </chartFormat>
    <chartFormat chart="0" format="695">
      <pivotArea type="data" outline="0" fieldPosition="0">
        <references count="3">
          <reference field="4294967294" count="1" selected="0">
            <x v="0"/>
          </reference>
          <reference field="0" count="1" selected="0">
            <x v="9"/>
          </reference>
          <reference field="1" count="1" selected="0">
            <x v="50"/>
          </reference>
        </references>
      </pivotArea>
    </chartFormat>
    <chartFormat chart="0" format="696">
      <pivotArea type="data" outline="0" fieldPosition="0">
        <references count="3">
          <reference field="4294967294" count="1" selected="0">
            <x v="0"/>
          </reference>
          <reference field="0" count="1" selected="0">
            <x v="9"/>
          </reference>
          <reference field="1" count="1" selected="0">
            <x v="51"/>
          </reference>
        </references>
      </pivotArea>
    </chartFormat>
    <chartFormat chart="0" format="697">
      <pivotArea type="data" outline="0" fieldPosition="0">
        <references count="3">
          <reference field="4294967294" count="1" selected="0">
            <x v="0"/>
          </reference>
          <reference field="0" count="1" selected="0">
            <x v="9"/>
          </reference>
          <reference field="1" count="1" selected="0">
            <x v="52"/>
          </reference>
        </references>
      </pivotArea>
    </chartFormat>
    <chartFormat chart="0" format="698">
      <pivotArea type="data" outline="0" fieldPosition="0">
        <references count="3">
          <reference field="4294967294" count="1" selected="0">
            <x v="0"/>
          </reference>
          <reference field="0" count="1" selected="0">
            <x v="9"/>
          </reference>
          <reference field="1" count="1" selected="0">
            <x v="53"/>
          </reference>
        </references>
      </pivotArea>
    </chartFormat>
    <chartFormat chart="0" format="699">
      <pivotArea type="data" outline="0" fieldPosition="0">
        <references count="3">
          <reference field="4294967294" count="1" selected="0">
            <x v="0"/>
          </reference>
          <reference field="0" count="1" selected="0">
            <x v="9"/>
          </reference>
          <reference field="1" count="1" selected="0">
            <x v="54"/>
          </reference>
        </references>
      </pivotArea>
    </chartFormat>
    <chartFormat chart="0" format="700">
      <pivotArea type="data" outline="0" fieldPosition="0">
        <references count="3">
          <reference field="4294967294" count="1" selected="0">
            <x v="0"/>
          </reference>
          <reference field="0" count="1" selected="0">
            <x v="9"/>
          </reference>
          <reference field="1" count="1" selected="0">
            <x v="55"/>
          </reference>
        </references>
      </pivotArea>
    </chartFormat>
    <chartFormat chart="0" format="701">
      <pivotArea type="data" outline="0" fieldPosition="0">
        <references count="3">
          <reference field="4294967294" count="1" selected="0">
            <x v="0"/>
          </reference>
          <reference field="0" count="1" selected="0">
            <x v="9"/>
          </reference>
          <reference field="1" count="1" selected="0">
            <x v="56"/>
          </reference>
        </references>
      </pivotArea>
    </chartFormat>
    <chartFormat chart="0" format="702">
      <pivotArea type="data" outline="0" fieldPosition="0">
        <references count="3">
          <reference field="4294967294" count="1" selected="0">
            <x v="0"/>
          </reference>
          <reference field="0" count="1" selected="0">
            <x v="9"/>
          </reference>
          <reference field="1" count="1" selected="0">
            <x v="57"/>
          </reference>
        </references>
      </pivotArea>
    </chartFormat>
    <chartFormat chart="0" format="703">
      <pivotArea type="data" outline="0" fieldPosition="0">
        <references count="3">
          <reference field="4294967294" count="1" selected="0">
            <x v="0"/>
          </reference>
          <reference field="0" count="1" selected="0">
            <x v="9"/>
          </reference>
          <reference field="1" count="1" selected="0">
            <x v="58"/>
          </reference>
        </references>
      </pivotArea>
    </chartFormat>
    <chartFormat chart="0" format="704">
      <pivotArea type="data" outline="0" fieldPosition="0">
        <references count="3">
          <reference field="4294967294" count="1" selected="0">
            <x v="0"/>
          </reference>
          <reference field="0" count="1" selected="0">
            <x v="9"/>
          </reference>
          <reference field="1" count="1" selected="0">
            <x v="59"/>
          </reference>
        </references>
      </pivotArea>
    </chartFormat>
    <chartFormat chart="0" format="705">
      <pivotArea type="data" outline="0" fieldPosition="0">
        <references count="3">
          <reference field="4294967294" count="1" selected="0">
            <x v="0"/>
          </reference>
          <reference field="0" count="1" selected="0">
            <x v="9"/>
          </reference>
          <reference field="1" count="1" selected="0">
            <x v="60"/>
          </reference>
        </references>
      </pivotArea>
    </chartFormat>
    <chartFormat chart="0" format="706">
      <pivotArea type="data" outline="0" fieldPosition="0">
        <references count="3">
          <reference field="4294967294" count="1" selected="0">
            <x v="0"/>
          </reference>
          <reference field="0" count="1" selected="0">
            <x v="9"/>
          </reference>
          <reference field="1" count="1" selected="0">
            <x v="61"/>
          </reference>
        </references>
      </pivotArea>
    </chartFormat>
    <chartFormat chart="0" format="707">
      <pivotArea type="data" outline="0" fieldPosition="0">
        <references count="3">
          <reference field="4294967294" count="1" selected="0">
            <x v="0"/>
          </reference>
          <reference field="0" count="1" selected="0">
            <x v="9"/>
          </reference>
          <reference field="1" count="1" selected="0">
            <x v="62"/>
          </reference>
        </references>
      </pivotArea>
    </chartFormat>
    <chartFormat chart="0" format="708">
      <pivotArea type="data" outline="0" fieldPosition="0">
        <references count="3">
          <reference field="4294967294" count="1" selected="0">
            <x v="0"/>
          </reference>
          <reference field="0" count="1" selected="0">
            <x v="9"/>
          </reference>
          <reference field="1" count="1" selected="0">
            <x v="63"/>
          </reference>
        </references>
      </pivotArea>
    </chartFormat>
    <chartFormat chart="0" format="709">
      <pivotArea type="data" outline="0" fieldPosition="0">
        <references count="3">
          <reference field="4294967294" count="1" selected="0">
            <x v="0"/>
          </reference>
          <reference field="0" count="1" selected="0">
            <x v="9"/>
          </reference>
          <reference field="1" count="1" selected="0">
            <x v="64"/>
          </reference>
        </references>
      </pivotArea>
    </chartFormat>
    <chartFormat chart="0" format="710">
      <pivotArea type="data" outline="0" fieldPosition="0">
        <references count="3">
          <reference field="4294967294" count="1" selected="0">
            <x v="0"/>
          </reference>
          <reference field="0" count="1" selected="0">
            <x v="9"/>
          </reference>
          <reference field="1" count="1" selected="0">
            <x v="65"/>
          </reference>
        </references>
      </pivotArea>
    </chartFormat>
    <chartFormat chart="0" format="711">
      <pivotArea type="data" outline="0" fieldPosition="0">
        <references count="3">
          <reference field="4294967294" count="1" selected="0">
            <x v="0"/>
          </reference>
          <reference field="0" count="1" selected="0">
            <x v="9"/>
          </reference>
          <reference field="1" count="1" selected="0">
            <x v="66"/>
          </reference>
        </references>
      </pivotArea>
    </chartFormat>
    <chartFormat chart="0" format="712">
      <pivotArea type="data" outline="0" fieldPosition="0">
        <references count="3">
          <reference field="4294967294" count="1" selected="0">
            <x v="0"/>
          </reference>
          <reference field="0" count="1" selected="0">
            <x v="9"/>
          </reference>
          <reference field="1" count="1" selected="0">
            <x v="67"/>
          </reference>
        </references>
      </pivotArea>
    </chartFormat>
    <chartFormat chart="0" format="713">
      <pivotArea type="data" outline="0" fieldPosition="0">
        <references count="3">
          <reference field="4294967294" count="1" selected="0">
            <x v="0"/>
          </reference>
          <reference field="0" count="1" selected="0">
            <x v="9"/>
          </reference>
          <reference field="1" count="1" selected="0">
            <x v="68"/>
          </reference>
        </references>
      </pivotArea>
    </chartFormat>
    <chartFormat chart="0" format="714">
      <pivotArea type="data" outline="0" fieldPosition="0">
        <references count="3">
          <reference field="4294967294" count="1" selected="0">
            <x v="0"/>
          </reference>
          <reference field="0" count="1" selected="0">
            <x v="9"/>
          </reference>
          <reference field="1" count="1" selected="0">
            <x v="69"/>
          </reference>
        </references>
      </pivotArea>
    </chartFormat>
    <chartFormat chart="0" format="715">
      <pivotArea type="data" outline="0" fieldPosition="0">
        <references count="3">
          <reference field="4294967294" count="1" selected="0">
            <x v="0"/>
          </reference>
          <reference field="0" count="1" selected="0">
            <x v="9"/>
          </reference>
          <reference field="1" count="1" selected="0">
            <x v="70"/>
          </reference>
        </references>
      </pivotArea>
    </chartFormat>
    <chartFormat chart="0" format="716">
      <pivotArea type="data" outline="0" fieldPosition="0">
        <references count="3">
          <reference field="4294967294" count="1" selected="0">
            <x v="0"/>
          </reference>
          <reference field="0" count="1" selected="0">
            <x v="9"/>
          </reference>
          <reference field="1" count="1" selected="0">
            <x v="71"/>
          </reference>
        </references>
      </pivotArea>
    </chartFormat>
    <chartFormat chart="0" format="717">
      <pivotArea type="data" outline="0" fieldPosition="0">
        <references count="3">
          <reference field="4294967294" count="1" selected="0">
            <x v="0"/>
          </reference>
          <reference field="0" count="1" selected="0">
            <x v="9"/>
          </reference>
          <reference field="1" count="1" selected="0">
            <x v="72"/>
          </reference>
        </references>
      </pivotArea>
    </chartFormat>
    <chartFormat chart="0" format="718">
      <pivotArea type="data" outline="0" fieldPosition="0">
        <references count="3">
          <reference field="4294967294" count="1" selected="0">
            <x v="0"/>
          </reference>
          <reference field="0" count="1" selected="0">
            <x v="9"/>
          </reference>
          <reference field="1" count="1" selected="0">
            <x v="73"/>
          </reference>
        </references>
      </pivotArea>
    </chartFormat>
    <chartFormat chart="0" format="719">
      <pivotArea type="data" outline="0" fieldPosition="0">
        <references count="3">
          <reference field="4294967294" count="1" selected="0">
            <x v="0"/>
          </reference>
          <reference field="0" count="1" selected="0">
            <x v="9"/>
          </reference>
          <reference field="1" count="1" selected="0">
            <x v="74"/>
          </reference>
        </references>
      </pivotArea>
    </chartFormat>
    <chartFormat chart="0" format="720">
      <pivotArea type="data" outline="0" fieldPosition="0">
        <references count="3">
          <reference field="4294967294" count="1" selected="0">
            <x v="0"/>
          </reference>
          <reference field="0" count="1" selected="0">
            <x v="9"/>
          </reference>
          <reference field="1" count="1" selected="0">
            <x v="75"/>
          </reference>
        </references>
      </pivotArea>
    </chartFormat>
    <chartFormat chart="0" format="721">
      <pivotArea type="data" outline="0" fieldPosition="0">
        <references count="3">
          <reference field="4294967294" count="1" selected="0">
            <x v="0"/>
          </reference>
          <reference field="0" count="1" selected="0">
            <x v="9"/>
          </reference>
          <reference field="1" count="1" selected="0">
            <x v="76"/>
          </reference>
        </references>
      </pivotArea>
    </chartFormat>
    <chartFormat chart="0" format="722">
      <pivotArea type="data" outline="0" fieldPosition="0">
        <references count="3">
          <reference field="4294967294" count="1" selected="0">
            <x v="0"/>
          </reference>
          <reference field="0" count="1" selected="0">
            <x v="9"/>
          </reference>
          <reference field="1" count="1" selected="0">
            <x v="77"/>
          </reference>
        </references>
      </pivotArea>
    </chartFormat>
    <chartFormat chart="0" format="723">
      <pivotArea type="data" outline="0" fieldPosition="0">
        <references count="3">
          <reference field="4294967294" count="1" selected="0">
            <x v="0"/>
          </reference>
          <reference field="0" count="1" selected="0">
            <x v="9"/>
          </reference>
          <reference field="1" count="1" selected="0">
            <x v="78"/>
          </reference>
        </references>
      </pivotArea>
    </chartFormat>
    <chartFormat chart="0" format="724">
      <pivotArea type="data" outline="0" fieldPosition="0">
        <references count="3">
          <reference field="4294967294" count="1" selected="0">
            <x v="0"/>
          </reference>
          <reference field="0" count="1" selected="0">
            <x v="10"/>
          </reference>
          <reference field="1" count="1" selected="0">
            <x v="31"/>
          </reference>
        </references>
      </pivotArea>
    </chartFormat>
    <chartFormat chart="0" format="725">
      <pivotArea type="data" outline="0" fieldPosition="0">
        <references count="3">
          <reference field="4294967294" count="1" selected="0">
            <x v="0"/>
          </reference>
          <reference field="0" count="1" selected="0">
            <x v="10"/>
          </reference>
          <reference field="1" count="1" selected="0">
            <x v="32"/>
          </reference>
        </references>
      </pivotArea>
    </chartFormat>
    <chartFormat chart="0" format="726">
      <pivotArea type="data" outline="0" fieldPosition="0">
        <references count="3">
          <reference field="4294967294" count="1" selected="0">
            <x v="0"/>
          </reference>
          <reference field="0" count="1" selected="0">
            <x v="10"/>
          </reference>
          <reference field="1" count="1" selected="0">
            <x v="33"/>
          </reference>
        </references>
      </pivotArea>
    </chartFormat>
    <chartFormat chart="0" format="727">
      <pivotArea type="data" outline="0" fieldPosition="0">
        <references count="3">
          <reference field="4294967294" count="1" selected="0">
            <x v="0"/>
          </reference>
          <reference field="0" count="1" selected="0">
            <x v="10"/>
          </reference>
          <reference field="1" count="1" selected="0">
            <x v="34"/>
          </reference>
        </references>
      </pivotArea>
    </chartFormat>
    <chartFormat chart="0" format="728">
      <pivotArea type="data" outline="0" fieldPosition="0">
        <references count="3">
          <reference field="4294967294" count="1" selected="0">
            <x v="0"/>
          </reference>
          <reference field="0" count="1" selected="0">
            <x v="10"/>
          </reference>
          <reference field="1" count="1" selected="0">
            <x v="35"/>
          </reference>
        </references>
      </pivotArea>
    </chartFormat>
    <chartFormat chart="0" format="729">
      <pivotArea type="data" outline="0" fieldPosition="0">
        <references count="3">
          <reference field="4294967294" count="1" selected="0">
            <x v="0"/>
          </reference>
          <reference field="0" count="1" selected="0">
            <x v="10"/>
          </reference>
          <reference field="1" count="1" selected="0">
            <x v="36"/>
          </reference>
        </references>
      </pivotArea>
    </chartFormat>
    <chartFormat chart="0" format="730">
      <pivotArea type="data" outline="0" fieldPosition="0">
        <references count="3">
          <reference field="4294967294" count="1" selected="0">
            <x v="0"/>
          </reference>
          <reference field="0" count="1" selected="0">
            <x v="10"/>
          </reference>
          <reference field="1" count="1" selected="0">
            <x v="37"/>
          </reference>
        </references>
      </pivotArea>
    </chartFormat>
    <chartFormat chart="0" format="731">
      <pivotArea type="data" outline="0" fieldPosition="0">
        <references count="3">
          <reference field="4294967294" count="1" selected="0">
            <x v="0"/>
          </reference>
          <reference field="0" count="1" selected="0">
            <x v="10"/>
          </reference>
          <reference field="1" count="1" selected="0">
            <x v="38"/>
          </reference>
        </references>
      </pivotArea>
    </chartFormat>
    <chartFormat chart="0" format="732">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3">
      <pivotArea type="data" outline="0" fieldPosition="0">
        <references count="3">
          <reference field="4294967294" count="1" selected="0">
            <x v="0"/>
          </reference>
          <reference field="0" count="1" selected="0">
            <x v="10"/>
          </reference>
          <reference field="1" count="1" selected="0">
            <x v="40"/>
          </reference>
        </references>
      </pivotArea>
    </chartFormat>
    <chartFormat chart="0" format="734">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5">
      <pivotArea type="data" outline="0" fieldPosition="0">
        <references count="3">
          <reference field="4294967294" count="1" selected="0">
            <x v="0"/>
          </reference>
          <reference field="0" count="1" selected="0">
            <x v="10"/>
          </reference>
          <reference field="1" count="1" selected="0">
            <x v="42"/>
          </reference>
        </references>
      </pivotArea>
    </chartFormat>
    <chartFormat chart="0" format="736">
      <pivotArea type="data" outline="0" fieldPosition="0">
        <references count="3">
          <reference field="4294967294" count="1" selected="0">
            <x v="0"/>
          </reference>
          <reference field="0" count="1" selected="0">
            <x v="10"/>
          </reference>
          <reference field="1" count="1" selected="0">
            <x v="43"/>
          </reference>
        </references>
      </pivotArea>
    </chartFormat>
    <chartFormat chart="0" format="737">
      <pivotArea type="data" outline="0" fieldPosition="0">
        <references count="3">
          <reference field="4294967294" count="1" selected="0">
            <x v="0"/>
          </reference>
          <reference field="0" count="1" selected="0">
            <x v="10"/>
          </reference>
          <reference field="1" count="1" selected="0">
            <x v="44"/>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5"/>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6"/>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1">
      <pivotArea type="data" outline="0" fieldPosition="0">
        <references count="3">
          <reference field="4294967294" count="1" selected="0">
            <x v="0"/>
          </reference>
          <reference field="0" count="1" selected="0">
            <x v="10"/>
          </reference>
          <reference field="1" count="1" selected="0">
            <x v="48"/>
          </reference>
        </references>
      </pivotArea>
    </chartFormat>
    <chartFormat chart="0" format="742">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0"/>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2"/>
          </reference>
        </references>
      </pivotArea>
    </chartFormat>
    <chartFormat chart="0" format="746">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7">
      <pivotArea type="data" outline="0" fieldPosition="0">
        <references count="3">
          <reference field="4294967294" count="1" selected="0">
            <x v="0"/>
          </reference>
          <reference field="0" count="1" selected="0">
            <x v="10"/>
          </reference>
          <reference field="1" count="1" selected="0">
            <x v="54"/>
          </reference>
        </references>
      </pivotArea>
    </chartFormat>
    <chartFormat chart="0" format="748">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9">
      <pivotArea type="data" outline="0" fieldPosition="0">
        <references count="3">
          <reference field="4294967294" count="1" selected="0">
            <x v="0"/>
          </reference>
          <reference field="0" count="1" selected="0">
            <x v="10"/>
          </reference>
          <reference field="1" count="1" selected="0">
            <x v="56"/>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7"/>
          </reference>
        </references>
      </pivotArea>
    </chartFormat>
    <chartFormat chart="0" format="751">
      <pivotArea type="data" outline="0" fieldPosition="0">
        <references count="3">
          <reference field="4294967294" count="1" selected="0">
            <x v="0"/>
          </reference>
          <reference field="0" count="1" selected="0">
            <x v="10"/>
          </reference>
          <reference field="1" count="1" selected="0">
            <x v="58"/>
          </reference>
        </references>
      </pivotArea>
    </chartFormat>
    <chartFormat chart="0" format="752">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3">
      <pivotArea type="data" outline="0" fieldPosition="0">
        <references count="3">
          <reference field="4294967294" count="1" selected="0">
            <x v="0"/>
          </reference>
          <reference field="0" count="1" selected="0">
            <x v="10"/>
          </reference>
          <reference field="1" count="1" selected="0">
            <x v="60"/>
          </reference>
        </references>
      </pivotArea>
    </chartFormat>
    <chartFormat chart="0" format="754">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2"/>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4"/>
          </reference>
        </references>
      </pivotArea>
    </chartFormat>
    <chartFormat chart="0" format="758">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6"/>
          </reference>
        </references>
      </pivotArea>
    </chartFormat>
    <chartFormat chart="0" format="760">
      <pivotArea type="data" outline="0" fieldPosition="0">
        <references count="3">
          <reference field="4294967294" count="1" selected="0">
            <x v="0"/>
          </reference>
          <reference field="0" count="1" selected="0">
            <x v="10"/>
          </reference>
          <reference field="1" count="1" selected="0">
            <x v="67"/>
          </reference>
        </references>
      </pivotArea>
    </chartFormat>
    <chartFormat chart="0" format="761">
      <pivotArea type="data" outline="0" fieldPosition="0">
        <references count="3">
          <reference field="4294967294" count="1" selected="0">
            <x v="0"/>
          </reference>
          <reference field="0" count="1" selected="0">
            <x v="10"/>
          </reference>
          <reference field="1" count="1" selected="0">
            <x v="68"/>
          </reference>
        </references>
      </pivotArea>
    </chartFormat>
    <chartFormat chart="0" format="762">
      <pivotArea type="data" outline="0" fieldPosition="0">
        <references count="3">
          <reference field="4294967294" count="1" selected="0">
            <x v="0"/>
          </reference>
          <reference field="0" count="1" selected="0">
            <x v="10"/>
          </reference>
          <reference field="1" count="1" selected="0">
            <x v="69"/>
          </reference>
        </references>
      </pivotArea>
    </chartFormat>
    <chartFormat chart="0" format="763">
      <pivotArea type="data" outline="0" fieldPosition="0">
        <references count="3">
          <reference field="4294967294" count="1" selected="0">
            <x v="0"/>
          </reference>
          <reference field="0" count="1" selected="0">
            <x v="10"/>
          </reference>
          <reference field="1" count="1" selected="0">
            <x v="70"/>
          </reference>
        </references>
      </pivotArea>
    </chartFormat>
    <chartFormat chart="0" format="764">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5">
      <pivotArea type="data" outline="0" fieldPosition="0">
        <references count="3">
          <reference field="4294967294" count="1" selected="0">
            <x v="0"/>
          </reference>
          <reference field="0" count="1" selected="0">
            <x v="10"/>
          </reference>
          <reference field="1" count="1" selected="0">
            <x v="72"/>
          </reference>
        </references>
      </pivotArea>
    </chartFormat>
    <chartFormat chart="0" format="766">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7">
      <pivotArea type="data" outline="0" fieldPosition="0">
        <references count="3">
          <reference field="4294967294" count="1" selected="0">
            <x v="0"/>
          </reference>
          <reference field="0" count="1" selected="0">
            <x v="10"/>
          </reference>
          <reference field="1" count="1" selected="0">
            <x v="74"/>
          </reference>
        </references>
      </pivotArea>
    </chartFormat>
    <chartFormat chart="0" format="768">
      <pivotArea type="data" outline="0" fieldPosition="0">
        <references count="3">
          <reference field="4294967294" count="1" selected="0">
            <x v="0"/>
          </reference>
          <reference field="0" count="1" selected="0">
            <x v="10"/>
          </reference>
          <reference field="1" count="1" selected="0">
            <x v="75"/>
          </reference>
        </references>
      </pivotArea>
    </chartFormat>
    <chartFormat chart="0" format="769">
      <pivotArea type="data" outline="0" fieldPosition="0">
        <references count="3">
          <reference field="4294967294" count="1" selected="0">
            <x v="0"/>
          </reference>
          <reference field="0" count="1" selected="0">
            <x v="10"/>
          </reference>
          <reference field="1" count="1" selected="0">
            <x v="76"/>
          </reference>
        </references>
      </pivotArea>
    </chartFormat>
    <chartFormat chart="0" format="770">
      <pivotArea type="data" outline="0" fieldPosition="0">
        <references count="3">
          <reference field="4294967294" count="1" selected="0">
            <x v="0"/>
          </reference>
          <reference field="0" count="1" selected="0">
            <x v="10"/>
          </reference>
          <reference field="1" count="1" selected="0">
            <x v="77"/>
          </reference>
        </references>
      </pivotArea>
    </chartFormat>
    <chartFormat chart="0" format="771">
      <pivotArea type="data" outline="0" fieldPosition="0">
        <references count="3">
          <reference field="4294967294" count="1" selected="0">
            <x v="0"/>
          </reference>
          <reference field="0" count="1" selected="0">
            <x v="10"/>
          </reference>
          <reference field="1" count="1" selected="0">
            <x v="78"/>
          </reference>
        </references>
      </pivotArea>
    </chartFormat>
    <chartFormat chart="0" format="772">
      <pivotArea type="data" outline="0" fieldPosition="0">
        <references count="3">
          <reference field="4294967294" count="1" selected="0">
            <x v="0"/>
          </reference>
          <reference field="0" count="1" selected="0">
            <x v="11"/>
          </reference>
          <reference field="1" count="1" selected="0">
            <x v="31"/>
          </reference>
        </references>
      </pivotArea>
    </chartFormat>
    <chartFormat chart="0" format="773">
      <pivotArea type="data" outline="0" fieldPosition="0">
        <references count="3">
          <reference field="4294967294" count="1" selected="0">
            <x v="0"/>
          </reference>
          <reference field="0" count="1" selected="0">
            <x v="11"/>
          </reference>
          <reference field="1" count="1" selected="0">
            <x v="32"/>
          </reference>
        </references>
      </pivotArea>
    </chartFormat>
    <chartFormat chart="0" format="774">
      <pivotArea type="data" outline="0" fieldPosition="0">
        <references count="3">
          <reference field="4294967294" count="1" selected="0">
            <x v="0"/>
          </reference>
          <reference field="0" count="1" selected="0">
            <x v="11"/>
          </reference>
          <reference field="1" count="1" selected="0">
            <x v="33"/>
          </reference>
        </references>
      </pivotArea>
    </chartFormat>
    <chartFormat chart="0" format="775">
      <pivotArea type="data" outline="0" fieldPosition="0">
        <references count="3">
          <reference field="4294967294" count="1" selected="0">
            <x v="0"/>
          </reference>
          <reference field="0" count="1" selected="0">
            <x v="11"/>
          </reference>
          <reference field="1" count="1" selected="0">
            <x v="34"/>
          </reference>
        </references>
      </pivotArea>
    </chartFormat>
    <chartFormat chart="0" format="776">
      <pivotArea type="data" outline="0" fieldPosition="0">
        <references count="3">
          <reference field="4294967294" count="1" selected="0">
            <x v="0"/>
          </reference>
          <reference field="0" count="1" selected="0">
            <x v="11"/>
          </reference>
          <reference field="1" count="1" selected="0">
            <x v="63"/>
          </reference>
        </references>
      </pivotArea>
    </chartFormat>
    <chartFormat chart="0" format="777">
      <pivotArea type="data" outline="0" fieldPosition="0">
        <references count="3">
          <reference field="4294967294" count="1" selected="0">
            <x v="0"/>
          </reference>
          <reference field="0" count="1" selected="0">
            <x v="11"/>
          </reference>
          <reference field="1" count="1" selected="0">
            <x v="64"/>
          </reference>
        </references>
      </pivotArea>
    </chartFormat>
    <chartFormat chart="0" format="778">
      <pivotArea type="data" outline="0" fieldPosition="0">
        <references count="3">
          <reference field="4294967294" count="1" selected="0">
            <x v="0"/>
          </reference>
          <reference field="0" count="1" selected="0">
            <x v="11"/>
          </reference>
          <reference field="1" count="1" selected="0">
            <x v="65"/>
          </reference>
        </references>
      </pivotArea>
    </chartFormat>
    <chartFormat chart="0" format="779">
      <pivotArea type="data" outline="0" fieldPosition="0">
        <references count="3">
          <reference field="4294967294" count="1" selected="0">
            <x v="0"/>
          </reference>
          <reference field="0" count="1" selected="0">
            <x v="11"/>
          </reference>
          <reference field="1" count="1" selected="0">
            <x v="66"/>
          </reference>
        </references>
      </pivotArea>
    </chartFormat>
    <chartFormat chart="0" format="780">
      <pivotArea type="data" outline="0" fieldPosition="0">
        <references count="3">
          <reference field="4294967294" count="1" selected="0">
            <x v="0"/>
          </reference>
          <reference field="0" count="1" selected="0">
            <x v="11"/>
          </reference>
          <reference field="1" count="1" selected="0">
            <x v="67"/>
          </reference>
        </references>
      </pivotArea>
    </chartFormat>
    <chartFormat chart="0" format="781">
      <pivotArea type="data" outline="0" fieldPosition="0">
        <references count="3">
          <reference field="4294967294" count="1" selected="0">
            <x v="0"/>
          </reference>
          <reference field="0" count="1" selected="0">
            <x v="11"/>
          </reference>
          <reference field="1" count="1" selected="0">
            <x v="68"/>
          </reference>
        </references>
      </pivotArea>
    </chartFormat>
    <chartFormat chart="0" format="782">
      <pivotArea type="data" outline="0" fieldPosition="0">
        <references count="3">
          <reference field="4294967294" count="1" selected="0">
            <x v="0"/>
          </reference>
          <reference field="0" count="1" selected="0">
            <x v="11"/>
          </reference>
          <reference field="1" count="1" selected="0">
            <x v="69"/>
          </reference>
        </references>
      </pivotArea>
    </chartFormat>
    <chartFormat chart="0" format="783">
      <pivotArea type="data" outline="0" fieldPosition="0">
        <references count="3">
          <reference field="4294967294" count="1" selected="0">
            <x v="0"/>
          </reference>
          <reference field="0" count="1" selected="0">
            <x v="11"/>
          </reference>
          <reference field="1" count="1" selected="0">
            <x v="70"/>
          </reference>
        </references>
      </pivotArea>
    </chartFormat>
    <chartFormat chart="0" format="784">
      <pivotArea type="data" outline="0" fieldPosition="0">
        <references count="3">
          <reference field="4294967294" count="1" selected="0">
            <x v="0"/>
          </reference>
          <reference field="0" count="1" selected="0">
            <x v="11"/>
          </reference>
          <reference field="1" count="1" selected="0">
            <x v="71"/>
          </reference>
        </references>
      </pivotArea>
    </chartFormat>
    <chartFormat chart="0" format="785">
      <pivotArea type="data" outline="0" fieldPosition="0">
        <references count="3">
          <reference field="4294967294" count="1" selected="0">
            <x v="0"/>
          </reference>
          <reference field="0" count="1" selected="0">
            <x v="11"/>
          </reference>
          <reference field="1" count="1" selected="0">
            <x v="72"/>
          </reference>
        </references>
      </pivotArea>
    </chartFormat>
    <chartFormat chart="0" format="786">
      <pivotArea type="data" outline="0" fieldPosition="0">
        <references count="3">
          <reference field="4294967294" count="1" selected="0">
            <x v="0"/>
          </reference>
          <reference field="0" count="1" selected="0">
            <x v="11"/>
          </reference>
          <reference field="1" count="1" selected="0">
            <x v="73"/>
          </reference>
        </references>
      </pivotArea>
    </chartFormat>
    <chartFormat chart="0" format="787">
      <pivotArea type="data" outline="0" fieldPosition="0">
        <references count="3">
          <reference field="4294967294" count="1" selected="0">
            <x v="0"/>
          </reference>
          <reference field="0" count="1" selected="0">
            <x v="11"/>
          </reference>
          <reference field="1" count="1" selected="0">
            <x v="74"/>
          </reference>
        </references>
      </pivotArea>
    </chartFormat>
    <chartFormat chart="0" format="788">
      <pivotArea type="data" outline="0" fieldPosition="0">
        <references count="3">
          <reference field="4294967294" count="1" selected="0">
            <x v="0"/>
          </reference>
          <reference field="0" count="1" selected="0">
            <x v="11"/>
          </reference>
          <reference field="1" count="1" selected="0">
            <x v="75"/>
          </reference>
        </references>
      </pivotArea>
    </chartFormat>
    <chartFormat chart="0" format="789">
      <pivotArea type="data" outline="0" fieldPosition="0">
        <references count="3">
          <reference field="4294967294" count="1" selected="0">
            <x v="0"/>
          </reference>
          <reference field="0" count="1" selected="0">
            <x v="11"/>
          </reference>
          <reference field="1" count="1" selected="0">
            <x v="76"/>
          </reference>
        </references>
      </pivotArea>
    </chartFormat>
    <chartFormat chart="0" format="790">
      <pivotArea type="data" outline="0" fieldPosition="0">
        <references count="3">
          <reference field="4294967294" count="1" selected="0">
            <x v="0"/>
          </reference>
          <reference field="0" count="1" selected="0">
            <x v="11"/>
          </reference>
          <reference field="1" count="1" selected="0">
            <x v="77"/>
          </reference>
        </references>
      </pivotArea>
    </chartFormat>
    <chartFormat chart="0" format="791">
      <pivotArea type="data" outline="0" fieldPosition="0">
        <references count="3">
          <reference field="4294967294" count="1" selected="0">
            <x v="0"/>
          </reference>
          <reference field="0" count="1" selected="0">
            <x v="11"/>
          </reference>
          <reference field="1" count="1" selected="0">
            <x v="78"/>
          </reference>
        </references>
      </pivotArea>
    </chartFormat>
    <chartFormat chart="0" format="792">
      <pivotArea type="data" outline="0" fieldPosition="0">
        <references count="3">
          <reference field="4294967294" count="1" selected="0">
            <x v="2"/>
          </reference>
          <reference field="0" count="1" selected="0">
            <x v="6"/>
          </reference>
          <reference field="1" count="1" selected="0">
            <x v="41"/>
          </reference>
        </references>
      </pivotArea>
    </chartFormat>
    <chartFormat chart="0" format="793">
      <pivotArea type="data" outline="0" fieldPosition="0">
        <references count="3">
          <reference field="4294967294" count="1" selected="0">
            <x v="2"/>
          </reference>
          <reference field="0" count="1" selected="0">
            <x v="6"/>
          </reference>
          <reference field="1" count="1" selected="0">
            <x v="42"/>
          </reference>
        </references>
      </pivotArea>
    </chartFormat>
    <chartFormat chart="0" format="794">
      <pivotArea type="data" outline="0" fieldPosition="0">
        <references count="3">
          <reference field="4294967294" count="1" selected="0">
            <x v="2"/>
          </reference>
          <reference field="0" count="1" selected="0">
            <x v="6"/>
          </reference>
          <reference field="1" count="1" selected="0">
            <x v="43"/>
          </reference>
        </references>
      </pivotArea>
    </chartFormat>
    <chartFormat chart="0" format="795">
      <pivotArea type="data" outline="0" fieldPosition="0">
        <references count="3">
          <reference field="4294967294" count="1" selected="0">
            <x v="2"/>
          </reference>
          <reference field="0" count="1" selected="0">
            <x v="6"/>
          </reference>
          <reference field="1" count="1" selected="0">
            <x v="44"/>
          </reference>
        </references>
      </pivotArea>
    </chartFormat>
    <chartFormat chart="0" format="796">
      <pivotArea type="data" outline="0" fieldPosition="0">
        <references count="3">
          <reference field="4294967294" count="1" selected="0">
            <x v="2"/>
          </reference>
          <reference field="0" count="1" selected="0">
            <x v="6"/>
          </reference>
          <reference field="1" count="1" selected="0">
            <x v="45"/>
          </reference>
        </references>
      </pivotArea>
    </chartFormat>
    <chartFormat chart="0" format="797">
      <pivotArea type="data" outline="0" fieldPosition="0">
        <references count="3">
          <reference field="4294967294" count="1" selected="0">
            <x v="2"/>
          </reference>
          <reference field="0" count="1" selected="0">
            <x v="6"/>
          </reference>
          <reference field="1" count="1" selected="0">
            <x v="46"/>
          </reference>
        </references>
      </pivotArea>
    </chartFormat>
    <chartFormat chart="0" format="798">
      <pivotArea type="data" outline="0" fieldPosition="0">
        <references count="3">
          <reference field="4294967294" count="1" selected="0">
            <x v="2"/>
          </reference>
          <reference field="0" count="1" selected="0">
            <x v="6"/>
          </reference>
          <reference field="1" count="1" selected="0">
            <x v="47"/>
          </reference>
        </references>
      </pivotArea>
    </chartFormat>
    <chartFormat chart="0" format="799">
      <pivotArea type="data" outline="0" fieldPosition="0">
        <references count="3">
          <reference field="4294967294" count="1" selected="0">
            <x v="2"/>
          </reference>
          <reference field="0" count="1" selected="0">
            <x v="6"/>
          </reference>
          <reference field="1" count="1" selected="0">
            <x v="48"/>
          </reference>
        </references>
      </pivotArea>
    </chartFormat>
    <chartFormat chart="0" format="800">
      <pivotArea type="data" outline="0" fieldPosition="0">
        <references count="3">
          <reference field="4294967294" count="1" selected="0">
            <x v="2"/>
          </reference>
          <reference field="0" count="1" selected="0">
            <x v="6"/>
          </reference>
          <reference field="1" count="1" selected="0">
            <x v="49"/>
          </reference>
        </references>
      </pivotArea>
    </chartFormat>
    <chartFormat chart="0" format="801">
      <pivotArea type="data" outline="0" fieldPosition="0">
        <references count="3">
          <reference field="4294967294" count="1" selected="0">
            <x v="2"/>
          </reference>
          <reference field="0" count="1" selected="0">
            <x v="6"/>
          </reference>
          <reference field="1" count="1" selected="0">
            <x v="50"/>
          </reference>
        </references>
      </pivotArea>
    </chartFormat>
    <chartFormat chart="0" format="802">
      <pivotArea type="data" outline="0" fieldPosition="0">
        <references count="3">
          <reference field="4294967294" count="1" selected="0">
            <x v="2"/>
          </reference>
          <reference field="0" count="1" selected="0">
            <x v="6"/>
          </reference>
          <reference field="1" count="1" selected="0">
            <x v="51"/>
          </reference>
        </references>
      </pivotArea>
    </chartFormat>
    <chartFormat chart="0" format="803">
      <pivotArea type="data" outline="0" fieldPosition="0">
        <references count="3">
          <reference field="4294967294" count="1" selected="0">
            <x v="2"/>
          </reference>
          <reference field="0" count="1" selected="0">
            <x v="6"/>
          </reference>
          <reference field="1" count="1" selected="0">
            <x v="52"/>
          </reference>
        </references>
      </pivotArea>
    </chartFormat>
    <chartFormat chart="0" format="804">
      <pivotArea type="data" outline="0" fieldPosition="0">
        <references count="3">
          <reference field="4294967294" count="1" selected="0">
            <x v="2"/>
          </reference>
          <reference field="0" count="1" selected="0">
            <x v="6"/>
          </reference>
          <reference field="1" count="1" selected="0">
            <x v="53"/>
          </reference>
        </references>
      </pivotArea>
    </chartFormat>
    <chartFormat chart="0" format="805">
      <pivotArea type="data" outline="0" fieldPosition="0">
        <references count="3">
          <reference field="4294967294" count="1" selected="0">
            <x v="2"/>
          </reference>
          <reference field="0" count="1" selected="0">
            <x v="6"/>
          </reference>
          <reference field="1" count="1" selected="0">
            <x v="54"/>
          </reference>
        </references>
      </pivotArea>
    </chartFormat>
    <chartFormat chart="0" format="806">
      <pivotArea type="data" outline="0" fieldPosition="0">
        <references count="3">
          <reference field="4294967294" count="1" selected="0">
            <x v="2"/>
          </reference>
          <reference field="0" count="1" selected="0">
            <x v="6"/>
          </reference>
          <reference field="1" count="1" selected="0">
            <x v="55"/>
          </reference>
        </references>
      </pivotArea>
    </chartFormat>
    <chartFormat chart="0" format="807">
      <pivotArea type="data" outline="0" fieldPosition="0">
        <references count="3">
          <reference field="4294967294" count="1" selected="0">
            <x v="2"/>
          </reference>
          <reference field="0" count="1" selected="0">
            <x v="6"/>
          </reference>
          <reference field="1" count="1" selected="0">
            <x v="56"/>
          </reference>
        </references>
      </pivotArea>
    </chartFormat>
    <chartFormat chart="0" format="808">
      <pivotArea type="data" outline="0" fieldPosition="0">
        <references count="3">
          <reference field="4294967294" count="1" selected="0">
            <x v="2"/>
          </reference>
          <reference field="0" count="1" selected="0">
            <x v="6"/>
          </reference>
          <reference field="1" count="1" selected="0">
            <x v="57"/>
          </reference>
        </references>
      </pivotArea>
    </chartFormat>
    <chartFormat chart="0" format="809">
      <pivotArea type="data" outline="0" fieldPosition="0">
        <references count="3">
          <reference field="4294967294" count="1" selected="0">
            <x v="2"/>
          </reference>
          <reference field="0" count="1" selected="0">
            <x v="6"/>
          </reference>
          <reference field="1" count="1" selected="0">
            <x v="58"/>
          </reference>
        </references>
      </pivotArea>
    </chartFormat>
    <chartFormat chart="0" format="810">
      <pivotArea type="data" outline="0" fieldPosition="0">
        <references count="3">
          <reference field="4294967294" count="1" selected="0">
            <x v="2"/>
          </reference>
          <reference field="0" count="1" selected="0">
            <x v="6"/>
          </reference>
          <reference field="1" count="1" selected="0">
            <x v="59"/>
          </reference>
        </references>
      </pivotArea>
    </chartFormat>
    <chartFormat chart="0" format="811">
      <pivotArea type="data" outline="0" fieldPosition="0">
        <references count="3">
          <reference field="4294967294" count="1" selected="0">
            <x v="2"/>
          </reference>
          <reference field="0" count="1" selected="0">
            <x v="6"/>
          </reference>
          <reference field="1" count="1" selected="0">
            <x v="60"/>
          </reference>
        </references>
      </pivotArea>
    </chartFormat>
    <chartFormat chart="0" format="812">
      <pivotArea type="data" outline="0" fieldPosition="0">
        <references count="3">
          <reference field="4294967294" count="1" selected="0">
            <x v="2"/>
          </reference>
          <reference field="0" count="1" selected="0">
            <x v="6"/>
          </reference>
          <reference field="1" count="1" selected="0">
            <x v="61"/>
          </reference>
        </references>
      </pivotArea>
    </chartFormat>
    <chartFormat chart="0" format="813">
      <pivotArea type="data" outline="0" fieldPosition="0">
        <references count="3">
          <reference field="4294967294" count="1" selected="0">
            <x v="2"/>
          </reference>
          <reference field="0" count="1" selected="0">
            <x v="6"/>
          </reference>
          <reference field="1" count="1" selected="0">
            <x v="62"/>
          </reference>
        </references>
      </pivotArea>
    </chartFormat>
    <chartFormat chart="0" format="814">
      <pivotArea type="data" outline="0" fieldPosition="0">
        <references count="3">
          <reference field="4294967294" count="1" selected="0">
            <x v="2"/>
          </reference>
          <reference field="0" count="1" selected="0">
            <x v="6"/>
          </reference>
          <reference field="1" count="1" selected="0">
            <x v="73"/>
          </reference>
        </references>
      </pivotArea>
    </chartFormat>
    <chartFormat chart="0" format="815">
      <pivotArea type="data" outline="0" fieldPosition="0">
        <references count="3">
          <reference field="4294967294" count="1" selected="0">
            <x v="2"/>
          </reference>
          <reference field="0" count="1" selected="0">
            <x v="6"/>
          </reference>
          <reference field="1" count="1" selected="0">
            <x v="74"/>
          </reference>
        </references>
      </pivotArea>
    </chartFormat>
    <chartFormat chart="0" format="816">
      <pivotArea type="data" outline="0" fieldPosition="0">
        <references count="3">
          <reference field="4294967294" count="1" selected="0">
            <x v="2"/>
          </reference>
          <reference field="0" count="1" selected="0">
            <x v="6"/>
          </reference>
          <reference field="1" count="1" selected="0">
            <x v="75"/>
          </reference>
        </references>
      </pivotArea>
    </chartFormat>
    <chartFormat chart="0" format="817">
      <pivotArea type="data" outline="0" fieldPosition="0">
        <references count="3">
          <reference field="4294967294" count="1" selected="0">
            <x v="2"/>
          </reference>
          <reference field="0" count="1" selected="0">
            <x v="6"/>
          </reference>
          <reference field="1" count="1" selected="0">
            <x v="76"/>
          </reference>
        </references>
      </pivotArea>
    </chartFormat>
    <chartFormat chart="0" format="818">
      <pivotArea type="data" outline="0" fieldPosition="0">
        <references count="3">
          <reference field="4294967294" count="1" selected="0">
            <x v="2"/>
          </reference>
          <reference field="0" count="1" selected="0">
            <x v="6"/>
          </reference>
          <reference field="1" count="1" selected="0">
            <x v="77"/>
          </reference>
        </references>
      </pivotArea>
    </chartFormat>
    <chartFormat chart="0" format="819">
      <pivotArea type="data" outline="0" fieldPosition="0">
        <references count="3">
          <reference field="4294967294" count="1" selected="0">
            <x v="2"/>
          </reference>
          <reference field="0" count="1" selected="0">
            <x v="6"/>
          </reference>
          <reference field="1" count="1" selected="0">
            <x v="78"/>
          </reference>
        </references>
      </pivotArea>
    </chartFormat>
    <chartFormat chart="0" format="820">
      <pivotArea type="data" outline="0" fieldPosition="0">
        <references count="3">
          <reference field="4294967294" count="1" selected="0">
            <x v="2"/>
          </reference>
          <reference field="0" count="1" selected="0">
            <x v="7"/>
          </reference>
          <reference field="1" count="1" selected="0">
            <x v="31"/>
          </reference>
        </references>
      </pivotArea>
    </chartFormat>
    <chartFormat chart="0" format="821">
      <pivotArea type="data" outline="0" fieldPosition="0">
        <references count="3">
          <reference field="4294967294" count="1" selected="0">
            <x v="2"/>
          </reference>
          <reference field="0" count="1" selected="0">
            <x v="7"/>
          </reference>
          <reference field="1" count="1" selected="0">
            <x v="32"/>
          </reference>
        </references>
      </pivotArea>
    </chartFormat>
    <chartFormat chart="0" format="822">
      <pivotArea type="data" outline="0" fieldPosition="0">
        <references count="3">
          <reference field="4294967294" count="1" selected="0">
            <x v="2"/>
          </reference>
          <reference field="0" count="1" selected="0">
            <x v="7"/>
          </reference>
          <reference field="1" count="1" selected="0">
            <x v="33"/>
          </reference>
        </references>
      </pivotArea>
    </chartFormat>
    <chartFormat chart="0" format="823">
      <pivotArea type="data" outline="0" fieldPosition="0">
        <references count="3">
          <reference field="4294967294" count="1" selected="0">
            <x v="2"/>
          </reference>
          <reference field="0" count="1" selected="0">
            <x v="7"/>
          </reference>
          <reference field="1" count="1" selected="0">
            <x v="34"/>
          </reference>
        </references>
      </pivotArea>
    </chartFormat>
    <chartFormat chart="0" format="824">
      <pivotArea type="data" outline="0" fieldPosition="0">
        <references count="3">
          <reference field="4294967294" count="1" selected="0">
            <x v="2"/>
          </reference>
          <reference field="0" count="1" selected="0">
            <x v="7"/>
          </reference>
          <reference field="1" count="1" selected="0">
            <x v="35"/>
          </reference>
        </references>
      </pivotArea>
    </chartFormat>
    <chartFormat chart="0" format="825">
      <pivotArea type="data" outline="0" fieldPosition="0">
        <references count="3">
          <reference field="4294967294" count="1" selected="0">
            <x v="2"/>
          </reference>
          <reference field="0" count="1" selected="0">
            <x v="7"/>
          </reference>
          <reference field="1" count="1" selected="0">
            <x v="36"/>
          </reference>
        </references>
      </pivotArea>
    </chartFormat>
    <chartFormat chart="0" format="826">
      <pivotArea type="data" outline="0" fieldPosition="0">
        <references count="3">
          <reference field="4294967294" count="1" selected="0">
            <x v="2"/>
          </reference>
          <reference field="0" count="1" selected="0">
            <x v="7"/>
          </reference>
          <reference field="1" count="1" selected="0">
            <x v="37"/>
          </reference>
        </references>
      </pivotArea>
    </chartFormat>
    <chartFormat chart="0" format="827">
      <pivotArea type="data" outline="0" fieldPosition="0">
        <references count="3">
          <reference field="4294967294" count="1" selected="0">
            <x v="2"/>
          </reference>
          <reference field="0" count="1" selected="0">
            <x v="7"/>
          </reference>
          <reference field="1" count="1" selected="0">
            <x v="38"/>
          </reference>
        </references>
      </pivotArea>
    </chartFormat>
    <chartFormat chart="0" format="828">
      <pivotArea type="data" outline="0" fieldPosition="0">
        <references count="3">
          <reference field="4294967294" count="1" selected="0">
            <x v="2"/>
          </reference>
          <reference field="0" count="1" selected="0">
            <x v="7"/>
          </reference>
          <reference field="1" count="1" selected="0">
            <x v="39"/>
          </reference>
        </references>
      </pivotArea>
    </chartFormat>
    <chartFormat chart="0" format="829">
      <pivotArea type="data" outline="0" fieldPosition="0">
        <references count="3">
          <reference field="4294967294" count="1" selected="0">
            <x v="2"/>
          </reference>
          <reference field="0" count="1" selected="0">
            <x v="7"/>
          </reference>
          <reference field="1" count="1" selected="0">
            <x v="40"/>
          </reference>
        </references>
      </pivotArea>
    </chartFormat>
    <chartFormat chart="0" format="830">
      <pivotArea type="data" outline="0" fieldPosition="0">
        <references count="3">
          <reference field="4294967294" count="1" selected="0">
            <x v="2"/>
          </reference>
          <reference field="0" count="1" selected="0">
            <x v="7"/>
          </reference>
          <reference field="1" count="1" selected="0">
            <x v="41"/>
          </reference>
        </references>
      </pivotArea>
    </chartFormat>
    <chartFormat chart="0" format="831">
      <pivotArea type="data" outline="0" fieldPosition="0">
        <references count="3">
          <reference field="4294967294" count="1" selected="0">
            <x v="2"/>
          </reference>
          <reference field="0" count="1" selected="0">
            <x v="7"/>
          </reference>
          <reference field="1" count="1" selected="0">
            <x v="42"/>
          </reference>
        </references>
      </pivotArea>
    </chartFormat>
    <chartFormat chart="0" format="832">
      <pivotArea type="data" outline="0" fieldPosition="0">
        <references count="3">
          <reference field="4294967294" count="1" selected="0">
            <x v="2"/>
          </reference>
          <reference field="0" count="1" selected="0">
            <x v="7"/>
          </reference>
          <reference field="1" count="1" selected="0">
            <x v="43"/>
          </reference>
        </references>
      </pivotArea>
    </chartFormat>
    <chartFormat chart="0" format="833">
      <pivotArea type="data" outline="0" fieldPosition="0">
        <references count="3">
          <reference field="4294967294" count="1" selected="0">
            <x v="2"/>
          </reference>
          <reference field="0" count="1" selected="0">
            <x v="7"/>
          </reference>
          <reference field="1" count="1" selected="0">
            <x v="44"/>
          </reference>
        </references>
      </pivotArea>
    </chartFormat>
    <chartFormat chart="0" format="834">
      <pivotArea type="data" outline="0" fieldPosition="0">
        <references count="3">
          <reference field="4294967294" count="1" selected="0">
            <x v="2"/>
          </reference>
          <reference field="0" count="1" selected="0">
            <x v="7"/>
          </reference>
          <reference field="1" count="1" selected="0">
            <x v="45"/>
          </reference>
        </references>
      </pivotArea>
    </chartFormat>
    <chartFormat chart="0" format="835">
      <pivotArea type="data" outline="0" fieldPosition="0">
        <references count="3">
          <reference field="4294967294" count="1" selected="0">
            <x v="2"/>
          </reference>
          <reference field="0" count="1" selected="0">
            <x v="7"/>
          </reference>
          <reference field="1" count="1" selected="0">
            <x v="46"/>
          </reference>
        </references>
      </pivotArea>
    </chartFormat>
    <chartFormat chart="0" format="836">
      <pivotArea type="data" outline="0" fieldPosition="0">
        <references count="3">
          <reference field="4294967294" count="1" selected="0">
            <x v="2"/>
          </reference>
          <reference field="0" count="1" selected="0">
            <x v="7"/>
          </reference>
          <reference field="1" count="1" selected="0">
            <x v="47"/>
          </reference>
        </references>
      </pivotArea>
    </chartFormat>
    <chartFormat chart="0" format="837">
      <pivotArea type="data" outline="0" fieldPosition="0">
        <references count="3">
          <reference field="4294967294" count="1" selected="0">
            <x v="2"/>
          </reference>
          <reference field="0" count="1" selected="0">
            <x v="7"/>
          </reference>
          <reference field="1" count="1" selected="0">
            <x v="48"/>
          </reference>
        </references>
      </pivotArea>
    </chartFormat>
    <chartFormat chart="0" format="838">
      <pivotArea type="data" outline="0" fieldPosition="0">
        <references count="3">
          <reference field="4294967294" count="1" selected="0">
            <x v="2"/>
          </reference>
          <reference field="0" count="1" selected="0">
            <x v="7"/>
          </reference>
          <reference field="1" count="1" selected="0">
            <x v="49"/>
          </reference>
        </references>
      </pivotArea>
    </chartFormat>
    <chartFormat chart="0" format="839">
      <pivotArea type="data" outline="0" fieldPosition="0">
        <references count="3">
          <reference field="4294967294" count="1" selected="0">
            <x v="2"/>
          </reference>
          <reference field="0" count="1" selected="0">
            <x v="7"/>
          </reference>
          <reference field="1" count="1" selected="0">
            <x v="50"/>
          </reference>
        </references>
      </pivotArea>
    </chartFormat>
    <chartFormat chart="0" format="840">
      <pivotArea type="data" outline="0" fieldPosition="0">
        <references count="3">
          <reference field="4294967294" count="1" selected="0">
            <x v="2"/>
          </reference>
          <reference field="0" count="1" selected="0">
            <x v="7"/>
          </reference>
          <reference field="1" count="1" selected="0">
            <x v="51"/>
          </reference>
        </references>
      </pivotArea>
    </chartFormat>
    <chartFormat chart="0" format="841">
      <pivotArea type="data" outline="0" fieldPosition="0">
        <references count="3">
          <reference field="4294967294" count="1" selected="0">
            <x v="2"/>
          </reference>
          <reference field="0" count="1" selected="0">
            <x v="7"/>
          </reference>
          <reference field="1" count="1" selected="0">
            <x v="52"/>
          </reference>
        </references>
      </pivotArea>
    </chartFormat>
    <chartFormat chart="0" format="842">
      <pivotArea type="data" outline="0" fieldPosition="0">
        <references count="3">
          <reference field="4294967294" count="1" selected="0">
            <x v="2"/>
          </reference>
          <reference field="0" count="1" selected="0">
            <x v="7"/>
          </reference>
          <reference field="1" count="1" selected="0">
            <x v="53"/>
          </reference>
        </references>
      </pivotArea>
    </chartFormat>
    <chartFormat chart="0" format="843">
      <pivotArea type="data" outline="0" fieldPosition="0">
        <references count="3">
          <reference field="4294967294" count="1" selected="0">
            <x v="2"/>
          </reference>
          <reference field="0" count="1" selected="0">
            <x v="7"/>
          </reference>
          <reference field="1" count="1" selected="0">
            <x v="54"/>
          </reference>
        </references>
      </pivotArea>
    </chartFormat>
    <chartFormat chart="0" format="844">
      <pivotArea type="data" outline="0" fieldPosition="0">
        <references count="3">
          <reference field="4294967294" count="1" selected="0">
            <x v="2"/>
          </reference>
          <reference field="0" count="1" selected="0">
            <x v="7"/>
          </reference>
          <reference field="1" count="1" selected="0">
            <x v="55"/>
          </reference>
        </references>
      </pivotArea>
    </chartFormat>
    <chartFormat chart="0" format="845">
      <pivotArea type="data" outline="0" fieldPosition="0">
        <references count="3">
          <reference field="4294967294" count="1" selected="0">
            <x v="2"/>
          </reference>
          <reference field="0" count="1" selected="0">
            <x v="7"/>
          </reference>
          <reference field="1" count="1" selected="0">
            <x v="56"/>
          </reference>
        </references>
      </pivotArea>
    </chartFormat>
    <chartFormat chart="0" format="846">
      <pivotArea type="data" outline="0" fieldPosition="0">
        <references count="3">
          <reference field="4294967294" count="1" selected="0">
            <x v="2"/>
          </reference>
          <reference field="0" count="1" selected="0">
            <x v="7"/>
          </reference>
          <reference field="1" count="1" selected="0">
            <x v="57"/>
          </reference>
        </references>
      </pivotArea>
    </chartFormat>
    <chartFormat chart="0" format="847">
      <pivotArea type="data" outline="0" fieldPosition="0">
        <references count="3">
          <reference field="4294967294" count="1" selected="0">
            <x v="2"/>
          </reference>
          <reference field="0" count="1" selected="0">
            <x v="7"/>
          </reference>
          <reference field="1" count="1" selected="0">
            <x v="58"/>
          </reference>
        </references>
      </pivotArea>
    </chartFormat>
    <chartFormat chart="0" format="848">
      <pivotArea type="data" outline="0" fieldPosition="0">
        <references count="3">
          <reference field="4294967294" count="1" selected="0">
            <x v="2"/>
          </reference>
          <reference field="0" count="1" selected="0">
            <x v="7"/>
          </reference>
          <reference field="1" count="1" selected="0">
            <x v="59"/>
          </reference>
        </references>
      </pivotArea>
    </chartFormat>
    <chartFormat chart="0" format="849">
      <pivotArea type="data" outline="0" fieldPosition="0">
        <references count="3">
          <reference field="4294967294" count="1" selected="0">
            <x v="2"/>
          </reference>
          <reference field="0" count="1" selected="0">
            <x v="7"/>
          </reference>
          <reference field="1" count="1" selected="0">
            <x v="60"/>
          </reference>
        </references>
      </pivotArea>
    </chartFormat>
    <chartFormat chart="0" format="850">
      <pivotArea type="data" outline="0" fieldPosition="0">
        <references count="3">
          <reference field="4294967294" count="1" selected="0">
            <x v="2"/>
          </reference>
          <reference field="0" count="1" selected="0">
            <x v="7"/>
          </reference>
          <reference field="1" count="1" selected="0">
            <x v="61"/>
          </reference>
        </references>
      </pivotArea>
    </chartFormat>
    <chartFormat chart="0" format="851">
      <pivotArea type="data" outline="0" fieldPosition="0">
        <references count="3">
          <reference field="4294967294" count="1" selected="0">
            <x v="2"/>
          </reference>
          <reference field="0" count="1" selected="0">
            <x v="7"/>
          </reference>
          <reference field="1" count="1" selected="0">
            <x v="62"/>
          </reference>
        </references>
      </pivotArea>
    </chartFormat>
    <chartFormat chart="0" format="852">
      <pivotArea type="data" outline="0" fieldPosition="0">
        <references count="3">
          <reference field="4294967294" count="1" selected="0">
            <x v="2"/>
          </reference>
          <reference field="0" count="1" selected="0">
            <x v="7"/>
          </reference>
          <reference field="1" count="1" selected="0">
            <x v="63"/>
          </reference>
        </references>
      </pivotArea>
    </chartFormat>
    <chartFormat chart="0" format="853">
      <pivotArea type="data" outline="0" fieldPosition="0">
        <references count="3">
          <reference field="4294967294" count="1" selected="0">
            <x v="2"/>
          </reference>
          <reference field="0" count="1" selected="0">
            <x v="7"/>
          </reference>
          <reference field="1" count="1" selected="0">
            <x v="64"/>
          </reference>
        </references>
      </pivotArea>
    </chartFormat>
    <chartFormat chart="0" format="854">
      <pivotArea type="data" outline="0" fieldPosition="0">
        <references count="3">
          <reference field="4294967294" count="1" selected="0">
            <x v="2"/>
          </reference>
          <reference field="0" count="1" selected="0">
            <x v="7"/>
          </reference>
          <reference field="1" count="1" selected="0">
            <x v="65"/>
          </reference>
        </references>
      </pivotArea>
    </chartFormat>
    <chartFormat chart="0" format="855">
      <pivotArea type="data" outline="0" fieldPosition="0">
        <references count="3">
          <reference field="4294967294" count="1" selected="0">
            <x v="2"/>
          </reference>
          <reference field="0" count="1" selected="0">
            <x v="7"/>
          </reference>
          <reference field="1" count="1" selected="0">
            <x v="66"/>
          </reference>
        </references>
      </pivotArea>
    </chartFormat>
    <chartFormat chart="0" format="856">
      <pivotArea type="data" outline="0" fieldPosition="0">
        <references count="3">
          <reference field="4294967294" count="1" selected="0">
            <x v="2"/>
          </reference>
          <reference field="0" count="1" selected="0">
            <x v="7"/>
          </reference>
          <reference field="1" count="1" selected="0">
            <x v="67"/>
          </reference>
        </references>
      </pivotArea>
    </chartFormat>
    <chartFormat chart="0" format="857">
      <pivotArea type="data" outline="0" fieldPosition="0">
        <references count="3">
          <reference field="4294967294" count="1" selected="0">
            <x v="2"/>
          </reference>
          <reference field="0" count="1" selected="0">
            <x v="7"/>
          </reference>
          <reference field="1" count="1" selected="0">
            <x v="68"/>
          </reference>
        </references>
      </pivotArea>
    </chartFormat>
    <chartFormat chart="0" format="858">
      <pivotArea type="data" outline="0" fieldPosition="0">
        <references count="3">
          <reference field="4294967294" count="1" selected="0">
            <x v="2"/>
          </reference>
          <reference field="0" count="1" selected="0">
            <x v="7"/>
          </reference>
          <reference field="1" count="1" selected="0">
            <x v="69"/>
          </reference>
        </references>
      </pivotArea>
    </chartFormat>
    <chartFormat chart="0" format="859">
      <pivotArea type="data" outline="0" fieldPosition="0">
        <references count="3">
          <reference field="4294967294" count="1" selected="0">
            <x v="2"/>
          </reference>
          <reference field="0" count="1" selected="0">
            <x v="7"/>
          </reference>
          <reference field="1" count="1" selected="0">
            <x v="70"/>
          </reference>
        </references>
      </pivotArea>
    </chartFormat>
    <chartFormat chart="0" format="860">
      <pivotArea type="data" outline="0" fieldPosition="0">
        <references count="3">
          <reference field="4294967294" count="1" selected="0">
            <x v="2"/>
          </reference>
          <reference field="0" count="1" selected="0">
            <x v="7"/>
          </reference>
          <reference field="1" count="1" selected="0">
            <x v="71"/>
          </reference>
        </references>
      </pivotArea>
    </chartFormat>
    <chartFormat chart="0" format="861">
      <pivotArea type="data" outline="0" fieldPosition="0">
        <references count="3">
          <reference field="4294967294" count="1" selected="0">
            <x v="2"/>
          </reference>
          <reference field="0" count="1" selected="0">
            <x v="7"/>
          </reference>
          <reference field="1" count="1" selected="0">
            <x v="72"/>
          </reference>
        </references>
      </pivotArea>
    </chartFormat>
    <chartFormat chart="0" format="862">
      <pivotArea type="data" outline="0" fieldPosition="0">
        <references count="3">
          <reference field="4294967294" count="1" selected="0">
            <x v="2"/>
          </reference>
          <reference field="0" count="1" selected="0">
            <x v="7"/>
          </reference>
          <reference field="1" count="1" selected="0">
            <x v="73"/>
          </reference>
        </references>
      </pivotArea>
    </chartFormat>
    <chartFormat chart="0" format="863">
      <pivotArea type="data" outline="0" fieldPosition="0">
        <references count="3">
          <reference field="4294967294" count="1" selected="0">
            <x v="2"/>
          </reference>
          <reference field="0" count="1" selected="0">
            <x v="7"/>
          </reference>
          <reference field="1" count="1" selected="0">
            <x v="74"/>
          </reference>
        </references>
      </pivotArea>
    </chartFormat>
    <chartFormat chart="0" format="864">
      <pivotArea type="data" outline="0" fieldPosition="0">
        <references count="3">
          <reference field="4294967294" count="1" selected="0">
            <x v="2"/>
          </reference>
          <reference field="0" count="1" selected="0">
            <x v="7"/>
          </reference>
          <reference field="1" count="1" selected="0">
            <x v="75"/>
          </reference>
        </references>
      </pivotArea>
    </chartFormat>
    <chartFormat chart="0" format="865">
      <pivotArea type="data" outline="0" fieldPosition="0">
        <references count="3">
          <reference field="4294967294" count="1" selected="0">
            <x v="2"/>
          </reference>
          <reference field="0" count="1" selected="0">
            <x v="7"/>
          </reference>
          <reference field="1" count="1" selected="0">
            <x v="76"/>
          </reference>
        </references>
      </pivotArea>
    </chartFormat>
    <chartFormat chart="0" format="866">
      <pivotArea type="data" outline="0" fieldPosition="0">
        <references count="3">
          <reference field="4294967294" count="1" selected="0">
            <x v="2"/>
          </reference>
          <reference field="0" count="1" selected="0">
            <x v="7"/>
          </reference>
          <reference field="1" count="1" selected="0">
            <x v="77"/>
          </reference>
        </references>
      </pivotArea>
    </chartFormat>
    <chartFormat chart="0" format="867">
      <pivotArea type="data" outline="0" fieldPosition="0">
        <references count="3">
          <reference field="4294967294" count="1" selected="0">
            <x v="2"/>
          </reference>
          <reference field="0" count="1" selected="0">
            <x v="7"/>
          </reference>
          <reference field="1" count="1" selected="0">
            <x v="78"/>
          </reference>
        </references>
      </pivotArea>
    </chartFormat>
    <chartFormat chart="0" format="868">
      <pivotArea type="data" outline="0" fieldPosition="0">
        <references count="3">
          <reference field="4294967294" count="1" selected="0">
            <x v="2"/>
          </reference>
          <reference field="0" count="1" selected="0">
            <x v="8"/>
          </reference>
          <reference field="1" count="1" selected="0">
            <x v="31"/>
          </reference>
        </references>
      </pivotArea>
    </chartFormat>
    <chartFormat chart="0" format="869">
      <pivotArea type="data" outline="0" fieldPosition="0">
        <references count="3">
          <reference field="4294967294" count="1" selected="0">
            <x v="2"/>
          </reference>
          <reference field="0" count="1" selected="0">
            <x v="8"/>
          </reference>
          <reference field="1" count="1" selected="0">
            <x v="32"/>
          </reference>
        </references>
      </pivotArea>
    </chartFormat>
    <chartFormat chart="0" format="870">
      <pivotArea type="data" outline="0" fieldPosition="0">
        <references count="3">
          <reference field="4294967294" count="1" selected="0">
            <x v="2"/>
          </reference>
          <reference field="0" count="1" selected="0">
            <x v="8"/>
          </reference>
          <reference field="1" count="1" selected="0">
            <x v="33"/>
          </reference>
        </references>
      </pivotArea>
    </chartFormat>
    <chartFormat chart="0" format="871">
      <pivotArea type="data" outline="0" fieldPosition="0">
        <references count="3">
          <reference field="4294967294" count="1" selected="0">
            <x v="2"/>
          </reference>
          <reference field="0" count="1" selected="0">
            <x v="8"/>
          </reference>
          <reference field="1" count="1" selected="0">
            <x v="34"/>
          </reference>
        </references>
      </pivotArea>
    </chartFormat>
    <chartFormat chart="0" format="872">
      <pivotArea type="data" outline="0" fieldPosition="0">
        <references count="3">
          <reference field="4294967294" count="1" selected="0">
            <x v="2"/>
          </reference>
          <reference field="0" count="1" selected="0">
            <x v="8"/>
          </reference>
          <reference field="1" count="1" selected="0">
            <x v="35"/>
          </reference>
        </references>
      </pivotArea>
    </chartFormat>
    <chartFormat chart="0" format="873">
      <pivotArea type="data" outline="0" fieldPosition="0">
        <references count="3">
          <reference field="4294967294" count="1" selected="0">
            <x v="2"/>
          </reference>
          <reference field="0" count="1" selected="0">
            <x v="8"/>
          </reference>
          <reference field="1" count="1" selected="0">
            <x v="36"/>
          </reference>
        </references>
      </pivotArea>
    </chartFormat>
    <chartFormat chart="0" format="874">
      <pivotArea type="data" outline="0" fieldPosition="0">
        <references count="3">
          <reference field="4294967294" count="1" selected="0">
            <x v="2"/>
          </reference>
          <reference field="0" count="1" selected="0">
            <x v="8"/>
          </reference>
          <reference field="1" count="1" selected="0">
            <x v="37"/>
          </reference>
        </references>
      </pivotArea>
    </chartFormat>
    <chartFormat chart="0" format="875">
      <pivotArea type="data" outline="0" fieldPosition="0">
        <references count="3">
          <reference field="4294967294" count="1" selected="0">
            <x v="2"/>
          </reference>
          <reference field="0" count="1" selected="0">
            <x v="8"/>
          </reference>
          <reference field="1" count="1" selected="0">
            <x v="38"/>
          </reference>
        </references>
      </pivotArea>
    </chartFormat>
    <chartFormat chart="0" format="876">
      <pivotArea type="data" outline="0" fieldPosition="0">
        <references count="3">
          <reference field="4294967294" count="1" selected="0">
            <x v="2"/>
          </reference>
          <reference field="0" count="1" selected="0">
            <x v="8"/>
          </reference>
          <reference field="1" count="1" selected="0">
            <x v="39"/>
          </reference>
        </references>
      </pivotArea>
    </chartFormat>
    <chartFormat chart="0" format="877">
      <pivotArea type="data" outline="0" fieldPosition="0">
        <references count="3">
          <reference field="4294967294" count="1" selected="0">
            <x v="2"/>
          </reference>
          <reference field="0" count="1" selected="0">
            <x v="8"/>
          </reference>
          <reference field="1" count="1" selected="0">
            <x v="40"/>
          </reference>
        </references>
      </pivotArea>
    </chartFormat>
    <chartFormat chart="0" format="878">
      <pivotArea type="data" outline="0" fieldPosition="0">
        <references count="3">
          <reference field="4294967294" count="1" selected="0">
            <x v="2"/>
          </reference>
          <reference field="0" count="1" selected="0">
            <x v="8"/>
          </reference>
          <reference field="1" count="1" selected="0">
            <x v="41"/>
          </reference>
        </references>
      </pivotArea>
    </chartFormat>
    <chartFormat chart="0" format="879">
      <pivotArea type="data" outline="0" fieldPosition="0">
        <references count="3">
          <reference field="4294967294" count="1" selected="0">
            <x v="2"/>
          </reference>
          <reference field="0" count="1" selected="0">
            <x v="8"/>
          </reference>
          <reference field="1" count="1" selected="0">
            <x v="42"/>
          </reference>
        </references>
      </pivotArea>
    </chartFormat>
    <chartFormat chart="0" format="880">
      <pivotArea type="data" outline="0" fieldPosition="0">
        <references count="3">
          <reference field="4294967294" count="1" selected="0">
            <x v="2"/>
          </reference>
          <reference field="0" count="1" selected="0">
            <x v="8"/>
          </reference>
          <reference field="1" count="1" selected="0">
            <x v="43"/>
          </reference>
        </references>
      </pivotArea>
    </chartFormat>
    <chartFormat chart="0" format="881">
      <pivotArea type="data" outline="0" fieldPosition="0">
        <references count="3">
          <reference field="4294967294" count="1" selected="0">
            <x v="2"/>
          </reference>
          <reference field="0" count="1" selected="0">
            <x v="8"/>
          </reference>
          <reference field="1" count="1" selected="0">
            <x v="44"/>
          </reference>
        </references>
      </pivotArea>
    </chartFormat>
    <chartFormat chart="0" format="882">
      <pivotArea type="data" outline="0" fieldPosition="0">
        <references count="3">
          <reference field="4294967294" count="1" selected="0">
            <x v="2"/>
          </reference>
          <reference field="0" count="1" selected="0">
            <x v="8"/>
          </reference>
          <reference field="1" count="1" selected="0">
            <x v="45"/>
          </reference>
        </references>
      </pivotArea>
    </chartFormat>
    <chartFormat chart="0" format="883">
      <pivotArea type="data" outline="0" fieldPosition="0">
        <references count="3">
          <reference field="4294967294" count="1" selected="0">
            <x v="2"/>
          </reference>
          <reference field="0" count="1" selected="0">
            <x v="8"/>
          </reference>
          <reference field="1" count="1" selected="0">
            <x v="46"/>
          </reference>
        </references>
      </pivotArea>
    </chartFormat>
    <chartFormat chart="0" format="884">
      <pivotArea type="data" outline="0" fieldPosition="0">
        <references count="3">
          <reference field="4294967294" count="1" selected="0">
            <x v="2"/>
          </reference>
          <reference field="0" count="1" selected="0">
            <x v="8"/>
          </reference>
          <reference field="1" count="1" selected="0">
            <x v="47"/>
          </reference>
        </references>
      </pivotArea>
    </chartFormat>
    <chartFormat chart="0" format="885">
      <pivotArea type="data" outline="0" fieldPosition="0">
        <references count="3">
          <reference field="4294967294" count="1" selected="0">
            <x v="2"/>
          </reference>
          <reference field="0" count="1" selected="0">
            <x v="8"/>
          </reference>
          <reference field="1" count="1" selected="0">
            <x v="48"/>
          </reference>
        </references>
      </pivotArea>
    </chartFormat>
    <chartFormat chart="0" format="886">
      <pivotArea type="data" outline="0" fieldPosition="0">
        <references count="3">
          <reference field="4294967294" count="1" selected="0">
            <x v="2"/>
          </reference>
          <reference field="0" count="1" selected="0">
            <x v="8"/>
          </reference>
          <reference field="1" count="1" selected="0">
            <x v="49"/>
          </reference>
        </references>
      </pivotArea>
    </chartFormat>
    <chartFormat chart="0" format="887">
      <pivotArea type="data" outline="0" fieldPosition="0">
        <references count="3">
          <reference field="4294967294" count="1" selected="0">
            <x v="2"/>
          </reference>
          <reference field="0" count="1" selected="0">
            <x v="8"/>
          </reference>
          <reference field="1" count="1" selected="0">
            <x v="50"/>
          </reference>
        </references>
      </pivotArea>
    </chartFormat>
    <chartFormat chart="0" format="888">
      <pivotArea type="data" outline="0" fieldPosition="0">
        <references count="3">
          <reference field="4294967294" count="1" selected="0">
            <x v="2"/>
          </reference>
          <reference field="0" count="1" selected="0">
            <x v="8"/>
          </reference>
          <reference field="1" count="1" selected="0">
            <x v="51"/>
          </reference>
        </references>
      </pivotArea>
    </chartFormat>
    <chartFormat chart="0" format="889">
      <pivotArea type="data" outline="0" fieldPosition="0">
        <references count="3">
          <reference field="4294967294" count="1" selected="0">
            <x v="2"/>
          </reference>
          <reference field="0" count="1" selected="0">
            <x v="8"/>
          </reference>
          <reference field="1" count="1" selected="0">
            <x v="52"/>
          </reference>
        </references>
      </pivotArea>
    </chartFormat>
    <chartFormat chart="0" format="890">
      <pivotArea type="data" outline="0" fieldPosition="0">
        <references count="3">
          <reference field="4294967294" count="1" selected="0">
            <x v="2"/>
          </reference>
          <reference field="0" count="1" selected="0">
            <x v="8"/>
          </reference>
          <reference field="1" count="1" selected="0">
            <x v="53"/>
          </reference>
        </references>
      </pivotArea>
    </chartFormat>
    <chartFormat chart="0" format="891">
      <pivotArea type="data" outline="0" fieldPosition="0">
        <references count="3">
          <reference field="4294967294" count="1" selected="0">
            <x v="2"/>
          </reference>
          <reference field="0" count="1" selected="0">
            <x v="8"/>
          </reference>
          <reference field="1" count="1" selected="0">
            <x v="54"/>
          </reference>
        </references>
      </pivotArea>
    </chartFormat>
    <chartFormat chart="0" format="892">
      <pivotArea type="data" outline="0" fieldPosition="0">
        <references count="3">
          <reference field="4294967294" count="1" selected="0">
            <x v="2"/>
          </reference>
          <reference field="0" count="1" selected="0">
            <x v="8"/>
          </reference>
          <reference field="1" count="1" selected="0">
            <x v="55"/>
          </reference>
        </references>
      </pivotArea>
    </chartFormat>
    <chartFormat chart="0" format="893">
      <pivotArea type="data" outline="0" fieldPosition="0">
        <references count="3">
          <reference field="4294967294" count="1" selected="0">
            <x v="2"/>
          </reference>
          <reference field="0" count="1" selected="0">
            <x v="8"/>
          </reference>
          <reference field="1" count="1" selected="0">
            <x v="56"/>
          </reference>
        </references>
      </pivotArea>
    </chartFormat>
    <chartFormat chart="0" format="894">
      <pivotArea type="data" outline="0" fieldPosition="0">
        <references count="3">
          <reference field="4294967294" count="1" selected="0">
            <x v="2"/>
          </reference>
          <reference field="0" count="1" selected="0">
            <x v="8"/>
          </reference>
          <reference field="1" count="1" selected="0">
            <x v="57"/>
          </reference>
        </references>
      </pivotArea>
    </chartFormat>
    <chartFormat chart="0" format="895">
      <pivotArea type="data" outline="0" fieldPosition="0">
        <references count="3">
          <reference field="4294967294" count="1" selected="0">
            <x v="2"/>
          </reference>
          <reference field="0" count="1" selected="0">
            <x v="8"/>
          </reference>
          <reference field="1" count="1" selected="0">
            <x v="58"/>
          </reference>
        </references>
      </pivotArea>
    </chartFormat>
    <chartFormat chart="0" format="896">
      <pivotArea type="data" outline="0" fieldPosition="0">
        <references count="3">
          <reference field="4294967294" count="1" selected="0">
            <x v="2"/>
          </reference>
          <reference field="0" count="1" selected="0">
            <x v="8"/>
          </reference>
          <reference field="1" count="1" selected="0">
            <x v="59"/>
          </reference>
        </references>
      </pivotArea>
    </chartFormat>
    <chartFormat chart="0" format="897">
      <pivotArea type="data" outline="0" fieldPosition="0">
        <references count="3">
          <reference field="4294967294" count="1" selected="0">
            <x v="2"/>
          </reference>
          <reference field="0" count="1" selected="0">
            <x v="8"/>
          </reference>
          <reference field="1" count="1" selected="0">
            <x v="60"/>
          </reference>
        </references>
      </pivotArea>
    </chartFormat>
    <chartFormat chart="0" format="898">
      <pivotArea type="data" outline="0" fieldPosition="0">
        <references count="3">
          <reference field="4294967294" count="1" selected="0">
            <x v="2"/>
          </reference>
          <reference field="0" count="1" selected="0">
            <x v="8"/>
          </reference>
          <reference field="1" count="1" selected="0">
            <x v="61"/>
          </reference>
        </references>
      </pivotArea>
    </chartFormat>
    <chartFormat chart="0" format="899">
      <pivotArea type="data" outline="0" fieldPosition="0">
        <references count="3">
          <reference field="4294967294" count="1" selected="0">
            <x v="2"/>
          </reference>
          <reference field="0" count="1" selected="0">
            <x v="8"/>
          </reference>
          <reference field="1" count="1" selected="0">
            <x v="62"/>
          </reference>
        </references>
      </pivotArea>
    </chartFormat>
    <chartFormat chart="0" format="900">
      <pivotArea type="data" outline="0" fieldPosition="0">
        <references count="3">
          <reference field="4294967294" count="1" selected="0">
            <x v="2"/>
          </reference>
          <reference field="0" count="1" selected="0">
            <x v="8"/>
          </reference>
          <reference field="1" count="1" selected="0">
            <x v="63"/>
          </reference>
        </references>
      </pivotArea>
    </chartFormat>
    <chartFormat chart="0" format="901">
      <pivotArea type="data" outline="0" fieldPosition="0">
        <references count="3">
          <reference field="4294967294" count="1" selected="0">
            <x v="2"/>
          </reference>
          <reference field="0" count="1" selected="0">
            <x v="8"/>
          </reference>
          <reference field="1" count="1" selected="0">
            <x v="64"/>
          </reference>
        </references>
      </pivotArea>
    </chartFormat>
    <chartFormat chart="0" format="902">
      <pivotArea type="data" outline="0" fieldPosition="0">
        <references count="3">
          <reference field="4294967294" count="1" selected="0">
            <x v="2"/>
          </reference>
          <reference field="0" count="1" selected="0">
            <x v="8"/>
          </reference>
          <reference field="1" count="1" selected="0">
            <x v="65"/>
          </reference>
        </references>
      </pivotArea>
    </chartFormat>
    <chartFormat chart="0" format="903">
      <pivotArea type="data" outline="0" fieldPosition="0">
        <references count="3">
          <reference field="4294967294" count="1" selected="0">
            <x v="2"/>
          </reference>
          <reference field="0" count="1" selected="0">
            <x v="8"/>
          </reference>
          <reference field="1" count="1" selected="0">
            <x v="66"/>
          </reference>
        </references>
      </pivotArea>
    </chartFormat>
    <chartFormat chart="0" format="904">
      <pivotArea type="data" outline="0" fieldPosition="0">
        <references count="3">
          <reference field="4294967294" count="1" selected="0">
            <x v="2"/>
          </reference>
          <reference field="0" count="1" selected="0">
            <x v="8"/>
          </reference>
          <reference field="1" count="1" selected="0">
            <x v="67"/>
          </reference>
        </references>
      </pivotArea>
    </chartFormat>
    <chartFormat chart="0" format="905">
      <pivotArea type="data" outline="0" fieldPosition="0">
        <references count="3">
          <reference field="4294967294" count="1" selected="0">
            <x v="2"/>
          </reference>
          <reference field="0" count="1" selected="0">
            <x v="8"/>
          </reference>
          <reference field="1" count="1" selected="0">
            <x v="68"/>
          </reference>
        </references>
      </pivotArea>
    </chartFormat>
    <chartFormat chart="0" format="906">
      <pivotArea type="data" outline="0" fieldPosition="0">
        <references count="3">
          <reference field="4294967294" count="1" selected="0">
            <x v="2"/>
          </reference>
          <reference field="0" count="1" selected="0">
            <x v="8"/>
          </reference>
          <reference field="1" count="1" selected="0">
            <x v="69"/>
          </reference>
        </references>
      </pivotArea>
    </chartFormat>
    <chartFormat chart="0" format="907">
      <pivotArea type="data" outline="0" fieldPosition="0">
        <references count="3">
          <reference field="4294967294" count="1" selected="0">
            <x v="2"/>
          </reference>
          <reference field="0" count="1" selected="0">
            <x v="8"/>
          </reference>
          <reference field="1" count="1" selected="0">
            <x v="70"/>
          </reference>
        </references>
      </pivotArea>
    </chartFormat>
    <chartFormat chart="0" format="908">
      <pivotArea type="data" outline="0" fieldPosition="0">
        <references count="3">
          <reference field="4294967294" count="1" selected="0">
            <x v="2"/>
          </reference>
          <reference field="0" count="1" selected="0">
            <x v="8"/>
          </reference>
          <reference field="1" count="1" selected="0">
            <x v="71"/>
          </reference>
        </references>
      </pivotArea>
    </chartFormat>
    <chartFormat chart="0" format="909">
      <pivotArea type="data" outline="0" fieldPosition="0">
        <references count="3">
          <reference field="4294967294" count="1" selected="0">
            <x v="2"/>
          </reference>
          <reference field="0" count="1" selected="0">
            <x v="8"/>
          </reference>
          <reference field="1" count="1" selected="0">
            <x v="72"/>
          </reference>
        </references>
      </pivotArea>
    </chartFormat>
    <chartFormat chart="0" format="910">
      <pivotArea type="data" outline="0" fieldPosition="0">
        <references count="3">
          <reference field="4294967294" count="1" selected="0">
            <x v="2"/>
          </reference>
          <reference field="0" count="1" selected="0">
            <x v="8"/>
          </reference>
          <reference field="1" count="1" selected="0">
            <x v="73"/>
          </reference>
        </references>
      </pivotArea>
    </chartFormat>
    <chartFormat chart="0" format="911">
      <pivotArea type="data" outline="0" fieldPosition="0">
        <references count="3">
          <reference field="4294967294" count="1" selected="0">
            <x v="2"/>
          </reference>
          <reference field="0" count="1" selected="0">
            <x v="8"/>
          </reference>
          <reference field="1" count="1" selected="0">
            <x v="74"/>
          </reference>
        </references>
      </pivotArea>
    </chartFormat>
    <chartFormat chart="0" format="912">
      <pivotArea type="data" outline="0" fieldPosition="0">
        <references count="3">
          <reference field="4294967294" count="1" selected="0">
            <x v="2"/>
          </reference>
          <reference field="0" count="1" selected="0">
            <x v="8"/>
          </reference>
          <reference field="1" count="1" selected="0">
            <x v="75"/>
          </reference>
        </references>
      </pivotArea>
    </chartFormat>
    <chartFormat chart="0" format="913">
      <pivotArea type="data" outline="0" fieldPosition="0">
        <references count="3">
          <reference field="4294967294" count="1" selected="0">
            <x v="2"/>
          </reference>
          <reference field="0" count="1" selected="0">
            <x v="8"/>
          </reference>
          <reference field="1" count="1" selected="0">
            <x v="76"/>
          </reference>
        </references>
      </pivotArea>
    </chartFormat>
    <chartFormat chart="0" format="914">
      <pivotArea type="data" outline="0" fieldPosition="0">
        <references count="3">
          <reference field="4294967294" count="1" selected="0">
            <x v="2"/>
          </reference>
          <reference field="0" count="1" selected="0">
            <x v="8"/>
          </reference>
          <reference field="1" count="1" selected="0">
            <x v="77"/>
          </reference>
        </references>
      </pivotArea>
    </chartFormat>
    <chartFormat chart="0" format="915">
      <pivotArea type="data" outline="0" fieldPosition="0">
        <references count="3">
          <reference field="4294967294" count="1" selected="0">
            <x v="2"/>
          </reference>
          <reference field="0" count="1" selected="0">
            <x v="8"/>
          </reference>
          <reference field="1" count="1" selected="0">
            <x v="78"/>
          </reference>
        </references>
      </pivotArea>
    </chartFormat>
    <chartFormat chart="0" format="916">
      <pivotArea type="data" outline="0" fieldPosition="0">
        <references count="3">
          <reference field="4294967294" count="1" selected="0">
            <x v="2"/>
          </reference>
          <reference field="0" count="1" selected="0">
            <x v="9"/>
          </reference>
          <reference field="1" count="1" selected="0">
            <x v="31"/>
          </reference>
        </references>
      </pivotArea>
    </chartFormat>
    <chartFormat chart="0" format="917">
      <pivotArea type="data" outline="0" fieldPosition="0">
        <references count="3">
          <reference field="4294967294" count="1" selected="0">
            <x v="2"/>
          </reference>
          <reference field="0" count="1" selected="0">
            <x v="9"/>
          </reference>
          <reference field="1" count="1" selected="0">
            <x v="32"/>
          </reference>
        </references>
      </pivotArea>
    </chartFormat>
    <chartFormat chart="0" format="918">
      <pivotArea type="data" outline="0" fieldPosition="0">
        <references count="3">
          <reference field="4294967294" count="1" selected="0">
            <x v="2"/>
          </reference>
          <reference field="0" count="1" selected="0">
            <x v="9"/>
          </reference>
          <reference field="1" count="1" selected="0">
            <x v="33"/>
          </reference>
        </references>
      </pivotArea>
    </chartFormat>
    <chartFormat chart="0" format="919">
      <pivotArea type="data" outline="0" fieldPosition="0">
        <references count="3">
          <reference field="4294967294" count="1" selected="0">
            <x v="2"/>
          </reference>
          <reference field="0" count="1" selected="0">
            <x v="9"/>
          </reference>
          <reference field="1" count="1" selected="0">
            <x v="34"/>
          </reference>
        </references>
      </pivotArea>
    </chartFormat>
    <chartFormat chart="0" format="920">
      <pivotArea type="data" outline="0" fieldPosition="0">
        <references count="3">
          <reference field="4294967294" count="1" selected="0">
            <x v="2"/>
          </reference>
          <reference field="0" count="1" selected="0">
            <x v="9"/>
          </reference>
          <reference field="1" count="1" selected="0">
            <x v="35"/>
          </reference>
        </references>
      </pivotArea>
    </chartFormat>
    <chartFormat chart="0" format="921">
      <pivotArea type="data" outline="0" fieldPosition="0">
        <references count="3">
          <reference field="4294967294" count="1" selected="0">
            <x v="2"/>
          </reference>
          <reference field="0" count="1" selected="0">
            <x v="9"/>
          </reference>
          <reference field="1" count="1" selected="0">
            <x v="36"/>
          </reference>
        </references>
      </pivotArea>
    </chartFormat>
    <chartFormat chart="0" format="922">
      <pivotArea type="data" outline="0" fieldPosition="0">
        <references count="3">
          <reference field="4294967294" count="1" selected="0">
            <x v="2"/>
          </reference>
          <reference field="0" count="1" selected="0">
            <x v="9"/>
          </reference>
          <reference field="1" count="1" selected="0">
            <x v="37"/>
          </reference>
        </references>
      </pivotArea>
    </chartFormat>
    <chartFormat chart="0" format="923">
      <pivotArea type="data" outline="0" fieldPosition="0">
        <references count="3">
          <reference field="4294967294" count="1" selected="0">
            <x v="2"/>
          </reference>
          <reference field="0" count="1" selected="0">
            <x v="9"/>
          </reference>
          <reference field="1" count="1" selected="0">
            <x v="38"/>
          </reference>
        </references>
      </pivotArea>
    </chartFormat>
    <chartFormat chart="0" format="924">
      <pivotArea type="data" outline="0" fieldPosition="0">
        <references count="3">
          <reference field="4294967294" count="1" selected="0">
            <x v="2"/>
          </reference>
          <reference field="0" count="1" selected="0">
            <x v="9"/>
          </reference>
          <reference field="1" count="1" selected="0">
            <x v="39"/>
          </reference>
        </references>
      </pivotArea>
    </chartFormat>
    <chartFormat chart="0" format="925">
      <pivotArea type="data" outline="0" fieldPosition="0">
        <references count="3">
          <reference field="4294967294" count="1" selected="0">
            <x v="2"/>
          </reference>
          <reference field="0" count="1" selected="0">
            <x v="9"/>
          </reference>
          <reference field="1" count="1" selected="0">
            <x v="40"/>
          </reference>
        </references>
      </pivotArea>
    </chartFormat>
    <chartFormat chart="0" format="926">
      <pivotArea type="data" outline="0" fieldPosition="0">
        <references count="3">
          <reference field="4294967294" count="1" selected="0">
            <x v="2"/>
          </reference>
          <reference field="0" count="1" selected="0">
            <x v="9"/>
          </reference>
          <reference field="1" count="1" selected="0">
            <x v="41"/>
          </reference>
        </references>
      </pivotArea>
    </chartFormat>
    <chartFormat chart="0" format="927">
      <pivotArea type="data" outline="0" fieldPosition="0">
        <references count="3">
          <reference field="4294967294" count="1" selected="0">
            <x v="2"/>
          </reference>
          <reference field="0" count="1" selected="0">
            <x v="9"/>
          </reference>
          <reference field="1" count="1" selected="0">
            <x v="42"/>
          </reference>
        </references>
      </pivotArea>
    </chartFormat>
    <chartFormat chart="0" format="928">
      <pivotArea type="data" outline="0" fieldPosition="0">
        <references count="3">
          <reference field="4294967294" count="1" selected="0">
            <x v="2"/>
          </reference>
          <reference field="0" count="1" selected="0">
            <x v="9"/>
          </reference>
          <reference field="1" count="1" selected="0">
            <x v="43"/>
          </reference>
        </references>
      </pivotArea>
    </chartFormat>
    <chartFormat chart="0" format="929">
      <pivotArea type="data" outline="0" fieldPosition="0">
        <references count="3">
          <reference field="4294967294" count="1" selected="0">
            <x v="2"/>
          </reference>
          <reference field="0" count="1" selected="0">
            <x v="9"/>
          </reference>
          <reference field="1" count="1" selected="0">
            <x v="44"/>
          </reference>
        </references>
      </pivotArea>
    </chartFormat>
    <chartFormat chart="0" format="930">
      <pivotArea type="data" outline="0" fieldPosition="0">
        <references count="3">
          <reference field="4294967294" count="1" selected="0">
            <x v="2"/>
          </reference>
          <reference field="0" count="1" selected="0">
            <x v="9"/>
          </reference>
          <reference field="1" count="1" selected="0">
            <x v="45"/>
          </reference>
        </references>
      </pivotArea>
    </chartFormat>
    <chartFormat chart="0" format="931">
      <pivotArea type="data" outline="0" fieldPosition="0">
        <references count="3">
          <reference field="4294967294" count="1" selected="0">
            <x v="2"/>
          </reference>
          <reference field="0" count="1" selected="0">
            <x v="9"/>
          </reference>
          <reference field="1" count="1" selected="0">
            <x v="46"/>
          </reference>
        </references>
      </pivotArea>
    </chartFormat>
    <chartFormat chart="0" format="932">
      <pivotArea type="data" outline="0" fieldPosition="0">
        <references count="3">
          <reference field="4294967294" count="1" selected="0">
            <x v="2"/>
          </reference>
          <reference field="0" count="1" selected="0">
            <x v="9"/>
          </reference>
          <reference field="1" count="1" selected="0">
            <x v="47"/>
          </reference>
        </references>
      </pivotArea>
    </chartFormat>
    <chartFormat chart="0" format="933">
      <pivotArea type="data" outline="0" fieldPosition="0">
        <references count="3">
          <reference field="4294967294" count="1" selected="0">
            <x v="2"/>
          </reference>
          <reference field="0" count="1" selected="0">
            <x v="9"/>
          </reference>
          <reference field="1" count="1" selected="0">
            <x v="48"/>
          </reference>
        </references>
      </pivotArea>
    </chartFormat>
    <chartFormat chart="0" format="934">
      <pivotArea type="data" outline="0" fieldPosition="0">
        <references count="3">
          <reference field="4294967294" count="1" selected="0">
            <x v="2"/>
          </reference>
          <reference field="0" count="1" selected="0">
            <x v="9"/>
          </reference>
          <reference field="1" count="1" selected="0">
            <x v="49"/>
          </reference>
        </references>
      </pivotArea>
    </chartFormat>
    <chartFormat chart="0" format="935">
      <pivotArea type="data" outline="0" fieldPosition="0">
        <references count="3">
          <reference field="4294967294" count="1" selected="0">
            <x v="2"/>
          </reference>
          <reference field="0" count="1" selected="0">
            <x v="9"/>
          </reference>
          <reference field="1" count="1" selected="0">
            <x v="50"/>
          </reference>
        </references>
      </pivotArea>
    </chartFormat>
    <chartFormat chart="0" format="936">
      <pivotArea type="data" outline="0" fieldPosition="0">
        <references count="3">
          <reference field="4294967294" count="1" selected="0">
            <x v="2"/>
          </reference>
          <reference field="0" count="1" selected="0">
            <x v="9"/>
          </reference>
          <reference field="1" count="1" selected="0">
            <x v="51"/>
          </reference>
        </references>
      </pivotArea>
    </chartFormat>
    <chartFormat chart="0" format="937">
      <pivotArea type="data" outline="0" fieldPosition="0">
        <references count="3">
          <reference field="4294967294" count="1" selected="0">
            <x v="2"/>
          </reference>
          <reference field="0" count="1" selected="0">
            <x v="9"/>
          </reference>
          <reference field="1" count="1" selected="0">
            <x v="52"/>
          </reference>
        </references>
      </pivotArea>
    </chartFormat>
    <chartFormat chart="0" format="938">
      <pivotArea type="data" outline="0" fieldPosition="0">
        <references count="3">
          <reference field="4294967294" count="1" selected="0">
            <x v="2"/>
          </reference>
          <reference field="0" count="1" selected="0">
            <x v="9"/>
          </reference>
          <reference field="1" count="1" selected="0">
            <x v="53"/>
          </reference>
        </references>
      </pivotArea>
    </chartFormat>
    <chartFormat chart="0" format="939">
      <pivotArea type="data" outline="0" fieldPosition="0">
        <references count="3">
          <reference field="4294967294" count="1" selected="0">
            <x v="2"/>
          </reference>
          <reference field="0" count="1" selected="0">
            <x v="9"/>
          </reference>
          <reference field="1" count="1" selected="0">
            <x v="54"/>
          </reference>
        </references>
      </pivotArea>
    </chartFormat>
    <chartFormat chart="0" format="940">
      <pivotArea type="data" outline="0" fieldPosition="0">
        <references count="3">
          <reference field="4294967294" count="1" selected="0">
            <x v="2"/>
          </reference>
          <reference field="0" count="1" selected="0">
            <x v="9"/>
          </reference>
          <reference field="1" count="1" selected="0">
            <x v="55"/>
          </reference>
        </references>
      </pivotArea>
    </chartFormat>
    <chartFormat chart="0" format="941">
      <pivotArea type="data" outline="0" fieldPosition="0">
        <references count="3">
          <reference field="4294967294" count="1" selected="0">
            <x v="2"/>
          </reference>
          <reference field="0" count="1" selected="0">
            <x v="9"/>
          </reference>
          <reference field="1" count="1" selected="0">
            <x v="56"/>
          </reference>
        </references>
      </pivotArea>
    </chartFormat>
    <chartFormat chart="0" format="942">
      <pivotArea type="data" outline="0" fieldPosition="0">
        <references count="3">
          <reference field="4294967294" count="1" selected="0">
            <x v="2"/>
          </reference>
          <reference field="0" count="1" selected="0">
            <x v="9"/>
          </reference>
          <reference field="1" count="1" selected="0">
            <x v="57"/>
          </reference>
        </references>
      </pivotArea>
    </chartFormat>
    <chartFormat chart="0" format="943">
      <pivotArea type="data" outline="0" fieldPosition="0">
        <references count="3">
          <reference field="4294967294" count="1" selected="0">
            <x v="2"/>
          </reference>
          <reference field="0" count="1" selected="0">
            <x v="9"/>
          </reference>
          <reference field="1" count="1" selected="0">
            <x v="58"/>
          </reference>
        </references>
      </pivotArea>
    </chartFormat>
    <chartFormat chart="0" format="944">
      <pivotArea type="data" outline="0" fieldPosition="0">
        <references count="3">
          <reference field="4294967294" count="1" selected="0">
            <x v="2"/>
          </reference>
          <reference field="0" count="1" selected="0">
            <x v="9"/>
          </reference>
          <reference field="1" count="1" selected="0">
            <x v="59"/>
          </reference>
        </references>
      </pivotArea>
    </chartFormat>
    <chartFormat chart="0" format="945">
      <pivotArea type="data" outline="0" fieldPosition="0">
        <references count="3">
          <reference field="4294967294" count="1" selected="0">
            <x v="2"/>
          </reference>
          <reference field="0" count="1" selected="0">
            <x v="9"/>
          </reference>
          <reference field="1" count="1" selected="0">
            <x v="60"/>
          </reference>
        </references>
      </pivotArea>
    </chartFormat>
    <chartFormat chart="0" format="946">
      <pivotArea type="data" outline="0" fieldPosition="0">
        <references count="3">
          <reference field="4294967294" count="1" selected="0">
            <x v="2"/>
          </reference>
          <reference field="0" count="1" selected="0">
            <x v="9"/>
          </reference>
          <reference field="1" count="1" selected="0">
            <x v="61"/>
          </reference>
        </references>
      </pivotArea>
    </chartFormat>
    <chartFormat chart="0" format="947">
      <pivotArea type="data" outline="0" fieldPosition="0">
        <references count="3">
          <reference field="4294967294" count="1" selected="0">
            <x v="2"/>
          </reference>
          <reference field="0" count="1" selected="0">
            <x v="9"/>
          </reference>
          <reference field="1" count="1" selected="0">
            <x v="62"/>
          </reference>
        </references>
      </pivotArea>
    </chartFormat>
    <chartFormat chart="0" format="948">
      <pivotArea type="data" outline="0" fieldPosition="0">
        <references count="3">
          <reference field="4294967294" count="1" selected="0">
            <x v="2"/>
          </reference>
          <reference field="0" count="1" selected="0">
            <x v="9"/>
          </reference>
          <reference field="1" count="1" selected="0">
            <x v="63"/>
          </reference>
        </references>
      </pivotArea>
    </chartFormat>
    <chartFormat chart="0" format="949">
      <pivotArea type="data" outline="0" fieldPosition="0">
        <references count="3">
          <reference field="4294967294" count="1" selected="0">
            <x v="2"/>
          </reference>
          <reference field="0" count="1" selected="0">
            <x v="9"/>
          </reference>
          <reference field="1" count="1" selected="0">
            <x v="64"/>
          </reference>
        </references>
      </pivotArea>
    </chartFormat>
    <chartFormat chart="0" format="950">
      <pivotArea type="data" outline="0" fieldPosition="0">
        <references count="3">
          <reference field="4294967294" count="1" selected="0">
            <x v="2"/>
          </reference>
          <reference field="0" count="1" selected="0">
            <x v="9"/>
          </reference>
          <reference field="1" count="1" selected="0">
            <x v="65"/>
          </reference>
        </references>
      </pivotArea>
    </chartFormat>
    <chartFormat chart="0" format="951">
      <pivotArea type="data" outline="0" fieldPosition="0">
        <references count="3">
          <reference field="4294967294" count="1" selected="0">
            <x v="2"/>
          </reference>
          <reference field="0" count="1" selected="0">
            <x v="9"/>
          </reference>
          <reference field="1" count="1" selected="0">
            <x v="66"/>
          </reference>
        </references>
      </pivotArea>
    </chartFormat>
    <chartFormat chart="0" format="952">
      <pivotArea type="data" outline="0" fieldPosition="0">
        <references count="3">
          <reference field="4294967294" count="1" selected="0">
            <x v="2"/>
          </reference>
          <reference field="0" count="1" selected="0">
            <x v="9"/>
          </reference>
          <reference field="1" count="1" selected="0">
            <x v="67"/>
          </reference>
        </references>
      </pivotArea>
    </chartFormat>
    <chartFormat chart="0" format="953">
      <pivotArea type="data" outline="0" fieldPosition="0">
        <references count="3">
          <reference field="4294967294" count="1" selected="0">
            <x v="2"/>
          </reference>
          <reference field="0" count="1" selected="0">
            <x v="9"/>
          </reference>
          <reference field="1" count="1" selected="0">
            <x v="68"/>
          </reference>
        </references>
      </pivotArea>
    </chartFormat>
    <chartFormat chart="0" format="954">
      <pivotArea type="data" outline="0" fieldPosition="0">
        <references count="3">
          <reference field="4294967294" count="1" selected="0">
            <x v="2"/>
          </reference>
          <reference field="0" count="1" selected="0">
            <x v="9"/>
          </reference>
          <reference field="1" count="1" selected="0">
            <x v="69"/>
          </reference>
        </references>
      </pivotArea>
    </chartFormat>
    <chartFormat chart="0" format="955">
      <pivotArea type="data" outline="0" fieldPosition="0">
        <references count="3">
          <reference field="4294967294" count="1" selected="0">
            <x v="2"/>
          </reference>
          <reference field="0" count="1" selected="0">
            <x v="9"/>
          </reference>
          <reference field="1" count="1" selected="0">
            <x v="70"/>
          </reference>
        </references>
      </pivotArea>
    </chartFormat>
    <chartFormat chart="0" format="956">
      <pivotArea type="data" outline="0" fieldPosition="0">
        <references count="3">
          <reference field="4294967294" count="1" selected="0">
            <x v="2"/>
          </reference>
          <reference field="0" count="1" selected="0">
            <x v="9"/>
          </reference>
          <reference field="1" count="1" selected="0">
            <x v="71"/>
          </reference>
        </references>
      </pivotArea>
    </chartFormat>
    <chartFormat chart="0" format="957">
      <pivotArea type="data" outline="0" fieldPosition="0">
        <references count="3">
          <reference field="4294967294" count="1" selected="0">
            <x v="2"/>
          </reference>
          <reference field="0" count="1" selected="0">
            <x v="9"/>
          </reference>
          <reference field="1" count="1" selected="0">
            <x v="72"/>
          </reference>
        </references>
      </pivotArea>
    </chartFormat>
    <chartFormat chart="0" format="958">
      <pivotArea type="data" outline="0" fieldPosition="0">
        <references count="3">
          <reference field="4294967294" count="1" selected="0">
            <x v="2"/>
          </reference>
          <reference field="0" count="1" selected="0">
            <x v="9"/>
          </reference>
          <reference field="1" count="1" selected="0">
            <x v="73"/>
          </reference>
        </references>
      </pivotArea>
    </chartFormat>
    <chartFormat chart="0" format="959">
      <pivotArea type="data" outline="0" fieldPosition="0">
        <references count="3">
          <reference field="4294967294" count="1" selected="0">
            <x v="2"/>
          </reference>
          <reference field="0" count="1" selected="0">
            <x v="9"/>
          </reference>
          <reference field="1" count="1" selected="0">
            <x v="74"/>
          </reference>
        </references>
      </pivotArea>
    </chartFormat>
    <chartFormat chart="0" format="960">
      <pivotArea type="data" outline="0" fieldPosition="0">
        <references count="3">
          <reference field="4294967294" count="1" selected="0">
            <x v="2"/>
          </reference>
          <reference field="0" count="1" selected="0">
            <x v="9"/>
          </reference>
          <reference field="1" count="1" selected="0">
            <x v="75"/>
          </reference>
        </references>
      </pivotArea>
    </chartFormat>
    <chartFormat chart="0" format="961">
      <pivotArea type="data" outline="0" fieldPosition="0">
        <references count="3">
          <reference field="4294967294" count="1" selected="0">
            <x v="2"/>
          </reference>
          <reference field="0" count="1" selected="0">
            <x v="9"/>
          </reference>
          <reference field="1" count="1" selected="0">
            <x v="76"/>
          </reference>
        </references>
      </pivotArea>
    </chartFormat>
    <chartFormat chart="0" format="962">
      <pivotArea type="data" outline="0" fieldPosition="0">
        <references count="3">
          <reference field="4294967294" count="1" selected="0">
            <x v="2"/>
          </reference>
          <reference field="0" count="1" selected="0">
            <x v="9"/>
          </reference>
          <reference field="1" count="1" selected="0">
            <x v="77"/>
          </reference>
        </references>
      </pivotArea>
    </chartFormat>
    <chartFormat chart="0" format="963">
      <pivotArea type="data" outline="0" fieldPosition="0">
        <references count="3">
          <reference field="4294967294" count="1" selected="0">
            <x v="2"/>
          </reference>
          <reference field="0" count="1" selected="0">
            <x v="9"/>
          </reference>
          <reference field="1" count="1" selected="0">
            <x v="78"/>
          </reference>
        </references>
      </pivotArea>
    </chartFormat>
    <chartFormat chart="0" format="964">
      <pivotArea type="data" outline="0" fieldPosition="0">
        <references count="3">
          <reference field="4294967294" count="1" selected="0">
            <x v="2"/>
          </reference>
          <reference field="0" count="1" selected="0">
            <x v="10"/>
          </reference>
          <reference field="1" count="1" selected="0">
            <x v="31"/>
          </reference>
        </references>
      </pivotArea>
    </chartFormat>
    <chartFormat chart="0" format="965">
      <pivotArea type="data" outline="0" fieldPosition="0">
        <references count="3">
          <reference field="4294967294" count="1" selected="0">
            <x v="2"/>
          </reference>
          <reference field="0" count="1" selected="0">
            <x v="10"/>
          </reference>
          <reference field="1" count="1" selected="0">
            <x v="32"/>
          </reference>
        </references>
      </pivotArea>
    </chartFormat>
    <chartFormat chart="0" format="966">
      <pivotArea type="data" outline="0" fieldPosition="0">
        <references count="3">
          <reference field="4294967294" count="1" selected="0">
            <x v="2"/>
          </reference>
          <reference field="0" count="1" selected="0">
            <x v="10"/>
          </reference>
          <reference field="1" count="1" selected="0">
            <x v="33"/>
          </reference>
        </references>
      </pivotArea>
    </chartFormat>
    <chartFormat chart="0" format="967">
      <pivotArea type="data" outline="0" fieldPosition="0">
        <references count="3">
          <reference field="4294967294" count="1" selected="0">
            <x v="2"/>
          </reference>
          <reference field="0" count="1" selected="0">
            <x v="10"/>
          </reference>
          <reference field="1" count="1" selected="0">
            <x v="34"/>
          </reference>
        </references>
      </pivotArea>
    </chartFormat>
    <chartFormat chart="0" format="968">
      <pivotArea type="data" outline="0" fieldPosition="0">
        <references count="3">
          <reference field="4294967294" count="1" selected="0">
            <x v="2"/>
          </reference>
          <reference field="0" count="1" selected="0">
            <x v="10"/>
          </reference>
          <reference field="1" count="1" selected="0">
            <x v="35"/>
          </reference>
        </references>
      </pivotArea>
    </chartFormat>
    <chartFormat chart="0" format="969">
      <pivotArea type="data" outline="0" fieldPosition="0">
        <references count="3">
          <reference field="4294967294" count="1" selected="0">
            <x v="2"/>
          </reference>
          <reference field="0" count="1" selected="0">
            <x v="10"/>
          </reference>
          <reference field="1" count="1" selected="0">
            <x v="36"/>
          </reference>
        </references>
      </pivotArea>
    </chartFormat>
    <chartFormat chart="0" format="970">
      <pivotArea type="data" outline="0" fieldPosition="0">
        <references count="3">
          <reference field="4294967294" count="1" selected="0">
            <x v="2"/>
          </reference>
          <reference field="0" count="1" selected="0">
            <x v="10"/>
          </reference>
          <reference field="1" count="1" selected="0">
            <x v="37"/>
          </reference>
        </references>
      </pivotArea>
    </chartFormat>
    <chartFormat chart="0" format="971">
      <pivotArea type="data" outline="0" fieldPosition="0">
        <references count="3">
          <reference field="4294967294" count="1" selected="0">
            <x v="2"/>
          </reference>
          <reference field="0" count="1" selected="0">
            <x v="10"/>
          </reference>
          <reference field="1" count="1" selected="0">
            <x v="38"/>
          </reference>
        </references>
      </pivotArea>
    </chartFormat>
    <chartFormat chart="0" format="972">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3">
      <pivotArea type="data" outline="0" fieldPosition="0">
        <references count="3">
          <reference field="4294967294" count="1" selected="0">
            <x v="2"/>
          </reference>
          <reference field="0" count="1" selected="0">
            <x v="10"/>
          </reference>
          <reference field="1" count="1" selected="0">
            <x v="40"/>
          </reference>
        </references>
      </pivotArea>
    </chartFormat>
    <chartFormat chart="0" format="974">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5">
      <pivotArea type="data" outline="0" fieldPosition="0">
        <references count="3">
          <reference field="4294967294" count="1" selected="0">
            <x v="2"/>
          </reference>
          <reference field="0" count="1" selected="0">
            <x v="10"/>
          </reference>
          <reference field="1" count="1" selected="0">
            <x v="42"/>
          </reference>
        </references>
      </pivotArea>
    </chartFormat>
    <chartFormat chart="0" format="976">
      <pivotArea type="data" outline="0" fieldPosition="0">
        <references count="3">
          <reference field="4294967294" count="1" selected="0">
            <x v="2"/>
          </reference>
          <reference field="0" count="1" selected="0">
            <x v="10"/>
          </reference>
          <reference field="1" count="1" selected="0">
            <x v="43"/>
          </reference>
        </references>
      </pivotArea>
    </chartFormat>
    <chartFormat chart="0" format="977">
      <pivotArea type="data" outline="0" fieldPosition="0">
        <references count="3">
          <reference field="4294967294" count="1" selected="0">
            <x v="2"/>
          </reference>
          <reference field="0" count="1" selected="0">
            <x v="10"/>
          </reference>
          <reference field="1" count="1" selected="0">
            <x v="44"/>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5"/>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6"/>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7"/>
          </reference>
        </references>
      </pivotArea>
    </chartFormat>
    <chartFormat chart="0" format="981">
      <pivotArea type="data" outline="0" fieldPosition="0">
        <references count="3">
          <reference field="4294967294" count="1" selected="0">
            <x v="2"/>
          </reference>
          <reference field="0" count="1" selected="0">
            <x v="10"/>
          </reference>
          <reference field="1" count="1" selected="0">
            <x v="48"/>
          </reference>
        </references>
      </pivotArea>
    </chartFormat>
    <chartFormat chart="0" format="982">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0"/>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2"/>
          </reference>
        </references>
      </pivotArea>
    </chartFormat>
    <chartFormat chart="0" format="986">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7">
      <pivotArea type="data" outline="0" fieldPosition="0">
        <references count="3">
          <reference field="4294967294" count="1" selected="0">
            <x v="2"/>
          </reference>
          <reference field="0" count="1" selected="0">
            <x v="10"/>
          </reference>
          <reference field="1" count="1" selected="0">
            <x v="54"/>
          </reference>
        </references>
      </pivotArea>
    </chartFormat>
    <chartFormat chart="0" format="988">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9">
      <pivotArea type="data" outline="0" fieldPosition="0">
        <references count="3">
          <reference field="4294967294" count="1" selected="0">
            <x v="2"/>
          </reference>
          <reference field="0" count="1" selected="0">
            <x v="10"/>
          </reference>
          <reference field="1" count="1" selected="0">
            <x v="56"/>
          </reference>
        </references>
      </pivotArea>
    </chartFormat>
    <chartFormat chart="0" format="990">
      <pivotArea type="data" outline="0" fieldPosition="0">
        <references count="3">
          <reference field="4294967294" count="1" selected="0">
            <x v="2"/>
          </reference>
          <reference field="0" count="1" selected="0">
            <x v="10"/>
          </reference>
          <reference field="1" count="1" selected="0">
            <x v="57"/>
          </reference>
        </references>
      </pivotArea>
    </chartFormat>
    <chartFormat chart="0" format="991">
      <pivotArea type="data" outline="0" fieldPosition="0">
        <references count="3">
          <reference field="4294967294" count="1" selected="0">
            <x v="2"/>
          </reference>
          <reference field="0" count="1" selected="0">
            <x v="10"/>
          </reference>
          <reference field="1" count="1" selected="0">
            <x v="58"/>
          </reference>
        </references>
      </pivotArea>
    </chartFormat>
    <chartFormat chart="0" format="992">
      <pivotArea type="data" outline="0" fieldPosition="0">
        <references count="3">
          <reference field="4294967294" count="1" selected="0">
            <x v="2"/>
          </reference>
          <reference field="0" count="1" selected="0">
            <x v="10"/>
          </reference>
          <reference field="1" count="1" selected="0">
            <x v="59"/>
          </reference>
        </references>
      </pivotArea>
    </chartFormat>
    <chartFormat chart="0" format="993">
      <pivotArea type="data" outline="0" fieldPosition="0">
        <references count="3">
          <reference field="4294967294" count="1" selected="0">
            <x v="2"/>
          </reference>
          <reference field="0" count="1" selected="0">
            <x v="10"/>
          </reference>
          <reference field="1" count="1" selected="0">
            <x v="60"/>
          </reference>
        </references>
      </pivotArea>
    </chartFormat>
    <chartFormat chart="0" format="994">
      <pivotArea type="data" outline="0" fieldPosition="0">
        <references count="3">
          <reference field="4294967294" count="1" selected="0">
            <x v="2"/>
          </reference>
          <reference field="0" count="1" selected="0">
            <x v="10"/>
          </reference>
          <reference field="1" count="1" selected="0">
            <x v="61"/>
          </reference>
        </references>
      </pivotArea>
    </chartFormat>
    <chartFormat chart="0" format="995">
      <pivotArea type="data" outline="0" fieldPosition="0">
        <references count="3">
          <reference field="4294967294" count="1" selected="0">
            <x v="2"/>
          </reference>
          <reference field="0" count="1" selected="0">
            <x v="10"/>
          </reference>
          <reference field="1" count="1" selected="0">
            <x v="62"/>
          </reference>
        </references>
      </pivotArea>
    </chartFormat>
    <chartFormat chart="0" format="996">
      <pivotArea type="data" outline="0" fieldPosition="0">
        <references count="3">
          <reference field="4294967294" count="1" selected="0">
            <x v="2"/>
          </reference>
          <reference field="0" count="1" selected="0">
            <x v="10"/>
          </reference>
          <reference field="1" count="1" selected="0">
            <x v="6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64"/>
          </reference>
        </references>
      </pivotArea>
    </chartFormat>
    <chartFormat chart="0" format="998">
      <pivotArea type="data" outline="0" fieldPosition="0">
        <references count="3">
          <reference field="4294967294" count="1" selected="0">
            <x v="2"/>
          </reference>
          <reference field="0" count="1" selected="0">
            <x v="10"/>
          </reference>
          <reference field="1" count="1" selected="0">
            <x v="65"/>
          </reference>
        </references>
      </pivotArea>
    </chartFormat>
    <chartFormat chart="0" format="999">
      <pivotArea type="data" outline="0" fieldPosition="0">
        <references count="3">
          <reference field="4294967294" count="1" selected="0">
            <x v="2"/>
          </reference>
          <reference field="0" count="1" selected="0">
            <x v="10"/>
          </reference>
          <reference field="1" count="1" selected="0">
            <x v="66"/>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67"/>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68"/>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72"/>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74"/>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75"/>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76"/>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77"/>
          </reference>
        </references>
      </pivotArea>
    </chartFormat>
    <chartFormat chart="0" format="1011">
      <pivotArea type="data" outline="0" fieldPosition="0">
        <references count="3">
          <reference field="4294967294" count="1" selected="0">
            <x v="2"/>
          </reference>
          <reference field="0" count="1" selected="0">
            <x v="10"/>
          </reference>
          <reference field="1" count="1" selected="0">
            <x v="78"/>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31"/>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32"/>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33"/>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34"/>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63"/>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64"/>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65"/>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66"/>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67"/>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68"/>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69"/>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70"/>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71"/>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72"/>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73"/>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74"/>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75"/>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76"/>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77"/>
          </reference>
        </references>
      </pivotArea>
    </chartFormat>
    <chartFormat chart="0" format="1031">
      <pivotArea type="data" outline="0" fieldPosition="0">
        <references count="3">
          <reference field="4294967294" count="1" selected="0">
            <x v="2"/>
          </reference>
          <reference field="0" count="1" selected="0">
            <x v="11"/>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vl3_generic_8"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7" firstHeaderRow="0" firstDataRow="1" firstDataCol="2" rowPageCount="5" colPageCount="1"/>
  <pivotFields count="13">
    <pivotField axis="axisRow" compact="0" outline="0" subtotalTop="0" showAll="0" defaultSubtotal="0">
      <items count="12">
        <item x="0"/>
        <item m="1" x="5"/>
        <item m="1" x="9"/>
        <item x="1"/>
        <item x="2"/>
        <item m="1" x="11"/>
        <item m="1" x="6"/>
        <item m="1" x="7"/>
        <item m="1" x="3"/>
        <item m="1" x="8"/>
        <item m="1" x="4"/>
        <item m="1" x="10"/>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5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3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1"/>
          </reference>
        </references>
      </pivotArea>
    </chartFormat>
    <chartFormat chart="0" format="198">
      <pivotArea type="data" outline="0" fieldPosition="0">
        <references count="3">
          <reference field="4294967294" count="1" selected="0">
            <x v="0"/>
          </reference>
          <reference field="0" count="1" selected="0">
            <x v="1"/>
          </reference>
          <reference field="1" count="1" selected="0">
            <x v="2"/>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1"/>
          </reference>
        </references>
      </pivotArea>
    </chartFormat>
    <chartFormat chart="0" format="201">
      <pivotArea type="data" outline="0" fieldPosition="0">
        <references count="3">
          <reference field="4294967294" count="1" selected="0">
            <x v="2"/>
          </reference>
          <reference field="0" count="1" selected="0">
            <x v="1"/>
          </reference>
          <reference field="1" count="1" selected="0">
            <x v="2"/>
          </reference>
        </references>
      </pivotArea>
    </chartFormat>
    <chartFormat chart="0" format="202">
      <pivotArea type="data" outline="0" fieldPosition="0">
        <references count="3">
          <reference field="4294967294" count="1" selected="0">
            <x v="2"/>
          </reference>
          <reference field="0" count="1" selected="0">
            <x v="2"/>
          </reference>
          <reference field="1" count="1" selected="0">
            <x v="3"/>
          </reference>
        </references>
      </pivotArea>
    </chartFormat>
    <chartFormat chart="0" format="203">
      <pivotArea type="data" outline="0" fieldPosition="0">
        <references count="3">
          <reference field="4294967294" count="1" selected="0">
            <x v="2"/>
          </reference>
          <reference field="0" count="1" selected="0">
            <x v="2"/>
          </reference>
          <reference field="1" count="1" selected="0">
            <x v="4"/>
          </reference>
        </references>
      </pivotArea>
    </chartFormat>
    <chartFormat chart="0" format="204">
      <pivotArea type="data" outline="0" fieldPosition="0">
        <references count="3">
          <reference field="4294967294" count="1" selected="0">
            <x v="2"/>
          </reference>
          <reference field="0" count="1" selected="0">
            <x v="2"/>
          </reference>
          <reference field="1" count="1" selected="0">
            <x v="5"/>
          </reference>
        </references>
      </pivotArea>
    </chartFormat>
    <chartFormat chart="0" format="205">
      <pivotArea type="data" outline="0" fieldPosition="0">
        <references count="3">
          <reference field="4294967294" count="1" selected="0">
            <x v="2"/>
          </reference>
          <reference field="0" count="1" selected="0">
            <x v="2"/>
          </reference>
          <reference field="1" count="1" selected="0">
            <x v="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
          </reference>
        </references>
      </pivotArea>
    </chartFormat>
    <chartFormat chart="0" format="207">
      <pivotArea type="data" outline="0" fieldPosition="0">
        <references count="3">
          <reference field="4294967294" count="1" selected="0">
            <x v="2"/>
          </reference>
          <reference field="0" count="1" selected="0">
            <x v="2"/>
          </reference>
          <reference field="1" count="1" selected="0">
            <x v="8"/>
          </reference>
        </references>
      </pivotArea>
    </chartFormat>
    <chartFormat chart="0" format="208">
      <pivotArea type="data" outline="0" fieldPosition="0">
        <references count="3">
          <reference field="4294967294" count="1" selected="0">
            <x v="2"/>
          </reference>
          <reference field="0" count="1" selected="0">
            <x v="2"/>
          </reference>
          <reference field="1" count="1" selected="0">
            <x v="9"/>
          </reference>
        </references>
      </pivotArea>
    </chartFormat>
    <chartFormat chart="0" format="209">
      <pivotArea type="data" outline="0" fieldPosition="0">
        <references count="3">
          <reference field="4294967294" count="1" selected="0">
            <x v="2"/>
          </reference>
          <reference field="0" count="1" selected="0">
            <x v="2"/>
          </reference>
          <reference field="1" count="1" selected="0">
            <x v="10"/>
          </reference>
        </references>
      </pivotArea>
    </chartFormat>
    <chartFormat chart="0" format="210">
      <pivotArea type="data" outline="0" fieldPosition="0">
        <references count="3">
          <reference field="4294967294" count="1" selected="0">
            <x v="2"/>
          </reference>
          <reference field="0" count="1" selected="0">
            <x v="2"/>
          </reference>
          <reference field="1" count="1" selected="0">
            <x v="11"/>
          </reference>
        </references>
      </pivotArea>
    </chartFormat>
    <chartFormat chart="0" format="211">
      <pivotArea type="data" outline="0" fieldPosition="0">
        <references count="3">
          <reference field="4294967294" count="1" selected="0">
            <x v="2"/>
          </reference>
          <reference field="0" count="1" selected="0">
            <x v="2"/>
          </reference>
          <reference field="1" count="1" selected="0">
            <x v="12"/>
          </reference>
        </references>
      </pivotArea>
    </chartFormat>
    <chartFormat chart="0" format="212">
      <pivotArea type="data" outline="0" fieldPosition="0">
        <references count="3">
          <reference field="4294967294" count="1" selected="0">
            <x v="2"/>
          </reference>
          <reference field="0" count="1" selected="0">
            <x v="2"/>
          </reference>
          <reference field="1" count="1" selected="0">
            <x v="13"/>
          </reference>
        </references>
      </pivotArea>
    </chartFormat>
    <chartFormat chart="0" format="213">
      <pivotArea type="data" outline="0" fieldPosition="0">
        <references count="3">
          <reference field="4294967294" count="1" selected="0">
            <x v="2"/>
          </reference>
          <reference field="0" count="1" selected="0">
            <x v="2"/>
          </reference>
          <reference field="1" count="1" selected="0">
            <x v="14"/>
          </reference>
        </references>
      </pivotArea>
    </chartFormat>
    <chartFormat chart="0" format="214">
      <pivotArea type="data" outline="0" fieldPosition="0">
        <references count="3">
          <reference field="4294967294" count="1" selected="0">
            <x v="2"/>
          </reference>
          <reference field="0" count="1" selected="0">
            <x v="2"/>
          </reference>
          <reference field="1" count="1" selected="0">
            <x v="15"/>
          </reference>
        </references>
      </pivotArea>
    </chartFormat>
    <chartFormat chart="0" format="215">
      <pivotArea type="data" outline="0" fieldPosition="0">
        <references count="3">
          <reference field="4294967294" count="1" selected="0">
            <x v="2"/>
          </reference>
          <reference field="0" count="1" selected="0">
            <x v="2"/>
          </reference>
          <reference field="1" count="1" selected="0">
            <x v="16"/>
          </reference>
        </references>
      </pivotArea>
    </chartFormat>
    <chartFormat chart="0" format="216">
      <pivotArea type="data" outline="0" fieldPosition="0">
        <references count="3">
          <reference field="4294967294" count="1" selected="0">
            <x v="2"/>
          </reference>
          <reference field="0" count="1" selected="0">
            <x v="2"/>
          </reference>
          <reference field="1" count="1" selected="0">
            <x v="17"/>
          </reference>
        </references>
      </pivotArea>
    </chartFormat>
    <chartFormat chart="0" format="217">
      <pivotArea type="data" outline="0" fieldPosition="0">
        <references count="3">
          <reference field="4294967294" count="1" selected="0">
            <x v="2"/>
          </reference>
          <reference field="0" count="1" selected="0">
            <x v="2"/>
          </reference>
          <reference field="1" count="1" selected="0">
            <x v="18"/>
          </reference>
        </references>
      </pivotArea>
    </chartFormat>
    <chartFormat chart="0" format="218">
      <pivotArea type="data" outline="0" fieldPosition="0">
        <references count="3">
          <reference field="4294967294" count="1" selected="0">
            <x v="2"/>
          </reference>
          <reference field="0" count="1" selected="0">
            <x v="2"/>
          </reference>
          <reference field="1" count="1" selected="0">
            <x v="19"/>
          </reference>
        </references>
      </pivotArea>
    </chartFormat>
    <chartFormat chart="0" format="219">
      <pivotArea type="data" outline="0" fieldPosition="0">
        <references count="3">
          <reference field="4294967294" count="1" selected="0">
            <x v="2"/>
          </reference>
          <reference field="0" count="1" selected="0">
            <x v="2"/>
          </reference>
          <reference field="1" count="1" selected="0">
            <x v="20"/>
          </reference>
        </references>
      </pivotArea>
    </chartFormat>
    <chartFormat chart="0" format="220">
      <pivotArea type="data" outline="0" fieldPosition="0">
        <references count="3">
          <reference field="4294967294" count="1" selected="0">
            <x v="2"/>
          </reference>
          <reference field="0" count="1" selected="0">
            <x v="2"/>
          </reference>
          <reference field="1" count="1" selected="0">
            <x v="21"/>
          </reference>
        </references>
      </pivotArea>
    </chartFormat>
    <chartFormat chart="0" format="221">
      <pivotArea type="data" outline="0" fieldPosition="0">
        <references count="3">
          <reference field="4294967294" count="1" selected="0">
            <x v="2"/>
          </reference>
          <reference field="0" count="1" selected="0">
            <x v="2"/>
          </reference>
          <reference field="1" count="1" selected="0">
            <x v="22"/>
          </reference>
        </references>
      </pivotArea>
    </chartFormat>
    <chartFormat chart="0" format="222">
      <pivotArea type="data" outline="0" fieldPosition="0">
        <references count="3">
          <reference field="4294967294" count="1" selected="0">
            <x v="2"/>
          </reference>
          <reference field="0" count="1" selected="0">
            <x v="2"/>
          </reference>
          <reference field="1" count="1" selected="0">
            <x v="23"/>
          </reference>
        </references>
      </pivotArea>
    </chartFormat>
    <chartFormat chart="0" format="223">
      <pivotArea type="data" outline="0" fieldPosition="0">
        <references count="3">
          <reference field="4294967294" count="1" selected="0">
            <x v="2"/>
          </reference>
          <reference field="0" count="1" selected="0">
            <x v="2"/>
          </reference>
          <reference field="1" count="1" selected="0">
            <x v="24"/>
          </reference>
        </references>
      </pivotArea>
    </chartFormat>
    <chartFormat chart="0" format="224">
      <pivotArea type="data" outline="0" fieldPosition="0">
        <references count="3">
          <reference field="4294967294" count="1" selected="0">
            <x v="2"/>
          </reference>
          <reference field="0" count="1" selected="0">
            <x v="2"/>
          </reference>
          <reference field="1" count="1" selected="0">
            <x v="25"/>
          </reference>
        </references>
      </pivotArea>
    </chartFormat>
    <chartFormat chart="0" format="225">
      <pivotArea type="data" outline="0" fieldPosition="0">
        <references count="3">
          <reference field="4294967294" count="1" selected="0">
            <x v="2"/>
          </reference>
          <reference field="0" count="1" selected="0">
            <x v="2"/>
          </reference>
          <reference field="1" count="1" selected="0">
            <x v="26"/>
          </reference>
        </references>
      </pivotArea>
    </chartFormat>
    <chartFormat chart="0" format="226">
      <pivotArea type="data" outline="0" fieldPosition="0">
        <references count="3">
          <reference field="4294967294" count="1" selected="0">
            <x v="0"/>
          </reference>
          <reference field="0" count="1" selected="0">
            <x v="2"/>
          </reference>
          <reference field="1" count="1" selected="0">
            <x v="3"/>
          </reference>
        </references>
      </pivotArea>
    </chartFormat>
    <chartFormat chart="0" format="227">
      <pivotArea type="data" outline="0" fieldPosition="0">
        <references count="3">
          <reference field="4294967294" count="1" selected="0">
            <x v="0"/>
          </reference>
          <reference field="0" count="1" selected="0">
            <x v="2"/>
          </reference>
          <reference field="1" count="1" selected="0">
            <x v="4"/>
          </reference>
        </references>
      </pivotArea>
    </chartFormat>
    <chartFormat chart="0" format="228">
      <pivotArea type="data" outline="0" fieldPosition="0">
        <references count="3">
          <reference field="4294967294" count="1" selected="0">
            <x v="0"/>
          </reference>
          <reference field="0" count="1" selected="0">
            <x v="2"/>
          </reference>
          <reference field="1" count="1" selected="0">
            <x v="5"/>
          </reference>
        </references>
      </pivotArea>
    </chartFormat>
    <chartFormat chart="0" format="229">
      <pivotArea type="data" outline="0" fieldPosition="0">
        <references count="3">
          <reference field="4294967294" count="1" selected="0">
            <x v="0"/>
          </reference>
          <reference field="0" count="1" selected="0">
            <x v="2"/>
          </reference>
          <reference field="1" count="1" selected="0">
            <x v="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
          </reference>
        </references>
      </pivotArea>
    </chartFormat>
    <chartFormat chart="0" format="231">
      <pivotArea type="data" outline="0" fieldPosition="0">
        <references count="3">
          <reference field="4294967294" count="1" selected="0">
            <x v="0"/>
          </reference>
          <reference field="0" count="1" selected="0">
            <x v="2"/>
          </reference>
          <reference field="1" count="1" selected="0">
            <x v="8"/>
          </reference>
        </references>
      </pivotArea>
    </chartFormat>
    <chartFormat chart="0" format="232">
      <pivotArea type="data" outline="0" fieldPosition="0">
        <references count="3">
          <reference field="4294967294" count="1" selected="0">
            <x v="0"/>
          </reference>
          <reference field="0" count="1" selected="0">
            <x v="2"/>
          </reference>
          <reference field="1" count="1" selected="0">
            <x v="9"/>
          </reference>
        </references>
      </pivotArea>
    </chartFormat>
    <chartFormat chart="0" format="233">
      <pivotArea type="data" outline="0" fieldPosition="0">
        <references count="3">
          <reference field="4294967294" count="1" selected="0">
            <x v="0"/>
          </reference>
          <reference field="0" count="1" selected="0">
            <x v="2"/>
          </reference>
          <reference field="1" count="1" selected="0">
            <x v="10"/>
          </reference>
        </references>
      </pivotArea>
    </chartFormat>
    <chartFormat chart="0" format="234">
      <pivotArea type="data" outline="0" fieldPosition="0">
        <references count="3">
          <reference field="4294967294" count="1" selected="0">
            <x v="0"/>
          </reference>
          <reference field="0" count="1" selected="0">
            <x v="2"/>
          </reference>
          <reference field="1" count="1" selected="0">
            <x v="11"/>
          </reference>
        </references>
      </pivotArea>
    </chartFormat>
    <chartFormat chart="0" format="235">
      <pivotArea type="data" outline="0" fieldPosition="0">
        <references count="3">
          <reference field="4294967294" count="1" selected="0">
            <x v="0"/>
          </reference>
          <reference field="0" count="1" selected="0">
            <x v="2"/>
          </reference>
          <reference field="1" count="1" selected="0">
            <x v="12"/>
          </reference>
        </references>
      </pivotArea>
    </chartFormat>
    <chartFormat chart="0" format="236">
      <pivotArea type="data" outline="0" fieldPosition="0">
        <references count="3">
          <reference field="4294967294" count="1" selected="0">
            <x v="0"/>
          </reference>
          <reference field="0" count="1" selected="0">
            <x v="2"/>
          </reference>
          <reference field="1" count="1" selected="0">
            <x v="13"/>
          </reference>
        </references>
      </pivotArea>
    </chartFormat>
    <chartFormat chart="0" format="237">
      <pivotArea type="data" outline="0" fieldPosition="0">
        <references count="3">
          <reference field="4294967294" count="1" selected="0">
            <x v="0"/>
          </reference>
          <reference field="0" count="1" selected="0">
            <x v="2"/>
          </reference>
          <reference field="1" count="1" selected="0">
            <x v="14"/>
          </reference>
        </references>
      </pivotArea>
    </chartFormat>
    <chartFormat chart="0" format="238">
      <pivotArea type="data" outline="0" fieldPosition="0">
        <references count="3">
          <reference field="4294967294" count="1" selected="0">
            <x v="0"/>
          </reference>
          <reference field="0" count="1" selected="0">
            <x v="2"/>
          </reference>
          <reference field="1" count="1" selected="0">
            <x v="15"/>
          </reference>
        </references>
      </pivotArea>
    </chartFormat>
    <chartFormat chart="0" format="239">
      <pivotArea type="data" outline="0" fieldPosition="0">
        <references count="3">
          <reference field="4294967294" count="1" selected="0">
            <x v="0"/>
          </reference>
          <reference field="0" count="1" selected="0">
            <x v="2"/>
          </reference>
          <reference field="1" count="1" selected="0">
            <x v="16"/>
          </reference>
        </references>
      </pivotArea>
    </chartFormat>
    <chartFormat chart="0" format="240">
      <pivotArea type="data" outline="0" fieldPosition="0">
        <references count="3">
          <reference field="4294967294" count="1" selected="0">
            <x v="0"/>
          </reference>
          <reference field="0" count="1" selected="0">
            <x v="2"/>
          </reference>
          <reference field="1" count="1" selected="0">
            <x v="17"/>
          </reference>
        </references>
      </pivotArea>
    </chartFormat>
    <chartFormat chart="0" format="241">
      <pivotArea type="data" outline="0" fieldPosition="0">
        <references count="3">
          <reference field="4294967294" count="1" selected="0">
            <x v="0"/>
          </reference>
          <reference field="0" count="1" selected="0">
            <x v="2"/>
          </reference>
          <reference field="1" count="1" selected="0">
            <x v="18"/>
          </reference>
        </references>
      </pivotArea>
    </chartFormat>
    <chartFormat chart="0" format="242">
      <pivotArea type="data" outline="0" fieldPosition="0">
        <references count="3">
          <reference field="4294967294" count="1" selected="0">
            <x v="0"/>
          </reference>
          <reference field="0" count="1" selected="0">
            <x v="2"/>
          </reference>
          <reference field="1" count="1" selected="0">
            <x v="19"/>
          </reference>
        </references>
      </pivotArea>
    </chartFormat>
    <chartFormat chart="0" format="243">
      <pivotArea type="data" outline="0" fieldPosition="0">
        <references count="3">
          <reference field="4294967294" count="1" selected="0">
            <x v="0"/>
          </reference>
          <reference field="0" count="1" selected="0">
            <x v="2"/>
          </reference>
          <reference field="1" count="1" selected="0">
            <x v="20"/>
          </reference>
        </references>
      </pivotArea>
    </chartFormat>
    <chartFormat chart="0" format="244">
      <pivotArea type="data" outline="0" fieldPosition="0">
        <references count="3">
          <reference field="4294967294" count="1" selected="0">
            <x v="0"/>
          </reference>
          <reference field="0" count="1" selected="0">
            <x v="2"/>
          </reference>
          <reference field="1" count="1" selected="0">
            <x v="21"/>
          </reference>
        </references>
      </pivotArea>
    </chartFormat>
    <chartFormat chart="0" format="245">
      <pivotArea type="data" outline="0" fieldPosition="0">
        <references count="3">
          <reference field="4294967294" count="1" selected="0">
            <x v="0"/>
          </reference>
          <reference field="0" count="1" selected="0">
            <x v="2"/>
          </reference>
          <reference field="1" count="1" selected="0">
            <x v="22"/>
          </reference>
        </references>
      </pivotArea>
    </chartFormat>
    <chartFormat chart="0" format="246">
      <pivotArea type="data" outline="0" fieldPosition="0">
        <references count="3">
          <reference field="4294967294" count="1" selected="0">
            <x v="0"/>
          </reference>
          <reference field="0" count="1" selected="0">
            <x v="2"/>
          </reference>
          <reference field="1" count="1" selected="0">
            <x v="23"/>
          </reference>
        </references>
      </pivotArea>
    </chartFormat>
    <chartFormat chart="0" format="247">
      <pivotArea type="data" outline="0" fieldPosition="0">
        <references count="3">
          <reference field="4294967294" count="1" selected="0">
            <x v="0"/>
          </reference>
          <reference field="0" count="1" selected="0">
            <x v="2"/>
          </reference>
          <reference field="1" count="1" selected="0">
            <x v="24"/>
          </reference>
        </references>
      </pivotArea>
    </chartFormat>
    <chartFormat chart="0" format="248">
      <pivotArea type="data" outline="0" fieldPosition="0">
        <references count="3">
          <reference field="4294967294" count="1" selected="0">
            <x v="0"/>
          </reference>
          <reference field="0" count="1" selected="0">
            <x v="2"/>
          </reference>
          <reference field="1" count="1" selected="0">
            <x v="25"/>
          </reference>
        </references>
      </pivotArea>
    </chartFormat>
    <chartFormat chart="0" format="249">
      <pivotArea type="data" outline="0" fieldPosition="0">
        <references count="3">
          <reference field="4294967294" count="1" selected="0">
            <x v="0"/>
          </reference>
          <reference field="0" count="1" selected="0">
            <x v="2"/>
          </reference>
          <reference field="1" count="1" selected="0">
            <x v="26"/>
          </reference>
        </references>
      </pivotArea>
    </chartFormat>
    <chartFormat chart="0" format="250">
      <pivotArea type="data" outline="0" fieldPosition="0">
        <references count="3">
          <reference field="4294967294" count="1" selected="0">
            <x v="0"/>
          </reference>
          <reference field="0" count="1" selected="0">
            <x v="2"/>
          </reference>
          <reference field="1" count="1" selected="0">
            <x v="27"/>
          </reference>
        </references>
      </pivotArea>
    </chartFormat>
    <chartFormat chart="0" format="251">
      <pivotArea type="data" outline="0" fieldPosition="0">
        <references count="3">
          <reference field="4294967294" count="1" selected="0">
            <x v="0"/>
          </reference>
          <reference field="0" count="1" selected="0">
            <x v="2"/>
          </reference>
          <reference field="1" count="1" selected="0">
            <x v="28"/>
          </reference>
        </references>
      </pivotArea>
    </chartFormat>
    <chartFormat chart="0" format="252">
      <pivotArea type="data" outline="0" fieldPosition="0">
        <references count="3">
          <reference field="4294967294" count="1" selected="0">
            <x v="2"/>
          </reference>
          <reference field="0" count="1" selected="0">
            <x v="2"/>
          </reference>
          <reference field="1" count="1" selected="0">
            <x v="27"/>
          </reference>
        </references>
      </pivotArea>
    </chartFormat>
    <chartFormat chart="0" format="253">
      <pivotArea type="data" outline="0" fieldPosition="0">
        <references count="3">
          <reference field="4294967294" count="1" selected="0">
            <x v="2"/>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9"/>
          </reference>
        </references>
      </pivotArea>
    </chartFormat>
    <chartFormat chart="0" format="255">
      <pivotArea type="data" outline="0" fieldPosition="0">
        <references count="3">
          <reference field="4294967294" count="1" selected="0">
            <x v="2"/>
          </reference>
          <reference field="0" count="1" selected="0">
            <x v="2"/>
          </reference>
          <reference field="1" count="1" selected="0">
            <x v="30"/>
          </reference>
        </references>
      </pivotArea>
    </chartFormat>
    <chartFormat chart="0" format="256">
      <pivotArea type="data" outline="0" fieldPosition="0">
        <references count="3">
          <reference field="4294967294" count="1" selected="0">
            <x v="2"/>
          </reference>
          <reference field="0" count="1" selected="0">
            <x v="3"/>
          </reference>
          <reference field="1" count="1" selected="0">
            <x v="31"/>
          </reference>
        </references>
      </pivotArea>
    </chartFormat>
    <chartFormat chart="0" format="257">
      <pivotArea type="data" outline="0" fieldPosition="0">
        <references count="3">
          <reference field="4294967294" count="1" selected="0">
            <x v="2"/>
          </reference>
          <reference field="0" count="1" selected="0">
            <x v="3"/>
          </reference>
          <reference field="1" count="1" selected="0">
            <x v="32"/>
          </reference>
        </references>
      </pivotArea>
    </chartFormat>
    <chartFormat chart="0" format="258">
      <pivotArea type="data" outline="0" fieldPosition="0">
        <references count="3">
          <reference field="4294967294" count="1" selected="0">
            <x v="2"/>
          </reference>
          <reference field="0" count="1" selected="0">
            <x v="3"/>
          </reference>
          <reference field="1" count="1" selected="0">
            <x v="33"/>
          </reference>
        </references>
      </pivotArea>
    </chartFormat>
    <chartFormat chart="0" format="259">
      <pivotArea type="data" outline="0" fieldPosition="0">
        <references count="3">
          <reference field="4294967294" count="1" selected="0">
            <x v="2"/>
          </reference>
          <reference field="0" count="1" selected="0">
            <x v="3"/>
          </reference>
          <reference field="1" count="1" selected="0">
            <x v="34"/>
          </reference>
        </references>
      </pivotArea>
    </chartFormat>
    <chartFormat chart="0" format="260">
      <pivotArea type="data" outline="0" fieldPosition="0">
        <references count="3">
          <reference field="4294967294" count="1" selected="0">
            <x v="2"/>
          </reference>
          <reference field="0" count="1" selected="0">
            <x v="3"/>
          </reference>
          <reference field="1" count="1" selected="0">
            <x v="35"/>
          </reference>
        </references>
      </pivotArea>
    </chartFormat>
    <chartFormat chart="0" format="261">
      <pivotArea type="data" outline="0" fieldPosition="0">
        <references count="3">
          <reference field="4294967294" count="1" selected="0">
            <x v="2"/>
          </reference>
          <reference field="0" count="1" selected="0">
            <x v="3"/>
          </reference>
          <reference field="1" count="1" selected="0">
            <x v="36"/>
          </reference>
        </references>
      </pivotArea>
    </chartFormat>
    <chartFormat chart="0" format="262">
      <pivotArea type="data" outline="0" fieldPosition="0">
        <references count="3">
          <reference field="4294967294" count="1" selected="0">
            <x v="2"/>
          </reference>
          <reference field="0" count="1" selected="0">
            <x v="3"/>
          </reference>
          <reference field="1" count="1" selected="0">
            <x v="37"/>
          </reference>
        </references>
      </pivotArea>
    </chartFormat>
    <chartFormat chart="0" format="263">
      <pivotArea type="data" outline="0" fieldPosition="0">
        <references count="3">
          <reference field="4294967294" count="1" selected="0">
            <x v="2"/>
          </reference>
          <reference field="0" count="1" selected="0">
            <x v="3"/>
          </reference>
          <reference field="1" count="1" selected="0">
            <x v="38"/>
          </reference>
        </references>
      </pivotArea>
    </chartFormat>
    <chartFormat chart="0" format="264">
      <pivotArea type="data" outline="0" fieldPosition="0">
        <references count="3">
          <reference field="4294967294" count="1" selected="0">
            <x v="2"/>
          </reference>
          <reference field="0" count="1" selected="0">
            <x v="3"/>
          </reference>
          <reference field="1" count="1" selected="0">
            <x v="39"/>
          </reference>
        </references>
      </pivotArea>
    </chartFormat>
    <chartFormat chart="0" format="265">
      <pivotArea type="data" outline="0" fieldPosition="0">
        <references count="3">
          <reference field="4294967294" count="1" selected="0">
            <x v="2"/>
          </reference>
          <reference field="0" count="1" selected="0">
            <x v="3"/>
          </reference>
          <reference field="1" count="1" selected="0">
            <x v="40"/>
          </reference>
        </references>
      </pivotArea>
    </chartFormat>
    <chartFormat chart="0" format="266">
      <pivotArea type="data" outline="0" fieldPosition="0">
        <references count="3">
          <reference field="4294967294" count="1" selected="0">
            <x v="2"/>
          </reference>
          <reference field="0" count="1" selected="0">
            <x v="3"/>
          </reference>
          <reference field="1" count="1" selected="0">
            <x v="41"/>
          </reference>
        </references>
      </pivotArea>
    </chartFormat>
    <chartFormat chart="0" format="267">
      <pivotArea type="data" outline="0" fieldPosition="0">
        <references count="3">
          <reference field="4294967294" count="1" selected="0">
            <x v="2"/>
          </reference>
          <reference field="0" count="1" selected="0">
            <x v="3"/>
          </reference>
          <reference field="1" count="1" selected="0">
            <x v="42"/>
          </reference>
        </references>
      </pivotArea>
    </chartFormat>
    <chartFormat chart="0" format="268">
      <pivotArea type="data" outline="0" fieldPosition="0">
        <references count="3">
          <reference field="4294967294" count="1" selected="0">
            <x v="2"/>
          </reference>
          <reference field="0" count="1" selected="0">
            <x v="3"/>
          </reference>
          <reference field="1" count="1" selected="0">
            <x v="43"/>
          </reference>
        </references>
      </pivotArea>
    </chartFormat>
    <chartFormat chart="0" format="269">
      <pivotArea type="data" outline="0" fieldPosition="0">
        <references count="3">
          <reference field="4294967294" count="1" selected="0">
            <x v="2"/>
          </reference>
          <reference field="0" count="1" selected="0">
            <x v="3"/>
          </reference>
          <reference field="1" count="1" selected="0">
            <x v="44"/>
          </reference>
        </references>
      </pivotArea>
    </chartFormat>
    <chartFormat chart="0" format="270">
      <pivotArea type="data" outline="0" fieldPosition="0">
        <references count="3">
          <reference field="4294967294" count="1" selected="0">
            <x v="2"/>
          </reference>
          <reference field="0" count="1" selected="0">
            <x v="3"/>
          </reference>
          <reference field="1" count="1" selected="0">
            <x v="45"/>
          </reference>
        </references>
      </pivotArea>
    </chartFormat>
    <chartFormat chart="0" format="271">
      <pivotArea type="data" outline="0" fieldPosition="0">
        <references count="3">
          <reference field="4294967294" count="1" selected="0">
            <x v="2"/>
          </reference>
          <reference field="0" count="1" selected="0">
            <x v="3"/>
          </reference>
          <reference field="1" count="1" selected="0">
            <x v="46"/>
          </reference>
        </references>
      </pivotArea>
    </chartFormat>
    <chartFormat chart="0" format="272">
      <pivotArea type="data" outline="0" fieldPosition="0">
        <references count="3">
          <reference field="4294967294" count="1" selected="0">
            <x v="2"/>
          </reference>
          <reference field="0" count="1" selected="0">
            <x v="3"/>
          </reference>
          <reference field="1" count="1" selected="0">
            <x v="47"/>
          </reference>
        </references>
      </pivotArea>
    </chartFormat>
    <chartFormat chart="0" format="273">
      <pivotArea type="data" outline="0" fieldPosition="0">
        <references count="3">
          <reference field="4294967294" count="1" selected="0">
            <x v="2"/>
          </reference>
          <reference field="0" count="1" selected="0">
            <x v="3"/>
          </reference>
          <reference field="1" count="1" selected="0">
            <x v="48"/>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0"/>
          </reference>
        </references>
      </pivotArea>
    </chartFormat>
    <chartFormat chart="0" format="276">
      <pivotArea type="data" outline="0" fieldPosition="0">
        <references count="3">
          <reference field="4294967294" count="1" selected="0">
            <x v="2"/>
          </reference>
          <reference field="0" count="1" selected="0">
            <x v="3"/>
          </reference>
          <reference field="1" count="1" selected="0">
            <x v="51"/>
          </reference>
        </references>
      </pivotArea>
    </chartFormat>
    <chartFormat chart="0" format="277">
      <pivotArea type="data" outline="0" fieldPosition="0">
        <references count="3">
          <reference field="4294967294" count="1" selected="0">
            <x v="2"/>
          </reference>
          <reference field="0" count="1" selected="0">
            <x v="3"/>
          </reference>
          <reference field="1" count="1" selected="0">
            <x v="52"/>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4"/>
          </reference>
        </references>
      </pivotArea>
    </chartFormat>
    <chartFormat chart="0" format="280">
      <pivotArea type="data" outline="0" fieldPosition="0">
        <references count="3">
          <reference field="4294967294" count="1" selected="0">
            <x v="2"/>
          </reference>
          <reference field="0" count="1" selected="0">
            <x v="3"/>
          </reference>
          <reference field="1" count="1" selected="0">
            <x v="55"/>
          </reference>
        </references>
      </pivotArea>
    </chartFormat>
    <chartFormat chart="0" format="281">
      <pivotArea type="data" outline="0" fieldPosition="0">
        <references count="3">
          <reference field="4294967294" count="1" selected="0">
            <x v="2"/>
          </reference>
          <reference field="0" count="1" selected="0">
            <x v="3"/>
          </reference>
          <reference field="1" count="1" selected="0">
            <x v="56"/>
          </reference>
        </references>
      </pivotArea>
    </chartFormat>
    <chartFormat chart="0" format="282">
      <pivotArea type="data" outline="0" fieldPosition="0">
        <references count="3">
          <reference field="4294967294" count="1" selected="0">
            <x v="2"/>
          </reference>
          <reference field="0" count="1" selected="0">
            <x v="3"/>
          </reference>
          <reference field="1" count="1" selected="0">
            <x v="57"/>
          </reference>
        </references>
      </pivotArea>
    </chartFormat>
    <chartFormat chart="0" format="283">
      <pivotArea type="data" outline="0" fieldPosition="0">
        <references count="3">
          <reference field="4294967294" count="1" selected="0">
            <x v="2"/>
          </reference>
          <reference field="0" count="1" selected="0">
            <x v="3"/>
          </reference>
          <reference field="1" count="1" selected="0">
            <x v="58"/>
          </reference>
        </references>
      </pivotArea>
    </chartFormat>
    <chartFormat chart="0" format="284">
      <pivotArea type="data" outline="0" fieldPosition="0">
        <references count="3">
          <reference field="4294967294" count="1" selected="0">
            <x v="2"/>
          </reference>
          <reference field="0" count="1" selected="0">
            <x v="3"/>
          </reference>
          <reference field="1" count="1" selected="0">
            <x v="59"/>
          </reference>
        </references>
      </pivotArea>
    </chartFormat>
    <chartFormat chart="0" format="285">
      <pivotArea type="data" outline="0" fieldPosition="0">
        <references count="3">
          <reference field="4294967294" count="1" selected="0">
            <x v="2"/>
          </reference>
          <reference field="0" count="1" selected="0">
            <x v="3"/>
          </reference>
          <reference field="1" count="1" selected="0">
            <x v="60"/>
          </reference>
        </references>
      </pivotArea>
    </chartFormat>
    <chartFormat chart="0" format="286">
      <pivotArea type="data" outline="0" fieldPosition="0">
        <references count="3">
          <reference field="4294967294" count="1" selected="0">
            <x v="2"/>
          </reference>
          <reference field="0" count="1" selected="0">
            <x v="3"/>
          </reference>
          <reference field="1" count="1" selected="0">
            <x v="61"/>
          </reference>
        </references>
      </pivotArea>
    </chartFormat>
    <chartFormat chart="0" format="287">
      <pivotArea type="data" outline="0" fieldPosition="0">
        <references count="3">
          <reference field="4294967294" count="1" selected="0">
            <x v="2"/>
          </reference>
          <reference field="0" count="1" selected="0">
            <x v="3"/>
          </reference>
          <reference field="1" count="1" selected="0">
            <x v="62"/>
          </reference>
        </references>
      </pivotArea>
    </chartFormat>
    <chartFormat chart="0" format="288">
      <pivotArea type="data" outline="0" fieldPosition="0">
        <references count="3">
          <reference field="4294967294" count="1" selected="0">
            <x v="2"/>
          </reference>
          <reference field="0" count="1" selected="0">
            <x v="4"/>
          </reference>
          <reference field="1" count="1" selected="0">
            <x v="31"/>
          </reference>
        </references>
      </pivotArea>
    </chartFormat>
    <chartFormat chart="0" format="289">
      <pivotArea type="data" outline="0" fieldPosition="0">
        <references count="3">
          <reference field="4294967294" count="1" selected="0">
            <x v="2"/>
          </reference>
          <reference field="0" count="1" selected="0">
            <x v="4"/>
          </reference>
          <reference field="1" count="1" selected="0">
            <x v="3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3"/>
          </reference>
        </references>
      </pivotArea>
    </chartFormat>
    <chartFormat chart="0" format="291">
      <pivotArea type="data" outline="0" fieldPosition="0">
        <references count="3">
          <reference field="4294967294" count="1" selected="0">
            <x v="2"/>
          </reference>
          <reference field="0" count="1" selected="0">
            <x v="4"/>
          </reference>
          <reference field="1" count="1" selected="0">
            <x v="34"/>
          </reference>
        </references>
      </pivotArea>
    </chartFormat>
    <chartFormat chart="0" format="292">
      <pivotArea type="data" outline="0" fieldPosition="0">
        <references count="3">
          <reference field="4294967294" count="1" selected="0">
            <x v="2"/>
          </reference>
          <reference field="0" count="1" selected="0">
            <x v="4"/>
          </reference>
          <reference field="1" count="1" selected="0">
            <x v="35"/>
          </reference>
        </references>
      </pivotArea>
    </chartFormat>
    <chartFormat chart="0" format="293">
      <pivotArea type="data" outline="0" fieldPosition="0">
        <references count="3">
          <reference field="4294967294" count="1" selected="0">
            <x v="2"/>
          </reference>
          <reference field="0" count="1" selected="0">
            <x v="4"/>
          </reference>
          <reference field="1" count="1" selected="0">
            <x v="36"/>
          </reference>
        </references>
      </pivotArea>
    </chartFormat>
    <chartFormat chart="0" format="294">
      <pivotArea type="data" outline="0" fieldPosition="0">
        <references count="3">
          <reference field="4294967294" count="1" selected="0">
            <x v="2"/>
          </reference>
          <reference field="0" count="1" selected="0">
            <x v="4"/>
          </reference>
          <reference field="1" count="1" selected="0">
            <x v="37"/>
          </reference>
        </references>
      </pivotArea>
    </chartFormat>
    <chartFormat chart="0" format="295">
      <pivotArea type="data" outline="0" fieldPosition="0">
        <references count="3">
          <reference field="4294967294" count="1" selected="0">
            <x v="2"/>
          </reference>
          <reference field="0" count="1" selected="0">
            <x v="4"/>
          </reference>
          <reference field="1" count="1" selected="0">
            <x v="38"/>
          </reference>
        </references>
      </pivotArea>
    </chartFormat>
    <chartFormat chart="0" format="296">
      <pivotArea type="data" outline="0" fieldPosition="0">
        <references count="3">
          <reference field="4294967294" count="1" selected="0">
            <x v="2"/>
          </reference>
          <reference field="0" count="1" selected="0">
            <x v="4"/>
          </reference>
          <reference field="1" count="1" selected="0">
            <x v="39"/>
          </reference>
        </references>
      </pivotArea>
    </chartFormat>
    <chartFormat chart="0" format="297">
      <pivotArea type="data" outline="0" fieldPosition="0">
        <references count="3">
          <reference field="4294967294" count="1" selected="0">
            <x v="2"/>
          </reference>
          <reference field="0" count="1" selected="0">
            <x v="4"/>
          </reference>
          <reference field="1" count="1" selected="0">
            <x v="40"/>
          </reference>
        </references>
      </pivotArea>
    </chartFormat>
    <chartFormat chart="0" format="298">
      <pivotArea type="data" outline="0" fieldPosition="0">
        <references count="3">
          <reference field="4294967294" count="1" selected="0">
            <x v="2"/>
          </reference>
          <reference field="0" count="1" selected="0">
            <x v="4"/>
          </reference>
          <reference field="1" count="1" selected="0">
            <x v="41"/>
          </reference>
        </references>
      </pivotArea>
    </chartFormat>
    <chartFormat chart="0" format="299">
      <pivotArea type="data" outline="0" fieldPosition="0">
        <references count="3">
          <reference field="4294967294" count="1" selected="0">
            <x v="2"/>
          </reference>
          <reference field="0" count="1" selected="0">
            <x v="4"/>
          </reference>
          <reference field="1" count="1" selected="0">
            <x v="42"/>
          </reference>
        </references>
      </pivotArea>
    </chartFormat>
    <chartFormat chart="0" format="300">
      <pivotArea type="data" outline="0" fieldPosition="0">
        <references count="3">
          <reference field="4294967294" count="1" selected="0">
            <x v="2"/>
          </reference>
          <reference field="0" count="1" selected="0">
            <x v="4"/>
          </reference>
          <reference field="1" count="1" selected="0">
            <x v="43"/>
          </reference>
        </references>
      </pivotArea>
    </chartFormat>
    <chartFormat chart="0" format="301">
      <pivotArea type="data" outline="0" fieldPosition="0">
        <references count="3">
          <reference field="4294967294" count="1" selected="0">
            <x v="2"/>
          </reference>
          <reference field="0" count="1" selected="0">
            <x v="4"/>
          </reference>
          <reference field="1" count="1" selected="0">
            <x v="51"/>
          </reference>
        </references>
      </pivotArea>
    </chartFormat>
    <chartFormat chart="0" format="302">
      <pivotArea type="data" outline="0" fieldPosition="0">
        <references count="3">
          <reference field="4294967294" count="1" selected="0">
            <x v="2"/>
          </reference>
          <reference field="0" count="1" selected="0">
            <x v="4"/>
          </reference>
          <reference field="1" count="1" selected="0">
            <x v="52"/>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4"/>
          </reference>
        </references>
      </pivotArea>
    </chartFormat>
    <chartFormat chart="0" format="305">
      <pivotArea type="data" outline="0" fieldPosition="0">
        <references count="3">
          <reference field="4294967294" count="1" selected="0">
            <x v="2"/>
          </reference>
          <reference field="0" count="1" selected="0">
            <x v="4"/>
          </reference>
          <reference field="1" count="1" selected="0">
            <x v="55"/>
          </reference>
        </references>
      </pivotArea>
    </chartFormat>
    <chartFormat chart="0" format="306">
      <pivotArea type="data" outline="0" fieldPosition="0">
        <references count="3">
          <reference field="4294967294" count="1" selected="0">
            <x v="2"/>
          </reference>
          <reference field="0" count="1" selected="0">
            <x v="4"/>
          </reference>
          <reference field="1" count="1" selected="0">
            <x v="56"/>
          </reference>
        </references>
      </pivotArea>
    </chartFormat>
    <chartFormat chart="0" format="307">
      <pivotArea type="data" outline="0" fieldPosition="0">
        <references count="3">
          <reference field="4294967294" count="1" selected="0">
            <x v="2"/>
          </reference>
          <reference field="0" count="1" selected="0">
            <x v="4"/>
          </reference>
          <reference field="1" count="1" selected="0">
            <x v="57"/>
          </reference>
        </references>
      </pivotArea>
    </chartFormat>
    <chartFormat chart="0" format="308">
      <pivotArea type="data" outline="0" fieldPosition="0">
        <references count="3">
          <reference field="4294967294" count="1" selected="0">
            <x v="2"/>
          </reference>
          <reference field="0" count="1" selected="0">
            <x v="4"/>
          </reference>
          <reference field="1" count="1" selected="0">
            <x v="58"/>
          </reference>
        </references>
      </pivotArea>
    </chartFormat>
    <chartFormat chart="0" format="309">
      <pivotArea type="data" outline="0" fieldPosition="0">
        <references count="3">
          <reference field="4294967294" count="1" selected="0">
            <x v="2"/>
          </reference>
          <reference field="0" count="1" selected="0">
            <x v="4"/>
          </reference>
          <reference field="1" count="1" selected="0">
            <x v="59"/>
          </reference>
        </references>
      </pivotArea>
    </chartFormat>
    <chartFormat chart="0" format="310">
      <pivotArea type="data" outline="0" fieldPosition="0">
        <references count="3">
          <reference field="4294967294" count="1" selected="0">
            <x v="2"/>
          </reference>
          <reference field="0" count="1" selected="0">
            <x v="4"/>
          </reference>
          <reference field="1" count="1" selected="0">
            <x v="60"/>
          </reference>
        </references>
      </pivotArea>
    </chartFormat>
    <chartFormat chart="0" format="311">
      <pivotArea type="data" outline="0" fieldPosition="0">
        <references count="3">
          <reference field="4294967294" count="1" selected="0">
            <x v="2"/>
          </reference>
          <reference field="0" count="1" selected="0">
            <x v="4"/>
          </reference>
          <reference field="1" count="1" selected="0">
            <x v="63"/>
          </reference>
        </references>
      </pivotArea>
    </chartFormat>
    <chartFormat chart="0" format="312">
      <pivotArea type="data" outline="0" fieldPosition="0">
        <references count="3">
          <reference field="4294967294" count="1" selected="0">
            <x v="2"/>
          </reference>
          <reference field="0" count="1" selected="0">
            <x v="4"/>
          </reference>
          <reference field="1" count="1" selected="0">
            <x v="64"/>
          </reference>
        </references>
      </pivotArea>
    </chartFormat>
    <chartFormat chart="0" format="313">
      <pivotArea type="data" outline="0" fieldPosition="0">
        <references count="3">
          <reference field="4294967294" count="1" selected="0">
            <x v="2"/>
          </reference>
          <reference field="0" count="1" selected="0">
            <x v="4"/>
          </reference>
          <reference field="1" count="1" selected="0">
            <x v="65"/>
          </reference>
        </references>
      </pivotArea>
    </chartFormat>
    <chartFormat chart="0" format="314">
      <pivotArea type="data" outline="0" fieldPosition="0">
        <references count="3">
          <reference field="4294967294" count="1" selected="0">
            <x v="2"/>
          </reference>
          <reference field="0" count="1" selected="0">
            <x v="4"/>
          </reference>
          <reference field="1" count="1" selected="0">
            <x v="66"/>
          </reference>
        </references>
      </pivotArea>
    </chartFormat>
    <chartFormat chart="0" format="315">
      <pivotArea type="data" outline="0" fieldPosition="0">
        <references count="3">
          <reference field="4294967294" count="1" selected="0">
            <x v="2"/>
          </reference>
          <reference field="0" count="1" selected="0">
            <x v="4"/>
          </reference>
          <reference field="1" count="1" selected="0">
            <x v="67"/>
          </reference>
        </references>
      </pivotArea>
    </chartFormat>
    <chartFormat chart="0" format="316">
      <pivotArea type="data" outline="0" fieldPosition="0">
        <references count="3">
          <reference field="4294967294" count="1" selected="0">
            <x v="2"/>
          </reference>
          <reference field="0" count="1" selected="0">
            <x v="4"/>
          </reference>
          <reference field="1" count="1" selected="0">
            <x v="68"/>
          </reference>
        </references>
      </pivotArea>
    </chartFormat>
    <chartFormat chart="0" format="317">
      <pivotArea type="data" outline="0" fieldPosition="0">
        <references count="3">
          <reference field="4294967294" count="1" selected="0">
            <x v="2"/>
          </reference>
          <reference field="0" count="1" selected="0">
            <x v="4"/>
          </reference>
          <reference field="1" count="1" selected="0">
            <x v="69"/>
          </reference>
        </references>
      </pivotArea>
    </chartFormat>
    <chartFormat chart="0" format="318">
      <pivotArea type="data" outline="0" fieldPosition="0">
        <references count="3">
          <reference field="4294967294" count="1" selected="0">
            <x v="2"/>
          </reference>
          <reference field="0" count="1" selected="0">
            <x v="4"/>
          </reference>
          <reference field="1" count="1" selected="0">
            <x v="70"/>
          </reference>
        </references>
      </pivotArea>
    </chartFormat>
    <chartFormat chart="0" format="319">
      <pivotArea type="data" outline="0" fieldPosition="0">
        <references count="3">
          <reference field="4294967294" count="1" selected="0">
            <x v="2"/>
          </reference>
          <reference field="0" count="1" selected="0">
            <x v="4"/>
          </reference>
          <reference field="1" count="1" selected="0">
            <x v="71"/>
          </reference>
        </references>
      </pivotArea>
    </chartFormat>
    <chartFormat chart="0" format="320">
      <pivotArea type="data" outline="0" fieldPosition="0">
        <references count="3">
          <reference field="4294967294" count="1" selected="0">
            <x v="2"/>
          </reference>
          <reference field="0" count="1" selected="0">
            <x v="4"/>
          </reference>
          <reference field="1" count="1" selected="0">
            <x v="72"/>
          </reference>
        </references>
      </pivotArea>
    </chartFormat>
    <chartFormat chart="0" format="321">
      <pivotArea type="data" outline="0" fieldPosition="0">
        <references count="3">
          <reference field="4294967294" count="1" selected="0">
            <x v="2"/>
          </reference>
          <reference field="0" count="1" selected="0">
            <x v="4"/>
          </reference>
          <reference field="1" count="1" selected="0">
            <x v="73"/>
          </reference>
        </references>
      </pivotArea>
    </chartFormat>
    <chartFormat chart="0" format="322">
      <pivotArea type="data" outline="0" fieldPosition="0">
        <references count="3">
          <reference field="4294967294" count="1" selected="0">
            <x v="2"/>
          </reference>
          <reference field="0" count="1" selected="0">
            <x v="4"/>
          </reference>
          <reference field="1" count="1" selected="0">
            <x v="74"/>
          </reference>
        </references>
      </pivotArea>
    </chartFormat>
    <chartFormat chart="0" format="323">
      <pivotArea type="data" outline="0" fieldPosition="0">
        <references count="3">
          <reference field="4294967294" count="1" selected="0">
            <x v="2"/>
          </reference>
          <reference field="0" count="1" selected="0">
            <x v="4"/>
          </reference>
          <reference field="1" count="1" selected="0">
            <x v="75"/>
          </reference>
        </references>
      </pivotArea>
    </chartFormat>
    <chartFormat chart="0" format="324">
      <pivotArea type="data" outline="0" fieldPosition="0">
        <references count="3">
          <reference field="4294967294" count="1" selected="0">
            <x v="2"/>
          </reference>
          <reference field="0" count="1" selected="0">
            <x v="4"/>
          </reference>
          <reference field="1" count="1" selected="0">
            <x v="76"/>
          </reference>
        </references>
      </pivotArea>
    </chartFormat>
    <chartFormat chart="0" format="325">
      <pivotArea type="data" outline="0" fieldPosition="0">
        <references count="3">
          <reference field="4294967294" count="1" selected="0">
            <x v="0"/>
          </reference>
          <reference field="0" count="1" selected="0">
            <x v="3"/>
          </reference>
          <reference field="1" count="1" selected="0">
            <x v="31"/>
          </reference>
        </references>
      </pivotArea>
    </chartFormat>
    <chartFormat chart="0" format="326">
      <pivotArea type="data" outline="0" fieldPosition="0">
        <references count="3">
          <reference field="4294967294" count="1" selected="0">
            <x v="0"/>
          </reference>
          <reference field="0" count="1" selected="0">
            <x v="3"/>
          </reference>
          <reference field="1" count="1" selected="0">
            <x v="32"/>
          </reference>
        </references>
      </pivotArea>
    </chartFormat>
    <chartFormat chart="0" format="327">
      <pivotArea type="data" outline="0" fieldPosition="0">
        <references count="3">
          <reference field="4294967294" count="1" selected="0">
            <x v="0"/>
          </reference>
          <reference field="0" count="1" selected="0">
            <x v="3"/>
          </reference>
          <reference field="1" count="1" selected="0">
            <x v="33"/>
          </reference>
        </references>
      </pivotArea>
    </chartFormat>
    <chartFormat chart="0" format="328">
      <pivotArea type="data" outline="0" fieldPosition="0">
        <references count="3">
          <reference field="4294967294" count="1" selected="0">
            <x v="0"/>
          </reference>
          <reference field="0" count="1" selected="0">
            <x v="3"/>
          </reference>
          <reference field="1" count="1" selected="0">
            <x v="34"/>
          </reference>
        </references>
      </pivotArea>
    </chartFormat>
    <chartFormat chart="0" format="329">
      <pivotArea type="data" outline="0" fieldPosition="0">
        <references count="3">
          <reference field="4294967294" count="1" selected="0">
            <x v="0"/>
          </reference>
          <reference field="0" count="1" selected="0">
            <x v="3"/>
          </reference>
          <reference field="1" count="1" selected="0">
            <x v="35"/>
          </reference>
        </references>
      </pivotArea>
    </chartFormat>
    <chartFormat chart="0" format="330">
      <pivotArea type="data" outline="0" fieldPosition="0">
        <references count="3">
          <reference field="4294967294" count="1" selected="0">
            <x v="0"/>
          </reference>
          <reference field="0" count="1" selected="0">
            <x v="3"/>
          </reference>
          <reference field="1" count="1" selected="0">
            <x v="36"/>
          </reference>
        </references>
      </pivotArea>
    </chartFormat>
    <chartFormat chart="0" format="331">
      <pivotArea type="data" outline="0" fieldPosition="0">
        <references count="3">
          <reference field="4294967294" count="1" selected="0">
            <x v="0"/>
          </reference>
          <reference field="0" count="1" selected="0">
            <x v="3"/>
          </reference>
          <reference field="1" count="1" selected="0">
            <x v="37"/>
          </reference>
        </references>
      </pivotArea>
    </chartFormat>
    <chartFormat chart="0" format="332">
      <pivotArea type="data" outline="0" fieldPosition="0">
        <references count="3">
          <reference field="4294967294" count="1" selected="0">
            <x v="0"/>
          </reference>
          <reference field="0" count="1" selected="0">
            <x v="3"/>
          </reference>
          <reference field="1" count="1" selected="0">
            <x v="38"/>
          </reference>
        </references>
      </pivotArea>
    </chartFormat>
    <chartFormat chart="0" format="333">
      <pivotArea type="data" outline="0" fieldPosition="0">
        <references count="3">
          <reference field="4294967294" count="1" selected="0">
            <x v="0"/>
          </reference>
          <reference field="0" count="1" selected="0">
            <x v="3"/>
          </reference>
          <reference field="1" count="1" selected="0">
            <x v="39"/>
          </reference>
        </references>
      </pivotArea>
    </chartFormat>
    <chartFormat chart="0" format="334">
      <pivotArea type="data" outline="0" fieldPosition="0">
        <references count="3">
          <reference field="4294967294" count="1" selected="0">
            <x v="0"/>
          </reference>
          <reference field="0" count="1" selected="0">
            <x v="3"/>
          </reference>
          <reference field="1" count="1" selected="0">
            <x v="40"/>
          </reference>
        </references>
      </pivotArea>
    </chartFormat>
    <chartFormat chart="0" format="335">
      <pivotArea type="data" outline="0" fieldPosition="0">
        <references count="3">
          <reference field="4294967294" count="1" selected="0">
            <x v="0"/>
          </reference>
          <reference field="0" count="1" selected="0">
            <x v="3"/>
          </reference>
          <reference field="1" count="1" selected="0">
            <x v="41"/>
          </reference>
        </references>
      </pivotArea>
    </chartFormat>
    <chartFormat chart="0" format="336">
      <pivotArea type="data" outline="0" fieldPosition="0">
        <references count="3">
          <reference field="4294967294" count="1" selected="0">
            <x v="0"/>
          </reference>
          <reference field="0" count="1" selected="0">
            <x v="3"/>
          </reference>
          <reference field="1" count="1" selected="0">
            <x v="42"/>
          </reference>
        </references>
      </pivotArea>
    </chartFormat>
    <chartFormat chart="0" format="337">
      <pivotArea type="data" outline="0" fieldPosition="0">
        <references count="3">
          <reference field="4294967294" count="1" selected="0">
            <x v="0"/>
          </reference>
          <reference field="0" count="1" selected="0">
            <x v="3"/>
          </reference>
          <reference field="1" count="1" selected="0">
            <x v="43"/>
          </reference>
        </references>
      </pivotArea>
    </chartFormat>
    <chartFormat chart="0" format="338">
      <pivotArea type="data" outline="0" fieldPosition="0">
        <references count="3">
          <reference field="4294967294" count="1" selected="0">
            <x v="0"/>
          </reference>
          <reference field="0" count="1" selected="0">
            <x v="3"/>
          </reference>
          <reference field="1" count="1" selected="0">
            <x v="44"/>
          </reference>
        </references>
      </pivotArea>
    </chartFormat>
    <chartFormat chart="0" format="339">
      <pivotArea type="data" outline="0" fieldPosition="0">
        <references count="3">
          <reference field="4294967294" count="1" selected="0">
            <x v="0"/>
          </reference>
          <reference field="0" count="1" selected="0">
            <x v="3"/>
          </reference>
          <reference field="1" count="1" selected="0">
            <x v="45"/>
          </reference>
        </references>
      </pivotArea>
    </chartFormat>
    <chartFormat chart="0" format="340">
      <pivotArea type="data" outline="0" fieldPosition="0">
        <references count="3">
          <reference field="4294967294" count="1" selected="0">
            <x v="0"/>
          </reference>
          <reference field="0" count="1" selected="0">
            <x v="3"/>
          </reference>
          <reference field="1" count="1" selected="0">
            <x v="46"/>
          </reference>
        </references>
      </pivotArea>
    </chartFormat>
    <chartFormat chart="0" format="341">
      <pivotArea type="data" outline="0" fieldPosition="0">
        <references count="3">
          <reference field="4294967294" count="1" selected="0">
            <x v="0"/>
          </reference>
          <reference field="0" count="1" selected="0">
            <x v="3"/>
          </reference>
          <reference field="1" count="1" selected="0">
            <x v="47"/>
          </reference>
        </references>
      </pivotArea>
    </chartFormat>
    <chartFormat chart="0" format="342">
      <pivotArea type="data" outline="0" fieldPosition="0">
        <references count="3">
          <reference field="4294967294" count="1" selected="0">
            <x v="0"/>
          </reference>
          <reference field="0" count="1" selected="0">
            <x v="3"/>
          </reference>
          <reference field="1" count="1" selected="0">
            <x v="48"/>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0"/>
          </reference>
        </references>
      </pivotArea>
    </chartFormat>
    <chartFormat chart="0" format="345">
      <pivotArea type="data" outline="0" fieldPosition="0">
        <references count="3">
          <reference field="4294967294" count="1" selected="0">
            <x v="0"/>
          </reference>
          <reference field="0" count="1" selected="0">
            <x v="3"/>
          </reference>
          <reference field="1" count="1" selected="0">
            <x v="51"/>
          </reference>
        </references>
      </pivotArea>
    </chartFormat>
    <chartFormat chart="0" format="346">
      <pivotArea type="data" outline="0" fieldPosition="0">
        <references count="3">
          <reference field="4294967294" count="1" selected="0">
            <x v="0"/>
          </reference>
          <reference field="0" count="1" selected="0">
            <x v="3"/>
          </reference>
          <reference field="1" count="1" selected="0">
            <x v="52"/>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4"/>
          </reference>
        </references>
      </pivotArea>
    </chartFormat>
    <chartFormat chart="0" format="349">
      <pivotArea type="data" outline="0" fieldPosition="0">
        <references count="3">
          <reference field="4294967294" count="1" selected="0">
            <x v="0"/>
          </reference>
          <reference field="0" count="1" selected="0">
            <x v="3"/>
          </reference>
          <reference field="1" count="1" selected="0">
            <x v="55"/>
          </reference>
        </references>
      </pivotArea>
    </chartFormat>
    <chartFormat chart="0" format="350">
      <pivotArea type="data" outline="0" fieldPosition="0">
        <references count="3">
          <reference field="4294967294" count="1" selected="0">
            <x v="0"/>
          </reference>
          <reference field="0" count="1" selected="0">
            <x v="3"/>
          </reference>
          <reference field="1" count="1" selected="0">
            <x v="56"/>
          </reference>
        </references>
      </pivotArea>
    </chartFormat>
    <chartFormat chart="0" format="351">
      <pivotArea type="data" outline="0" fieldPosition="0">
        <references count="3">
          <reference field="4294967294" count="1" selected="0">
            <x v="0"/>
          </reference>
          <reference field="0" count="1" selected="0">
            <x v="3"/>
          </reference>
          <reference field="1" count="1" selected="0">
            <x v="57"/>
          </reference>
        </references>
      </pivotArea>
    </chartFormat>
    <chartFormat chart="0" format="352">
      <pivotArea type="data" outline="0" fieldPosition="0">
        <references count="3">
          <reference field="4294967294" count="1" selected="0">
            <x v="0"/>
          </reference>
          <reference field="0" count="1" selected="0">
            <x v="3"/>
          </reference>
          <reference field="1" count="1" selected="0">
            <x v="58"/>
          </reference>
        </references>
      </pivotArea>
    </chartFormat>
    <chartFormat chart="0" format="353">
      <pivotArea type="data" outline="0" fieldPosition="0">
        <references count="3">
          <reference field="4294967294" count="1" selected="0">
            <x v="0"/>
          </reference>
          <reference field="0" count="1" selected="0">
            <x v="3"/>
          </reference>
          <reference field="1" count="1" selected="0">
            <x v="59"/>
          </reference>
        </references>
      </pivotArea>
    </chartFormat>
    <chartFormat chart="0" format="354">
      <pivotArea type="data" outline="0" fieldPosition="0">
        <references count="3">
          <reference field="4294967294" count="1" selected="0">
            <x v="0"/>
          </reference>
          <reference field="0" count="1" selected="0">
            <x v="3"/>
          </reference>
          <reference field="1" count="1" selected="0">
            <x v="60"/>
          </reference>
        </references>
      </pivotArea>
    </chartFormat>
    <chartFormat chart="0" format="355">
      <pivotArea type="data" outline="0" fieldPosition="0">
        <references count="3">
          <reference field="4294967294" count="1" selected="0">
            <x v="0"/>
          </reference>
          <reference field="0" count="1" selected="0">
            <x v="3"/>
          </reference>
          <reference field="1" count="1" selected="0">
            <x v="61"/>
          </reference>
        </references>
      </pivotArea>
    </chartFormat>
    <chartFormat chart="0" format="356">
      <pivotArea type="data" outline="0" fieldPosition="0">
        <references count="3">
          <reference field="4294967294" count="1" selected="0">
            <x v="0"/>
          </reference>
          <reference field="0" count="1" selected="0">
            <x v="3"/>
          </reference>
          <reference field="1" count="1" selected="0">
            <x v="62"/>
          </reference>
        </references>
      </pivotArea>
    </chartFormat>
    <chartFormat chart="0" format="357">
      <pivotArea type="data" outline="0" fieldPosition="0">
        <references count="3">
          <reference field="4294967294" count="1" selected="0">
            <x v="0"/>
          </reference>
          <reference field="0" count="1" selected="0">
            <x v="4"/>
          </reference>
          <reference field="1" count="1" selected="0">
            <x v="31"/>
          </reference>
        </references>
      </pivotArea>
    </chartFormat>
    <chartFormat chart="0" format="358">
      <pivotArea type="data" outline="0" fieldPosition="0">
        <references count="3">
          <reference field="4294967294" count="1" selected="0">
            <x v="0"/>
          </reference>
          <reference field="0" count="1" selected="0">
            <x v="4"/>
          </reference>
          <reference field="1" count="1" selected="0">
            <x v="3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3"/>
          </reference>
        </references>
      </pivotArea>
    </chartFormat>
    <chartFormat chart="0" format="360">
      <pivotArea type="data" outline="0" fieldPosition="0">
        <references count="3">
          <reference field="4294967294" count="1" selected="0">
            <x v="0"/>
          </reference>
          <reference field="0" count="1" selected="0">
            <x v="4"/>
          </reference>
          <reference field="1" count="1" selected="0">
            <x v="34"/>
          </reference>
        </references>
      </pivotArea>
    </chartFormat>
    <chartFormat chart="0" format="361">
      <pivotArea type="data" outline="0" fieldPosition="0">
        <references count="3">
          <reference field="4294967294" count="1" selected="0">
            <x v="0"/>
          </reference>
          <reference field="0" count="1" selected="0">
            <x v="4"/>
          </reference>
          <reference field="1" count="1" selected="0">
            <x v="35"/>
          </reference>
        </references>
      </pivotArea>
    </chartFormat>
    <chartFormat chart="0" format="362">
      <pivotArea type="data" outline="0" fieldPosition="0">
        <references count="3">
          <reference field="4294967294" count="1" selected="0">
            <x v="0"/>
          </reference>
          <reference field="0" count="1" selected="0">
            <x v="4"/>
          </reference>
          <reference field="1" count="1" selected="0">
            <x v="36"/>
          </reference>
        </references>
      </pivotArea>
    </chartFormat>
    <chartFormat chart="0" format="363">
      <pivotArea type="data" outline="0" fieldPosition="0">
        <references count="3">
          <reference field="4294967294" count="1" selected="0">
            <x v="0"/>
          </reference>
          <reference field="0" count="1" selected="0">
            <x v="4"/>
          </reference>
          <reference field="1" count="1" selected="0">
            <x v="37"/>
          </reference>
        </references>
      </pivotArea>
    </chartFormat>
    <chartFormat chart="0" format="364">
      <pivotArea type="data" outline="0" fieldPosition="0">
        <references count="3">
          <reference field="4294967294" count="1" selected="0">
            <x v="0"/>
          </reference>
          <reference field="0" count="1" selected="0">
            <x v="4"/>
          </reference>
          <reference field="1" count="1" selected="0">
            <x v="38"/>
          </reference>
        </references>
      </pivotArea>
    </chartFormat>
    <chartFormat chart="0" format="365">
      <pivotArea type="data" outline="0" fieldPosition="0">
        <references count="3">
          <reference field="4294967294" count="1" selected="0">
            <x v="0"/>
          </reference>
          <reference field="0" count="1" selected="0">
            <x v="4"/>
          </reference>
          <reference field="1" count="1" selected="0">
            <x v="39"/>
          </reference>
        </references>
      </pivotArea>
    </chartFormat>
    <chartFormat chart="0" format="366">
      <pivotArea type="data" outline="0" fieldPosition="0">
        <references count="3">
          <reference field="4294967294" count="1" selected="0">
            <x v="0"/>
          </reference>
          <reference field="0" count="1" selected="0">
            <x v="4"/>
          </reference>
          <reference field="1" count="1" selected="0">
            <x v="40"/>
          </reference>
        </references>
      </pivotArea>
    </chartFormat>
    <chartFormat chart="0" format="367">
      <pivotArea type="data" outline="0" fieldPosition="0">
        <references count="3">
          <reference field="4294967294" count="1" selected="0">
            <x v="0"/>
          </reference>
          <reference field="0" count="1" selected="0">
            <x v="4"/>
          </reference>
          <reference field="1" count="1" selected="0">
            <x v="41"/>
          </reference>
        </references>
      </pivotArea>
    </chartFormat>
    <chartFormat chart="0" format="368">
      <pivotArea type="data" outline="0" fieldPosition="0">
        <references count="3">
          <reference field="4294967294" count="1" selected="0">
            <x v="0"/>
          </reference>
          <reference field="0" count="1" selected="0">
            <x v="4"/>
          </reference>
          <reference field="1" count="1" selected="0">
            <x v="42"/>
          </reference>
        </references>
      </pivotArea>
    </chartFormat>
    <chartFormat chart="0" format="369">
      <pivotArea type="data" outline="0" fieldPosition="0">
        <references count="3">
          <reference field="4294967294" count="1" selected="0">
            <x v="0"/>
          </reference>
          <reference field="0" count="1" selected="0">
            <x v="4"/>
          </reference>
          <reference field="1" count="1" selected="0">
            <x v="43"/>
          </reference>
        </references>
      </pivotArea>
    </chartFormat>
    <chartFormat chart="0" format="370">
      <pivotArea type="data" outline="0" fieldPosition="0">
        <references count="3">
          <reference field="4294967294" count="1" selected="0">
            <x v="0"/>
          </reference>
          <reference field="0" count="1" selected="0">
            <x v="4"/>
          </reference>
          <reference field="1" count="1" selected="0">
            <x v="44"/>
          </reference>
        </references>
      </pivotArea>
    </chartFormat>
    <chartFormat chart="0" format="371">
      <pivotArea type="data" outline="0" fieldPosition="0">
        <references count="3">
          <reference field="4294967294" count="1" selected="0">
            <x v="0"/>
          </reference>
          <reference field="0" count="1" selected="0">
            <x v="4"/>
          </reference>
          <reference field="1" count="1" selected="0">
            <x v="45"/>
          </reference>
        </references>
      </pivotArea>
    </chartFormat>
    <chartFormat chart="0" format="372">
      <pivotArea type="data" outline="0" fieldPosition="0">
        <references count="3">
          <reference field="4294967294" count="1" selected="0">
            <x v="0"/>
          </reference>
          <reference field="0" count="1" selected="0">
            <x v="4"/>
          </reference>
          <reference field="1" count="1" selected="0">
            <x v="46"/>
          </reference>
        </references>
      </pivotArea>
    </chartFormat>
    <chartFormat chart="0" format="373">
      <pivotArea type="data" outline="0" fieldPosition="0">
        <references count="3">
          <reference field="4294967294" count="1" selected="0">
            <x v="0"/>
          </reference>
          <reference field="0" count="1" selected="0">
            <x v="4"/>
          </reference>
          <reference field="1" count="1" selected="0">
            <x v="47"/>
          </reference>
        </references>
      </pivotArea>
    </chartFormat>
    <chartFormat chart="0" format="374">
      <pivotArea type="data" outline="0" fieldPosition="0">
        <references count="3">
          <reference field="4294967294" count="1" selected="0">
            <x v="0"/>
          </reference>
          <reference field="0" count="1" selected="0">
            <x v="4"/>
          </reference>
          <reference field="1" count="1" selected="0">
            <x v="48"/>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0"/>
          </reference>
        </references>
      </pivotArea>
    </chartFormat>
    <chartFormat chart="0" format="377">
      <pivotArea type="data" outline="0" fieldPosition="0">
        <references count="3">
          <reference field="4294967294" count="1" selected="0">
            <x v="0"/>
          </reference>
          <reference field="0" count="1" selected="0">
            <x v="4"/>
          </reference>
          <reference field="1" count="1" selected="0">
            <x v="51"/>
          </reference>
        </references>
      </pivotArea>
    </chartFormat>
    <chartFormat chart="0" format="378">
      <pivotArea type="data" outline="0" fieldPosition="0">
        <references count="3">
          <reference field="4294967294" count="1" selected="0">
            <x v="0"/>
          </reference>
          <reference field="0" count="1" selected="0">
            <x v="4"/>
          </reference>
          <reference field="1" count="1" selected="0">
            <x v="52"/>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4"/>
          </reference>
        </references>
      </pivotArea>
    </chartFormat>
    <chartFormat chart="0" format="381">
      <pivotArea type="data" outline="0" fieldPosition="0">
        <references count="3">
          <reference field="4294967294" count="1" selected="0">
            <x v="0"/>
          </reference>
          <reference field="0" count="1" selected="0">
            <x v="4"/>
          </reference>
          <reference field="1" count="1" selected="0">
            <x v="55"/>
          </reference>
        </references>
      </pivotArea>
    </chartFormat>
    <chartFormat chart="0" format="382">
      <pivotArea type="data" outline="0" fieldPosition="0">
        <references count="3">
          <reference field="4294967294" count="1" selected="0">
            <x v="0"/>
          </reference>
          <reference field="0" count="1" selected="0">
            <x v="4"/>
          </reference>
          <reference field="1" count="1" selected="0">
            <x v="56"/>
          </reference>
        </references>
      </pivotArea>
    </chartFormat>
    <chartFormat chart="0" format="383">
      <pivotArea type="data" outline="0" fieldPosition="0">
        <references count="3">
          <reference field="4294967294" count="1" selected="0">
            <x v="0"/>
          </reference>
          <reference field="0" count="1" selected="0">
            <x v="4"/>
          </reference>
          <reference field="1" count="1" selected="0">
            <x v="57"/>
          </reference>
        </references>
      </pivotArea>
    </chartFormat>
    <chartFormat chart="0" format="384">
      <pivotArea type="data" outline="0" fieldPosition="0">
        <references count="3">
          <reference field="4294967294" count="1" selected="0">
            <x v="0"/>
          </reference>
          <reference field="0" count="1" selected="0">
            <x v="4"/>
          </reference>
          <reference field="1" count="1" selected="0">
            <x v="58"/>
          </reference>
        </references>
      </pivotArea>
    </chartFormat>
    <chartFormat chart="0" format="385">
      <pivotArea type="data" outline="0" fieldPosition="0">
        <references count="3">
          <reference field="4294967294" count="1" selected="0">
            <x v="0"/>
          </reference>
          <reference field="0" count="1" selected="0">
            <x v="4"/>
          </reference>
          <reference field="1" count="1" selected="0">
            <x v="59"/>
          </reference>
        </references>
      </pivotArea>
    </chartFormat>
    <chartFormat chart="0" format="386">
      <pivotArea type="data" outline="0" fieldPosition="0">
        <references count="3">
          <reference field="4294967294" count="1" selected="0">
            <x v="0"/>
          </reference>
          <reference field="0" count="1" selected="0">
            <x v="4"/>
          </reference>
          <reference field="1" count="1" selected="0">
            <x v="60"/>
          </reference>
        </references>
      </pivotArea>
    </chartFormat>
    <chartFormat chart="0" format="387">
      <pivotArea type="data" outline="0" fieldPosition="0">
        <references count="3">
          <reference field="4294967294" count="1" selected="0">
            <x v="0"/>
          </reference>
          <reference field="0" count="1" selected="0">
            <x v="4"/>
          </reference>
          <reference field="1" count="1" selected="0">
            <x v="63"/>
          </reference>
        </references>
      </pivotArea>
    </chartFormat>
    <chartFormat chart="0" format="388">
      <pivotArea type="data" outline="0" fieldPosition="0">
        <references count="3">
          <reference field="4294967294" count="1" selected="0">
            <x v="0"/>
          </reference>
          <reference field="0" count="1" selected="0">
            <x v="4"/>
          </reference>
          <reference field="1" count="1" selected="0">
            <x v="64"/>
          </reference>
        </references>
      </pivotArea>
    </chartFormat>
    <chartFormat chart="0" format="389">
      <pivotArea type="data" outline="0" fieldPosition="0">
        <references count="3">
          <reference field="4294967294" count="1" selected="0">
            <x v="0"/>
          </reference>
          <reference field="0" count="1" selected="0">
            <x v="4"/>
          </reference>
          <reference field="1" count="1" selected="0">
            <x v="65"/>
          </reference>
        </references>
      </pivotArea>
    </chartFormat>
    <chartFormat chart="0" format="390">
      <pivotArea type="data" outline="0" fieldPosition="0">
        <references count="3">
          <reference field="4294967294" count="1" selected="0">
            <x v="0"/>
          </reference>
          <reference field="0" count="1" selected="0">
            <x v="4"/>
          </reference>
          <reference field="1" count="1" selected="0">
            <x v="66"/>
          </reference>
        </references>
      </pivotArea>
    </chartFormat>
    <chartFormat chart="0" format="391">
      <pivotArea type="data" outline="0" fieldPosition="0">
        <references count="3">
          <reference field="4294967294" count="1" selected="0">
            <x v="0"/>
          </reference>
          <reference field="0" count="1" selected="0">
            <x v="4"/>
          </reference>
          <reference field="1" count="1" selected="0">
            <x v="67"/>
          </reference>
        </references>
      </pivotArea>
    </chartFormat>
    <chartFormat chart="0" format="392">
      <pivotArea type="data" outline="0" fieldPosition="0">
        <references count="3">
          <reference field="4294967294" count="1" selected="0">
            <x v="0"/>
          </reference>
          <reference field="0" count="1" selected="0">
            <x v="4"/>
          </reference>
          <reference field="1" count="1" selected="0">
            <x v="68"/>
          </reference>
        </references>
      </pivotArea>
    </chartFormat>
    <chartFormat chart="0" format="393">
      <pivotArea type="data" outline="0" fieldPosition="0">
        <references count="3">
          <reference field="4294967294" count="1" selected="0">
            <x v="0"/>
          </reference>
          <reference field="0" count="1" selected="0">
            <x v="4"/>
          </reference>
          <reference field="1" count="1" selected="0">
            <x v="69"/>
          </reference>
        </references>
      </pivotArea>
    </chartFormat>
    <chartFormat chart="0" format="394">
      <pivotArea type="data" outline="0" fieldPosition="0">
        <references count="3">
          <reference field="4294967294" count="1" selected="0">
            <x v="0"/>
          </reference>
          <reference field="0" count="1" selected="0">
            <x v="4"/>
          </reference>
          <reference field="1" count="1" selected="0">
            <x v="70"/>
          </reference>
        </references>
      </pivotArea>
    </chartFormat>
    <chartFormat chart="0" format="395">
      <pivotArea type="data" outline="0" fieldPosition="0">
        <references count="3">
          <reference field="4294967294" count="1" selected="0">
            <x v="0"/>
          </reference>
          <reference field="0" count="1" selected="0">
            <x v="4"/>
          </reference>
          <reference field="1" count="1" selected="0">
            <x v="71"/>
          </reference>
        </references>
      </pivotArea>
    </chartFormat>
    <chartFormat chart="0" format="396">
      <pivotArea type="data" outline="0" fieldPosition="0">
        <references count="3">
          <reference field="4294967294" count="1" selected="0">
            <x v="0"/>
          </reference>
          <reference field="0" count="1" selected="0">
            <x v="4"/>
          </reference>
          <reference field="1" count="1" selected="0">
            <x v="72"/>
          </reference>
        </references>
      </pivotArea>
    </chartFormat>
    <chartFormat chart="0" format="397">
      <pivotArea type="data" outline="0" fieldPosition="0">
        <references count="3">
          <reference field="4294967294" count="1" selected="0">
            <x v="0"/>
          </reference>
          <reference field="0" count="1" selected="0">
            <x v="4"/>
          </reference>
          <reference field="1" count="1" selected="0">
            <x v="73"/>
          </reference>
        </references>
      </pivotArea>
    </chartFormat>
    <chartFormat chart="0" format="398">
      <pivotArea type="data" outline="0" fieldPosition="0">
        <references count="3">
          <reference field="4294967294" count="1" selected="0">
            <x v="0"/>
          </reference>
          <reference field="0" count="1" selected="0">
            <x v="4"/>
          </reference>
          <reference field="1" count="1" selected="0">
            <x v="74"/>
          </reference>
        </references>
      </pivotArea>
    </chartFormat>
    <chartFormat chart="0" format="399">
      <pivotArea type="data" outline="0" fieldPosition="0">
        <references count="3">
          <reference field="4294967294" count="1" selected="0">
            <x v="0"/>
          </reference>
          <reference field="0" count="1" selected="0">
            <x v="4"/>
          </reference>
          <reference field="1" count="1" selected="0">
            <x v="75"/>
          </reference>
        </references>
      </pivotArea>
    </chartFormat>
    <chartFormat chart="0" format="400">
      <pivotArea type="data" outline="0" fieldPosition="0">
        <references count="3">
          <reference field="4294967294" count="1" selected="0">
            <x v="0"/>
          </reference>
          <reference field="0" count="1" selected="0">
            <x v="4"/>
          </reference>
          <reference field="1" count="1" selected="0">
            <x v="76"/>
          </reference>
        </references>
      </pivotArea>
    </chartFormat>
    <chartFormat chart="0" format="401">
      <pivotArea type="data" outline="0" fieldPosition="0">
        <references count="3">
          <reference field="4294967294" count="1" selected="0">
            <x v="0"/>
          </reference>
          <reference field="0" count="1" selected="0">
            <x v="4"/>
          </reference>
          <reference field="1" count="1" selected="0">
            <x v="77"/>
          </reference>
        </references>
      </pivotArea>
    </chartFormat>
    <chartFormat chart="0" format="402">
      <pivotArea type="data" outline="0" fieldPosition="0">
        <references count="3">
          <reference field="4294967294" count="1" selected="0">
            <x v="0"/>
          </reference>
          <reference field="0" count="1" selected="0">
            <x v="4"/>
          </reference>
          <reference field="1" count="1" selected="0">
            <x v="78"/>
          </reference>
        </references>
      </pivotArea>
    </chartFormat>
    <chartFormat chart="0" format="403">
      <pivotArea type="data" outline="0" fieldPosition="0">
        <references count="3">
          <reference field="4294967294" count="1" selected="0">
            <x v="2"/>
          </reference>
          <reference field="0" count="1" selected="0">
            <x v="4"/>
          </reference>
          <reference field="1" count="1" selected="0">
            <x v="44"/>
          </reference>
        </references>
      </pivotArea>
    </chartFormat>
    <chartFormat chart="0" format="404">
      <pivotArea type="data" outline="0" fieldPosition="0">
        <references count="3">
          <reference field="4294967294" count="1" selected="0">
            <x v="2"/>
          </reference>
          <reference field="0" count="1" selected="0">
            <x v="4"/>
          </reference>
          <reference field="1" count="1" selected="0">
            <x v="45"/>
          </reference>
        </references>
      </pivotArea>
    </chartFormat>
    <chartFormat chart="0" format="405">
      <pivotArea type="data" outline="0" fieldPosition="0">
        <references count="3">
          <reference field="4294967294" count="1" selected="0">
            <x v="2"/>
          </reference>
          <reference field="0" count="1" selected="0">
            <x v="4"/>
          </reference>
          <reference field="1" count="1" selected="0">
            <x v="46"/>
          </reference>
        </references>
      </pivotArea>
    </chartFormat>
    <chartFormat chart="0" format="406">
      <pivotArea type="data" outline="0" fieldPosition="0">
        <references count="3">
          <reference field="4294967294" count="1" selected="0">
            <x v="2"/>
          </reference>
          <reference field="0" count="1" selected="0">
            <x v="4"/>
          </reference>
          <reference field="1" count="1" selected="0">
            <x v="47"/>
          </reference>
        </references>
      </pivotArea>
    </chartFormat>
    <chartFormat chart="0" format="407">
      <pivotArea type="data" outline="0" fieldPosition="0">
        <references count="3">
          <reference field="4294967294" count="1" selected="0">
            <x v="2"/>
          </reference>
          <reference field="0" count="1" selected="0">
            <x v="4"/>
          </reference>
          <reference field="1" count="1" selected="0">
            <x v="48"/>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0"/>
          </reference>
        </references>
      </pivotArea>
    </chartFormat>
    <chartFormat chart="0" format="410">
      <pivotArea type="data" outline="0" fieldPosition="0">
        <references count="3">
          <reference field="4294967294" count="1" selected="0">
            <x v="2"/>
          </reference>
          <reference field="0" count="1" selected="0">
            <x v="4"/>
          </reference>
          <reference field="1" count="1" selected="0">
            <x v="77"/>
          </reference>
        </references>
      </pivotArea>
    </chartFormat>
    <chartFormat chart="0" format="411">
      <pivotArea type="data" outline="0" fieldPosition="0">
        <references count="3">
          <reference field="4294967294" count="1" selected="0">
            <x v="2"/>
          </reference>
          <reference field="0" count="1" selected="0">
            <x v="4"/>
          </reference>
          <reference field="1" count="1" selected="0">
            <x v="78"/>
          </reference>
        </references>
      </pivotArea>
    </chartFormat>
    <chartFormat chart="0" format="412">
      <pivotArea type="data" outline="0" fieldPosition="0">
        <references count="3">
          <reference field="4294967294" count="1" selected="0">
            <x v="0"/>
          </reference>
          <reference field="0" count="1" selected="0">
            <x v="4"/>
          </reference>
          <reference field="1" count="1" selected="0">
            <x v="61"/>
          </reference>
        </references>
      </pivotArea>
    </chartFormat>
    <chartFormat chart="0" format="413">
      <pivotArea type="data" outline="0" fieldPosition="0">
        <references count="3">
          <reference field="4294967294" count="1" selected="0">
            <x v="0"/>
          </reference>
          <reference field="0" count="1" selected="0">
            <x v="4"/>
          </reference>
          <reference field="1" count="1" selected="0">
            <x v="62"/>
          </reference>
        </references>
      </pivotArea>
    </chartFormat>
    <chartFormat chart="0" format="414">
      <pivotArea type="data" outline="0" fieldPosition="0">
        <references count="3">
          <reference field="4294967294" count="1" selected="0">
            <x v="2"/>
          </reference>
          <reference field="0" count="1" selected="0">
            <x v="4"/>
          </reference>
          <reference field="1" count="1" selected="0">
            <x v="61"/>
          </reference>
        </references>
      </pivotArea>
    </chartFormat>
    <chartFormat chart="0" format="415">
      <pivotArea type="data" outline="0" fieldPosition="0">
        <references count="3">
          <reference field="4294967294" count="1" selected="0">
            <x v="2"/>
          </reference>
          <reference field="0" count="1" selected="0">
            <x v="4"/>
          </reference>
          <reference field="1" count="1" selected="0">
            <x v="62"/>
          </reference>
        </references>
      </pivotArea>
    </chartFormat>
    <chartFormat chart="0" format="416">
      <pivotArea type="data" outline="0" fieldPosition="0">
        <references count="3">
          <reference field="4294967294" count="1" selected="0">
            <x v="0"/>
          </reference>
          <reference field="0" count="1" selected="0">
            <x v="5"/>
          </reference>
          <reference field="1" count="1" selected="0">
            <x v="31"/>
          </reference>
        </references>
      </pivotArea>
    </chartFormat>
    <chartFormat chart="0" format="417">
      <pivotArea type="data" outline="0" fieldPosition="0">
        <references count="3">
          <reference field="4294967294" count="1" selected="0">
            <x v="0"/>
          </reference>
          <reference field="0" count="1" selected="0">
            <x v="5"/>
          </reference>
          <reference field="1" count="1" selected="0">
            <x v="32"/>
          </reference>
        </references>
      </pivotArea>
    </chartFormat>
    <chartFormat chart="0" format="418">
      <pivotArea type="data" outline="0" fieldPosition="0">
        <references count="3">
          <reference field="4294967294" count="1" selected="0">
            <x v="0"/>
          </reference>
          <reference field="0" count="1" selected="0">
            <x v="5"/>
          </reference>
          <reference field="1" count="1" selected="0">
            <x v="33"/>
          </reference>
        </references>
      </pivotArea>
    </chartFormat>
    <chartFormat chart="0" format="419">
      <pivotArea type="data" outline="0" fieldPosition="0">
        <references count="3">
          <reference field="4294967294" count="1" selected="0">
            <x v="0"/>
          </reference>
          <reference field="0" count="1" selected="0">
            <x v="5"/>
          </reference>
          <reference field="1" count="1" selected="0">
            <x v="34"/>
          </reference>
        </references>
      </pivotArea>
    </chartFormat>
    <chartFormat chart="0" format="420">
      <pivotArea type="data" outline="0" fieldPosition="0">
        <references count="3">
          <reference field="4294967294" count="1" selected="0">
            <x v="0"/>
          </reference>
          <reference field="0" count="1" selected="0">
            <x v="5"/>
          </reference>
          <reference field="1" count="1" selected="0">
            <x v="35"/>
          </reference>
        </references>
      </pivotArea>
    </chartFormat>
    <chartFormat chart="0" format="421">
      <pivotArea type="data" outline="0" fieldPosition="0">
        <references count="3">
          <reference field="4294967294" count="1" selected="0">
            <x v="0"/>
          </reference>
          <reference field="0" count="1" selected="0">
            <x v="5"/>
          </reference>
          <reference field="1" count="1" selected="0">
            <x v="36"/>
          </reference>
        </references>
      </pivotArea>
    </chartFormat>
    <chartFormat chart="0" format="422">
      <pivotArea type="data" outline="0" fieldPosition="0">
        <references count="3">
          <reference field="4294967294" count="1" selected="0">
            <x v="0"/>
          </reference>
          <reference field="0" count="1" selected="0">
            <x v="5"/>
          </reference>
          <reference field="1" count="1" selected="0">
            <x v="37"/>
          </reference>
        </references>
      </pivotArea>
    </chartFormat>
    <chartFormat chart="0" format="423">
      <pivotArea type="data" outline="0" fieldPosition="0">
        <references count="3">
          <reference field="4294967294" count="1" selected="0">
            <x v="0"/>
          </reference>
          <reference field="0" count="1" selected="0">
            <x v="5"/>
          </reference>
          <reference field="1" count="1" selected="0">
            <x v="38"/>
          </reference>
        </references>
      </pivotArea>
    </chartFormat>
    <chartFormat chart="0" format="424">
      <pivotArea type="data" outline="0" fieldPosition="0">
        <references count="3">
          <reference field="4294967294" count="1" selected="0">
            <x v="0"/>
          </reference>
          <reference field="0" count="1" selected="0">
            <x v="5"/>
          </reference>
          <reference field="1" count="1" selected="0">
            <x v="40"/>
          </reference>
        </references>
      </pivotArea>
    </chartFormat>
    <chartFormat chart="0" format="425">
      <pivotArea type="data" outline="0" fieldPosition="0">
        <references count="3">
          <reference field="4294967294" count="1" selected="0">
            <x v="0"/>
          </reference>
          <reference field="0" count="1" selected="0">
            <x v="5"/>
          </reference>
          <reference field="1" count="1" selected="0">
            <x v="63"/>
          </reference>
        </references>
      </pivotArea>
    </chartFormat>
    <chartFormat chart="0" format="426">
      <pivotArea type="data" outline="0" fieldPosition="0">
        <references count="3">
          <reference field="4294967294" count="1" selected="0">
            <x v="0"/>
          </reference>
          <reference field="0" count="1" selected="0">
            <x v="5"/>
          </reference>
          <reference field="1" count="1" selected="0">
            <x v="64"/>
          </reference>
        </references>
      </pivotArea>
    </chartFormat>
    <chartFormat chart="0" format="427">
      <pivotArea type="data" outline="0" fieldPosition="0">
        <references count="3">
          <reference field="4294967294" count="1" selected="0">
            <x v="0"/>
          </reference>
          <reference field="0" count="1" selected="0">
            <x v="5"/>
          </reference>
          <reference field="1" count="1" selected="0">
            <x v="65"/>
          </reference>
        </references>
      </pivotArea>
    </chartFormat>
    <chartFormat chart="0" format="428">
      <pivotArea type="data" outline="0" fieldPosition="0">
        <references count="3">
          <reference field="4294967294" count="1" selected="0">
            <x v="0"/>
          </reference>
          <reference field="0" count="1" selected="0">
            <x v="5"/>
          </reference>
          <reference field="1" count="1" selected="0">
            <x v="66"/>
          </reference>
        </references>
      </pivotArea>
    </chartFormat>
    <chartFormat chart="0" format="429">
      <pivotArea type="data" outline="0" fieldPosition="0">
        <references count="3">
          <reference field="4294967294" count="1" selected="0">
            <x v="0"/>
          </reference>
          <reference field="0" count="1" selected="0">
            <x v="5"/>
          </reference>
          <reference field="1" count="1" selected="0">
            <x v="67"/>
          </reference>
        </references>
      </pivotArea>
    </chartFormat>
    <chartFormat chart="0" format="430">
      <pivotArea type="data" outline="0" fieldPosition="0">
        <references count="3">
          <reference field="4294967294" count="1" selected="0">
            <x v="0"/>
          </reference>
          <reference field="0" count="1" selected="0">
            <x v="5"/>
          </reference>
          <reference field="1" count="1" selected="0">
            <x v="68"/>
          </reference>
        </references>
      </pivotArea>
    </chartFormat>
    <chartFormat chart="0" format="431">
      <pivotArea type="data" outline="0" fieldPosition="0">
        <references count="3">
          <reference field="4294967294" count="1" selected="0">
            <x v="0"/>
          </reference>
          <reference field="0" count="1" selected="0">
            <x v="5"/>
          </reference>
          <reference field="1" count="1" selected="0">
            <x v="69"/>
          </reference>
        </references>
      </pivotArea>
    </chartFormat>
    <chartFormat chart="0" format="432">
      <pivotArea type="data" outline="0" fieldPosition="0">
        <references count="3">
          <reference field="4294967294" count="1" selec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ted="0">
            <x v="0"/>
          </reference>
          <reference field="0" count="1" selected="0">
            <x v="5"/>
          </reference>
          <reference field="1" count="1" selected="0">
            <x v="71"/>
          </reference>
        </references>
      </pivotArea>
    </chartFormat>
    <chartFormat chart="0" format="434">
      <pivotArea type="data" outline="0" fieldPosition="0">
        <references count="3">
          <reference field="4294967294" count="1" selected="0">
            <x v="0"/>
          </reference>
          <reference field="0" count="1" selected="0">
            <x v="5"/>
          </reference>
          <reference field="1" count="1" selected="0">
            <x v="72"/>
          </reference>
        </references>
      </pivotArea>
    </chartFormat>
    <chartFormat chart="0" format="435">
      <pivotArea type="data" outline="0" fieldPosition="0">
        <references count="3">
          <reference field="4294967294" count="1" selected="0">
            <x v="0"/>
          </reference>
          <reference field="0" count="1" selected="0">
            <x v="5"/>
          </reference>
          <reference field="1" count="1" selected="0">
            <x v="73"/>
          </reference>
        </references>
      </pivotArea>
    </chartFormat>
    <chartFormat chart="0" format="436">
      <pivotArea type="data" outline="0" fieldPosition="0">
        <references count="3">
          <reference field="4294967294" count="1" selected="0">
            <x v="0"/>
          </reference>
          <reference field="0" count="1" selected="0">
            <x v="5"/>
          </reference>
          <reference field="1" count="1" selected="0">
            <x v="74"/>
          </reference>
        </references>
      </pivotArea>
    </chartFormat>
    <chartFormat chart="0" format="437">
      <pivotArea type="data" outline="0" fieldPosition="0">
        <references count="3">
          <reference field="4294967294" count="1" selected="0">
            <x v="0"/>
          </reference>
          <reference field="0" count="1" selected="0">
            <x v="5"/>
          </reference>
          <reference field="1" count="1" selected="0">
            <x v="75"/>
          </reference>
        </references>
      </pivotArea>
    </chartFormat>
    <chartFormat chart="0" format="438">
      <pivotArea type="data" outline="0" fieldPosition="0">
        <references count="3">
          <reference field="4294967294" count="1" selected="0">
            <x v="0"/>
          </reference>
          <reference field="0" count="1" selected="0">
            <x v="5"/>
          </reference>
          <reference field="1" count="1" selected="0">
            <x v="76"/>
          </reference>
        </references>
      </pivotArea>
    </chartFormat>
    <chartFormat chart="0" format="439">
      <pivotArea type="data" outline="0" fieldPosition="0">
        <references count="3">
          <reference field="4294967294" count="1" selected="0">
            <x v="0"/>
          </reference>
          <reference field="0" count="1" selected="0">
            <x v="5"/>
          </reference>
          <reference field="1" count="1" selected="0">
            <x v="77"/>
          </reference>
        </references>
      </pivotArea>
    </chartFormat>
    <chartFormat chart="0" format="440">
      <pivotArea type="data" outline="0" fieldPosition="0">
        <references count="3">
          <reference field="4294967294" count="1" selected="0">
            <x v="0"/>
          </reference>
          <reference field="0" count="1" selected="0">
            <x v="5"/>
          </reference>
          <reference field="1" count="1" selected="0">
            <x v="78"/>
          </reference>
        </references>
      </pivotArea>
    </chartFormat>
    <chartFormat chart="0" format="441">
      <pivotArea type="data" outline="0" fieldPosition="0">
        <references count="3">
          <reference field="4294967294" count="1" selected="0">
            <x v="2"/>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5"/>
          </reference>
          <reference field="1" count="1" selected="0">
            <x v="32"/>
          </reference>
        </references>
      </pivotArea>
    </chartFormat>
    <chartFormat chart="0" format="443">
      <pivotArea type="data" outline="0" fieldPosition="0">
        <references count="3">
          <reference field="4294967294" count="1" selected="0">
            <x v="2"/>
          </reference>
          <reference field="0" count="1" selected="0">
            <x v="5"/>
          </reference>
          <reference field="1" count="1" selected="0">
            <x v="33"/>
          </reference>
        </references>
      </pivotArea>
    </chartFormat>
    <chartFormat chart="0" format="444">
      <pivotArea type="data" outline="0" fieldPosition="0">
        <references count="3">
          <reference field="4294967294" count="1" selected="0">
            <x v="2"/>
          </reference>
          <reference field="0" count="1" selected="0">
            <x v="5"/>
          </reference>
          <reference field="1" count="1" selected="0">
            <x v="34"/>
          </reference>
        </references>
      </pivotArea>
    </chartFormat>
    <chartFormat chart="0" format="445">
      <pivotArea type="data" outline="0" fieldPosition="0">
        <references count="3">
          <reference field="4294967294" count="1" selected="0">
            <x v="2"/>
          </reference>
          <reference field="0" count="1" selected="0">
            <x v="5"/>
          </reference>
          <reference field="1" count="1" selected="0">
            <x v="35"/>
          </reference>
        </references>
      </pivotArea>
    </chartFormat>
    <chartFormat chart="0" format="446">
      <pivotArea type="data" outline="0" fieldPosition="0">
        <references count="3">
          <reference field="4294967294" count="1" selected="0">
            <x v="2"/>
          </reference>
          <reference field="0" count="1" selected="0">
            <x v="5"/>
          </reference>
          <reference field="1" count="1" selected="0">
            <x v="36"/>
          </reference>
        </references>
      </pivotArea>
    </chartFormat>
    <chartFormat chart="0" format="447">
      <pivotArea type="data" outline="0" fieldPosition="0">
        <references count="3">
          <reference field="4294967294" count="1" selected="0">
            <x v="2"/>
          </reference>
          <reference field="0" count="1" selected="0">
            <x v="5"/>
          </reference>
          <reference field="1" count="1" selected="0">
            <x v="37"/>
          </reference>
        </references>
      </pivotArea>
    </chartFormat>
    <chartFormat chart="0" format="448">
      <pivotArea type="data" outline="0" fieldPosition="0">
        <references count="3">
          <reference field="4294967294" count="1" selected="0">
            <x v="2"/>
          </reference>
          <reference field="0" count="1" selected="0">
            <x v="5"/>
          </reference>
          <reference field="1" count="1" selected="0">
            <x v="38"/>
          </reference>
        </references>
      </pivotArea>
    </chartFormat>
    <chartFormat chart="0" format="449">
      <pivotArea type="data" outline="0" fieldPosition="0">
        <references count="3">
          <reference field="4294967294" count="1" selected="0">
            <x v="2"/>
          </reference>
          <reference field="0" count="1" selected="0">
            <x v="5"/>
          </reference>
          <reference field="1" count="1" selected="0">
            <x v="40"/>
          </reference>
        </references>
      </pivotArea>
    </chartFormat>
    <chartFormat chart="0" format="450">
      <pivotArea type="data" outline="0" fieldPosition="0">
        <references count="3">
          <reference field="4294967294" count="1" selected="0">
            <x v="2"/>
          </reference>
          <reference field="0" count="1" selected="0">
            <x v="5"/>
          </reference>
          <reference field="1" count="1" selected="0">
            <x v="63"/>
          </reference>
        </references>
      </pivotArea>
    </chartFormat>
    <chartFormat chart="0" format="451">
      <pivotArea type="data" outline="0" fieldPosition="0">
        <references count="3">
          <reference field="4294967294" count="1" selected="0">
            <x v="2"/>
          </reference>
          <reference field="0" count="1" selected="0">
            <x v="5"/>
          </reference>
          <reference field="1" count="1" selected="0">
            <x v="64"/>
          </reference>
        </references>
      </pivotArea>
    </chartFormat>
    <chartFormat chart="0" format="452">
      <pivotArea type="data" outline="0" fieldPosition="0">
        <references count="3">
          <reference field="4294967294" count="1" selected="0">
            <x v="2"/>
          </reference>
          <reference field="0" count="1" selected="0">
            <x v="5"/>
          </reference>
          <reference field="1" count="1" selected="0">
            <x v="65"/>
          </reference>
        </references>
      </pivotArea>
    </chartFormat>
    <chartFormat chart="0" format="453">
      <pivotArea type="data" outline="0" fieldPosition="0">
        <references count="3">
          <reference field="4294967294" count="1" selected="0">
            <x v="2"/>
          </reference>
          <reference field="0" count="1" selected="0">
            <x v="5"/>
          </reference>
          <reference field="1" count="1" selected="0">
            <x v="66"/>
          </reference>
        </references>
      </pivotArea>
    </chartFormat>
    <chartFormat chart="0" format="454">
      <pivotArea type="data" outline="0" fieldPosition="0">
        <references count="3">
          <reference field="4294967294" count="1" selected="0">
            <x v="2"/>
          </reference>
          <reference field="0" count="1" selected="0">
            <x v="5"/>
          </reference>
          <reference field="1" count="1" selected="0">
            <x v="67"/>
          </reference>
        </references>
      </pivotArea>
    </chartFormat>
    <chartFormat chart="0" format="455">
      <pivotArea type="data" outline="0" fieldPosition="0">
        <references count="3">
          <reference field="4294967294" count="1" selected="0">
            <x v="2"/>
          </reference>
          <reference field="0" count="1" selected="0">
            <x v="5"/>
          </reference>
          <reference field="1" count="1" selected="0">
            <x v="68"/>
          </reference>
        </references>
      </pivotArea>
    </chartFormat>
    <chartFormat chart="0" format="456">
      <pivotArea type="data" outline="0" fieldPosition="0">
        <references count="3">
          <reference field="4294967294" count="1" selected="0">
            <x v="2"/>
          </reference>
          <reference field="0" count="1" selected="0">
            <x v="5"/>
          </reference>
          <reference field="1" count="1" selected="0">
            <x v="69"/>
          </reference>
        </references>
      </pivotArea>
    </chartFormat>
    <chartFormat chart="0" format="457">
      <pivotArea type="data" outline="0" fieldPosition="0">
        <references count="3">
          <reference field="4294967294" count="1" selected="0">
            <x v="2"/>
          </reference>
          <reference field="0" count="1" selected="0">
            <x v="5"/>
          </reference>
          <reference field="1" count="1" selected="0">
            <x v="70"/>
          </reference>
        </references>
      </pivotArea>
    </chartFormat>
    <chartFormat chart="0" format="458">
      <pivotArea type="data" outline="0" fieldPosition="0">
        <references count="3">
          <reference field="4294967294" count="1" selected="0">
            <x v="2"/>
          </reference>
          <reference field="0" count="1" selected="0">
            <x v="5"/>
          </reference>
          <reference field="1" count="1" selected="0">
            <x v="71"/>
          </reference>
        </references>
      </pivotArea>
    </chartFormat>
    <chartFormat chart="0" format="459">
      <pivotArea type="data" outline="0" fieldPosition="0">
        <references count="3">
          <reference field="4294967294" count="1" selected="0">
            <x v="2"/>
          </reference>
          <reference field="0" count="1" selected="0">
            <x v="5"/>
          </reference>
          <reference field="1" count="1" selected="0">
            <x v="72"/>
          </reference>
        </references>
      </pivotArea>
    </chartFormat>
    <chartFormat chart="0" format="460">
      <pivotArea type="data" outline="0" fieldPosition="0">
        <references count="3">
          <reference field="4294967294" count="1" selected="0">
            <x v="2"/>
          </reference>
          <reference field="0" count="1" selected="0">
            <x v="5"/>
          </reference>
          <reference field="1" count="1" selected="0">
            <x v="73"/>
          </reference>
        </references>
      </pivotArea>
    </chartFormat>
    <chartFormat chart="0" format="461">
      <pivotArea type="data" outline="0" fieldPosition="0">
        <references count="3">
          <reference field="4294967294" count="1" selected="0">
            <x v="2"/>
          </reference>
          <reference field="0" count="1" selected="0">
            <x v="5"/>
          </reference>
          <reference field="1" count="1" selected="0">
            <x v="74"/>
          </reference>
        </references>
      </pivotArea>
    </chartFormat>
    <chartFormat chart="0" format="462">
      <pivotArea type="data" outline="0" fieldPosition="0">
        <references count="3">
          <reference field="4294967294" count="1" selected="0">
            <x v="2"/>
          </reference>
          <reference field="0" count="1" selected="0">
            <x v="5"/>
          </reference>
          <reference field="1" count="1" selected="0">
            <x v="75"/>
          </reference>
        </references>
      </pivotArea>
    </chartFormat>
    <chartFormat chart="0" format="463">
      <pivotArea type="data" outline="0" fieldPosition="0">
        <references count="3">
          <reference field="4294967294" count="1" selected="0">
            <x v="2"/>
          </reference>
          <reference field="0" count="1" selected="0">
            <x v="5"/>
          </reference>
          <reference field="1" count="1" selected="0">
            <x v="76"/>
          </reference>
        </references>
      </pivotArea>
    </chartFormat>
    <chartFormat chart="0" format="464">
      <pivotArea type="data" outline="0" fieldPosition="0">
        <references count="3">
          <reference field="4294967294" count="1" selected="0">
            <x v="2"/>
          </reference>
          <reference field="0" count="1" selected="0">
            <x v="5"/>
          </reference>
          <reference field="1" count="1" selected="0">
            <x v="77"/>
          </reference>
        </references>
      </pivotArea>
    </chartFormat>
    <chartFormat chart="0" format="465">
      <pivotArea type="data" outline="0" fieldPosition="0">
        <references count="3">
          <reference field="4294967294" count="1" selected="0">
            <x v="2"/>
          </reference>
          <reference field="0" count="1" selected="0">
            <x v="5"/>
          </reference>
          <reference field="1" count="1" selected="0">
            <x v="78"/>
          </reference>
        </references>
      </pivotArea>
    </chartFormat>
    <chartFormat chart="0" format="466">
      <pivotArea type="data" outline="0" fieldPosition="0">
        <references count="3">
          <reference field="4294967294" count="1" selected="0">
            <x v="0"/>
          </reference>
          <reference field="0" count="1" selected="0">
            <x v="5"/>
          </reference>
          <reference field="1" count="1" selected="0">
            <x v="41"/>
          </reference>
        </references>
      </pivotArea>
    </chartFormat>
    <chartFormat chart="0" format="467">
      <pivotArea type="data" outline="0" fieldPosition="0">
        <references count="3">
          <reference field="4294967294" count="1" selected="0">
            <x v="0"/>
          </reference>
          <reference field="0" count="1" selected="0">
            <x v="5"/>
          </reference>
          <reference field="1" count="1" selected="0">
            <x v="42"/>
          </reference>
        </references>
      </pivotArea>
    </chartFormat>
    <chartFormat chart="0" format="468">
      <pivotArea type="data" outline="0" fieldPosition="0">
        <references count="3">
          <reference field="4294967294" count="1" selected="0">
            <x v="2"/>
          </reference>
          <reference field="0" count="1" selected="0">
            <x v="5"/>
          </reference>
          <reference field="1" count="1" selected="0">
            <x v="41"/>
          </reference>
        </references>
      </pivotArea>
    </chartFormat>
    <chartFormat chart="0" format="469">
      <pivotArea type="data" outline="0" fieldPosition="0">
        <references count="3">
          <reference field="4294967294" count="1" selected="0">
            <x v="2"/>
          </reference>
          <reference field="0" count="1" selected="0">
            <x v="5"/>
          </reference>
          <reference field="1" count="1" selected="0">
            <x v="42"/>
          </reference>
        </references>
      </pivotArea>
    </chartFormat>
    <chartFormat chart="0" format="470">
      <pivotArea type="data" outline="0" fieldPosition="0">
        <references count="3">
          <reference field="4294967294" count="1" selected="0">
            <x v="0"/>
          </reference>
          <reference field="0" count="1" selected="0">
            <x v="5"/>
          </reference>
          <reference field="1" count="1" selected="0">
            <x v="43"/>
          </reference>
        </references>
      </pivotArea>
    </chartFormat>
    <chartFormat chart="0" format="471">
      <pivotArea type="data" outline="0" fieldPosition="0">
        <references count="3">
          <reference field="4294967294" count="1" selected="0">
            <x v="0"/>
          </reference>
          <reference field="0" count="1" selected="0">
            <x v="5"/>
          </reference>
          <reference field="1" count="1" selected="0">
            <x v="44"/>
          </reference>
        </references>
      </pivotArea>
    </chartFormat>
    <chartFormat chart="0" format="472">
      <pivotArea type="data" outline="0" fieldPosition="0">
        <references count="3">
          <reference field="4294967294" count="1" selected="0">
            <x v="0"/>
          </reference>
          <reference field="0" count="1" selected="0">
            <x v="5"/>
          </reference>
          <reference field="1" count="1" selected="0">
            <x v="45"/>
          </reference>
        </references>
      </pivotArea>
    </chartFormat>
    <chartFormat chart="0" format="473">
      <pivotArea type="data" outline="0" fieldPosition="0">
        <references count="3">
          <reference field="4294967294" count="1" selected="0">
            <x v="0"/>
          </reference>
          <reference field="0" count="1" selected="0">
            <x v="5"/>
          </reference>
          <reference field="1" count="1" selected="0">
            <x v="46"/>
          </reference>
        </references>
      </pivotArea>
    </chartFormat>
    <chartFormat chart="0" format="474">
      <pivotArea type="data" outline="0" fieldPosition="0">
        <references count="3">
          <reference field="4294967294" count="1" selected="0">
            <x v="0"/>
          </reference>
          <reference field="0" count="1" selected="0">
            <x v="5"/>
          </reference>
          <reference field="1" count="1" selected="0">
            <x v="47"/>
          </reference>
        </references>
      </pivotArea>
    </chartFormat>
    <chartFormat chart="0" format="475">
      <pivotArea type="data" outline="0" fieldPosition="0">
        <references count="3">
          <reference field="4294967294" count="1" selected="0">
            <x v="0"/>
          </reference>
          <reference field="0" count="1" selected="0">
            <x v="5"/>
          </reference>
          <reference field="1" count="1" selected="0">
            <x v="48"/>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0"/>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2"/>
          </reference>
        </references>
      </pivotArea>
    </chartFormat>
    <chartFormat chart="0" format="480">
      <pivotArea type="data" outline="0" fieldPosition="0">
        <references count="3">
          <reference field="4294967294" count="1" selected="0">
            <x v="0"/>
          </reference>
          <reference field="0" count="1" selected="0">
            <x v="5"/>
          </reference>
          <reference field="1" count="1" selected="0">
            <x v="53"/>
          </reference>
        </references>
      </pivotArea>
    </chartFormat>
    <chartFormat chart="0" format="481">
      <pivotArea type="data" outline="0" fieldPosition="0">
        <references count="3">
          <reference field="4294967294" count="1" selected="0">
            <x v="0"/>
          </reference>
          <reference field="0" count="1" selected="0">
            <x v="5"/>
          </reference>
          <reference field="1" count="1" selected="0">
            <x v="54"/>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6"/>
          </reference>
        </references>
      </pivotArea>
    </chartFormat>
    <chartFormat chart="0" format="484">
      <pivotArea type="data" outline="0" fieldPosition="0">
        <references count="3">
          <reference field="4294967294" count="1" selected="0">
            <x v="2"/>
          </reference>
          <reference field="0" count="1" selected="0">
            <x v="5"/>
          </reference>
          <reference field="1" count="1" selected="0">
            <x v="43"/>
          </reference>
        </references>
      </pivotArea>
    </chartFormat>
    <chartFormat chart="0" format="485">
      <pivotArea type="data" outline="0" fieldPosition="0">
        <references count="3">
          <reference field="4294967294" count="1" selected="0">
            <x v="2"/>
          </reference>
          <reference field="0" count="1" selected="0">
            <x v="5"/>
          </reference>
          <reference field="1" count="1" selected="0">
            <x v="44"/>
          </reference>
        </references>
      </pivotArea>
    </chartFormat>
    <chartFormat chart="0" format="486">
      <pivotArea type="data" outline="0" fieldPosition="0">
        <references count="3">
          <reference field="4294967294" count="1" selected="0">
            <x v="2"/>
          </reference>
          <reference field="0" count="1" selected="0">
            <x v="5"/>
          </reference>
          <reference field="1" count="1" selected="0">
            <x v="45"/>
          </reference>
        </references>
      </pivotArea>
    </chartFormat>
    <chartFormat chart="0" format="487">
      <pivotArea type="data" outline="0" fieldPosition="0">
        <references count="3">
          <reference field="4294967294" count="1" selected="0">
            <x v="2"/>
          </reference>
          <reference field="0" count="1" selected="0">
            <x v="5"/>
          </reference>
          <reference field="1" count="1" selected="0">
            <x v="46"/>
          </reference>
        </references>
      </pivotArea>
    </chartFormat>
    <chartFormat chart="0" format="488">
      <pivotArea type="data" outline="0" fieldPosition="0">
        <references count="3">
          <reference field="4294967294" count="1" selected="0">
            <x v="2"/>
          </reference>
          <reference field="0" count="1" selected="0">
            <x v="5"/>
          </reference>
          <reference field="1" count="1" selected="0">
            <x v="47"/>
          </reference>
        </references>
      </pivotArea>
    </chartFormat>
    <chartFormat chart="0" format="489">
      <pivotArea type="data" outline="0" fieldPosition="0">
        <references count="3">
          <reference field="4294967294" count="1" selected="0">
            <x v="2"/>
          </reference>
          <reference field="0" count="1" selected="0">
            <x v="5"/>
          </reference>
          <reference field="1" count="1" selected="0">
            <x v="48"/>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0"/>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2"/>
          </reference>
        </references>
      </pivotArea>
    </chartFormat>
    <chartFormat chart="0" format="494">
      <pivotArea type="data" outline="0" fieldPosition="0">
        <references count="3">
          <reference field="4294967294" count="1" selected="0">
            <x v="2"/>
          </reference>
          <reference field="0" count="1" selected="0">
            <x v="5"/>
          </reference>
          <reference field="1" count="1" selected="0">
            <x v="53"/>
          </reference>
        </references>
      </pivotArea>
    </chartFormat>
    <chartFormat chart="0" format="495">
      <pivotArea type="data" outline="0" fieldPosition="0">
        <references count="3">
          <reference field="4294967294" count="1" selected="0">
            <x v="2"/>
          </reference>
          <reference field="0" count="1" selected="0">
            <x v="5"/>
          </reference>
          <reference field="1" count="1" selected="0">
            <x v="54"/>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6"/>
          </reference>
        </references>
      </pivotArea>
    </chartFormat>
    <chartFormat chart="0" format="498">
      <pivotArea type="data" outline="0" fieldPosition="0">
        <references count="3">
          <reference field="4294967294" count="1" selected="0">
            <x v="0"/>
          </reference>
          <reference field="0" count="1" selected="0">
            <x v="5"/>
          </reference>
          <reference field="1" count="1" selected="0">
            <x v="57"/>
          </reference>
        </references>
      </pivotArea>
    </chartFormat>
    <chartFormat chart="0" format="499">
      <pivotArea type="data" outline="0" fieldPosition="0">
        <references count="3">
          <reference field="4294967294" count="1" selected="0">
            <x v="0"/>
          </reference>
          <reference field="0" count="1" selected="0">
            <x v="5"/>
          </reference>
          <reference field="1" count="1" selected="0">
            <x v="58"/>
          </reference>
        </references>
      </pivotArea>
    </chartFormat>
    <chartFormat chart="0" format="500">
      <pivotArea type="data" outline="0" fieldPosition="0">
        <references count="3">
          <reference field="4294967294" count="1" selected="0">
            <x v="0"/>
          </reference>
          <reference field="0" count="1" selected="0">
            <x v="5"/>
          </reference>
          <reference field="1" count="1" selected="0">
            <x v="59"/>
          </reference>
        </references>
      </pivotArea>
    </chartFormat>
    <chartFormat chart="0" format="501">
      <pivotArea type="data" outline="0" fieldPosition="0">
        <references count="3">
          <reference field="4294967294" count="1" selected="0">
            <x v="0"/>
          </reference>
          <reference field="0" count="1" selected="0">
            <x v="5"/>
          </reference>
          <reference field="1" count="1" selected="0">
            <x v="60"/>
          </reference>
        </references>
      </pivotArea>
    </chartFormat>
    <chartFormat chart="0" format="502">
      <pivotArea type="data" outline="0" fieldPosition="0">
        <references count="3">
          <reference field="4294967294" count="1" selected="0">
            <x v="0"/>
          </reference>
          <reference field="0" count="1" selected="0">
            <x v="5"/>
          </reference>
          <reference field="1" count="1" selected="0">
            <x v="61"/>
          </reference>
        </references>
      </pivotArea>
    </chartFormat>
    <chartFormat chart="0" format="503">
      <pivotArea type="data" outline="0" fieldPosition="0">
        <references count="3">
          <reference field="4294967294" count="1" selected="0">
            <x v="0"/>
          </reference>
          <reference field="0" count="1" selected="0">
            <x v="5"/>
          </reference>
          <reference field="1" count="1" selected="0">
            <x v="62"/>
          </reference>
        </references>
      </pivotArea>
    </chartFormat>
    <chartFormat chart="0" format="504">
      <pivotArea type="data" outline="0" fieldPosition="0">
        <references count="3">
          <reference field="4294967294" count="1" selected="0">
            <x v="0"/>
          </reference>
          <reference field="0" count="1" selected="0">
            <x v="6"/>
          </reference>
          <reference field="1" count="1" selected="0">
            <x v="63"/>
          </reference>
        </references>
      </pivotArea>
    </chartFormat>
    <chartFormat chart="0" format="505">
      <pivotArea type="data" outline="0" fieldPosition="0">
        <references count="3">
          <reference field="4294967294" count="1" selected="0">
            <x v="0"/>
          </reference>
          <reference field="0" count="1" selected="0">
            <x v="6"/>
          </reference>
          <reference field="1" count="1" selected="0">
            <x v="64"/>
          </reference>
        </references>
      </pivotArea>
    </chartFormat>
    <chartFormat chart="0" format="506">
      <pivotArea type="data" outline="0" fieldPosition="0">
        <references count="3">
          <reference field="4294967294" count="1" selected="0">
            <x v="2"/>
          </reference>
          <reference field="0" count="1" selected="0">
            <x v="5"/>
          </reference>
          <reference field="1" count="1" selected="0">
            <x v="57"/>
          </reference>
        </references>
      </pivotArea>
    </chartFormat>
    <chartFormat chart="0" format="507">
      <pivotArea type="data" outline="0" fieldPosition="0">
        <references count="3">
          <reference field="4294967294" count="1" selected="0">
            <x v="2"/>
          </reference>
          <reference field="0" count="1" selected="0">
            <x v="5"/>
          </reference>
          <reference field="1" count="1" selected="0">
            <x v="58"/>
          </reference>
        </references>
      </pivotArea>
    </chartFormat>
    <chartFormat chart="0" format="508">
      <pivotArea type="data" outline="0" fieldPosition="0">
        <references count="3">
          <reference field="4294967294" count="1" selected="0">
            <x v="2"/>
          </reference>
          <reference field="0" count="1" selected="0">
            <x v="5"/>
          </reference>
          <reference field="1" count="1" selected="0">
            <x v="59"/>
          </reference>
        </references>
      </pivotArea>
    </chartFormat>
    <chartFormat chart="0" format="509">
      <pivotArea type="data" outline="0" fieldPosition="0">
        <references count="3">
          <reference field="4294967294" count="1" selected="0">
            <x v="2"/>
          </reference>
          <reference field="0" count="1" selected="0">
            <x v="5"/>
          </reference>
          <reference field="1" count="1" selected="0">
            <x v="60"/>
          </reference>
        </references>
      </pivotArea>
    </chartFormat>
    <chartFormat chart="0" format="510">
      <pivotArea type="data" outline="0" fieldPosition="0">
        <references count="3">
          <reference field="4294967294" count="1" selected="0">
            <x v="2"/>
          </reference>
          <reference field="0" count="1" selected="0">
            <x v="5"/>
          </reference>
          <reference field="1" count="1" selected="0">
            <x v="61"/>
          </reference>
        </references>
      </pivotArea>
    </chartFormat>
    <chartFormat chart="0" format="511">
      <pivotArea type="data" outline="0" fieldPosition="0">
        <references count="3">
          <reference field="4294967294" count="1" selected="0">
            <x v="2"/>
          </reference>
          <reference field="0" count="1" selected="0">
            <x v="5"/>
          </reference>
          <reference field="1" count="1" selected="0">
            <x v="62"/>
          </reference>
        </references>
      </pivotArea>
    </chartFormat>
    <chartFormat chart="0" format="512">
      <pivotArea type="data" outline="0" fieldPosition="0">
        <references count="3">
          <reference field="4294967294" count="1" selected="0">
            <x v="2"/>
          </reference>
          <reference field="0" count="1" selected="0">
            <x v="6"/>
          </reference>
          <reference field="1" count="1" selected="0">
            <x v="63"/>
          </reference>
        </references>
      </pivotArea>
    </chartFormat>
    <chartFormat chart="0" format="513">
      <pivotArea type="data" outline="0" fieldPosition="0">
        <references count="3">
          <reference field="4294967294" count="1" selected="0">
            <x v="2"/>
          </reference>
          <reference field="0" count="1" selected="0">
            <x v="6"/>
          </reference>
          <reference field="1" count="1" selected="0">
            <x v="64"/>
          </reference>
        </references>
      </pivotArea>
    </chartFormat>
    <chartFormat chart="0" format="514">
      <pivotArea type="data" outline="0" fieldPosition="0">
        <references count="3">
          <reference field="4294967294" count="1" selected="0">
            <x v="0"/>
          </reference>
          <reference field="0" count="1" selected="0">
            <x v="6"/>
          </reference>
          <reference field="1" count="1" selected="0">
            <x v="65"/>
          </reference>
        </references>
      </pivotArea>
    </chartFormat>
    <chartFormat chart="0" format="515">
      <pivotArea type="data" outline="0" fieldPosition="0">
        <references count="3">
          <reference field="4294967294" count="1" selected="0">
            <x v="0"/>
          </reference>
          <reference field="0" count="1" selected="0">
            <x v="6"/>
          </reference>
          <reference field="1" count="1" selected="0">
            <x v="66"/>
          </reference>
        </references>
      </pivotArea>
    </chartFormat>
    <chartFormat chart="0" format="516">
      <pivotArea type="data" outline="0" fieldPosition="0">
        <references count="3">
          <reference field="4294967294" count="1" selected="0">
            <x v="0"/>
          </reference>
          <reference field="0" count="1" selected="0">
            <x v="6"/>
          </reference>
          <reference field="1" count="1" selected="0">
            <x v="67"/>
          </reference>
        </references>
      </pivotArea>
    </chartFormat>
    <chartFormat chart="0" format="517">
      <pivotArea type="data" outline="0" fieldPosition="0">
        <references count="3">
          <reference field="4294967294" count="1" selected="0">
            <x v="0"/>
          </reference>
          <reference field="0" count="1" selected="0">
            <x v="6"/>
          </reference>
          <reference field="1" count="1" selected="0">
            <x v="68"/>
          </reference>
        </references>
      </pivotArea>
    </chartFormat>
    <chartFormat chart="0" format="518">
      <pivotArea type="data" outline="0" fieldPosition="0">
        <references count="3">
          <reference field="4294967294" count="1" selected="0">
            <x v="2"/>
          </reference>
          <reference field="0" count="1" selected="0">
            <x v="6"/>
          </reference>
          <reference field="1" count="1" selected="0">
            <x v="65"/>
          </reference>
        </references>
      </pivotArea>
    </chartFormat>
    <chartFormat chart="0" format="519">
      <pivotArea type="data" outline="0" fieldPosition="0">
        <references count="3">
          <reference field="4294967294" count="1" selected="0">
            <x v="2"/>
          </reference>
          <reference field="0" count="1" selected="0">
            <x v="6"/>
          </reference>
          <reference field="1" count="1" selected="0">
            <x v="66"/>
          </reference>
        </references>
      </pivotArea>
    </chartFormat>
    <chartFormat chart="0" format="520">
      <pivotArea type="data" outline="0" fieldPosition="0">
        <references count="3">
          <reference field="4294967294" count="1" selected="0">
            <x v="2"/>
          </reference>
          <reference field="0" count="1" selected="0">
            <x v="6"/>
          </reference>
          <reference field="1" count="1" selected="0">
            <x v="67"/>
          </reference>
        </references>
      </pivotArea>
    </chartFormat>
    <chartFormat chart="0" format="521">
      <pivotArea type="data" outline="0" fieldPosition="0">
        <references count="3">
          <reference field="4294967294" count="1" selected="0">
            <x v="2"/>
          </reference>
          <reference field="0" count="1" selected="0">
            <x v="6"/>
          </reference>
          <reference field="1" count="1" selected="0">
            <x v="68"/>
          </reference>
        </references>
      </pivotArea>
    </chartFormat>
    <chartFormat chart="0" format="522">
      <pivotArea type="data" outline="0" fieldPosition="0">
        <references count="3">
          <reference field="4294967294" count="1" selected="0">
            <x v="0"/>
          </reference>
          <reference field="0" count="1" selected="0">
            <x v="6"/>
          </reference>
          <reference field="1" count="1" selected="0">
            <x v="69"/>
          </reference>
        </references>
      </pivotArea>
    </chartFormat>
    <chartFormat chart="0" format="523">
      <pivotArea type="data" outline="0" fieldPosition="0">
        <references count="3">
          <reference field="4294967294" count="1" selected="0">
            <x v="0"/>
          </reference>
          <reference field="0" count="1" selected="0">
            <x v="6"/>
          </reference>
          <reference field="1" count="1" selected="0">
            <x v="70"/>
          </reference>
        </references>
      </pivotArea>
    </chartFormat>
    <chartFormat chart="0" format="524">
      <pivotArea type="data" outline="0" fieldPosition="0">
        <references count="3">
          <reference field="4294967294" count="1" selected="0">
            <x v="2"/>
          </reference>
          <reference field="0" count="1" selected="0">
            <x v="6"/>
          </reference>
          <reference field="1" count="1" selected="0">
            <x v="69"/>
          </reference>
        </references>
      </pivotArea>
    </chartFormat>
    <chartFormat chart="0" format="525">
      <pivotArea type="data" outline="0" fieldPosition="0">
        <references count="3">
          <reference field="4294967294" count="1" selected="0">
            <x v="2"/>
          </reference>
          <reference field="0" count="1" selected="0">
            <x v="6"/>
          </reference>
          <reference field="1" count="1" selected="0">
            <x v="70"/>
          </reference>
        </references>
      </pivotArea>
    </chartFormat>
    <chartFormat chart="0" format="526">
      <pivotArea type="data" outline="0" fieldPosition="0">
        <references count="3">
          <reference field="4294967294" count="1" selected="0">
            <x v="0"/>
          </reference>
          <reference field="0" count="1" selected="0">
            <x v="6"/>
          </reference>
          <reference field="1" count="1" selected="0">
            <x v="71"/>
          </reference>
        </references>
      </pivotArea>
    </chartFormat>
    <chartFormat chart="0" format="527">
      <pivotArea type="data" outline="0" fieldPosition="0">
        <references count="3">
          <reference field="4294967294" count="1" selected="0">
            <x v="0"/>
          </reference>
          <reference field="0" count="1" selected="0">
            <x v="6"/>
          </reference>
          <reference field="1" count="1" selected="0">
            <x v="72"/>
          </reference>
        </references>
      </pivotArea>
    </chartFormat>
    <chartFormat chart="0" format="528">
      <pivotArea type="data" outline="0" fieldPosition="0">
        <references count="3">
          <reference field="4294967294" count="1" selected="0">
            <x v="2"/>
          </reference>
          <reference field="0" count="1" selected="0">
            <x v="6"/>
          </reference>
          <reference field="1" count="1" selected="0">
            <x v="71"/>
          </reference>
        </references>
      </pivotArea>
    </chartFormat>
    <chartFormat chart="0" format="529">
      <pivotArea type="data" outline="0" fieldPosition="0">
        <references count="3">
          <reference field="4294967294" count="1" selected="0">
            <x v="2"/>
          </reference>
          <reference field="0" count="1" selected="0">
            <x v="6"/>
          </reference>
          <reference field="1" count="1" selected="0">
            <x v="72"/>
          </reference>
        </references>
      </pivotArea>
    </chartFormat>
    <chartFormat chart="0" format="530">
      <pivotArea type="data" outline="0" fieldPosition="0">
        <references count="3">
          <reference field="4294967294" count="1" selected="0">
            <x v="0"/>
          </reference>
          <reference field="0" count="1" selected="0">
            <x v="6"/>
          </reference>
          <reference field="1" count="1" selected="0">
            <x v="31"/>
          </reference>
        </references>
      </pivotArea>
    </chartFormat>
    <chartFormat chart="0" format="531">
      <pivotArea type="data" outline="0" fieldPosition="0">
        <references count="3">
          <reference field="4294967294" count="1" selected="0">
            <x v="0"/>
          </reference>
          <reference field="0" count="1" selected="0">
            <x v="6"/>
          </reference>
          <reference field="1" count="1" selected="0">
            <x v="32"/>
          </reference>
        </references>
      </pivotArea>
    </chartFormat>
    <chartFormat chart="0" format="532">
      <pivotArea type="data" outline="0" fieldPosition="0">
        <references count="3">
          <reference field="4294967294" count="1" selected="0">
            <x v="0"/>
          </reference>
          <reference field="0" count="1" selected="0">
            <x v="6"/>
          </reference>
          <reference field="1" count="1" selected="0">
            <x v="33"/>
          </reference>
        </references>
      </pivotArea>
    </chartFormat>
    <chartFormat chart="0" format="533">
      <pivotArea type="data" outline="0" fieldPosition="0">
        <references count="3">
          <reference field="4294967294" count="1" selected="0">
            <x v="0"/>
          </reference>
          <reference field="0" count="1" selected="0">
            <x v="6"/>
          </reference>
          <reference field="1" count="1" selected="0">
            <x v="34"/>
          </reference>
        </references>
      </pivotArea>
    </chartFormat>
    <chartFormat chart="0" format="534">
      <pivotArea type="data" outline="0" fieldPosition="0">
        <references count="3">
          <reference field="4294967294" count="1" selected="0">
            <x v="0"/>
          </reference>
          <reference field="0" count="1" selected="0">
            <x v="6"/>
          </reference>
          <reference field="1" count="1" selected="0">
            <x v="35"/>
          </reference>
        </references>
      </pivotArea>
    </chartFormat>
    <chartFormat chart="0" format="535">
      <pivotArea type="data" outline="0" fieldPosition="0">
        <references count="3">
          <reference field="4294967294" count="1" selected="0">
            <x v="0"/>
          </reference>
          <reference field="0" count="1" selected="0">
            <x v="6"/>
          </reference>
          <reference field="1" count="1" selected="0">
            <x v="36"/>
          </reference>
        </references>
      </pivotArea>
    </chartFormat>
    <chartFormat chart="0" format="536">
      <pivotArea type="data" outline="0" fieldPosition="0">
        <references count="3">
          <reference field="4294967294" count="1" selected="0">
            <x v="0"/>
          </reference>
          <reference field="0" count="1" selected="0">
            <x v="6"/>
          </reference>
          <reference field="1" count="1" selected="0">
            <x v="37"/>
          </reference>
        </references>
      </pivotArea>
    </chartFormat>
    <chartFormat chart="0" format="537">
      <pivotArea type="data" outline="0" fieldPosition="0">
        <references count="3">
          <reference field="4294967294" count="1" selected="0">
            <x v="0"/>
          </reference>
          <reference field="0" count="1" selected="0">
            <x v="6"/>
          </reference>
          <reference field="1" count="1" selected="0">
            <x v="38"/>
          </reference>
        </references>
      </pivotArea>
    </chartFormat>
    <chartFormat chart="0" format="538">
      <pivotArea type="data" outline="0" fieldPosition="0">
        <references count="3">
          <reference field="4294967294" count="1" selected="0">
            <x v="0"/>
          </reference>
          <reference field="0" count="1" selected="0">
            <x v="6"/>
          </reference>
          <reference field="1" count="1" selected="0">
            <x v="39"/>
          </reference>
        </references>
      </pivotArea>
    </chartFormat>
    <chartFormat chart="0" format="539">
      <pivotArea type="data" outline="0" fieldPosition="0">
        <references count="3">
          <reference field="4294967294" count="1" selected="0">
            <x v="0"/>
          </reference>
          <reference field="0" count="1" selected="0">
            <x v="6"/>
          </reference>
          <reference field="1" count="1" selected="0">
            <x v="40"/>
          </reference>
        </references>
      </pivotArea>
    </chartFormat>
    <chartFormat chart="0" format="540">
      <pivotArea type="data" outline="0" fieldPosition="0">
        <references count="3">
          <reference field="4294967294" count="1" selected="0">
            <x v="2"/>
          </reference>
          <reference field="0" count="1" selected="0">
            <x v="6"/>
          </reference>
          <reference field="1" count="1" selected="0">
            <x v="31"/>
          </reference>
        </references>
      </pivotArea>
    </chartFormat>
    <chartFormat chart="0" format="541">
      <pivotArea type="data" outline="0" fieldPosition="0">
        <references count="3">
          <reference field="4294967294" count="1" selected="0">
            <x v="2"/>
          </reference>
          <reference field="0" count="1" selected="0">
            <x v="6"/>
          </reference>
          <reference field="1" count="1" selected="0">
            <x v="32"/>
          </reference>
        </references>
      </pivotArea>
    </chartFormat>
    <chartFormat chart="0" format="542">
      <pivotArea type="data" outline="0" fieldPosition="0">
        <references count="3">
          <reference field="4294967294" count="1" selected="0">
            <x v="2"/>
          </reference>
          <reference field="0" count="1" selected="0">
            <x v="6"/>
          </reference>
          <reference field="1" count="1" selected="0">
            <x v="33"/>
          </reference>
        </references>
      </pivotArea>
    </chartFormat>
    <chartFormat chart="0" format="543">
      <pivotArea type="data" outline="0" fieldPosition="0">
        <references count="3">
          <reference field="4294967294" count="1" selected="0">
            <x v="2"/>
          </reference>
          <reference field="0" count="1" selected="0">
            <x v="6"/>
          </reference>
          <reference field="1" count="1" selected="0">
            <x v="34"/>
          </reference>
        </references>
      </pivotArea>
    </chartFormat>
    <chartFormat chart="0" format="544">
      <pivotArea type="data" outline="0" fieldPosition="0">
        <references count="3">
          <reference field="4294967294" count="1" selected="0">
            <x v="2"/>
          </reference>
          <reference field="0" count="1" selected="0">
            <x v="6"/>
          </reference>
          <reference field="1" count="1" selected="0">
            <x v="35"/>
          </reference>
        </references>
      </pivotArea>
    </chartFormat>
    <chartFormat chart="0" format="545">
      <pivotArea type="data" outline="0" fieldPosition="0">
        <references count="3">
          <reference field="4294967294" count="1" selected="0">
            <x v="2"/>
          </reference>
          <reference field="0" count="1" selected="0">
            <x v="6"/>
          </reference>
          <reference field="1" count="1" selected="0">
            <x v="36"/>
          </reference>
        </references>
      </pivotArea>
    </chartFormat>
    <chartFormat chart="0" format="546">
      <pivotArea type="data" outline="0" fieldPosition="0">
        <references count="3">
          <reference field="4294967294" count="1" selected="0">
            <x v="2"/>
          </reference>
          <reference field="0" count="1" selected="0">
            <x v="6"/>
          </reference>
          <reference field="1" count="1" selected="0">
            <x v="37"/>
          </reference>
        </references>
      </pivotArea>
    </chartFormat>
    <chartFormat chart="0" format="547">
      <pivotArea type="data" outline="0" fieldPosition="0">
        <references count="3">
          <reference field="4294967294" count="1" selected="0">
            <x v="2"/>
          </reference>
          <reference field="0" count="1" selected="0">
            <x v="6"/>
          </reference>
          <reference field="1" count="1" selected="0">
            <x v="38"/>
          </reference>
        </references>
      </pivotArea>
    </chartFormat>
    <chartFormat chart="0" format="548">
      <pivotArea type="data" outline="0" fieldPosition="0">
        <references count="3">
          <reference field="4294967294" count="1" selected="0">
            <x v="2"/>
          </reference>
          <reference field="0" count="1" selected="0">
            <x v="6"/>
          </reference>
          <reference field="1" count="1" selected="0">
            <x v="39"/>
          </reference>
        </references>
      </pivotArea>
    </chartFormat>
    <chartFormat chart="0" format="549">
      <pivotArea type="data" outline="0" fieldPosition="0">
        <references count="3">
          <reference field="4294967294" count="1" selected="0">
            <x v="2"/>
          </reference>
          <reference field="0" count="1" selected="0">
            <x v="6"/>
          </reference>
          <reference field="1" count="1" selected="0">
            <x v="40"/>
          </reference>
        </references>
      </pivotArea>
    </chartFormat>
    <chartFormat chart="0" format="550">
      <pivotArea type="data" outline="0" fieldPosition="0">
        <references count="3">
          <reference field="4294967294" count="1" selected="0">
            <x v="0"/>
          </reference>
          <reference field="0" count="1" selected="0">
            <x v="6"/>
          </reference>
          <reference field="1" count="1" selected="0">
            <x v="41"/>
          </reference>
        </references>
      </pivotArea>
    </chartFormat>
    <chartFormat chart="0" format="551">
      <pivotArea type="data" outline="0" fieldPosition="0">
        <references count="3">
          <reference field="4294967294" count="1" selected="0">
            <x v="0"/>
          </reference>
          <reference field="0" count="1" selected="0">
            <x v="6"/>
          </reference>
          <reference field="1" count="1" selected="0">
            <x v="42"/>
          </reference>
        </references>
      </pivotArea>
    </chartFormat>
    <chartFormat chart="0" format="552">
      <pivotArea type="data" outline="0" fieldPosition="0">
        <references count="3">
          <reference field="4294967294" count="1" selected="0">
            <x v="0"/>
          </reference>
          <reference field="0" count="1" selected="0">
            <x v="6"/>
          </reference>
          <reference field="1" count="1" selected="0">
            <x v="43"/>
          </reference>
        </references>
      </pivotArea>
    </chartFormat>
    <chartFormat chart="0" format="553">
      <pivotArea type="data" outline="0" fieldPosition="0">
        <references count="3">
          <reference field="4294967294" count="1" selected="0">
            <x v="0"/>
          </reference>
          <reference field="0" count="1" selected="0">
            <x v="6"/>
          </reference>
          <reference field="1" count="1" selected="0">
            <x v="44"/>
          </reference>
        </references>
      </pivotArea>
    </chartFormat>
    <chartFormat chart="0" format="554">
      <pivotArea type="data" outline="0" fieldPosition="0">
        <references count="3">
          <reference field="4294967294" count="1" selected="0">
            <x v="0"/>
          </reference>
          <reference field="0" count="1" selected="0">
            <x v="6"/>
          </reference>
          <reference field="1" count="1" selected="0">
            <x v="45"/>
          </reference>
        </references>
      </pivotArea>
    </chartFormat>
    <chartFormat chart="0" format="555">
      <pivotArea type="data" outline="0" fieldPosition="0">
        <references count="3">
          <reference field="4294967294" count="1" selected="0">
            <x v="0"/>
          </reference>
          <reference field="0" count="1" selected="0">
            <x v="6"/>
          </reference>
          <reference field="1" count="1" selected="0">
            <x v="46"/>
          </reference>
        </references>
      </pivotArea>
    </chartFormat>
    <chartFormat chart="0" format="556">
      <pivotArea type="data" outline="0" fieldPosition="0">
        <references count="3">
          <reference field="4294967294" count="1" selected="0">
            <x v="0"/>
          </reference>
          <reference field="0" count="1" selected="0">
            <x v="6"/>
          </reference>
          <reference field="1" count="1" selected="0">
            <x v="47"/>
          </reference>
        </references>
      </pivotArea>
    </chartFormat>
    <chartFormat chart="0" format="557">
      <pivotArea type="data" outline="0" fieldPosition="0">
        <references count="3">
          <reference field="4294967294" count="1" selected="0">
            <x v="0"/>
          </reference>
          <reference field="0" count="1" selected="0">
            <x v="6"/>
          </reference>
          <reference field="1" count="1" selected="0">
            <x v="48"/>
          </reference>
        </references>
      </pivotArea>
    </chartFormat>
    <chartFormat chart="0" format="558">
      <pivotArea type="data" outline="0" fieldPosition="0">
        <references count="3">
          <reference field="4294967294" count="1" selected="0">
            <x v="0"/>
          </reference>
          <reference field="0" count="1" selected="0">
            <x v="6"/>
          </reference>
          <reference field="1" count="1" selected="0">
            <x v="49"/>
          </reference>
        </references>
      </pivotArea>
    </chartFormat>
    <chartFormat chart="0" format="559">
      <pivotArea type="data" outline="0" fieldPosition="0">
        <references count="3">
          <reference field="4294967294" count="1" selected="0">
            <x v="0"/>
          </reference>
          <reference field="0" count="1" selected="0">
            <x v="6"/>
          </reference>
          <reference field="1" count="1" selected="0">
            <x v="50"/>
          </reference>
        </references>
      </pivotArea>
    </chartFormat>
    <chartFormat chart="0" format="560">
      <pivotArea type="data" outline="0" fieldPosition="0">
        <references count="3">
          <reference field="4294967294" count="1" selected="0">
            <x v="0"/>
          </reference>
          <reference field="0" count="1" selected="0">
            <x v="6"/>
          </reference>
          <reference field="1" count="1" selected="0">
            <x v="51"/>
          </reference>
        </references>
      </pivotArea>
    </chartFormat>
    <chartFormat chart="0" format="561">
      <pivotArea type="data" outline="0" fieldPosition="0">
        <references count="3">
          <reference field="4294967294" count="1" selected="0">
            <x v="0"/>
          </reference>
          <reference field="0" count="1" selected="0">
            <x v="6"/>
          </reference>
          <reference field="1" count="1" selected="0">
            <x v="52"/>
          </reference>
        </references>
      </pivotArea>
    </chartFormat>
    <chartFormat chart="0" format="562">
      <pivotArea type="data" outline="0" fieldPosition="0">
        <references count="3">
          <reference field="4294967294" count="1" selected="0">
            <x v="0"/>
          </reference>
          <reference field="0" count="1" selected="0">
            <x v="6"/>
          </reference>
          <reference field="1" count="1" selected="0">
            <x v="53"/>
          </reference>
        </references>
      </pivotArea>
    </chartFormat>
    <chartFormat chart="0" format="563">
      <pivotArea type="data" outline="0" fieldPosition="0">
        <references count="3">
          <reference field="4294967294" count="1" selected="0">
            <x v="0"/>
          </reference>
          <reference field="0" count="1" selected="0">
            <x v="6"/>
          </reference>
          <reference field="1" count="1" selected="0">
            <x v="54"/>
          </reference>
        </references>
      </pivotArea>
    </chartFormat>
    <chartFormat chart="0" format="564">
      <pivotArea type="data" outline="0" fieldPosition="0">
        <references count="3">
          <reference field="4294967294" count="1" selected="0">
            <x v="0"/>
          </reference>
          <reference field="0" count="1" selected="0">
            <x v="6"/>
          </reference>
          <reference field="1" count="1" selected="0">
            <x v="55"/>
          </reference>
        </references>
      </pivotArea>
    </chartFormat>
    <chartFormat chart="0" format="565">
      <pivotArea type="data" outline="0" fieldPosition="0">
        <references count="3">
          <reference field="4294967294" count="1" selected="0">
            <x v="0"/>
          </reference>
          <reference field="0" count="1" selected="0">
            <x v="6"/>
          </reference>
          <reference field="1" count="1" selected="0">
            <x v="56"/>
          </reference>
        </references>
      </pivotArea>
    </chartFormat>
    <chartFormat chart="0" format="566">
      <pivotArea type="data" outline="0" fieldPosition="0">
        <references count="3">
          <reference field="4294967294" count="1" selected="0">
            <x v="0"/>
          </reference>
          <reference field="0" count="1" selected="0">
            <x v="6"/>
          </reference>
          <reference field="1" count="1" selected="0">
            <x v="57"/>
          </reference>
        </references>
      </pivotArea>
    </chartFormat>
    <chartFormat chart="0" format="567">
      <pivotArea type="data" outline="0" fieldPosition="0">
        <references count="3">
          <reference field="4294967294" count="1" selected="0">
            <x v="0"/>
          </reference>
          <reference field="0" count="1" selected="0">
            <x v="6"/>
          </reference>
          <reference field="1" count="1" selected="0">
            <x v="58"/>
          </reference>
        </references>
      </pivotArea>
    </chartFormat>
    <chartFormat chart="0" format="568">
      <pivotArea type="data" outline="0" fieldPosition="0">
        <references count="3">
          <reference field="4294967294" count="1" selected="0">
            <x v="0"/>
          </reference>
          <reference field="0" count="1" selected="0">
            <x v="6"/>
          </reference>
          <reference field="1" count="1" selected="0">
            <x v="59"/>
          </reference>
        </references>
      </pivotArea>
    </chartFormat>
    <chartFormat chart="0" format="569">
      <pivotArea type="data" outline="0" fieldPosition="0">
        <references count="3">
          <reference field="4294967294" count="1" selected="0">
            <x v="0"/>
          </reference>
          <reference field="0" count="1" selected="0">
            <x v="6"/>
          </reference>
          <reference field="1" count="1" selected="0">
            <x v="60"/>
          </reference>
        </references>
      </pivotArea>
    </chartFormat>
    <chartFormat chart="0" format="570">
      <pivotArea type="data" outline="0" fieldPosition="0">
        <references count="3">
          <reference field="4294967294" count="1" selected="0">
            <x v="0"/>
          </reference>
          <reference field="0" count="1" selected="0">
            <x v="6"/>
          </reference>
          <reference field="1" count="1" selected="0">
            <x v="61"/>
          </reference>
        </references>
      </pivotArea>
    </chartFormat>
    <chartFormat chart="0" format="571">
      <pivotArea type="data" outline="0" fieldPosition="0">
        <references count="3">
          <reference field="4294967294" count="1" selected="0">
            <x v="0"/>
          </reference>
          <reference field="0" count="1" selected="0">
            <x v="6"/>
          </reference>
          <reference field="1" count="1" selected="0">
            <x v="62"/>
          </reference>
        </references>
      </pivotArea>
    </chartFormat>
    <chartFormat chart="0" format="572">
      <pivotArea type="data" outline="0" fieldPosition="0">
        <references count="3">
          <reference field="4294967294" count="1" selected="0">
            <x v="0"/>
          </reference>
          <reference field="0" count="1" selected="0">
            <x v="6"/>
          </reference>
          <reference field="1" count="1" selected="0">
            <x v="73"/>
          </reference>
        </references>
      </pivotArea>
    </chartFormat>
    <chartFormat chart="0" format="573">
      <pivotArea type="data" outline="0" fieldPosition="0">
        <references count="3">
          <reference field="4294967294" count="1" selected="0">
            <x v="0"/>
          </reference>
          <reference field="0" count="1" selected="0">
            <x v="6"/>
          </reference>
          <reference field="1" count="1" selected="0">
            <x v="74"/>
          </reference>
        </references>
      </pivotArea>
    </chartFormat>
    <chartFormat chart="0" format="574">
      <pivotArea type="data" outline="0" fieldPosition="0">
        <references count="3">
          <reference field="4294967294" count="1" selected="0">
            <x v="0"/>
          </reference>
          <reference field="0" count="1" selected="0">
            <x v="6"/>
          </reference>
          <reference field="1" count="1" selected="0">
            <x v="75"/>
          </reference>
        </references>
      </pivotArea>
    </chartFormat>
    <chartFormat chart="0" format="575">
      <pivotArea type="data" outline="0" fieldPosition="0">
        <references count="3">
          <reference field="4294967294" count="1" selected="0">
            <x v="0"/>
          </reference>
          <reference field="0" count="1" selected="0">
            <x v="6"/>
          </reference>
          <reference field="1" count="1" selected="0">
            <x v="76"/>
          </reference>
        </references>
      </pivotArea>
    </chartFormat>
    <chartFormat chart="0" format="576">
      <pivotArea type="data" outline="0" fieldPosition="0">
        <references count="3">
          <reference field="4294967294" count="1" selected="0">
            <x v="0"/>
          </reference>
          <reference field="0" count="1" selected="0">
            <x v="6"/>
          </reference>
          <reference field="1" count="1" selected="0">
            <x v="77"/>
          </reference>
        </references>
      </pivotArea>
    </chartFormat>
    <chartFormat chart="0" format="577">
      <pivotArea type="data" outline="0" fieldPosition="0">
        <references count="3">
          <reference field="4294967294" count="1" selected="0">
            <x v="0"/>
          </reference>
          <reference field="0" count="1" selected="0">
            <x v="6"/>
          </reference>
          <reference field="1" count="1" selected="0">
            <x v="78"/>
          </reference>
        </references>
      </pivotArea>
    </chartFormat>
    <chartFormat chart="0" format="578">
      <pivotArea type="data" outline="0" fieldPosition="0">
        <references count="3">
          <reference field="4294967294" count="1" selected="0">
            <x v="0"/>
          </reference>
          <reference field="0" count="1" selected="0">
            <x v="7"/>
          </reference>
          <reference field="1" count="1" selected="0">
            <x v="31"/>
          </reference>
        </references>
      </pivotArea>
    </chartFormat>
    <chartFormat chart="0" format="579">
      <pivotArea type="data" outline="0" fieldPosition="0">
        <references count="3">
          <reference field="4294967294" count="1" selected="0">
            <x v="0"/>
          </reference>
          <reference field="0" count="1" selected="0">
            <x v="7"/>
          </reference>
          <reference field="1" count="1" selected="0">
            <x v="32"/>
          </reference>
        </references>
      </pivotArea>
    </chartFormat>
    <chartFormat chart="0" format="580">
      <pivotArea type="data" outline="0" fieldPosition="0">
        <references count="3">
          <reference field="4294967294" count="1" selected="0">
            <x v="0"/>
          </reference>
          <reference field="0" count="1" selected="0">
            <x v="7"/>
          </reference>
          <reference field="1" count="1" selected="0">
            <x v="33"/>
          </reference>
        </references>
      </pivotArea>
    </chartFormat>
    <chartFormat chart="0" format="581">
      <pivotArea type="data" outline="0" fieldPosition="0">
        <references count="3">
          <reference field="4294967294" count="1" selected="0">
            <x v="0"/>
          </reference>
          <reference field="0" count="1" selected="0">
            <x v="7"/>
          </reference>
          <reference field="1" count="1" selected="0">
            <x v="34"/>
          </reference>
        </references>
      </pivotArea>
    </chartFormat>
    <chartFormat chart="0" format="582">
      <pivotArea type="data" outline="0" fieldPosition="0">
        <references count="3">
          <reference field="4294967294" count="1" selected="0">
            <x v="0"/>
          </reference>
          <reference field="0" count="1" selected="0">
            <x v="7"/>
          </reference>
          <reference field="1" count="1" selected="0">
            <x v="35"/>
          </reference>
        </references>
      </pivotArea>
    </chartFormat>
    <chartFormat chart="0" format="583">
      <pivotArea type="data" outline="0" fieldPosition="0">
        <references count="3">
          <reference field="4294967294" count="1" selected="0">
            <x v="0"/>
          </reference>
          <reference field="0" count="1" selected="0">
            <x v="7"/>
          </reference>
          <reference field="1" count="1" selected="0">
            <x v="36"/>
          </reference>
        </references>
      </pivotArea>
    </chartFormat>
    <chartFormat chart="0" format="584">
      <pivotArea type="data" outline="0" fieldPosition="0">
        <references count="3">
          <reference field="4294967294" count="1" selected="0">
            <x v="0"/>
          </reference>
          <reference field="0" count="1" selected="0">
            <x v="7"/>
          </reference>
          <reference field="1" count="1" selected="0">
            <x v="37"/>
          </reference>
        </references>
      </pivotArea>
    </chartFormat>
    <chartFormat chart="0" format="585">
      <pivotArea type="data" outline="0" fieldPosition="0">
        <references count="3">
          <reference field="4294967294" count="1" selected="0">
            <x v="0"/>
          </reference>
          <reference field="0" count="1" selected="0">
            <x v="7"/>
          </reference>
          <reference field="1" count="1" selected="0">
            <x v="38"/>
          </reference>
        </references>
      </pivotArea>
    </chartFormat>
    <chartFormat chart="0" format="586">
      <pivotArea type="data" outline="0" fieldPosition="0">
        <references count="3">
          <reference field="4294967294" count="1" selected="0">
            <x v="0"/>
          </reference>
          <reference field="0" count="1" selected="0">
            <x v="7"/>
          </reference>
          <reference field="1" count="1" selected="0">
            <x v="39"/>
          </reference>
        </references>
      </pivotArea>
    </chartFormat>
    <chartFormat chart="0" format="587">
      <pivotArea type="data" outline="0" fieldPosition="0">
        <references count="3">
          <reference field="4294967294" count="1" selected="0">
            <x v="0"/>
          </reference>
          <reference field="0" count="1" selected="0">
            <x v="7"/>
          </reference>
          <reference field="1" count="1" selected="0">
            <x v="40"/>
          </reference>
        </references>
      </pivotArea>
    </chartFormat>
    <chartFormat chart="0" format="588">
      <pivotArea type="data" outline="0" fieldPosition="0">
        <references count="3">
          <reference field="4294967294" count="1" selected="0">
            <x v="0"/>
          </reference>
          <reference field="0" count="1" selected="0">
            <x v="7"/>
          </reference>
          <reference field="1" count="1" selected="0">
            <x v="41"/>
          </reference>
        </references>
      </pivotArea>
    </chartFormat>
    <chartFormat chart="0" format="589">
      <pivotArea type="data" outline="0" fieldPosition="0">
        <references count="3">
          <reference field="4294967294" count="1" selected="0">
            <x v="0"/>
          </reference>
          <reference field="0" count="1" selected="0">
            <x v="7"/>
          </reference>
          <reference field="1" count="1" selected="0">
            <x v="42"/>
          </reference>
        </references>
      </pivotArea>
    </chartFormat>
    <chartFormat chart="0" format="590">
      <pivotArea type="data" outline="0" fieldPosition="0">
        <references count="3">
          <reference field="4294967294" count="1" selected="0">
            <x v="0"/>
          </reference>
          <reference field="0" count="1" selected="0">
            <x v="7"/>
          </reference>
          <reference field="1" count="1" selected="0">
            <x v="43"/>
          </reference>
        </references>
      </pivotArea>
    </chartFormat>
    <chartFormat chart="0" format="591">
      <pivotArea type="data" outline="0" fieldPosition="0">
        <references count="3">
          <reference field="4294967294" count="1" selected="0">
            <x v="0"/>
          </reference>
          <reference field="0" count="1" selected="0">
            <x v="7"/>
          </reference>
          <reference field="1" count="1" selected="0">
            <x v="44"/>
          </reference>
        </references>
      </pivotArea>
    </chartFormat>
    <chartFormat chart="0" format="592">
      <pivotArea type="data" outline="0" fieldPosition="0">
        <references count="3">
          <reference field="4294967294" count="1" selected="0">
            <x v="0"/>
          </reference>
          <reference field="0" count="1" selected="0">
            <x v="7"/>
          </reference>
          <reference field="1" count="1" selected="0">
            <x v="45"/>
          </reference>
        </references>
      </pivotArea>
    </chartFormat>
    <chartFormat chart="0" format="593">
      <pivotArea type="data" outline="0" fieldPosition="0">
        <references count="3">
          <reference field="4294967294" count="1" selected="0">
            <x v="0"/>
          </reference>
          <reference field="0" count="1" selected="0">
            <x v="7"/>
          </reference>
          <reference field="1" count="1" selected="0">
            <x v="46"/>
          </reference>
        </references>
      </pivotArea>
    </chartFormat>
    <chartFormat chart="0" format="594">
      <pivotArea type="data" outline="0" fieldPosition="0">
        <references count="3">
          <reference field="4294967294" count="1" selected="0">
            <x v="0"/>
          </reference>
          <reference field="0" count="1" selected="0">
            <x v="7"/>
          </reference>
          <reference field="1" count="1" selected="0">
            <x v="47"/>
          </reference>
        </references>
      </pivotArea>
    </chartFormat>
    <chartFormat chart="0" format="595">
      <pivotArea type="data" outline="0" fieldPosition="0">
        <references count="3">
          <reference field="4294967294" count="1" selected="0">
            <x v="0"/>
          </reference>
          <reference field="0" count="1" selected="0">
            <x v="7"/>
          </reference>
          <reference field="1" count="1" selected="0">
            <x v="48"/>
          </reference>
        </references>
      </pivotArea>
    </chartFormat>
    <chartFormat chart="0" format="596">
      <pivotArea type="data" outline="0" fieldPosition="0">
        <references count="3">
          <reference field="4294967294" count="1" selected="0">
            <x v="0"/>
          </reference>
          <reference field="0" count="1" selected="0">
            <x v="7"/>
          </reference>
          <reference field="1" count="1" selected="0">
            <x v="49"/>
          </reference>
        </references>
      </pivotArea>
    </chartFormat>
    <chartFormat chart="0" format="597">
      <pivotArea type="data" outline="0" fieldPosition="0">
        <references count="3">
          <reference field="4294967294" count="1" selected="0">
            <x v="0"/>
          </reference>
          <reference field="0" count="1" selected="0">
            <x v="7"/>
          </reference>
          <reference field="1" count="1" selected="0">
            <x v="50"/>
          </reference>
        </references>
      </pivotArea>
    </chartFormat>
    <chartFormat chart="0" format="598">
      <pivotArea type="data" outline="0" fieldPosition="0">
        <references count="3">
          <reference field="4294967294" count="1" selected="0">
            <x v="0"/>
          </reference>
          <reference field="0" count="1" selected="0">
            <x v="7"/>
          </reference>
          <reference field="1" count="1" selected="0">
            <x v="51"/>
          </reference>
        </references>
      </pivotArea>
    </chartFormat>
    <chartFormat chart="0" format="599">
      <pivotArea type="data" outline="0" fieldPosition="0">
        <references count="3">
          <reference field="4294967294" count="1" selected="0">
            <x v="0"/>
          </reference>
          <reference field="0" count="1" selected="0">
            <x v="7"/>
          </reference>
          <reference field="1" count="1" selected="0">
            <x v="52"/>
          </reference>
        </references>
      </pivotArea>
    </chartFormat>
    <chartFormat chart="0" format="600">
      <pivotArea type="data" outline="0" fieldPosition="0">
        <references count="3">
          <reference field="4294967294" count="1" selected="0">
            <x v="0"/>
          </reference>
          <reference field="0" count="1" selected="0">
            <x v="7"/>
          </reference>
          <reference field="1" count="1" selected="0">
            <x v="53"/>
          </reference>
        </references>
      </pivotArea>
    </chartFormat>
    <chartFormat chart="0" format="601">
      <pivotArea type="data" outline="0" fieldPosition="0">
        <references count="3">
          <reference field="4294967294" count="1" selected="0">
            <x v="0"/>
          </reference>
          <reference field="0" count="1" selected="0">
            <x v="7"/>
          </reference>
          <reference field="1" count="1" selected="0">
            <x v="54"/>
          </reference>
        </references>
      </pivotArea>
    </chartFormat>
    <chartFormat chart="0" format="602">
      <pivotArea type="data" outline="0" fieldPosition="0">
        <references count="3">
          <reference field="4294967294" count="1" selected="0">
            <x v="0"/>
          </reference>
          <reference field="0" count="1" selected="0">
            <x v="7"/>
          </reference>
          <reference field="1" count="1" selected="0">
            <x v="55"/>
          </reference>
        </references>
      </pivotArea>
    </chartFormat>
    <chartFormat chart="0" format="603">
      <pivotArea type="data" outline="0" fieldPosition="0">
        <references count="3">
          <reference field="4294967294" count="1" selected="0">
            <x v="0"/>
          </reference>
          <reference field="0" count="1" selected="0">
            <x v="7"/>
          </reference>
          <reference field="1" count="1" selected="0">
            <x v="56"/>
          </reference>
        </references>
      </pivotArea>
    </chartFormat>
    <chartFormat chart="0" format="604">
      <pivotArea type="data" outline="0" fieldPosition="0">
        <references count="3">
          <reference field="4294967294" count="1" selected="0">
            <x v="0"/>
          </reference>
          <reference field="0" count="1" selected="0">
            <x v="7"/>
          </reference>
          <reference field="1" count="1" selected="0">
            <x v="57"/>
          </reference>
        </references>
      </pivotArea>
    </chartFormat>
    <chartFormat chart="0" format="605">
      <pivotArea type="data" outline="0" fieldPosition="0">
        <references count="3">
          <reference field="4294967294" count="1" selected="0">
            <x v="0"/>
          </reference>
          <reference field="0" count="1" selected="0">
            <x v="7"/>
          </reference>
          <reference field="1" count="1" selected="0">
            <x v="58"/>
          </reference>
        </references>
      </pivotArea>
    </chartFormat>
    <chartFormat chart="0" format="606">
      <pivotArea type="data" outline="0" fieldPosition="0">
        <references count="3">
          <reference field="4294967294" count="1" selected="0">
            <x v="0"/>
          </reference>
          <reference field="0" count="1" selected="0">
            <x v="7"/>
          </reference>
          <reference field="1" count="1" selected="0">
            <x v="59"/>
          </reference>
        </references>
      </pivotArea>
    </chartFormat>
    <chartFormat chart="0" format="607">
      <pivotArea type="data" outline="0" fieldPosition="0">
        <references count="3">
          <reference field="4294967294" count="1" selected="0">
            <x v="0"/>
          </reference>
          <reference field="0" count="1" selected="0">
            <x v="7"/>
          </reference>
          <reference field="1" count="1" selected="0">
            <x v="60"/>
          </reference>
        </references>
      </pivotArea>
    </chartFormat>
    <chartFormat chart="0" format="608">
      <pivotArea type="data" outline="0" fieldPosition="0">
        <references count="3">
          <reference field="4294967294" count="1" selected="0">
            <x v="0"/>
          </reference>
          <reference field="0" count="1" selected="0">
            <x v="7"/>
          </reference>
          <reference field="1" count="1" selected="0">
            <x v="61"/>
          </reference>
        </references>
      </pivotArea>
    </chartFormat>
    <chartFormat chart="0" format="609">
      <pivotArea type="data" outline="0" fieldPosition="0">
        <references count="3">
          <reference field="4294967294" count="1" selected="0">
            <x v="0"/>
          </reference>
          <reference field="0" count="1" selected="0">
            <x v="7"/>
          </reference>
          <reference field="1" count="1" selected="0">
            <x v="62"/>
          </reference>
        </references>
      </pivotArea>
    </chartFormat>
    <chartFormat chart="0" format="610">
      <pivotArea type="data" outline="0" fieldPosition="0">
        <references count="3">
          <reference field="4294967294" count="1" selected="0">
            <x v="0"/>
          </reference>
          <reference field="0" count="1" selected="0">
            <x v="7"/>
          </reference>
          <reference field="1" count="1" selected="0">
            <x v="63"/>
          </reference>
        </references>
      </pivotArea>
    </chartFormat>
    <chartFormat chart="0" format="611">
      <pivotArea type="data" outline="0" fieldPosition="0">
        <references count="3">
          <reference field="4294967294" count="1" selected="0">
            <x v="0"/>
          </reference>
          <reference field="0" count="1" selected="0">
            <x v="7"/>
          </reference>
          <reference field="1" count="1" selected="0">
            <x v="64"/>
          </reference>
        </references>
      </pivotArea>
    </chartFormat>
    <chartFormat chart="0" format="612">
      <pivotArea type="data" outline="0" fieldPosition="0">
        <references count="3">
          <reference field="4294967294" count="1" selected="0">
            <x v="0"/>
          </reference>
          <reference field="0" count="1" selected="0">
            <x v="7"/>
          </reference>
          <reference field="1" count="1" selected="0">
            <x v="65"/>
          </reference>
        </references>
      </pivotArea>
    </chartFormat>
    <chartFormat chart="0" format="613">
      <pivotArea type="data" outline="0" fieldPosition="0">
        <references count="3">
          <reference field="4294967294" count="1" selected="0">
            <x v="0"/>
          </reference>
          <reference field="0" count="1" selected="0">
            <x v="7"/>
          </reference>
          <reference field="1" count="1" selected="0">
            <x v="66"/>
          </reference>
        </references>
      </pivotArea>
    </chartFormat>
    <chartFormat chart="0" format="614">
      <pivotArea type="data" outline="0" fieldPosition="0">
        <references count="3">
          <reference field="4294967294" count="1" selected="0">
            <x v="0"/>
          </reference>
          <reference field="0" count="1" selected="0">
            <x v="7"/>
          </reference>
          <reference field="1" count="1" selected="0">
            <x v="67"/>
          </reference>
        </references>
      </pivotArea>
    </chartFormat>
    <chartFormat chart="0" format="615">
      <pivotArea type="data" outline="0" fieldPosition="0">
        <references count="3">
          <reference field="4294967294" count="1" selected="0">
            <x v="0"/>
          </reference>
          <reference field="0" count="1" selected="0">
            <x v="7"/>
          </reference>
          <reference field="1" count="1" selected="0">
            <x v="68"/>
          </reference>
        </references>
      </pivotArea>
    </chartFormat>
    <chartFormat chart="0" format="616">
      <pivotArea type="data" outline="0" fieldPosition="0">
        <references count="3">
          <reference field="4294967294" count="1" selected="0">
            <x v="0"/>
          </reference>
          <reference field="0" count="1" selected="0">
            <x v="7"/>
          </reference>
          <reference field="1" count="1" selected="0">
            <x v="69"/>
          </reference>
        </references>
      </pivotArea>
    </chartFormat>
    <chartFormat chart="0" format="617">
      <pivotArea type="data" outline="0" fieldPosition="0">
        <references count="3">
          <reference field="4294967294" count="1" selected="0">
            <x v="0"/>
          </reference>
          <reference field="0" count="1" selected="0">
            <x v="7"/>
          </reference>
          <reference field="1" count="1" selected="0">
            <x v="70"/>
          </reference>
        </references>
      </pivotArea>
    </chartFormat>
    <chartFormat chart="0" format="618">
      <pivotArea type="data" outline="0" fieldPosition="0">
        <references count="3">
          <reference field="4294967294" count="1" selected="0">
            <x v="0"/>
          </reference>
          <reference field="0" count="1" selected="0">
            <x v="7"/>
          </reference>
          <reference field="1" count="1" selected="0">
            <x v="71"/>
          </reference>
        </references>
      </pivotArea>
    </chartFormat>
    <chartFormat chart="0" format="619">
      <pivotArea type="data" outline="0" fieldPosition="0">
        <references count="3">
          <reference field="4294967294" count="1" selected="0">
            <x v="0"/>
          </reference>
          <reference field="0" count="1" selected="0">
            <x v="7"/>
          </reference>
          <reference field="1" count="1" selected="0">
            <x v="72"/>
          </reference>
        </references>
      </pivotArea>
    </chartFormat>
    <chartFormat chart="0" format="620">
      <pivotArea type="data" outline="0" fieldPosition="0">
        <references count="3">
          <reference field="4294967294" count="1" selected="0">
            <x v="0"/>
          </reference>
          <reference field="0" count="1" selected="0">
            <x v="7"/>
          </reference>
          <reference field="1" count="1" selected="0">
            <x v="73"/>
          </reference>
        </references>
      </pivotArea>
    </chartFormat>
    <chartFormat chart="0" format="621">
      <pivotArea type="data" outline="0" fieldPosition="0">
        <references count="3">
          <reference field="4294967294" count="1" selected="0">
            <x v="0"/>
          </reference>
          <reference field="0" count="1" selected="0">
            <x v="7"/>
          </reference>
          <reference field="1" count="1" selected="0">
            <x v="74"/>
          </reference>
        </references>
      </pivotArea>
    </chartFormat>
    <chartFormat chart="0" format="622">
      <pivotArea type="data" outline="0" fieldPosition="0">
        <references count="3">
          <reference field="4294967294" count="1" selected="0">
            <x v="0"/>
          </reference>
          <reference field="0" count="1" selected="0">
            <x v="7"/>
          </reference>
          <reference field="1" count="1" selected="0">
            <x v="75"/>
          </reference>
        </references>
      </pivotArea>
    </chartFormat>
    <chartFormat chart="0" format="623">
      <pivotArea type="data" outline="0" fieldPosition="0">
        <references count="3">
          <reference field="4294967294" count="1" selected="0">
            <x v="0"/>
          </reference>
          <reference field="0" count="1" selected="0">
            <x v="7"/>
          </reference>
          <reference field="1" count="1" selected="0">
            <x v="76"/>
          </reference>
        </references>
      </pivotArea>
    </chartFormat>
    <chartFormat chart="0" format="624">
      <pivotArea type="data" outline="0" fieldPosition="0">
        <references count="3">
          <reference field="4294967294" count="1" selected="0">
            <x v="0"/>
          </reference>
          <reference field="0" count="1" selected="0">
            <x v="7"/>
          </reference>
          <reference field="1" count="1" selected="0">
            <x v="77"/>
          </reference>
        </references>
      </pivotArea>
    </chartFormat>
    <chartFormat chart="0" format="625">
      <pivotArea type="data" outline="0" fieldPosition="0">
        <references count="3">
          <reference field="4294967294" count="1" selected="0">
            <x v="0"/>
          </reference>
          <reference field="0" count="1" selected="0">
            <x v="7"/>
          </reference>
          <reference field="1" count="1" selected="0">
            <x v="78"/>
          </reference>
        </references>
      </pivotArea>
    </chartFormat>
    <chartFormat chart="0" format="626">
      <pivotArea type="data" outline="0" fieldPosition="0">
        <references count="3">
          <reference field="4294967294" count="1" selected="0">
            <x v="0"/>
          </reference>
          <reference field="0" count="1" selected="0">
            <x v="8"/>
          </reference>
          <reference field="1" count="1" selected="0">
            <x v="31"/>
          </reference>
        </references>
      </pivotArea>
    </chartFormat>
    <chartFormat chart="0" format="627">
      <pivotArea type="data" outline="0" fieldPosition="0">
        <references count="3">
          <reference field="4294967294" count="1" selected="0">
            <x v="0"/>
          </reference>
          <reference field="0" count="1" selected="0">
            <x v="8"/>
          </reference>
          <reference field="1" count="1" selected="0">
            <x v="32"/>
          </reference>
        </references>
      </pivotArea>
    </chartFormat>
    <chartFormat chart="0" format="628">
      <pivotArea type="data" outline="0" fieldPosition="0">
        <references count="3">
          <reference field="4294967294" count="1" selected="0">
            <x v="0"/>
          </reference>
          <reference field="0" count="1" selected="0">
            <x v="8"/>
          </reference>
          <reference field="1" count="1" selected="0">
            <x v="33"/>
          </reference>
        </references>
      </pivotArea>
    </chartFormat>
    <chartFormat chart="0" format="629">
      <pivotArea type="data" outline="0" fieldPosition="0">
        <references count="3">
          <reference field="4294967294" count="1" selected="0">
            <x v="0"/>
          </reference>
          <reference field="0" count="1" selected="0">
            <x v="8"/>
          </reference>
          <reference field="1" count="1" selected="0">
            <x v="34"/>
          </reference>
        </references>
      </pivotArea>
    </chartFormat>
    <chartFormat chart="0" format="630">
      <pivotArea type="data" outline="0" fieldPosition="0">
        <references count="3">
          <reference field="4294967294" count="1" selected="0">
            <x v="0"/>
          </reference>
          <reference field="0" count="1" selected="0">
            <x v="8"/>
          </reference>
          <reference field="1" count="1" selected="0">
            <x v="35"/>
          </reference>
        </references>
      </pivotArea>
    </chartFormat>
    <chartFormat chart="0" format="631">
      <pivotArea type="data" outline="0" fieldPosition="0">
        <references count="3">
          <reference field="4294967294" count="1" selected="0">
            <x v="0"/>
          </reference>
          <reference field="0" count="1" selected="0">
            <x v="8"/>
          </reference>
          <reference field="1" count="1" selected="0">
            <x v="36"/>
          </reference>
        </references>
      </pivotArea>
    </chartFormat>
    <chartFormat chart="0" format="632">
      <pivotArea type="data" outline="0" fieldPosition="0">
        <references count="3">
          <reference field="4294967294" count="1" selected="0">
            <x v="0"/>
          </reference>
          <reference field="0" count="1" selected="0">
            <x v="8"/>
          </reference>
          <reference field="1" count="1" selected="0">
            <x v="37"/>
          </reference>
        </references>
      </pivotArea>
    </chartFormat>
    <chartFormat chart="0" format="633">
      <pivotArea type="data" outline="0" fieldPosition="0">
        <references count="3">
          <reference field="4294967294" count="1" selected="0">
            <x v="0"/>
          </reference>
          <reference field="0" count="1" selected="0">
            <x v="8"/>
          </reference>
          <reference field="1" count="1" selected="0">
            <x v="38"/>
          </reference>
        </references>
      </pivotArea>
    </chartFormat>
    <chartFormat chart="0" format="634">
      <pivotArea type="data" outline="0" fieldPosition="0">
        <references count="3">
          <reference field="4294967294" count="1" selected="0">
            <x v="0"/>
          </reference>
          <reference field="0" count="1" selected="0">
            <x v="8"/>
          </reference>
          <reference field="1" count="1" selected="0">
            <x v="39"/>
          </reference>
        </references>
      </pivotArea>
    </chartFormat>
    <chartFormat chart="0" format="635">
      <pivotArea type="data" outline="0" fieldPosition="0">
        <references count="3">
          <reference field="4294967294" count="1" selected="0">
            <x v="0"/>
          </reference>
          <reference field="0" count="1" selected="0">
            <x v="8"/>
          </reference>
          <reference field="1" count="1" selected="0">
            <x v="40"/>
          </reference>
        </references>
      </pivotArea>
    </chartFormat>
    <chartFormat chart="0" format="636">
      <pivotArea type="data" outline="0" fieldPosition="0">
        <references count="3">
          <reference field="4294967294" count="1" selected="0">
            <x v="0"/>
          </reference>
          <reference field="0" count="1" selected="0">
            <x v="8"/>
          </reference>
          <reference field="1" count="1" selected="0">
            <x v="41"/>
          </reference>
        </references>
      </pivotArea>
    </chartFormat>
    <chartFormat chart="0" format="637">
      <pivotArea type="data" outline="0" fieldPosition="0">
        <references count="3">
          <reference field="4294967294" count="1" selected="0">
            <x v="0"/>
          </reference>
          <reference field="0" count="1" selected="0">
            <x v="8"/>
          </reference>
          <reference field="1" count="1" selected="0">
            <x v="42"/>
          </reference>
        </references>
      </pivotArea>
    </chartFormat>
    <chartFormat chart="0" format="638">
      <pivotArea type="data" outline="0" fieldPosition="0">
        <references count="3">
          <reference field="4294967294" count="1" selected="0">
            <x v="0"/>
          </reference>
          <reference field="0" count="1" selected="0">
            <x v="8"/>
          </reference>
          <reference field="1" count="1" selected="0">
            <x v="43"/>
          </reference>
        </references>
      </pivotArea>
    </chartFormat>
    <chartFormat chart="0" format="639">
      <pivotArea type="data" outline="0" fieldPosition="0">
        <references count="3">
          <reference field="4294967294" count="1" selected="0">
            <x v="0"/>
          </reference>
          <reference field="0" count="1" selected="0">
            <x v="8"/>
          </reference>
          <reference field="1" count="1" selected="0">
            <x v="44"/>
          </reference>
        </references>
      </pivotArea>
    </chartFormat>
    <chartFormat chart="0" format="640">
      <pivotArea type="data" outline="0" fieldPosition="0">
        <references count="3">
          <reference field="4294967294" count="1" selected="0">
            <x v="0"/>
          </reference>
          <reference field="0" count="1" selected="0">
            <x v="8"/>
          </reference>
          <reference field="1" count="1" selected="0">
            <x v="45"/>
          </reference>
        </references>
      </pivotArea>
    </chartFormat>
    <chartFormat chart="0" format="641">
      <pivotArea type="data" outline="0" fieldPosition="0">
        <references count="3">
          <reference field="4294967294" count="1" selected="0">
            <x v="0"/>
          </reference>
          <reference field="0" count="1" selected="0">
            <x v="8"/>
          </reference>
          <reference field="1" count="1" selected="0">
            <x v="46"/>
          </reference>
        </references>
      </pivotArea>
    </chartFormat>
    <chartFormat chart="0" format="642">
      <pivotArea type="data" outline="0" fieldPosition="0">
        <references count="3">
          <reference field="4294967294" count="1" selected="0">
            <x v="0"/>
          </reference>
          <reference field="0" count="1" selected="0">
            <x v="8"/>
          </reference>
          <reference field="1" count="1" selected="0">
            <x v="47"/>
          </reference>
        </references>
      </pivotArea>
    </chartFormat>
    <chartFormat chart="0" format="643">
      <pivotArea type="data" outline="0" fieldPosition="0">
        <references count="3">
          <reference field="4294967294" count="1" selected="0">
            <x v="0"/>
          </reference>
          <reference field="0" count="1" selected="0">
            <x v="8"/>
          </reference>
          <reference field="1" count="1" selected="0">
            <x v="48"/>
          </reference>
        </references>
      </pivotArea>
    </chartFormat>
    <chartFormat chart="0" format="644">
      <pivotArea type="data" outline="0" fieldPosition="0">
        <references count="3">
          <reference field="4294967294" count="1" selected="0">
            <x v="0"/>
          </reference>
          <reference field="0" count="1" selected="0">
            <x v="8"/>
          </reference>
          <reference field="1" count="1" selected="0">
            <x v="49"/>
          </reference>
        </references>
      </pivotArea>
    </chartFormat>
    <chartFormat chart="0" format="645">
      <pivotArea type="data" outline="0" fieldPosition="0">
        <references count="3">
          <reference field="4294967294" count="1" selected="0">
            <x v="0"/>
          </reference>
          <reference field="0" count="1" selected="0">
            <x v="8"/>
          </reference>
          <reference field="1" count="1" selected="0">
            <x v="50"/>
          </reference>
        </references>
      </pivotArea>
    </chartFormat>
    <chartFormat chart="0" format="646">
      <pivotArea type="data" outline="0" fieldPosition="0">
        <references count="3">
          <reference field="4294967294" count="1" selected="0">
            <x v="0"/>
          </reference>
          <reference field="0" count="1" selected="0">
            <x v="8"/>
          </reference>
          <reference field="1" count="1" selected="0">
            <x v="51"/>
          </reference>
        </references>
      </pivotArea>
    </chartFormat>
    <chartFormat chart="0" format="647">
      <pivotArea type="data" outline="0" fieldPosition="0">
        <references count="3">
          <reference field="4294967294" count="1" selected="0">
            <x v="0"/>
          </reference>
          <reference field="0" count="1" selected="0">
            <x v="8"/>
          </reference>
          <reference field="1" count="1" selected="0">
            <x v="52"/>
          </reference>
        </references>
      </pivotArea>
    </chartFormat>
    <chartFormat chart="0" format="648">
      <pivotArea type="data" outline="0" fieldPosition="0">
        <references count="3">
          <reference field="4294967294" count="1" selected="0">
            <x v="0"/>
          </reference>
          <reference field="0" count="1" selected="0">
            <x v="8"/>
          </reference>
          <reference field="1" count="1" selected="0">
            <x v="53"/>
          </reference>
        </references>
      </pivotArea>
    </chartFormat>
    <chartFormat chart="0" format="649">
      <pivotArea type="data" outline="0" fieldPosition="0">
        <references count="3">
          <reference field="4294967294" count="1" selected="0">
            <x v="0"/>
          </reference>
          <reference field="0" count="1" selected="0">
            <x v="8"/>
          </reference>
          <reference field="1" count="1" selected="0">
            <x v="54"/>
          </reference>
        </references>
      </pivotArea>
    </chartFormat>
    <chartFormat chart="0" format="650">
      <pivotArea type="data" outline="0" fieldPosition="0">
        <references count="3">
          <reference field="4294967294" count="1" selected="0">
            <x v="0"/>
          </reference>
          <reference field="0" count="1" selected="0">
            <x v="8"/>
          </reference>
          <reference field="1" count="1" selected="0">
            <x v="55"/>
          </reference>
        </references>
      </pivotArea>
    </chartFormat>
    <chartFormat chart="0" format="651">
      <pivotArea type="data" outline="0" fieldPosition="0">
        <references count="3">
          <reference field="4294967294" count="1" selected="0">
            <x v="0"/>
          </reference>
          <reference field="0" count="1" selected="0">
            <x v="8"/>
          </reference>
          <reference field="1" count="1" selected="0">
            <x v="56"/>
          </reference>
        </references>
      </pivotArea>
    </chartFormat>
    <chartFormat chart="0" format="652">
      <pivotArea type="data" outline="0" fieldPosition="0">
        <references count="3">
          <reference field="4294967294" count="1" selected="0">
            <x v="0"/>
          </reference>
          <reference field="0" count="1" selected="0">
            <x v="8"/>
          </reference>
          <reference field="1" count="1" selected="0">
            <x v="57"/>
          </reference>
        </references>
      </pivotArea>
    </chartFormat>
    <chartFormat chart="0" format="653">
      <pivotArea type="data" outline="0" fieldPosition="0">
        <references count="3">
          <reference field="4294967294" count="1" selected="0">
            <x v="0"/>
          </reference>
          <reference field="0" count="1" selected="0">
            <x v="8"/>
          </reference>
          <reference field="1" count="1" selected="0">
            <x v="58"/>
          </reference>
        </references>
      </pivotArea>
    </chartFormat>
    <chartFormat chart="0" format="654">
      <pivotArea type="data" outline="0" fieldPosition="0">
        <references count="3">
          <reference field="4294967294" count="1" selected="0">
            <x v="0"/>
          </reference>
          <reference field="0" count="1" selected="0">
            <x v="8"/>
          </reference>
          <reference field="1" count="1" selected="0">
            <x v="59"/>
          </reference>
        </references>
      </pivotArea>
    </chartFormat>
    <chartFormat chart="0" format="655">
      <pivotArea type="data" outline="0" fieldPosition="0">
        <references count="3">
          <reference field="4294967294" count="1" selected="0">
            <x v="0"/>
          </reference>
          <reference field="0" count="1" selected="0">
            <x v="8"/>
          </reference>
          <reference field="1" count="1" selected="0">
            <x v="60"/>
          </reference>
        </references>
      </pivotArea>
    </chartFormat>
    <chartFormat chart="0" format="656">
      <pivotArea type="data" outline="0" fieldPosition="0">
        <references count="3">
          <reference field="4294967294" count="1" selected="0">
            <x v="0"/>
          </reference>
          <reference field="0" count="1" selected="0">
            <x v="8"/>
          </reference>
          <reference field="1" count="1" selected="0">
            <x v="61"/>
          </reference>
        </references>
      </pivotArea>
    </chartFormat>
    <chartFormat chart="0" format="657">
      <pivotArea type="data" outline="0" fieldPosition="0">
        <references count="3">
          <reference field="4294967294" count="1" selected="0">
            <x v="0"/>
          </reference>
          <reference field="0" count="1" selected="0">
            <x v="8"/>
          </reference>
          <reference field="1" count="1" selected="0">
            <x v="62"/>
          </reference>
        </references>
      </pivotArea>
    </chartFormat>
    <chartFormat chart="0" format="658">
      <pivotArea type="data" outline="0" fieldPosition="0">
        <references count="3">
          <reference field="4294967294" count="1" selected="0">
            <x v="0"/>
          </reference>
          <reference field="0" count="1" selected="0">
            <x v="8"/>
          </reference>
          <reference field="1" count="1" selected="0">
            <x v="63"/>
          </reference>
        </references>
      </pivotArea>
    </chartFormat>
    <chartFormat chart="0" format="659">
      <pivotArea type="data" outline="0" fieldPosition="0">
        <references count="3">
          <reference field="4294967294" count="1" selected="0">
            <x v="0"/>
          </reference>
          <reference field="0" count="1" selected="0">
            <x v="8"/>
          </reference>
          <reference field="1" count="1" selected="0">
            <x v="64"/>
          </reference>
        </references>
      </pivotArea>
    </chartFormat>
    <chartFormat chart="0" format="660">
      <pivotArea type="data" outline="0" fieldPosition="0">
        <references count="3">
          <reference field="4294967294" count="1" selected="0">
            <x v="0"/>
          </reference>
          <reference field="0" count="1" selected="0">
            <x v="8"/>
          </reference>
          <reference field="1" count="1" selected="0">
            <x v="65"/>
          </reference>
        </references>
      </pivotArea>
    </chartFormat>
    <chartFormat chart="0" format="661">
      <pivotArea type="data" outline="0" fieldPosition="0">
        <references count="3">
          <reference field="4294967294" count="1" selected="0">
            <x v="0"/>
          </reference>
          <reference field="0" count="1" selected="0">
            <x v="8"/>
          </reference>
          <reference field="1" count="1" selected="0">
            <x v="66"/>
          </reference>
        </references>
      </pivotArea>
    </chartFormat>
    <chartFormat chart="0" format="662">
      <pivotArea type="data" outline="0" fieldPosition="0">
        <references count="3">
          <reference field="4294967294" count="1" selected="0">
            <x v="0"/>
          </reference>
          <reference field="0" count="1" selected="0">
            <x v="8"/>
          </reference>
          <reference field="1" count="1" selected="0">
            <x v="67"/>
          </reference>
        </references>
      </pivotArea>
    </chartFormat>
    <chartFormat chart="0" format="663">
      <pivotArea type="data" outline="0" fieldPosition="0">
        <references count="3">
          <reference field="4294967294" count="1" selected="0">
            <x v="0"/>
          </reference>
          <reference field="0" count="1" selected="0">
            <x v="8"/>
          </reference>
          <reference field="1" count="1" selected="0">
            <x v="68"/>
          </reference>
        </references>
      </pivotArea>
    </chartFormat>
    <chartFormat chart="0" format="664">
      <pivotArea type="data" outline="0" fieldPosition="0">
        <references count="3">
          <reference field="4294967294" count="1" selected="0">
            <x v="0"/>
          </reference>
          <reference field="0" count="1" selected="0">
            <x v="8"/>
          </reference>
          <reference field="1" count="1" selected="0">
            <x v="69"/>
          </reference>
        </references>
      </pivotArea>
    </chartFormat>
    <chartFormat chart="0" format="665">
      <pivotArea type="data" outline="0" fieldPosition="0">
        <references count="3">
          <reference field="4294967294" count="1" selected="0">
            <x v="0"/>
          </reference>
          <reference field="0" count="1" selected="0">
            <x v="8"/>
          </reference>
          <reference field="1" count="1" selected="0">
            <x v="70"/>
          </reference>
        </references>
      </pivotArea>
    </chartFormat>
    <chartFormat chart="0" format="666">
      <pivotArea type="data" outline="0" fieldPosition="0">
        <references count="3">
          <reference field="4294967294" count="1" selected="0">
            <x v="0"/>
          </reference>
          <reference field="0" count="1" selected="0">
            <x v="8"/>
          </reference>
          <reference field="1" count="1" selected="0">
            <x v="71"/>
          </reference>
        </references>
      </pivotArea>
    </chartFormat>
    <chartFormat chart="0" format="667">
      <pivotArea type="data" outline="0" fieldPosition="0">
        <references count="3">
          <reference field="4294967294" count="1" selected="0">
            <x v="0"/>
          </reference>
          <reference field="0" count="1" selected="0">
            <x v="8"/>
          </reference>
          <reference field="1" count="1" selected="0">
            <x v="72"/>
          </reference>
        </references>
      </pivotArea>
    </chartFormat>
    <chartFormat chart="0" format="668">
      <pivotArea type="data" outline="0" fieldPosition="0">
        <references count="3">
          <reference field="4294967294" count="1" selected="0">
            <x v="0"/>
          </reference>
          <reference field="0" count="1" selected="0">
            <x v="8"/>
          </reference>
          <reference field="1" count="1" selected="0">
            <x v="73"/>
          </reference>
        </references>
      </pivotArea>
    </chartFormat>
    <chartFormat chart="0" format="669">
      <pivotArea type="data" outline="0" fieldPosition="0">
        <references count="3">
          <reference field="4294967294" count="1" selected="0">
            <x v="0"/>
          </reference>
          <reference field="0" count="1" selected="0">
            <x v="8"/>
          </reference>
          <reference field="1" count="1" selected="0">
            <x v="74"/>
          </reference>
        </references>
      </pivotArea>
    </chartFormat>
    <chartFormat chart="0" format="670">
      <pivotArea type="data" outline="0" fieldPosition="0">
        <references count="3">
          <reference field="4294967294" count="1" selected="0">
            <x v="0"/>
          </reference>
          <reference field="0" count="1" selected="0">
            <x v="8"/>
          </reference>
          <reference field="1" count="1" selected="0">
            <x v="75"/>
          </reference>
        </references>
      </pivotArea>
    </chartFormat>
    <chartFormat chart="0" format="671">
      <pivotArea type="data" outline="0" fieldPosition="0">
        <references count="3">
          <reference field="4294967294" count="1" selected="0">
            <x v="0"/>
          </reference>
          <reference field="0" count="1" selected="0">
            <x v="8"/>
          </reference>
          <reference field="1" count="1" selected="0">
            <x v="76"/>
          </reference>
        </references>
      </pivotArea>
    </chartFormat>
    <chartFormat chart="0" format="672">
      <pivotArea type="data" outline="0" fieldPosition="0">
        <references count="3">
          <reference field="4294967294" count="1" selected="0">
            <x v="0"/>
          </reference>
          <reference field="0" count="1" selected="0">
            <x v="8"/>
          </reference>
          <reference field="1" count="1" selected="0">
            <x v="77"/>
          </reference>
        </references>
      </pivotArea>
    </chartFormat>
    <chartFormat chart="0" format="673">
      <pivotArea type="data" outline="0" fieldPosition="0">
        <references count="3">
          <reference field="4294967294" count="1" selected="0">
            <x v="0"/>
          </reference>
          <reference field="0" count="1" selected="0">
            <x v="8"/>
          </reference>
          <reference field="1" count="1" selected="0">
            <x v="78"/>
          </reference>
        </references>
      </pivotArea>
    </chartFormat>
    <chartFormat chart="0" format="674">
      <pivotArea type="data" outline="0" fieldPosition="0">
        <references count="3">
          <reference field="4294967294" count="1" selected="0">
            <x v="0"/>
          </reference>
          <reference field="0" count="1" selected="0">
            <x v="9"/>
          </reference>
          <reference field="1" count="1" selected="0">
            <x v="31"/>
          </reference>
        </references>
      </pivotArea>
    </chartFormat>
    <chartFormat chart="0" format="675">
      <pivotArea type="data" outline="0" fieldPosition="0">
        <references count="3">
          <reference field="4294967294" count="1" selected="0">
            <x v="0"/>
          </reference>
          <reference field="0" count="1" selected="0">
            <x v="9"/>
          </reference>
          <reference field="1" count="1" selected="0">
            <x v="32"/>
          </reference>
        </references>
      </pivotArea>
    </chartFormat>
    <chartFormat chart="0" format="676">
      <pivotArea type="data" outline="0" fieldPosition="0">
        <references count="3">
          <reference field="4294967294" count="1" selected="0">
            <x v="0"/>
          </reference>
          <reference field="0" count="1" selected="0">
            <x v="9"/>
          </reference>
          <reference field="1" count="1" selected="0">
            <x v="33"/>
          </reference>
        </references>
      </pivotArea>
    </chartFormat>
    <chartFormat chart="0" format="677">
      <pivotArea type="data" outline="0" fieldPosition="0">
        <references count="3">
          <reference field="4294967294" count="1" selected="0">
            <x v="0"/>
          </reference>
          <reference field="0" count="1" selected="0">
            <x v="9"/>
          </reference>
          <reference field="1" count="1" selected="0">
            <x v="34"/>
          </reference>
        </references>
      </pivotArea>
    </chartFormat>
    <chartFormat chart="0" format="678">
      <pivotArea type="data" outline="0" fieldPosition="0">
        <references count="3">
          <reference field="4294967294" count="1" selected="0">
            <x v="0"/>
          </reference>
          <reference field="0" count="1" selected="0">
            <x v="9"/>
          </reference>
          <reference field="1" count="1" selected="0">
            <x v="35"/>
          </reference>
        </references>
      </pivotArea>
    </chartFormat>
    <chartFormat chart="0" format="679">
      <pivotArea type="data" outline="0" fieldPosition="0">
        <references count="3">
          <reference field="4294967294" count="1" selected="0">
            <x v="0"/>
          </reference>
          <reference field="0" count="1" selected="0">
            <x v="9"/>
          </reference>
          <reference field="1" count="1" selected="0">
            <x v="36"/>
          </reference>
        </references>
      </pivotArea>
    </chartFormat>
    <chartFormat chart="0" format="680">
      <pivotArea type="data" outline="0" fieldPosition="0">
        <references count="3">
          <reference field="4294967294" count="1" selected="0">
            <x v="0"/>
          </reference>
          <reference field="0" count="1" selected="0">
            <x v="9"/>
          </reference>
          <reference field="1" count="1" selected="0">
            <x v="37"/>
          </reference>
        </references>
      </pivotArea>
    </chartFormat>
    <chartFormat chart="0" format="681">
      <pivotArea type="data" outline="0" fieldPosition="0">
        <references count="3">
          <reference field="4294967294" count="1" selected="0">
            <x v="0"/>
          </reference>
          <reference field="0" count="1" selected="0">
            <x v="9"/>
          </reference>
          <reference field="1" count="1" selected="0">
            <x v="38"/>
          </reference>
        </references>
      </pivotArea>
    </chartFormat>
    <chartFormat chart="0" format="682">
      <pivotArea type="data" outline="0" fieldPosition="0">
        <references count="3">
          <reference field="4294967294" count="1" selected="0">
            <x v="0"/>
          </reference>
          <reference field="0" count="1" selected="0">
            <x v="9"/>
          </reference>
          <reference field="1" count="1" selected="0">
            <x v="39"/>
          </reference>
        </references>
      </pivotArea>
    </chartFormat>
    <chartFormat chart="0" format="683">
      <pivotArea type="data" outline="0" fieldPosition="0">
        <references count="3">
          <reference field="4294967294" count="1" selected="0">
            <x v="0"/>
          </reference>
          <reference field="0" count="1" selected="0">
            <x v="9"/>
          </reference>
          <reference field="1" count="1" selected="0">
            <x v="40"/>
          </reference>
        </references>
      </pivotArea>
    </chartFormat>
    <chartFormat chart="0" format="684">
      <pivotArea type="data" outline="0" fieldPosition="0">
        <references count="3">
          <reference field="4294967294" count="1" selected="0">
            <x v="0"/>
          </reference>
          <reference field="0" count="1" selected="0">
            <x v="9"/>
          </reference>
          <reference field="1" count="1" selected="0">
            <x v="41"/>
          </reference>
        </references>
      </pivotArea>
    </chartFormat>
    <chartFormat chart="0" format="685">
      <pivotArea type="data" outline="0" fieldPosition="0">
        <references count="3">
          <reference field="4294967294" count="1" selected="0">
            <x v="0"/>
          </reference>
          <reference field="0" count="1" selected="0">
            <x v="9"/>
          </reference>
          <reference field="1" count="1" selected="0">
            <x v="42"/>
          </reference>
        </references>
      </pivotArea>
    </chartFormat>
    <chartFormat chart="0" format="686">
      <pivotArea type="data" outline="0" fieldPosition="0">
        <references count="3">
          <reference field="4294967294" count="1" selected="0">
            <x v="0"/>
          </reference>
          <reference field="0" count="1" selected="0">
            <x v="9"/>
          </reference>
          <reference field="1" count="1" selected="0">
            <x v="43"/>
          </reference>
        </references>
      </pivotArea>
    </chartFormat>
    <chartFormat chart="0" format="687">
      <pivotArea type="data" outline="0" fieldPosition="0">
        <references count="3">
          <reference field="4294967294" count="1" selected="0">
            <x v="0"/>
          </reference>
          <reference field="0" count="1" selected="0">
            <x v="9"/>
          </reference>
          <reference field="1" count="1" selected="0">
            <x v="44"/>
          </reference>
        </references>
      </pivotArea>
    </chartFormat>
    <chartFormat chart="0" format="688">
      <pivotArea type="data" outline="0" fieldPosition="0">
        <references count="3">
          <reference field="4294967294" count="1" selected="0">
            <x v="0"/>
          </reference>
          <reference field="0" count="1" selected="0">
            <x v="9"/>
          </reference>
          <reference field="1" count="1" selected="0">
            <x v="45"/>
          </reference>
        </references>
      </pivotArea>
    </chartFormat>
    <chartFormat chart="0" format="689">
      <pivotArea type="data" outline="0" fieldPosition="0">
        <references count="3">
          <reference field="4294967294" count="1" selected="0">
            <x v="0"/>
          </reference>
          <reference field="0" count="1" selected="0">
            <x v="9"/>
          </reference>
          <reference field="1" count="1" selected="0">
            <x v="46"/>
          </reference>
        </references>
      </pivotArea>
    </chartFormat>
    <chartFormat chart="0" format="690">
      <pivotArea type="data" outline="0" fieldPosition="0">
        <references count="3">
          <reference field="4294967294" count="1" selected="0">
            <x v="0"/>
          </reference>
          <reference field="0" count="1" selected="0">
            <x v="9"/>
          </reference>
          <reference field="1" count="1" selected="0">
            <x v="47"/>
          </reference>
        </references>
      </pivotArea>
    </chartFormat>
    <chartFormat chart="0" format="691">
      <pivotArea type="data" outline="0" fieldPosition="0">
        <references count="3">
          <reference field="4294967294" count="1" selected="0">
            <x v="0"/>
          </reference>
          <reference field="0" count="1" selected="0">
            <x v="9"/>
          </reference>
          <reference field="1" count="1" selected="0">
            <x v="48"/>
          </reference>
        </references>
      </pivotArea>
    </chartFormat>
    <chartFormat chart="0" format="692">
      <pivotArea type="data" outline="0" fieldPosition="0">
        <references count="3">
          <reference field="4294967294" count="1" selected="0">
            <x v="0"/>
          </reference>
          <reference field="0" count="1" selected="0">
            <x v="9"/>
          </reference>
          <reference field="1" count="1" selected="0">
            <x v="49"/>
          </reference>
        </references>
      </pivotArea>
    </chartFormat>
    <chartFormat chart="0" format="693">
      <pivotArea type="data" outline="0" fieldPosition="0">
        <references count="3">
          <reference field="4294967294" count="1" selected="0">
            <x v="0"/>
          </reference>
          <reference field="0" count="1" selected="0">
            <x v="9"/>
          </reference>
          <reference field="1" count="1" selected="0">
            <x v="50"/>
          </reference>
        </references>
      </pivotArea>
    </chartFormat>
    <chartFormat chart="0" format="694">
      <pivotArea type="data" outline="0" fieldPosition="0">
        <references count="3">
          <reference field="4294967294" count="1" selected="0">
            <x v="0"/>
          </reference>
          <reference field="0" count="1" selected="0">
            <x v="9"/>
          </reference>
          <reference field="1" count="1" selected="0">
            <x v="51"/>
          </reference>
        </references>
      </pivotArea>
    </chartFormat>
    <chartFormat chart="0" format="695">
      <pivotArea type="data" outline="0" fieldPosition="0">
        <references count="3">
          <reference field="4294967294" count="1" selected="0">
            <x v="0"/>
          </reference>
          <reference field="0" count="1" selected="0">
            <x v="9"/>
          </reference>
          <reference field="1" count="1" selected="0">
            <x v="52"/>
          </reference>
        </references>
      </pivotArea>
    </chartFormat>
    <chartFormat chart="0" format="696">
      <pivotArea type="data" outline="0" fieldPosition="0">
        <references count="3">
          <reference field="4294967294" count="1" selected="0">
            <x v="0"/>
          </reference>
          <reference field="0" count="1" selected="0">
            <x v="9"/>
          </reference>
          <reference field="1" count="1" selected="0">
            <x v="53"/>
          </reference>
        </references>
      </pivotArea>
    </chartFormat>
    <chartFormat chart="0" format="697">
      <pivotArea type="data" outline="0" fieldPosition="0">
        <references count="3">
          <reference field="4294967294" count="1" selected="0">
            <x v="0"/>
          </reference>
          <reference field="0" count="1" selected="0">
            <x v="9"/>
          </reference>
          <reference field="1" count="1" selected="0">
            <x v="54"/>
          </reference>
        </references>
      </pivotArea>
    </chartFormat>
    <chartFormat chart="0" format="698">
      <pivotArea type="data" outline="0" fieldPosition="0">
        <references count="3">
          <reference field="4294967294" count="1" selected="0">
            <x v="0"/>
          </reference>
          <reference field="0" count="1" selected="0">
            <x v="9"/>
          </reference>
          <reference field="1" count="1" selected="0">
            <x v="55"/>
          </reference>
        </references>
      </pivotArea>
    </chartFormat>
    <chartFormat chart="0" format="699">
      <pivotArea type="data" outline="0" fieldPosition="0">
        <references count="3">
          <reference field="4294967294" count="1" selected="0">
            <x v="0"/>
          </reference>
          <reference field="0" count="1" selected="0">
            <x v="9"/>
          </reference>
          <reference field="1" count="1" selected="0">
            <x v="56"/>
          </reference>
        </references>
      </pivotArea>
    </chartFormat>
    <chartFormat chart="0" format="700">
      <pivotArea type="data" outline="0" fieldPosition="0">
        <references count="3">
          <reference field="4294967294" count="1" selected="0">
            <x v="0"/>
          </reference>
          <reference field="0" count="1" selected="0">
            <x v="9"/>
          </reference>
          <reference field="1" count="1" selected="0">
            <x v="57"/>
          </reference>
        </references>
      </pivotArea>
    </chartFormat>
    <chartFormat chart="0" format="701">
      <pivotArea type="data" outline="0" fieldPosition="0">
        <references count="3">
          <reference field="4294967294" count="1" selected="0">
            <x v="0"/>
          </reference>
          <reference field="0" count="1" selected="0">
            <x v="9"/>
          </reference>
          <reference field="1" count="1" selected="0">
            <x v="58"/>
          </reference>
        </references>
      </pivotArea>
    </chartFormat>
    <chartFormat chart="0" format="702">
      <pivotArea type="data" outline="0" fieldPosition="0">
        <references count="3">
          <reference field="4294967294" count="1" selected="0">
            <x v="0"/>
          </reference>
          <reference field="0" count="1" selected="0">
            <x v="9"/>
          </reference>
          <reference field="1" count="1" selected="0">
            <x v="59"/>
          </reference>
        </references>
      </pivotArea>
    </chartFormat>
    <chartFormat chart="0" format="703">
      <pivotArea type="data" outline="0" fieldPosition="0">
        <references count="3">
          <reference field="4294967294" count="1" selected="0">
            <x v="0"/>
          </reference>
          <reference field="0" count="1" selected="0">
            <x v="9"/>
          </reference>
          <reference field="1" count="1" selected="0">
            <x v="60"/>
          </reference>
        </references>
      </pivotArea>
    </chartFormat>
    <chartFormat chart="0" format="704">
      <pivotArea type="data" outline="0" fieldPosition="0">
        <references count="3">
          <reference field="4294967294" count="1" selected="0">
            <x v="0"/>
          </reference>
          <reference field="0" count="1" selected="0">
            <x v="9"/>
          </reference>
          <reference field="1" count="1" selected="0">
            <x v="61"/>
          </reference>
        </references>
      </pivotArea>
    </chartFormat>
    <chartFormat chart="0" format="705">
      <pivotArea type="data" outline="0" fieldPosition="0">
        <references count="3">
          <reference field="4294967294" count="1" selected="0">
            <x v="0"/>
          </reference>
          <reference field="0" count="1" selected="0">
            <x v="9"/>
          </reference>
          <reference field="1" count="1" selected="0">
            <x v="62"/>
          </reference>
        </references>
      </pivotArea>
    </chartFormat>
    <chartFormat chart="0" format="706">
      <pivotArea type="data" outline="0" fieldPosition="0">
        <references count="3">
          <reference field="4294967294" count="1" selected="0">
            <x v="0"/>
          </reference>
          <reference field="0" count="1" selected="0">
            <x v="9"/>
          </reference>
          <reference field="1" count="1" selected="0">
            <x v="63"/>
          </reference>
        </references>
      </pivotArea>
    </chartFormat>
    <chartFormat chart="0" format="707">
      <pivotArea type="data" outline="0" fieldPosition="0">
        <references count="3">
          <reference field="4294967294" count="1" selected="0">
            <x v="0"/>
          </reference>
          <reference field="0" count="1" selected="0">
            <x v="9"/>
          </reference>
          <reference field="1" count="1" selected="0">
            <x v="64"/>
          </reference>
        </references>
      </pivotArea>
    </chartFormat>
    <chartFormat chart="0" format="708">
      <pivotArea type="data" outline="0" fieldPosition="0">
        <references count="3">
          <reference field="4294967294" count="1" selected="0">
            <x v="0"/>
          </reference>
          <reference field="0" count="1" selected="0">
            <x v="9"/>
          </reference>
          <reference field="1" count="1" selected="0">
            <x v="65"/>
          </reference>
        </references>
      </pivotArea>
    </chartFormat>
    <chartFormat chart="0" format="709">
      <pivotArea type="data" outline="0" fieldPosition="0">
        <references count="3">
          <reference field="4294967294" count="1" selected="0">
            <x v="0"/>
          </reference>
          <reference field="0" count="1" selected="0">
            <x v="9"/>
          </reference>
          <reference field="1" count="1" selected="0">
            <x v="66"/>
          </reference>
        </references>
      </pivotArea>
    </chartFormat>
    <chartFormat chart="0" format="710">
      <pivotArea type="data" outline="0" fieldPosition="0">
        <references count="3">
          <reference field="4294967294" count="1" selected="0">
            <x v="0"/>
          </reference>
          <reference field="0" count="1" selected="0">
            <x v="9"/>
          </reference>
          <reference field="1" count="1" selected="0">
            <x v="67"/>
          </reference>
        </references>
      </pivotArea>
    </chartFormat>
    <chartFormat chart="0" format="711">
      <pivotArea type="data" outline="0" fieldPosition="0">
        <references count="3">
          <reference field="4294967294" count="1" selected="0">
            <x v="0"/>
          </reference>
          <reference field="0" count="1" selected="0">
            <x v="9"/>
          </reference>
          <reference field="1" count="1" selected="0">
            <x v="68"/>
          </reference>
        </references>
      </pivotArea>
    </chartFormat>
    <chartFormat chart="0" format="712">
      <pivotArea type="data" outline="0" fieldPosition="0">
        <references count="3">
          <reference field="4294967294" count="1" selected="0">
            <x v="0"/>
          </reference>
          <reference field="0" count="1" selected="0">
            <x v="9"/>
          </reference>
          <reference field="1" count="1" selected="0">
            <x v="69"/>
          </reference>
        </references>
      </pivotArea>
    </chartFormat>
    <chartFormat chart="0" format="713">
      <pivotArea type="data" outline="0" fieldPosition="0">
        <references count="3">
          <reference field="4294967294" count="1" selected="0">
            <x v="0"/>
          </reference>
          <reference field="0" count="1" selected="0">
            <x v="9"/>
          </reference>
          <reference field="1" count="1" selected="0">
            <x v="70"/>
          </reference>
        </references>
      </pivotArea>
    </chartFormat>
    <chartFormat chart="0" format="714">
      <pivotArea type="data" outline="0" fieldPosition="0">
        <references count="3">
          <reference field="4294967294" count="1" selected="0">
            <x v="0"/>
          </reference>
          <reference field="0" count="1" selected="0">
            <x v="9"/>
          </reference>
          <reference field="1" count="1" selected="0">
            <x v="71"/>
          </reference>
        </references>
      </pivotArea>
    </chartFormat>
    <chartFormat chart="0" format="715">
      <pivotArea type="data" outline="0" fieldPosition="0">
        <references count="3">
          <reference field="4294967294" count="1" selected="0">
            <x v="0"/>
          </reference>
          <reference field="0" count="1" selected="0">
            <x v="9"/>
          </reference>
          <reference field="1" count="1" selected="0">
            <x v="72"/>
          </reference>
        </references>
      </pivotArea>
    </chartFormat>
    <chartFormat chart="0" format="716">
      <pivotArea type="data" outline="0" fieldPosition="0">
        <references count="3">
          <reference field="4294967294" count="1" selected="0">
            <x v="0"/>
          </reference>
          <reference field="0" count="1" selected="0">
            <x v="9"/>
          </reference>
          <reference field="1" count="1" selected="0">
            <x v="73"/>
          </reference>
        </references>
      </pivotArea>
    </chartFormat>
    <chartFormat chart="0" format="717">
      <pivotArea type="data" outline="0" fieldPosition="0">
        <references count="3">
          <reference field="4294967294" count="1" selected="0">
            <x v="0"/>
          </reference>
          <reference field="0" count="1" selected="0">
            <x v="9"/>
          </reference>
          <reference field="1" count="1" selected="0">
            <x v="74"/>
          </reference>
        </references>
      </pivotArea>
    </chartFormat>
    <chartFormat chart="0" format="718">
      <pivotArea type="data" outline="0" fieldPosition="0">
        <references count="3">
          <reference field="4294967294" count="1" selected="0">
            <x v="0"/>
          </reference>
          <reference field="0" count="1" selected="0">
            <x v="9"/>
          </reference>
          <reference field="1" count="1" selected="0">
            <x v="75"/>
          </reference>
        </references>
      </pivotArea>
    </chartFormat>
    <chartFormat chart="0" format="719">
      <pivotArea type="data" outline="0" fieldPosition="0">
        <references count="3">
          <reference field="4294967294" count="1" selected="0">
            <x v="0"/>
          </reference>
          <reference field="0" count="1" selected="0">
            <x v="9"/>
          </reference>
          <reference field="1" count="1" selected="0">
            <x v="76"/>
          </reference>
        </references>
      </pivotArea>
    </chartFormat>
    <chartFormat chart="0" format="720">
      <pivotArea type="data" outline="0" fieldPosition="0">
        <references count="3">
          <reference field="4294967294" count="1" selected="0">
            <x v="0"/>
          </reference>
          <reference field="0" count="1" selected="0">
            <x v="9"/>
          </reference>
          <reference field="1" count="1" selected="0">
            <x v="77"/>
          </reference>
        </references>
      </pivotArea>
    </chartFormat>
    <chartFormat chart="0" format="721">
      <pivotArea type="data" outline="0" fieldPosition="0">
        <references count="3">
          <reference field="4294967294" count="1" selected="0">
            <x v="0"/>
          </reference>
          <reference field="0" count="1" selected="0">
            <x v="9"/>
          </reference>
          <reference field="1" count="1" selected="0">
            <x v="78"/>
          </reference>
        </references>
      </pivotArea>
    </chartFormat>
    <chartFormat chart="0" format="722">
      <pivotArea type="data" outline="0" fieldPosition="0">
        <references count="3">
          <reference field="4294967294" count="1" selected="0">
            <x v="0"/>
          </reference>
          <reference field="0" count="1" selected="0">
            <x v="10"/>
          </reference>
          <reference field="1" count="1" selected="0">
            <x v="31"/>
          </reference>
        </references>
      </pivotArea>
    </chartFormat>
    <chartFormat chart="0" format="723">
      <pivotArea type="data" outline="0" fieldPosition="0">
        <references count="3">
          <reference field="4294967294" count="1" selected="0">
            <x v="0"/>
          </reference>
          <reference field="0" count="1" selected="0">
            <x v="10"/>
          </reference>
          <reference field="1" count="1" selected="0">
            <x v="32"/>
          </reference>
        </references>
      </pivotArea>
    </chartFormat>
    <chartFormat chart="0" format="724">
      <pivotArea type="data" outline="0" fieldPosition="0">
        <references count="3">
          <reference field="4294967294" count="1" selected="0">
            <x v="0"/>
          </reference>
          <reference field="0" count="1" selected="0">
            <x v="10"/>
          </reference>
          <reference field="1" count="1" selected="0">
            <x v="33"/>
          </reference>
        </references>
      </pivotArea>
    </chartFormat>
    <chartFormat chart="0" format="725">
      <pivotArea type="data" outline="0" fieldPosition="0">
        <references count="3">
          <reference field="4294967294" count="1" selected="0">
            <x v="0"/>
          </reference>
          <reference field="0" count="1" selected="0">
            <x v="10"/>
          </reference>
          <reference field="1" count="1" selected="0">
            <x v="34"/>
          </reference>
        </references>
      </pivotArea>
    </chartFormat>
    <chartFormat chart="0" format="726">
      <pivotArea type="data" outline="0" fieldPosition="0">
        <references count="3">
          <reference field="4294967294" count="1" selected="0">
            <x v="0"/>
          </reference>
          <reference field="0" count="1" selected="0">
            <x v="10"/>
          </reference>
          <reference field="1" count="1" selected="0">
            <x v="35"/>
          </reference>
        </references>
      </pivotArea>
    </chartFormat>
    <chartFormat chart="0" format="727">
      <pivotArea type="data" outline="0" fieldPosition="0">
        <references count="3">
          <reference field="4294967294" count="1" selected="0">
            <x v="0"/>
          </reference>
          <reference field="0" count="1" selected="0">
            <x v="10"/>
          </reference>
          <reference field="1" count="1" selected="0">
            <x v="36"/>
          </reference>
        </references>
      </pivotArea>
    </chartFormat>
    <chartFormat chart="0" format="728">
      <pivotArea type="data" outline="0" fieldPosition="0">
        <references count="3">
          <reference field="4294967294" count="1" selected="0">
            <x v="0"/>
          </reference>
          <reference field="0" count="1" selected="0">
            <x v="10"/>
          </reference>
          <reference field="1" count="1" selected="0">
            <x v="37"/>
          </reference>
        </references>
      </pivotArea>
    </chartFormat>
    <chartFormat chart="0" format="729">
      <pivotArea type="data" outline="0" fieldPosition="0">
        <references count="3">
          <reference field="4294967294" count="1" selected="0">
            <x v="0"/>
          </reference>
          <reference field="0" count="1" selected="0">
            <x v="10"/>
          </reference>
          <reference field="1" count="1" selected="0">
            <x v="38"/>
          </reference>
        </references>
      </pivotArea>
    </chartFormat>
    <chartFormat chart="0" format="730">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1">
      <pivotArea type="data" outline="0" fieldPosition="0">
        <references count="3">
          <reference field="4294967294" count="1" selected="0">
            <x v="0"/>
          </reference>
          <reference field="0" count="1" selected="0">
            <x v="10"/>
          </reference>
          <reference field="1" count="1" selected="0">
            <x v="40"/>
          </reference>
        </references>
      </pivotArea>
    </chartFormat>
    <chartFormat chart="0" format="732">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3">
      <pivotArea type="data" outline="0" fieldPosition="0">
        <references count="3">
          <reference field="4294967294" count="1" selected="0">
            <x v="0"/>
          </reference>
          <reference field="0" count="1" selected="0">
            <x v="10"/>
          </reference>
          <reference field="1" count="1" selected="0">
            <x v="42"/>
          </reference>
        </references>
      </pivotArea>
    </chartFormat>
    <chartFormat chart="0" format="734">
      <pivotArea type="data" outline="0" fieldPosition="0">
        <references count="3">
          <reference field="4294967294" count="1" selected="0">
            <x v="0"/>
          </reference>
          <reference field="0" count="1" selected="0">
            <x v="10"/>
          </reference>
          <reference field="1" count="1" selected="0">
            <x v="43"/>
          </reference>
        </references>
      </pivotArea>
    </chartFormat>
    <chartFormat chart="0" format="735">
      <pivotArea type="data" outline="0" fieldPosition="0">
        <references count="3">
          <reference field="4294967294" count="1" selected="0">
            <x v="0"/>
          </reference>
          <reference field="0" count="1" selected="0">
            <x v="10"/>
          </reference>
          <reference field="1" count="1" selected="0">
            <x v="44"/>
          </reference>
        </references>
      </pivotArea>
    </chartFormat>
    <chartFormat chart="0" format="736">
      <pivotArea type="data" outline="0" fieldPosition="0">
        <references count="3">
          <reference field="4294967294" count="1" selected="0">
            <x v="0"/>
          </reference>
          <reference field="0" count="1" selected="0">
            <x v="10"/>
          </reference>
          <reference field="1" count="1" selected="0">
            <x v="45"/>
          </reference>
        </references>
      </pivotArea>
    </chartFormat>
    <chartFormat chart="0" format="737">
      <pivotArea type="data" outline="0" fieldPosition="0">
        <references count="3">
          <reference field="4294967294" count="1" selected="0">
            <x v="0"/>
          </reference>
          <reference field="0" count="1" selected="0">
            <x v="10"/>
          </reference>
          <reference field="1" count="1" selected="0">
            <x v="46"/>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7"/>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8"/>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1">
      <pivotArea type="data" outline="0" fieldPosition="0">
        <references count="3">
          <reference field="4294967294" count="1" selected="0">
            <x v="0"/>
          </reference>
          <reference field="0" count="1" selected="0">
            <x v="10"/>
          </reference>
          <reference field="1" count="1" selected="0">
            <x v="50"/>
          </reference>
        </references>
      </pivotArea>
    </chartFormat>
    <chartFormat chart="0" format="742">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2"/>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4"/>
          </reference>
        </references>
      </pivotArea>
    </chartFormat>
    <chartFormat chart="0" format="746">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7">
      <pivotArea type="data" outline="0" fieldPosition="0">
        <references count="3">
          <reference field="4294967294" count="1" selected="0">
            <x v="0"/>
          </reference>
          <reference field="0" count="1" selected="0">
            <x v="10"/>
          </reference>
          <reference field="1" count="1" selected="0">
            <x v="56"/>
          </reference>
        </references>
      </pivotArea>
    </chartFormat>
    <chartFormat chart="0" format="748">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9">
      <pivotArea type="data" outline="0" fieldPosition="0">
        <references count="3">
          <reference field="4294967294" count="1" selected="0">
            <x v="0"/>
          </reference>
          <reference field="0" count="1" selected="0">
            <x v="10"/>
          </reference>
          <reference field="1" count="1" selected="0">
            <x v="58"/>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1">
      <pivotArea type="data" outline="0" fieldPosition="0">
        <references count="3">
          <reference field="4294967294" count="1" selected="0">
            <x v="0"/>
          </reference>
          <reference field="0" count="1" selected="0">
            <x v="10"/>
          </reference>
          <reference field="1" count="1" selected="0">
            <x v="60"/>
          </reference>
        </references>
      </pivotArea>
    </chartFormat>
    <chartFormat chart="0" format="752">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3">
      <pivotArea type="data" outline="0" fieldPosition="0">
        <references count="3">
          <reference field="4294967294" count="1" selected="0">
            <x v="0"/>
          </reference>
          <reference field="0" count="1" selected="0">
            <x v="10"/>
          </reference>
          <reference field="1" count="1" selected="0">
            <x v="62"/>
          </reference>
        </references>
      </pivotArea>
    </chartFormat>
    <chartFormat chart="0" format="754">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4"/>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6"/>
          </reference>
        </references>
      </pivotArea>
    </chartFormat>
    <chartFormat chart="0" format="758">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8"/>
          </reference>
        </references>
      </pivotArea>
    </chartFormat>
    <chartFormat chart="0" format="760">
      <pivotArea type="data" outline="0" fieldPosition="0">
        <references count="3">
          <reference field="4294967294" count="1" selected="0">
            <x v="0"/>
          </reference>
          <reference field="0" count="1" selected="0">
            <x v="10"/>
          </reference>
          <reference field="1" count="1" selected="0">
            <x v="69"/>
          </reference>
        </references>
      </pivotArea>
    </chartFormat>
    <chartFormat chart="0" format="761">
      <pivotArea type="data" outline="0" fieldPosition="0">
        <references count="3">
          <reference field="4294967294" count="1" selected="0">
            <x v="0"/>
          </reference>
          <reference field="0" count="1" selected="0">
            <x v="10"/>
          </reference>
          <reference field="1" count="1" selected="0">
            <x v="70"/>
          </reference>
        </references>
      </pivotArea>
    </chartFormat>
    <chartFormat chart="0" format="762">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3">
      <pivotArea type="data" outline="0" fieldPosition="0">
        <references count="3">
          <reference field="4294967294" count="1" selected="0">
            <x v="0"/>
          </reference>
          <reference field="0" count="1" selected="0">
            <x v="10"/>
          </reference>
          <reference field="1" count="1" selected="0">
            <x v="72"/>
          </reference>
        </references>
      </pivotArea>
    </chartFormat>
    <chartFormat chart="0" format="764">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5">
      <pivotArea type="data" outline="0" fieldPosition="0">
        <references count="3">
          <reference field="4294967294" count="1" selected="0">
            <x v="0"/>
          </reference>
          <reference field="0" count="1" selected="0">
            <x v="10"/>
          </reference>
          <reference field="1" count="1" selected="0">
            <x v="74"/>
          </reference>
        </references>
      </pivotArea>
    </chartFormat>
    <chartFormat chart="0" format="766">
      <pivotArea type="data" outline="0" fieldPosition="0">
        <references count="3">
          <reference field="4294967294" count="1" selected="0">
            <x v="0"/>
          </reference>
          <reference field="0" count="1" selected="0">
            <x v="10"/>
          </reference>
          <reference field="1" count="1" selected="0">
            <x v="75"/>
          </reference>
        </references>
      </pivotArea>
    </chartFormat>
    <chartFormat chart="0" format="767">
      <pivotArea type="data" outline="0" fieldPosition="0">
        <references count="3">
          <reference field="4294967294" count="1" selected="0">
            <x v="0"/>
          </reference>
          <reference field="0" count="1" selected="0">
            <x v="10"/>
          </reference>
          <reference field="1" count="1" selected="0">
            <x v="76"/>
          </reference>
        </references>
      </pivotArea>
    </chartFormat>
    <chartFormat chart="0" format="768">
      <pivotArea type="data" outline="0" fieldPosition="0">
        <references count="3">
          <reference field="4294967294" count="1" selected="0">
            <x v="0"/>
          </reference>
          <reference field="0" count="1" selected="0">
            <x v="10"/>
          </reference>
          <reference field="1" count="1" selected="0">
            <x v="77"/>
          </reference>
        </references>
      </pivotArea>
    </chartFormat>
    <chartFormat chart="0" format="769">
      <pivotArea type="data" outline="0" fieldPosition="0">
        <references count="3">
          <reference field="4294967294" count="1" selected="0">
            <x v="0"/>
          </reference>
          <reference field="0" count="1" selected="0">
            <x v="10"/>
          </reference>
          <reference field="1" count="1" selected="0">
            <x v="78"/>
          </reference>
        </references>
      </pivotArea>
    </chartFormat>
    <chartFormat chart="0" format="770">
      <pivotArea type="data" outline="0" fieldPosition="0">
        <references count="3">
          <reference field="4294967294" count="1" selected="0">
            <x v="0"/>
          </reference>
          <reference field="0" count="1" selected="0">
            <x v="11"/>
          </reference>
          <reference field="1" count="1" selected="0">
            <x v="31"/>
          </reference>
        </references>
      </pivotArea>
    </chartFormat>
    <chartFormat chart="0" format="771">
      <pivotArea type="data" outline="0" fieldPosition="0">
        <references count="3">
          <reference field="4294967294" count="1" selected="0">
            <x v="0"/>
          </reference>
          <reference field="0" count="1" selected="0">
            <x v="11"/>
          </reference>
          <reference field="1" count="1" selected="0">
            <x v="32"/>
          </reference>
        </references>
      </pivotArea>
    </chartFormat>
    <chartFormat chart="0" format="772">
      <pivotArea type="data" outline="0" fieldPosition="0">
        <references count="3">
          <reference field="4294967294" count="1" selected="0">
            <x v="0"/>
          </reference>
          <reference field="0" count="1" selected="0">
            <x v="11"/>
          </reference>
          <reference field="1" count="1" selected="0">
            <x v="33"/>
          </reference>
        </references>
      </pivotArea>
    </chartFormat>
    <chartFormat chart="0" format="773">
      <pivotArea type="data" outline="0" fieldPosition="0">
        <references count="3">
          <reference field="4294967294" count="1" selected="0">
            <x v="0"/>
          </reference>
          <reference field="0" count="1" selected="0">
            <x v="11"/>
          </reference>
          <reference field="1" count="1" selected="0">
            <x v="34"/>
          </reference>
        </references>
      </pivotArea>
    </chartFormat>
    <chartFormat chart="0" format="774">
      <pivotArea type="data" outline="0" fieldPosition="0">
        <references count="3">
          <reference field="4294967294" count="1" selected="0">
            <x v="0"/>
          </reference>
          <reference field="0" count="1" selected="0">
            <x v="11"/>
          </reference>
          <reference field="1" count="1" selected="0">
            <x v="63"/>
          </reference>
        </references>
      </pivotArea>
    </chartFormat>
    <chartFormat chart="0" format="775">
      <pivotArea type="data" outline="0" fieldPosition="0">
        <references count="3">
          <reference field="4294967294" count="1" selected="0">
            <x v="0"/>
          </reference>
          <reference field="0" count="1" selected="0">
            <x v="11"/>
          </reference>
          <reference field="1" count="1" selected="0">
            <x v="64"/>
          </reference>
        </references>
      </pivotArea>
    </chartFormat>
    <chartFormat chart="0" format="776">
      <pivotArea type="data" outline="0" fieldPosition="0">
        <references count="3">
          <reference field="4294967294" count="1" selected="0">
            <x v="0"/>
          </reference>
          <reference field="0" count="1" selected="0">
            <x v="11"/>
          </reference>
          <reference field="1" count="1" selected="0">
            <x v="65"/>
          </reference>
        </references>
      </pivotArea>
    </chartFormat>
    <chartFormat chart="0" format="777">
      <pivotArea type="data" outline="0" fieldPosition="0">
        <references count="3">
          <reference field="4294967294" count="1" selected="0">
            <x v="0"/>
          </reference>
          <reference field="0" count="1" selected="0">
            <x v="11"/>
          </reference>
          <reference field="1" count="1" selected="0">
            <x v="66"/>
          </reference>
        </references>
      </pivotArea>
    </chartFormat>
    <chartFormat chart="0" format="778">
      <pivotArea type="data" outline="0" fieldPosition="0">
        <references count="3">
          <reference field="4294967294" count="1" selected="0">
            <x v="0"/>
          </reference>
          <reference field="0" count="1" selected="0">
            <x v="11"/>
          </reference>
          <reference field="1" count="1" selected="0">
            <x v="67"/>
          </reference>
        </references>
      </pivotArea>
    </chartFormat>
    <chartFormat chart="0" format="779">
      <pivotArea type="data" outline="0" fieldPosition="0">
        <references count="3">
          <reference field="4294967294" count="1" selected="0">
            <x v="0"/>
          </reference>
          <reference field="0" count="1" selected="0">
            <x v="11"/>
          </reference>
          <reference field="1" count="1" selected="0">
            <x v="68"/>
          </reference>
        </references>
      </pivotArea>
    </chartFormat>
    <chartFormat chart="0" format="780">
      <pivotArea type="data" outline="0" fieldPosition="0">
        <references count="3">
          <reference field="4294967294" count="1" selected="0">
            <x v="0"/>
          </reference>
          <reference field="0" count="1" selected="0">
            <x v="11"/>
          </reference>
          <reference field="1" count="1" selected="0">
            <x v="69"/>
          </reference>
        </references>
      </pivotArea>
    </chartFormat>
    <chartFormat chart="0" format="781">
      <pivotArea type="data" outline="0" fieldPosition="0">
        <references count="3">
          <reference field="4294967294" count="1" selected="0">
            <x v="0"/>
          </reference>
          <reference field="0" count="1" selected="0">
            <x v="11"/>
          </reference>
          <reference field="1" count="1" selected="0">
            <x v="70"/>
          </reference>
        </references>
      </pivotArea>
    </chartFormat>
    <chartFormat chart="0" format="782">
      <pivotArea type="data" outline="0" fieldPosition="0">
        <references count="3">
          <reference field="4294967294" count="1" selected="0">
            <x v="0"/>
          </reference>
          <reference field="0" count="1" selected="0">
            <x v="11"/>
          </reference>
          <reference field="1" count="1" selected="0">
            <x v="71"/>
          </reference>
        </references>
      </pivotArea>
    </chartFormat>
    <chartFormat chart="0" format="783">
      <pivotArea type="data" outline="0" fieldPosition="0">
        <references count="3">
          <reference field="4294967294" count="1" selected="0">
            <x v="0"/>
          </reference>
          <reference field="0" count="1" selected="0">
            <x v="11"/>
          </reference>
          <reference field="1" count="1" selected="0">
            <x v="72"/>
          </reference>
        </references>
      </pivotArea>
    </chartFormat>
    <chartFormat chart="0" format="784">
      <pivotArea type="data" outline="0" fieldPosition="0">
        <references count="3">
          <reference field="4294967294" count="1" selected="0">
            <x v="0"/>
          </reference>
          <reference field="0" count="1" selected="0">
            <x v="11"/>
          </reference>
          <reference field="1" count="1" selected="0">
            <x v="73"/>
          </reference>
        </references>
      </pivotArea>
    </chartFormat>
    <chartFormat chart="0" format="785">
      <pivotArea type="data" outline="0" fieldPosition="0">
        <references count="3">
          <reference field="4294967294" count="1" selected="0">
            <x v="0"/>
          </reference>
          <reference field="0" count="1" selected="0">
            <x v="11"/>
          </reference>
          <reference field="1" count="1" selected="0">
            <x v="74"/>
          </reference>
        </references>
      </pivotArea>
    </chartFormat>
    <chartFormat chart="0" format="786">
      <pivotArea type="data" outline="0" fieldPosition="0">
        <references count="3">
          <reference field="4294967294" count="1" selected="0">
            <x v="0"/>
          </reference>
          <reference field="0" count="1" selected="0">
            <x v="11"/>
          </reference>
          <reference field="1" count="1" selected="0">
            <x v="75"/>
          </reference>
        </references>
      </pivotArea>
    </chartFormat>
    <chartFormat chart="0" format="787">
      <pivotArea type="data" outline="0" fieldPosition="0">
        <references count="3">
          <reference field="4294967294" count="1" selected="0">
            <x v="0"/>
          </reference>
          <reference field="0" count="1" selected="0">
            <x v="11"/>
          </reference>
          <reference field="1" count="1" selected="0">
            <x v="76"/>
          </reference>
        </references>
      </pivotArea>
    </chartFormat>
    <chartFormat chart="0" format="788">
      <pivotArea type="data" outline="0" fieldPosition="0">
        <references count="3">
          <reference field="4294967294" count="1" selected="0">
            <x v="0"/>
          </reference>
          <reference field="0" count="1" selected="0">
            <x v="11"/>
          </reference>
          <reference field="1" count="1" selected="0">
            <x v="77"/>
          </reference>
        </references>
      </pivotArea>
    </chartFormat>
    <chartFormat chart="0" format="789">
      <pivotArea type="data" outline="0" fieldPosition="0">
        <references count="3">
          <reference field="4294967294" count="1" selected="0">
            <x v="0"/>
          </reference>
          <reference field="0" count="1" selected="0">
            <x v="11"/>
          </reference>
          <reference field="1" count="1" selected="0">
            <x v="78"/>
          </reference>
        </references>
      </pivotArea>
    </chartFormat>
    <chartFormat chart="0" format="790">
      <pivotArea type="data" outline="0" fieldPosition="0">
        <references count="3">
          <reference field="4294967294" count="1" selected="0">
            <x v="2"/>
          </reference>
          <reference field="0" count="1" selected="0">
            <x v="6"/>
          </reference>
          <reference field="1" count="1" selected="0">
            <x v="41"/>
          </reference>
        </references>
      </pivotArea>
    </chartFormat>
    <chartFormat chart="0" format="791">
      <pivotArea type="data" outline="0" fieldPosition="0">
        <references count="3">
          <reference field="4294967294" count="1" selected="0">
            <x v="2"/>
          </reference>
          <reference field="0" count="1" selected="0">
            <x v="6"/>
          </reference>
          <reference field="1" count="1" selected="0">
            <x v="42"/>
          </reference>
        </references>
      </pivotArea>
    </chartFormat>
    <chartFormat chart="0" format="792">
      <pivotArea type="data" outline="0" fieldPosition="0">
        <references count="3">
          <reference field="4294967294" count="1" selected="0">
            <x v="2"/>
          </reference>
          <reference field="0" count="1" selected="0">
            <x v="6"/>
          </reference>
          <reference field="1" count="1" selected="0">
            <x v="43"/>
          </reference>
        </references>
      </pivotArea>
    </chartFormat>
    <chartFormat chart="0" format="793">
      <pivotArea type="data" outline="0" fieldPosition="0">
        <references count="3">
          <reference field="4294967294" count="1" selected="0">
            <x v="2"/>
          </reference>
          <reference field="0" count="1" selected="0">
            <x v="6"/>
          </reference>
          <reference field="1" count="1" selected="0">
            <x v="44"/>
          </reference>
        </references>
      </pivotArea>
    </chartFormat>
    <chartFormat chart="0" format="794">
      <pivotArea type="data" outline="0" fieldPosition="0">
        <references count="3">
          <reference field="4294967294" count="1" selected="0">
            <x v="2"/>
          </reference>
          <reference field="0" count="1" selected="0">
            <x v="6"/>
          </reference>
          <reference field="1" count="1" selected="0">
            <x v="45"/>
          </reference>
        </references>
      </pivotArea>
    </chartFormat>
    <chartFormat chart="0" format="795">
      <pivotArea type="data" outline="0" fieldPosition="0">
        <references count="3">
          <reference field="4294967294" count="1" selected="0">
            <x v="2"/>
          </reference>
          <reference field="0" count="1" selected="0">
            <x v="6"/>
          </reference>
          <reference field="1" count="1" selected="0">
            <x v="46"/>
          </reference>
        </references>
      </pivotArea>
    </chartFormat>
    <chartFormat chart="0" format="796">
      <pivotArea type="data" outline="0" fieldPosition="0">
        <references count="3">
          <reference field="4294967294" count="1" selected="0">
            <x v="2"/>
          </reference>
          <reference field="0" count="1" selected="0">
            <x v="6"/>
          </reference>
          <reference field="1" count="1" selected="0">
            <x v="47"/>
          </reference>
        </references>
      </pivotArea>
    </chartFormat>
    <chartFormat chart="0" format="797">
      <pivotArea type="data" outline="0" fieldPosition="0">
        <references count="3">
          <reference field="4294967294" count="1" selected="0">
            <x v="2"/>
          </reference>
          <reference field="0" count="1" selected="0">
            <x v="6"/>
          </reference>
          <reference field="1" count="1" selected="0">
            <x v="48"/>
          </reference>
        </references>
      </pivotArea>
    </chartFormat>
    <chartFormat chart="0" format="798">
      <pivotArea type="data" outline="0" fieldPosition="0">
        <references count="3">
          <reference field="4294967294" count="1" selected="0">
            <x v="2"/>
          </reference>
          <reference field="0" count="1" selected="0">
            <x v="6"/>
          </reference>
          <reference field="1" count="1" selected="0">
            <x v="49"/>
          </reference>
        </references>
      </pivotArea>
    </chartFormat>
    <chartFormat chart="0" format="799">
      <pivotArea type="data" outline="0" fieldPosition="0">
        <references count="3">
          <reference field="4294967294" count="1" selected="0">
            <x v="2"/>
          </reference>
          <reference field="0" count="1" selected="0">
            <x v="6"/>
          </reference>
          <reference field="1" count="1" selected="0">
            <x v="50"/>
          </reference>
        </references>
      </pivotArea>
    </chartFormat>
    <chartFormat chart="0" format="800">
      <pivotArea type="data" outline="0" fieldPosition="0">
        <references count="3">
          <reference field="4294967294" count="1" selected="0">
            <x v="2"/>
          </reference>
          <reference field="0" count="1" selected="0">
            <x v="6"/>
          </reference>
          <reference field="1" count="1" selected="0">
            <x v="51"/>
          </reference>
        </references>
      </pivotArea>
    </chartFormat>
    <chartFormat chart="0" format="801">
      <pivotArea type="data" outline="0" fieldPosition="0">
        <references count="3">
          <reference field="4294967294" count="1" selected="0">
            <x v="2"/>
          </reference>
          <reference field="0" count="1" selected="0">
            <x v="6"/>
          </reference>
          <reference field="1" count="1" selected="0">
            <x v="52"/>
          </reference>
        </references>
      </pivotArea>
    </chartFormat>
    <chartFormat chart="0" format="802">
      <pivotArea type="data" outline="0" fieldPosition="0">
        <references count="3">
          <reference field="4294967294" count="1" selected="0">
            <x v="2"/>
          </reference>
          <reference field="0" count="1" selected="0">
            <x v="6"/>
          </reference>
          <reference field="1" count="1" selected="0">
            <x v="53"/>
          </reference>
        </references>
      </pivotArea>
    </chartFormat>
    <chartFormat chart="0" format="803">
      <pivotArea type="data" outline="0" fieldPosition="0">
        <references count="3">
          <reference field="4294967294" count="1" selected="0">
            <x v="2"/>
          </reference>
          <reference field="0" count="1" selected="0">
            <x v="6"/>
          </reference>
          <reference field="1" count="1" selected="0">
            <x v="54"/>
          </reference>
        </references>
      </pivotArea>
    </chartFormat>
    <chartFormat chart="0" format="804">
      <pivotArea type="data" outline="0" fieldPosition="0">
        <references count="3">
          <reference field="4294967294" count="1" selected="0">
            <x v="2"/>
          </reference>
          <reference field="0" count="1" selected="0">
            <x v="6"/>
          </reference>
          <reference field="1" count="1" selected="0">
            <x v="55"/>
          </reference>
        </references>
      </pivotArea>
    </chartFormat>
    <chartFormat chart="0" format="805">
      <pivotArea type="data" outline="0" fieldPosition="0">
        <references count="3">
          <reference field="4294967294" count="1" selected="0">
            <x v="2"/>
          </reference>
          <reference field="0" count="1" selected="0">
            <x v="6"/>
          </reference>
          <reference field="1" count="1" selected="0">
            <x v="56"/>
          </reference>
        </references>
      </pivotArea>
    </chartFormat>
    <chartFormat chart="0" format="806">
      <pivotArea type="data" outline="0" fieldPosition="0">
        <references count="3">
          <reference field="4294967294" count="1" selected="0">
            <x v="2"/>
          </reference>
          <reference field="0" count="1" selected="0">
            <x v="6"/>
          </reference>
          <reference field="1" count="1" selected="0">
            <x v="57"/>
          </reference>
        </references>
      </pivotArea>
    </chartFormat>
    <chartFormat chart="0" format="807">
      <pivotArea type="data" outline="0" fieldPosition="0">
        <references count="3">
          <reference field="4294967294" count="1" selected="0">
            <x v="2"/>
          </reference>
          <reference field="0" count="1" selected="0">
            <x v="6"/>
          </reference>
          <reference field="1" count="1" selected="0">
            <x v="58"/>
          </reference>
        </references>
      </pivotArea>
    </chartFormat>
    <chartFormat chart="0" format="808">
      <pivotArea type="data" outline="0" fieldPosition="0">
        <references count="3">
          <reference field="4294967294" count="1" selected="0">
            <x v="2"/>
          </reference>
          <reference field="0" count="1" selected="0">
            <x v="6"/>
          </reference>
          <reference field="1" count="1" selected="0">
            <x v="59"/>
          </reference>
        </references>
      </pivotArea>
    </chartFormat>
    <chartFormat chart="0" format="809">
      <pivotArea type="data" outline="0" fieldPosition="0">
        <references count="3">
          <reference field="4294967294" count="1" selected="0">
            <x v="2"/>
          </reference>
          <reference field="0" count="1" selected="0">
            <x v="6"/>
          </reference>
          <reference field="1" count="1" selected="0">
            <x v="60"/>
          </reference>
        </references>
      </pivotArea>
    </chartFormat>
    <chartFormat chart="0" format="810">
      <pivotArea type="data" outline="0" fieldPosition="0">
        <references count="3">
          <reference field="4294967294" count="1" selected="0">
            <x v="2"/>
          </reference>
          <reference field="0" count="1" selected="0">
            <x v="6"/>
          </reference>
          <reference field="1" count="1" selected="0">
            <x v="61"/>
          </reference>
        </references>
      </pivotArea>
    </chartFormat>
    <chartFormat chart="0" format="811">
      <pivotArea type="data" outline="0" fieldPosition="0">
        <references count="3">
          <reference field="4294967294" count="1" selected="0">
            <x v="2"/>
          </reference>
          <reference field="0" count="1" selected="0">
            <x v="6"/>
          </reference>
          <reference field="1" count="1" selected="0">
            <x v="62"/>
          </reference>
        </references>
      </pivotArea>
    </chartFormat>
    <chartFormat chart="0" format="812">
      <pivotArea type="data" outline="0" fieldPosition="0">
        <references count="3">
          <reference field="4294967294" count="1" selected="0">
            <x v="2"/>
          </reference>
          <reference field="0" count="1" selected="0">
            <x v="6"/>
          </reference>
          <reference field="1" count="1" selected="0">
            <x v="73"/>
          </reference>
        </references>
      </pivotArea>
    </chartFormat>
    <chartFormat chart="0" format="813">
      <pivotArea type="data" outline="0" fieldPosition="0">
        <references count="3">
          <reference field="4294967294" count="1" selected="0">
            <x v="2"/>
          </reference>
          <reference field="0" count="1" selected="0">
            <x v="6"/>
          </reference>
          <reference field="1" count="1" selected="0">
            <x v="74"/>
          </reference>
        </references>
      </pivotArea>
    </chartFormat>
    <chartFormat chart="0" format="814">
      <pivotArea type="data" outline="0" fieldPosition="0">
        <references count="3">
          <reference field="4294967294" count="1" selected="0">
            <x v="2"/>
          </reference>
          <reference field="0" count="1" selected="0">
            <x v="6"/>
          </reference>
          <reference field="1" count="1" selected="0">
            <x v="75"/>
          </reference>
        </references>
      </pivotArea>
    </chartFormat>
    <chartFormat chart="0" format="815">
      <pivotArea type="data" outline="0" fieldPosition="0">
        <references count="3">
          <reference field="4294967294" count="1" selected="0">
            <x v="2"/>
          </reference>
          <reference field="0" count="1" selected="0">
            <x v="6"/>
          </reference>
          <reference field="1" count="1" selected="0">
            <x v="76"/>
          </reference>
        </references>
      </pivotArea>
    </chartFormat>
    <chartFormat chart="0" format="816">
      <pivotArea type="data" outline="0" fieldPosition="0">
        <references count="3">
          <reference field="4294967294" count="1" selected="0">
            <x v="2"/>
          </reference>
          <reference field="0" count="1" selected="0">
            <x v="6"/>
          </reference>
          <reference field="1" count="1" selected="0">
            <x v="77"/>
          </reference>
        </references>
      </pivotArea>
    </chartFormat>
    <chartFormat chart="0" format="817">
      <pivotArea type="data" outline="0" fieldPosition="0">
        <references count="3">
          <reference field="4294967294" count="1" selected="0">
            <x v="2"/>
          </reference>
          <reference field="0" count="1" selected="0">
            <x v="6"/>
          </reference>
          <reference field="1" count="1" selected="0">
            <x v="78"/>
          </reference>
        </references>
      </pivotArea>
    </chartFormat>
    <chartFormat chart="0" format="818">
      <pivotArea type="data" outline="0" fieldPosition="0">
        <references count="3">
          <reference field="4294967294" count="1" selected="0">
            <x v="2"/>
          </reference>
          <reference field="0" count="1" selected="0">
            <x v="7"/>
          </reference>
          <reference field="1" count="1" selected="0">
            <x v="31"/>
          </reference>
        </references>
      </pivotArea>
    </chartFormat>
    <chartFormat chart="0" format="819">
      <pivotArea type="data" outline="0" fieldPosition="0">
        <references count="3">
          <reference field="4294967294" count="1" selected="0">
            <x v="2"/>
          </reference>
          <reference field="0" count="1" selected="0">
            <x v="7"/>
          </reference>
          <reference field="1" count="1" selected="0">
            <x v="32"/>
          </reference>
        </references>
      </pivotArea>
    </chartFormat>
    <chartFormat chart="0" format="820">
      <pivotArea type="data" outline="0" fieldPosition="0">
        <references count="3">
          <reference field="4294967294" count="1" selected="0">
            <x v="2"/>
          </reference>
          <reference field="0" count="1" selected="0">
            <x v="7"/>
          </reference>
          <reference field="1" count="1" selected="0">
            <x v="33"/>
          </reference>
        </references>
      </pivotArea>
    </chartFormat>
    <chartFormat chart="0" format="821">
      <pivotArea type="data" outline="0" fieldPosition="0">
        <references count="3">
          <reference field="4294967294" count="1" selected="0">
            <x v="2"/>
          </reference>
          <reference field="0" count="1" selected="0">
            <x v="7"/>
          </reference>
          <reference field="1" count="1" selected="0">
            <x v="34"/>
          </reference>
        </references>
      </pivotArea>
    </chartFormat>
    <chartFormat chart="0" format="822">
      <pivotArea type="data" outline="0" fieldPosition="0">
        <references count="3">
          <reference field="4294967294" count="1" selected="0">
            <x v="2"/>
          </reference>
          <reference field="0" count="1" selected="0">
            <x v="7"/>
          </reference>
          <reference field="1" count="1" selected="0">
            <x v="35"/>
          </reference>
        </references>
      </pivotArea>
    </chartFormat>
    <chartFormat chart="0" format="823">
      <pivotArea type="data" outline="0" fieldPosition="0">
        <references count="3">
          <reference field="4294967294" count="1" selected="0">
            <x v="2"/>
          </reference>
          <reference field="0" count="1" selected="0">
            <x v="7"/>
          </reference>
          <reference field="1" count="1" selected="0">
            <x v="36"/>
          </reference>
        </references>
      </pivotArea>
    </chartFormat>
    <chartFormat chart="0" format="824">
      <pivotArea type="data" outline="0" fieldPosition="0">
        <references count="3">
          <reference field="4294967294" count="1" selected="0">
            <x v="2"/>
          </reference>
          <reference field="0" count="1" selected="0">
            <x v="7"/>
          </reference>
          <reference field="1" count="1" selected="0">
            <x v="37"/>
          </reference>
        </references>
      </pivotArea>
    </chartFormat>
    <chartFormat chart="0" format="825">
      <pivotArea type="data" outline="0" fieldPosition="0">
        <references count="3">
          <reference field="4294967294" count="1" selected="0">
            <x v="2"/>
          </reference>
          <reference field="0" count="1" selected="0">
            <x v="7"/>
          </reference>
          <reference field="1" count="1" selected="0">
            <x v="38"/>
          </reference>
        </references>
      </pivotArea>
    </chartFormat>
    <chartFormat chart="0" format="826">
      <pivotArea type="data" outline="0" fieldPosition="0">
        <references count="3">
          <reference field="4294967294" count="1" selected="0">
            <x v="2"/>
          </reference>
          <reference field="0" count="1" selected="0">
            <x v="7"/>
          </reference>
          <reference field="1" count="1" selected="0">
            <x v="39"/>
          </reference>
        </references>
      </pivotArea>
    </chartFormat>
    <chartFormat chart="0" format="827">
      <pivotArea type="data" outline="0" fieldPosition="0">
        <references count="3">
          <reference field="4294967294" count="1" selected="0">
            <x v="2"/>
          </reference>
          <reference field="0" count="1" selected="0">
            <x v="7"/>
          </reference>
          <reference field="1" count="1" selected="0">
            <x v="40"/>
          </reference>
        </references>
      </pivotArea>
    </chartFormat>
    <chartFormat chart="0" format="828">
      <pivotArea type="data" outline="0" fieldPosition="0">
        <references count="3">
          <reference field="4294967294" count="1" selected="0">
            <x v="2"/>
          </reference>
          <reference field="0" count="1" selected="0">
            <x v="7"/>
          </reference>
          <reference field="1" count="1" selected="0">
            <x v="41"/>
          </reference>
        </references>
      </pivotArea>
    </chartFormat>
    <chartFormat chart="0" format="829">
      <pivotArea type="data" outline="0" fieldPosition="0">
        <references count="3">
          <reference field="4294967294" count="1" selected="0">
            <x v="2"/>
          </reference>
          <reference field="0" count="1" selected="0">
            <x v="7"/>
          </reference>
          <reference field="1" count="1" selected="0">
            <x v="42"/>
          </reference>
        </references>
      </pivotArea>
    </chartFormat>
    <chartFormat chart="0" format="830">
      <pivotArea type="data" outline="0" fieldPosition="0">
        <references count="3">
          <reference field="4294967294" count="1" selected="0">
            <x v="2"/>
          </reference>
          <reference field="0" count="1" selected="0">
            <x v="7"/>
          </reference>
          <reference field="1" count="1" selected="0">
            <x v="43"/>
          </reference>
        </references>
      </pivotArea>
    </chartFormat>
    <chartFormat chart="0" format="831">
      <pivotArea type="data" outline="0" fieldPosition="0">
        <references count="3">
          <reference field="4294967294" count="1" selected="0">
            <x v="2"/>
          </reference>
          <reference field="0" count="1" selected="0">
            <x v="7"/>
          </reference>
          <reference field="1" count="1" selected="0">
            <x v="44"/>
          </reference>
        </references>
      </pivotArea>
    </chartFormat>
    <chartFormat chart="0" format="832">
      <pivotArea type="data" outline="0" fieldPosition="0">
        <references count="3">
          <reference field="4294967294" count="1" selected="0">
            <x v="2"/>
          </reference>
          <reference field="0" count="1" selected="0">
            <x v="7"/>
          </reference>
          <reference field="1" count="1" selected="0">
            <x v="45"/>
          </reference>
        </references>
      </pivotArea>
    </chartFormat>
    <chartFormat chart="0" format="833">
      <pivotArea type="data" outline="0" fieldPosition="0">
        <references count="3">
          <reference field="4294967294" count="1" selected="0">
            <x v="2"/>
          </reference>
          <reference field="0" count="1" selected="0">
            <x v="7"/>
          </reference>
          <reference field="1" count="1" selected="0">
            <x v="46"/>
          </reference>
        </references>
      </pivotArea>
    </chartFormat>
    <chartFormat chart="0" format="834">
      <pivotArea type="data" outline="0" fieldPosition="0">
        <references count="3">
          <reference field="4294967294" count="1" selected="0">
            <x v="2"/>
          </reference>
          <reference field="0" count="1" selected="0">
            <x v="7"/>
          </reference>
          <reference field="1" count="1" selected="0">
            <x v="47"/>
          </reference>
        </references>
      </pivotArea>
    </chartFormat>
    <chartFormat chart="0" format="835">
      <pivotArea type="data" outline="0" fieldPosition="0">
        <references count="3">
          <reference field="4294967294" count="1" selected="0">
            <x v="2"/>
          </reference>
          <reference field="0" count="1" selected="0">
            <x v="7"/>
          </reference>
          <reference field="1" count="1" selected="0">
            <x v="48"/>
          </reference>
        </references>
      </pivotArea>
    </chartFormat>
    <chartFormat chart="0" format="836">
      <pivotArea type="data" outline="0" fieldPosition="0">
        <references count="3">
          <reference field="4294967294" count="1" selected="0">
            <x v="2"/>
          </reference>
          <reference field="0" count="1" selected="0">
            <x v="7"/>
          </reference>
          <reference field="1" count="1" selected="0">
            <x v="49"/>
          </reference>
        </references>
      </pivotArea>
    </chartFormat>
    <chartFormat chart="0" format="837">
      <pivotArea type="data" outline="0" fieldPosition="0">
        <references count="3">
          <reference field="4294967294" count="1" selected="0">
            <x v="2"/>
          </reference>
          <reference field="0" count="1" selected="0">
            <x v="7"/>
          </reference>
          <reference field="1" count="1" selected="0">
            <x v="50"/>
          </reference>
        </references>
      </pivotArea>
    </chartFormat>
    <chartFormat chart="0" format="838">
      <pivotArea type="data" outline="0" fieldPosition="0">
        <references count="3">
          <reference field="4294967294" count="1" selected="0">
            <x v="2"/>
          </reference>
          <reference field="0" count="1" selected="0">
            <x v="7"/>
          </reference>
          <reference field="1" count="1" selected="0">
            <x v="51"/>
          </reference>
        </references>
      </pivotArea>
    </chartFormat>
    <chartFormat chart="0" format="839">
      <pivotArea type="data" outline="0" fieldPosition="0">
        <references count="3">
          <reference field="4294967294" count="1" selected="0">
            <x v="2"/>
          </reference>
          <reference field="0" count="1" selected="0">
            <x v="7"/>
          </reference>
          <reference field="1" count="1" selected="0">
            <x v="52"/>
          </reference>
        </references>
      </pivotArea>
    </chartFormat>
    <chartFormat chart="0" format="840">
      <pivotArea type="data" outline="0" fieldPosition="0">
        <references count="3">
          <reference field="4294967294" count="1" selected="0">
            <x v="2"/>
          </reference>
          <reference field="0" count="1" selected="0">
            <x v="7"/>
          </reference>
          <reference field="1" count="1" selected="0">
            <x v="53"/>
          </reference>
        </references>
      </pivotArea>
    </chartFormat>
    <chartFormat chart="0" format="841">
      <pivotArea type="data" outline="0" fieldPosition="0">
        <references count="3">
          <reference field="4294967294" count="1" selected="0">
            <x v="2"/>
          </reference>
          <reference field="0" count="1" selected="0">
            <x v="7"/>
          </reference>
          <reference field="1" count="1" selected="0">
            <x v="54"/>
          </reference>
        </references>
      </pivotArea>
    </chartFormat>
    <chartFormat chart="0" format="842">
      <pivotArea type="data" outline="0" fieldPosition="0">
        <references count="3">
          <reference field="4294967294" count="1" selected="0">
            <x v="2"/>
          </reference>
          <reference field="0" count="1" selected="0">
            <x v="7"/>
          </reference>
          <reference field="1" count="1" selected="0">
            <x v="55"/>
          </reference>
        </references>
      </pivotArea>
    </chartFormat>
    <chartFormat chart="0" format="843">
      <pivotArea type="data" outline="0" fieldPosition="0">
        <references count="3">
          <reference field="4294967294" count="1" selected="0">
            <x v="2"/>
          </reference>
          <reference field="0" count="1" selected="0">
            <x v="7"/>
          </reference>
          <reference field="1" count="1" selected="0">
            <x v="56"/>
          </reference>
        </references>
      </pivotArea>
    </chartFormat>
    <chartFormat chart="0" format="844">
      <pivotArea type="data" outline="0" fieldPosition="0">
        <references count="3">
          <reference field="4294967294" count="1" selected="0">
            <x v="2"/>
          </reference>
          <reference field="0" count="1" selected="0">
            <x v="7"/>
          </reference>
          <reference field="1" count="1" selected="0">
            <x v="57"/>
          </reference>
        </references>
      </pivotArea>
    </chartFormat>
    <chartFormat chart="0" format="845">
      <pivotArea type="data" outline="0" fieldPosition="0">
        <references count="3">
          <reference field="4294967294" count="1" selected="0">
            <x v="2"/>
          </reference>
          <reference field="0" count="1" selected="0">
            <x v="7"/>
          </reference>
          <reference field="1" count="1" selected="0">
            <x v="58"/>
          </reference>
        </references>
      </pivotArea>
    </chartFormat>
    <chartFormat chart="0" format="846">
      <pivotArea type="data" outline="0" fieldPosition="0">
        <references count="3">
          <reference field="4294967294" count="1" selected="0">
            <x v="2"/>
          </reference>
          <reference field="0" count="1" selected="0">
            <x v="7"/>
          </reference>
          <reference field="1" count="1" selected="0">
            <x v="59"/>
          </reference>
        </references>
      </pivotArea>
    </chartFormat>
    <chartFormat chart="0" format="847">
      <pivotArea type="data" outline="0" fieldPosition="0">
        <references count="3">
          <reference field="4294967294" count="1" selected="0">
            <x v="2"/>
          </reference>
          <reference field="0" count="1" selected="0">
            <x v="7"/>
          </reference>
          <reference field="1" count="1" selected="0">
            <x v="60"/>
          </reference>
        </references>
      </pivotArea>
    </chartFormat>
    <chartFormat chart="0" format="848">
      <pivotArea type="data" outline="0" fieldPosition="0">
        <references count="3">
          <reference field="4294967294" count="1" selected="0">
            <x v="2"/>
          </reference>
          <reference field="0" count="1" selected="0">
            <x v="7"/>
          </reference>
          <reference field="1" count="1" selected="0">
            <x v="61"/>
          </reference>
        </references>
      </pivotArea>
    </chartFormat>
    <chartFormat chart="0" format="849">
      <pivotArea type="data" outline="0" fieldPosition="0">
        <references count="3">
          <reference field="4294967294" count="1" selected="0">
            <x v="2"/>
          </reference>
          <reference field="0" count="1" selected="0">
            <x v="7"/>
          </reference>
          <reference field="1" count="1" selected="0">
            <x v="62"/>
          </reference>
        </references>
      </pivotArea>
    </chartFormat>
    <chartFormat chart="0" format="850">
      <pivotArea type="data" outline="0" fieldPosition="0">
        <references count="3">
          <reference field="4294967294" count="1" selected="0">
            <x v="2"/>
          </reference>
          <reference field="0" count="1" selected="0">
            <x v="7"/>
          </reference>
          <reference field="1" count="1" selected="0">
            <x v="63"/>
          </reference>
        </references>
      </pivotArea>
    </chartFormat>
    <chartFormat chart="0" format="851">
      <pivotArea type="data" outline="0" fieldPosition="0">
        <references count="3">
          <reference field="4294967294" count="1" selected="0">
            <x v="2"/>
          </reference>
          <reference field="0" count="1" selected="0">
            <x v="7"/>
          </reference>
          <reference field="1" count="1" selected="0">
            <x v="64"/>
          </reference>
        </references>
      </pivotArea>
    </chartFormat>
    <chartFormat chart="0" format="852">
      <pivotArea type="data" outline="0" fieldPosition="0">
        <references count="3">
          <reference field="4294967294" count="1" selected="0">
            <x v="2"/>
          </reference>
          <reference field="0" count="1" selected="0">
            <x v="7"/>
          </reference>
          <reference field="1" count="1" selected="0">
            <x v="65"/>
          </reference>
        </references>
      </pivotArea>
    </chartFormat>
    <chartFormat chart="0" format="853">
      <pivotArea type="data" outline="0" fieldPosition="0">
        <references count="3">
          <reference field="4294967294" count="1" selected="0">
            <x v="2"/>
          </reference>
          <reference field="0" count="1" selected="0">
            <x v="7"/>
          </reference>
          <reference field="1" count="1" selected="0">
            <x v="66"/>
          </reference>
        </references>
      </pivotArea>
    </chartFormat>
    <chartFormat chart="0" format="854">
      <pivotArea type="data" outline="0" fieldPosition="0">
        <references count="3">
          <reference field="4294967294" count="1" selected="0">
            <x v="2"/>
          </reference>
          <reference field="0" count="1" selected="0">
            <x v="7"/>
          </reference>
          <reference field="1" count="1" selected="0">
            <x v="67"/>
          </reference>
        </references>
      </pivotArea>
    </chartFormat>
    <chartFormat chart="0" format="855">
      <pivotArea type="data" outline="0" fieldPosition="0">
        <references count="3">
          <reference field="4294967294" count="1" selected="0">
            <x v="2"/>
          </reference>
          <reference field="0" count="1" selected="0">
            <x v="7"/>
          </reference>
          <reference field="1" count="1" selected="0">
            <x v="68"/>
          </reference>
        </references>
      </pivotArea>
    </chartFormat>
    <chartFormat chart="0" format="856">
      <pivotArea type="data" outline="0" fieldPosition="0">
        <references count="3">
          <reference field="4294967294" count="1" selected="0">
            <x v="2"/>
          </reference>
          <reference field="0" count="1" selected="0">
            <x v="7"/>
          </reference>
          <reference field="1" count="1" selected="0">
            <x v="69"/>
          </reference>
        </references>
      </pivotArea>
    </chartFormat>
    <chartFormat chart="0" format="857">
      <pivotArea type="data" outline="0" fieldPosition="0">
        <references count="3">
          <reference field="4294967294" count="1" selected="0">
            <x v="2"/>
          </reference>
          <reference field="0" count="1" selected="0">
            <x v="7"/>
          </reference>
          <reference field="1" count="1" selected="0">
            <x v="70"/>
          </reference>
        </references>
      </pivotArea>
    </chartFormat>
    <chartFormat chart="0" format="858">
      <pivotArea type="data" outline="0" fieldPosition="0">
        <references count="3">
          <reference field="4294967294" count="1" selected="0">
            <x v="2"/>
          </reference>
          <reference field="0" count="1" selected="0">
            <x v="7"/>
          </reference>
          <reference field="1" count="1" selected="0">
            <x v="71"/>
          </reference>
        </references>
      </pivotArea>
    </chartFormat>
    <chartFormat chart="0" format="859">
      <pivotArea type="data" outline="0" fieldPosition="0">
        <references count="3">
          <reference field="4294967294" count="1" selected="0">
            <x v="2"/>
          </reference>
          <reference field="0" count="1" selected="0">
            <x v="7"/>
          </reference>
          <reference field="1" count="1" selected="0">
            <x v="72"/>
          </reference>
        </references>
      </pivotArea>
    </chartFormat>
    <chartFormat chart="0" format="860">
      <pivotArea type="data" outline="0" fieldPosition="0">
        <references count="3">
          <reference field="4294967294" count="1" selected="0">
            <x v="2"/>
          </reference>
          <reference field="0" count="1" selected="0">
            <x v="7"/>
          </reference>
          <reference field="1" count="1" selected="0">
            <x v="73"/>
          </reference>
        </references>
      </pivotArea>
    </chartFormat>
    <chartFormat chart="0" format="861">
      <pivotArea type="data" outline="0" fieldPosition="0">
        <references count="3">
          <reference field="4294967294" count="1" selected="0">
            <x v="2"/>
          </reference>
          <reference field="0" count="1" selected="0">
            <x v="7"/>
          </reference>
          <reference field="1" count="1" selected="0">
            <x v="74"/>
          </reference>
        </references>
      </pivotArea>
    </chartFormat>
    <chartFormat chart="0" format="862">
      <pivotArea type="data" outline="0" fieldPosition="0">
        <references count="3">
          <reference field="4294967294" count="1" selected="0">
            <x v="2"/>
          </reference>
          <reference field="0" count="1" selected="0">
            <x v="7"/>
          </reference>
          <reference field="1" count="1" selected="0">
            <x v="75"/>
          </reference>
        </references>
      </pivotArea>
    </chartFormat>
    <chartFormat chart="0" format="863">
      <pivotArea type="data" outline="0" fieldPosition="0">
        <references count="3">
          <reference field="4294967294" count="1" selected="0">
            <x v="2"/>
          </reference>
          <reference field="0" count="1" selected="0">
            <x v="7"/>
          </reference>
          <reference field="1" count="1" selected="0">
            <x v="76"/>
          </reference>
        </references>
      </pivotArea>
    </chartFormat>
    <chartFormat chart="0" format="864">
      <pivotArea type="data" outline="0" fieldPosition="0">
        <references count="3">
          <reference field="4294967294" count="1" selected="0">
            <x v="2"/>
          </reference>
          <reference field="0" count="1" selected="0">
            <x v="7"/>
          </reference>
          <reference field="1" count="1" selected="0">
            <x v="77"/>
          </reference>
        </references>
      </pivotArea>
    </chartFormat>
    <chartFormat chart="0" format="865">
      <pivotArea type="data" outline="0" fieldPosition="0">
        <references count="3">
          <reference field="4294967294" count="1" selected="0">
            <x v="2"/>
          </reference>
          <reference field="0" count="1" selected="0">
            <x v="7"/>
          </reference>
          <reference field="1" count="1" selected="0">
            <x v="78"/>
          </reference>
        </references>
      </pivotArea>
    </chartFormat>
    <chartFormat chart="0" format="866">
      <pivotArea type="data" outline="0" fieldPosition="0">
        <references count="3">
          <reference field="4294967294" count="1" selected="0">
            <x v="2"/>
          </reference>
          <reference field="0" count="1" selected="0">
            <x v="8"/>
          </reference>
          <reference field="1" count="1" selected="0">
            <x v="31"/>
          </reference>
        </references>
      </pivotArea>
    </chartFormat>
    <chartFormat chart="0" format="867">
      <pivotArea type="data" outline="0" fieldPosition="0">
        <references count="3">
          <reference field="4294967294" count="1" selected="0">
            <x v="2"/>
          </reference>
          <reference field="0" count="1" selected="0">
            <x v="8"/>
          </reference>
          <reference field="1" count="1" selected="0">
            <x v="32"/>
          </reference>
        </references>
      </pivotArea>
    </chartFormat>
    <chartFormat chart="0" format="868">
      <pivotArea type="data" outline="0" fieldPosition="0">
        <references count="3">
          <reference field="4294967294" count="1" selected="0">
            <x v="2"/>
          </reference>
          <reference field="0" count="1" selected="0">
            <x v="8"/>
          </reference>
          <reference field="1" count="1" selected="0">
            <x v="33"/>
          </reference>
        </references>
      </pivotArea>
    </chartFormat>
    <chartFormat chart="0" format="869">
      <pivotArea type="data" outline="0" fieldPosition="0">
        <references count="3">
          <reference field="4294967294" count="1" selected="0">
            <x v="2"/>
          </reference>
          <reference field="0" count="1" selected="0">
            <x v="8"/>
          </reference>
          <reference field="1" count="1" selected="0">
            <x v="34"/>
          </reference>
        </references>
      </pivotArea>
    </chartFormat>
    <chartFormat chart="0" format="870">
      <pivotArea type="data" outline="0" fieldPosition="0">
        <references count="3">
          <reference field="4294967294" count="1" selected="0">
            <x v="2"/>
          </reference>
          <reference field="0" count="1" selected="0">
            <x v="8"/>
          </reference>
          <reference field="1" count="1" selected="0">
            <x v="35"/>
          </reference>
        </references>
      </pivotArea>
    </chartFormat>
    <chartFormat chart="0" format="871">
      <pivotArea type="data" outline="0" fieldPosition="0">
        <references count="3">
          <reference field="4294967294" count="1" selected="0">
            <x v="2"/>
          </reference>
          <reference field="0" count="1" selected="0">
            <x v="8"/>
          </reference>
          <reference field="1" count="1" selected="0">
            <x v="36"/>
          </reference>
        </references>
      </pivotArea>
    </chartFormat>
    <chartFormat chart="0" format="872">
      <pivotArea type="data" outline="0" fieldPosition="0">
        <references count="3">
          <reference field="4294967294" count="1" selected="0">
            <x v="2"/>
          </reference>
          <reference field="0" count="1" selected="0">
            <x v="8"/>
          </reference>
          <reference field="1" count="1" selected="0">
            <x v="37"/>
          </reference>
        </references>
      </pivotArea>
    </chartFormat>
    <chartFormat chart="0" format="873">
      <pivotArea type="data" outline="0" fieldPosition="0">
        <references count="3">
          <reference field="4294967294" count="1" selected="0">
            <x v="2"/>
          </reference>
          <reference field="0" count="1" selected="0">
            <x v="8"/>
          </reference>
          <reference field="1" count="1" selected="0">
            <x v="38"/>
          </reference>
        </references>
      </pivotArea>
    </chartFormat>
    <chartFormat chart="0" format="874">
      <pivotArea type="data" outline="0" fieldPosition="0">
        <references count="3">
          <reference field="4294967294" count="1" selected="0">
            <x v="2"/>
          </reference>
          <reference field="0" count="1" selected="0">
            <x v="8"/>
          </reference>
          <reference field="1" count="1" selected="0">
            <x v="39"/>
          </reference>
        </references>
      </pivotArea>
    </chartFormat>
    <chartFormat chart="0" format="875">
      <pivotArea type="data" outline="0" fieldPosition="0">
        <references count="3">
          <reference field="4294967294" count="1" selected="0">
            <x v="2"/>
          </reference>
          <reference field="0" count="1" selected="0">
            <x v="8"/>
          </reference>
          <reference field="1" count="1" selected="0">
            <x v="40"/>
          </reference>
        </references>
      </pivotArea>
    </chartFormat>
    <chartFormat chart="0" format="876">
      <pivotArea type="data" outline="0" fieldPosition="0">
        <references count="3">
          <reference field="4294967294" count="1" selected="0">
            <x v="2"/>
          </reference>
          <reference field="0" count="1" selected="0">
            <x v="8"/>
          </reference>
          <reference field="1" count="1" selected="0">
            <x v="41"/>
          </reference>
        </references>
      </pivotArea>
    </chartFormat>
    <chartFormat chart="0" format="877">
      <pivotArea type="data" outline="0" fieldPosition="0">
        <references count="3">
          <reference field="4294967294" count="1" selected="0">
            <x v="2"/>
          </reference>
          <reference field="0" count="1" selected="0">
            <x v="8"/>
          </reference>
          <reference field="1" count="1" selected="0">
            <x v="42"/>
          </reference>
        </references>
      </pivotArea>
    </chartFormat>
    <chartFormat chart="0" format="878">
      <pivotArea type="data" outline="0" fieldPosition="0">
        <references count="3">
          <reference field="4294967294" count="1" selected="0">
            <x v="2"/>
          </reference>
          <reference field="0" count="1" selected="0">
            <x v="8"/>
          </reference>
          <reference field="1" count="1" selected="0">
            <x v="43"/>
          </reference>
        </references>
      </pivotArea>
    </chartFormat>
    <chartFormat chart="0" format="879">
      <pivotArea type="data" outline="0" fieldPosition="0">
        <references count="3">
          <reference field="4294967294" count="1" selected="0">
            <x v="2"/>
          </reference>
          <reference field="0" count="1" selected="0">
            <x v="8"/>
          </reference>
          <reference field="1" count="1" selected="0">
            <x v="44"/>
          </reference>
        </references>
      </pivotArea>
    </chartFormat>
    <chartFormat chart="0" format="880">
      <pivotArea type="data" outline="0" fieldPosition="0">
        <references count="3">
          <reference field="4294967294" count="1" selected="0">
            <x v="2"/>
          </reference>
          <reference field="0" count="1" selected="0">
            <x v="8"/>
          </reference>
          <reference field="1" count="1" selected="0">
            <x v="45"/>
          </reference>
        </references>
      </pivotArea>
    </chartFormat>
    <chartFormat chart="0" format="881">
      <pivotArea type="data" outline="0" fieldPosition="0">
        <references count="3">
          <reference field="4294967294" count="1" selected="0">
            <x v="2"/>
          </reference>
          <reference field="0" count="1" selected="0">
            <x v="8"/>
          </reference>
          <reference field="1" count="1" selected="0">
            <x v="46"/>
          </reference>
        </references>
      </pivotArea>
    </chartFormat>
    <chartFormat chart="0" format="882">
      <pivotArea type="data" outline="0" fieldPosition="0">
        <references count="3">
          <reference field="4294967294" count="1" selected="0">
            <x v="2"/>
          </reference>
          <reference field="0" count="1" selected="0">
            <x v="8"/>
          </reference>
          <reference field="1" count="1" selected="0">
            <x v="47"/>
          </reference>
        </references>
      </pivotArea>
    </chartFormat>
    <chartFormat chart="0" format="883">
      <pivotArea type="data" outline="0" fieldPosition="0">
        <references count="3">
          <reference field="4294967294" count="1" selected="0">
            <x v="2"/>
          </reference>
          <reference field="0" count="1" selected="0">
            <x v="8"/>
          </reference>
          <reference field="1" count="1" selected="0">
            <x v="48"/>
          </reference>
        </references>
      </pivotArea>
    </chartFormat>
    <chartFormat chart="0" format="884">
      <pivotArea type="data" outline="0" fieldPosition="0">
        <references count="3">
          <reference field="4294967294" count="1" selected="0">
            <x v="2"/>
          </reference>
          <reference field="0" count="1" selected="0">
            <x v="8"/>
          </reference>
          <reference field="1" count="1" selected="0">
            <x v="49"/>
          </reference>
        </references>
      </pivotArea>
    </chartFormat>
    <chartFormat chart="0" format="885">
      <pivotArea type="data" outline="0" fieldPosition="0">
        <references count="3">
          <reference field="4294967294" count="1" selected="0">
            <x v="2"/>
          </reference>
          <reference field="0" count="1" selected="0">
            <x v="8"/>
          </reference>
          <reference field="1" count="1" selected="0">
            <x v="50"/>
          </reference>
        </references>
      </pivotArea>
    </chartFormat>
    <chartFormat chart="0" format="886">
      <pivotArea type="data" outline="0" fieldPosition="0">
        <references count="3">
          <reference field="4294967294" count="1" selected="0">
            <x v="2"/>
          </reference>
          <reference field="0" count="1" selected="0">
            <x v="8"/>
          </reference>
          <reference field="1" count="1" selected="0">
            <x v="51"/>
          </reference>
        </references>
      </pivotArea>
    </chartFormat>
    <chartFormat chart="0" format="887">
      <pivotArea type="data" outline="0" fieldPosition="0">
        <references count="3">
          <reference field="4294967294" count="1" selected="0">
            <x v="2"/>
          </reference>
          <reference field="0" count="1" selected="0">
            <x v="8"/>
          </reference>
          <reference field="1" count="1" selected="0">
            <x v="52"/>
          </reference>
        </references>
      </pivotArea>
    </chartFormat>
    <chartFormat chart="0" format="888">
      <pivotArea type="data" outline="0" fieldPosition="0">
        <references count="3">
          <reference field="4294967294" count="1" selected="0">
            <x v="2"/>
          </reference>
          <reference field="0" count="1" selected="0">
            <x v="8"/>
          </reference>
          <reference field="1" count="1" selected="0">
            <x v="53"/>
          </reference>
        </references>
      </pivotArea>
    </chartFormat>
    <chartFormat chart="0" format="889">
      <pivotArea type="data" outline="0" fieldPosition="0">
        <references count="3">
          <reference field="4294967294" count="1" selected="0">
            <x v="2"/>
          </reference>
          <reference field="0" count="1" selected="0">
            <x v="8"/>
          </reference>
          <reference field="1" count="1" selected="0">
            <x v="54"/>
          </reference>
        </references>
      </pivotArea>
    </chartFormat>
    <chartFormat chart="0" format="890">
      <pivotArea type="data" outline="0" fieldPosition="0">
        <references count="3">
          <reference field="4294967294" count="1" selected="0">
            <x v="2"/>
          </reference>
          <reference field="0" count="1" selected="0">
            <x v="8"/>
          </reference>
          <reference field="1" count="1" selected="0">
            <x v="55"/>
          </reference>
        </references>
      </pivotArea>
    </chartFormat>
    <chartFormat chart="0" format="891">
      <pivotArea type="data" outline="0" fieldPosition="0">
        <references count="3">
          <reference field="4294967294" count="1" selected="0">
            <x v="2"/>
          </reference>
          <reference field="0" count="1" selected="0">
            <x v="8"/>
          </reference>
          <reference field="1" count="1" selected="0">
            <x v="56"/>
          </reference>
        </references>
      </pivotArea>
    </chartFormat>
    <chartFormat chart="0" format="892">
      <pivotArea type="data" outline="0" fieldPosition="0">
        <references count="3">
          <reference field="4294967294" count="1" selected="0">
            <x v="2"/>
          </reference>
          <reference field="0" count="1" selected="0">
            <x v="8"/>
          </reference>
          <reference field="1" count="1" selected="0">
            <x v="57"/>
          </reference>
        </references>
      </pivotArea>
    </chartFormat>
    <chartFormat chart="0" format="893">
      <pivotArea type="data" outline="0" fieldPosition="0">
        <references count="3">
          <reference field="4294967294" count="1" selected="0">
            <x v="2"/>
          </reference>
          <reference field="0" count="1" selected="0">
            <x v="8"/>
          </reference>
          <reference field="1" count="1" selected="0">
            <x v="58"/>
          </reference>
        </references>
      </pivotArea>
    </chartFormat>
    <chartFormat chart="0" format="894">
      <pivotArea type="data" outline="0" fieldPosition="0">
        <references count="3">
          <reference field="4294967294" count="1" selected="0">
            <x v="2"/>
          </reference>
          <reference field="0" count="1" selected="0">
            <x v="8"/>
          </reference>
          <reference field="1" count="1" selected="0">
            <x v="59"/>
          </reference>
        </references>
      </pivotArea>
    </chartFormat>
    <chartFormat chart="0" format="895">
      <pivotArea type="data" outline="0" fieldPosition="0">
        <references count="3">
          <reference field="4294967294" count="1" selected="0">
            <x v="2"/>
          </reference>
          <reference field="0" count="1" selected="0">
            <x v="8"/>
          </reference>
          <reference field="1" count="1" selected="0">
            <x v="60"/>
          </reference>
        </references>
      </pivotArea>
    </chartFormat>
    <chartFormat chart="0" format="896">
      <pivotArea type="data" outline="0" fieldPosition="0">
        <references count="3">
          <reference field="4294967294" count="1" selected="0">
            <x v="2"/>
          </reference>
          <reference field="0" count="1" selected="0">
            <x v="8"/>
          </reference>
          <reference field="1" count="1" selected="0">
            <x v="61"/>
          </reference>
        </references>
      </pivotArea>
    </chartFormat>
    <chartFormat chart="0" format="897">
      <pivotArea type="data" outline="0" fieldPosition="0">
        <references count="3">
          <reference field="4294967294" count="1" selected="0">
            <x v="2"/>
          </reference>
          <reference field="0" count="1" selected="0">
            <x v="8"/>
          </reference>
          <reference field="1" count="1" selected="0">
            <x v="62"/>
          </reference>
        </references>
      </pivotArea>
    </chartFormat>
    <chartFormat chart="0" format="898">
      <pivotArea type="data" outline="0" fieldPosition="0">
        <references count="3">
          <reference field="4294967294" count="1" selected="0">
            <x v="2"/>
          </reference>
          <reference field="0" count="1" selected="0">
            <x v="8"/>
          </reference>
          <reference field="1" count="1" selected="0">
            <x v="63"/>
          </reference>
        </references>
      </pivotArea>
    </chartFormat>
    <chartFormat chart="0" format="899">
      <pivotArea type="data" outline="0" fieldPosition="0">
        <references count="3">
          <reference field="4294967294" count="1" selected="0">
            <x v="2"/>
          </reference>
          <reference field="0" count="1" selected="0">
            <x v="8"/>
          </reference>
          <reference field="1" count="1" selected="0">
            <x v="64"/>
          </reference>
        </references>
      </pivotArea>
    </chartFormat>
    <chartFormat chart="0" format="900">
      <pivotArea type="data" outline="0" fieldPosition="0">
        <references count="3">
          <reference field="4294967294" count="1" selected="0">
            <x v="2"/>
          </reference>
          <reference field="0" count="1" selected="0">
            <x v="8"/>
          </reference>
          <reference field="1" count="1" selected="0">
            <x v="65"/>
          </reference>
        </references>
      </pivotArea>
    </chartFormat>
    <chartFormat chart="0" format="901">
      <pivotArea type="data" outline="0" fieldPosition="0">
        <references count="3">
          <reference field="4294967294" count="1" selected="0">
            <x v="2"/>
          </reference>
          <reference field="0" count="1" selected="0">
            <x v="8"/>
          </reference>
          <reference field="1" count="1" selected="0">
            <x v="66"/>
          </reference>
        </references>
      </pivotArea>
    </chartFormat>
    <chartFormat chart="0" format="902">
      <pivotArea type="data" outline="0" fieldPosition="0">
        <references count="3">
          <reference field="4294967294" count="1" selected="0">
            <x v="2"/>
          </reference>
          <reference field="0" count="1" selected="0">
            <x v="8"/>
          </reference>
          <reference field="1" count="1" selected="0">
            <x v="67"/>
          </reference>
        </references>
      </pivotArea>
    </chartFormat>
    <chartFormat chart="0" format="903">
      <pivotArea type="data" outline="0" fieldPosition="0">
        <references count="3">
          <reference field="4294967294" count="1" selected="0">
            <x v="2"/>
          </reference>
          <reference field="0" count="1" selected="0">
            <x v="8"/>
          </reference>
          <reference field="1" count="1" selected="0">
            <x v="68"/>
          </reference>
        </references>
      </pivotArea>
    </chartFormat>
    <chartFormat chart="0" format="904">
      <pivotArea type="data" outline="0" fieldPosition="0">
        <references count="3">
          <reference field="4294967294" count="1" selected="0">
            <x v="2"/>
          </reference>
          <reference field="0" count="1" selected="0">
            <x v="8"/>
          </reference>
          <reference field="1" count="1" selected="0">
            <x v="69"/>
          </reference>
        </references>
      </pivotArea>
    </chartFormat>
    <chartFormat chart="0" format="905">
      <pivotArea type="data" outline="0" fieldPosition="0">
        <references count="3">
          <reference field="4294967294" count="1" selected="0">
            <x v="2"/>
          </reference>
          <reference field="0" count="1" selected="0">
            <x v="8"/>
          </reference>
          <reference field="1" count="1" selected="0">
            <x v="70"/>
          </reference>
        </references>
      </pivotArea>
    </chartFormat>
    <chartFormat chart="0" format="906">
      <pivotArea type="data" outline="0" fieldPosition="0">
        <references count="3">
          <reference field="4294967294" count="1" selected="0">
            <x v="2"/>
          </reference>
          <reference field="0" count="1" selected="0">
            <x v="8"/>
          </reference>
          <reference field="1" count="1" selected="0">
            <x v="71"/>
          </reference>
        </references>
      </pivotArea>
    </chartFormat>
    <chartFormat chart="0" format="907">
      <pivotArea type="data" outline="0" fieldPosition="0">
        <references count="3">
          <reference field="4294967294" count="1" selected="0">
            <x v="2"/>
          </reference>
          <reference field="0" count="1" selected="0">
            <x v="8"/>
          </reference>
          <reference field="1" count="1" selected="0">
            <x v="72"/>
          </reference>
        </references>
      </pivotArea>
    </chartFormat>
    <chartFormat chart="0" format="908">
      <pivotArea type="data" outline="0" fieldPosition="0">
        <references count="3">
          <reference field="4294967294" count="1" selected="0">
            <x v="2"/>
          </reference>
          <reference field="0" count="1" selected="0">
            <x v="8"/>
          </reference>
          <reference field="1" count="1" selected="0">
            <x v="73"/>
          </reference>
        </references>
      </pivotArea>
    </chartFormat>
    <chartFormat chart="0" format="909">
      <pivotArea type="data" outline="0" fieldPosition="0">
        <references count="3">
          <reference field="4294967294" count="1" selected="0">
            <x v="2"/>
          </reference>
          <reference field="0" count="1" selected="0">
            <x v="8"/>
          </reference>
          <reference field="1" count="1" selected="0">
            <x v="74"/>
          </reference>
        </references>
      </pivotArea>
    </chartFormat>
    <chartFormat chart="0" format="910">
      <pivotArea type="data" outline="0" fieldPosition="0">
        <references count="3">
          <reference field="4294967294" count="1" selected="0">
            <x v="2"/>
          </reference>
          <reference field="0" count="1" selected="0">
            <x v="8"/>
          </reference>
          <reference field="1" count="1" selected="0">
            <x v="75"/>
          </reference>
        </references>
      </pivotArea>
    </chartFormat>
    <chartFormat chart="0" format="911">
      <pivotArea type="data" outline="0" fieldPosition="0">
        <references count="3">
          <reference field="4294967294" count="1" selected="0">
            <x v="2"/>
          </reference>
          <reference field="0" count="1" selected="0">
            <x v="8"/>
          </reference>
          <reference field="1" count="1" selected="0">
            <x v="76"/>
          </reference>
        </references>
      </pivotArea>
    </chartFormat>
    <chartFormat chart="0" format="912">
      <pivotArea type="data" outline="0" fieldPosition="0">
        <references count="3">
          <reference field="4294967294" count="1" selected="0">
            <x v="2"/>
          </reference>
          <reference field="0" count="1" selected="0">
            <x v="8"/>
          </reference>
          <reference field="1" count="1" selected="0">
            <x v="77"/>
          </reference>
        </references>
      </pivotArea>
    </chartFormat>
    <chartFormat chart="0" format="913">
      <pivotArea type="data" outline="0" fieldPosition="0">
        <references count="3">
          <reference field="4294967294" count="1" selected="0">
            <x v="2"/>
          </reference>
          <reference field="0" count="1" selected="0">
            <x v="8"/>
          </reference>
          <reference field="1" count="1" selected="0">
            <x v="78"/>
          </reference>
        </references>
      </pivotArea>
    </chartFormat>
    <chartFormat chart="0" format="914">
      <pivotArea type="data" outline="0" fieldPosition="0">
        <references count="3">
          <reference field="4294967294" count="1" selected="0">
            <x v="2"/>
          </reference>
          <reference field="0" count="1" selected="0">
            <x v="9"/>
          </reference>
          <reference field="1" count="1" selected="0">
            <x v="31"/>
          </reference>
        </references>
      </pivotArea>
    </chartFormat>
    <chartFormat chart="0" format="915">
      <pivotArea type="data" outline="0" fieldPosition="0">
        <references count="3">
          <reference field="4294967294" count="1" selected="0">
            <x v="2"/>
          </reference>
          <reference field="0" count="1" selected="0">
            <x v="9"/>
          </reference>
          <reference field="1" count="1" selected="0">
            <x v="32"/>
          </reference>
        </references>
      </pivotArea>
    </chartFormat>
    <chartFormat chart="0" format="916">
      <pivotArea type="data" outline="0" fieldPosition="0">
        <references count="3">
          <reference field="4294967294" count="1" selected="0">
            <x v="2"/>
          </reference>
          <reference field="0" count="1" selected="0">
            <x v="9"/>
          </reference>
          <reference field="1" count="1" selected="0">
            <x v="33"/>
          </reference>
        </references>
      </pivotArea>
    </chartFormat>
    <chartFormat chart="0" format="917">
      <pivotArea type="data" outline="0" fieldPosition="0">
        <references count="3">
          <reference field="4294967294" count="1" selected="0">
            <x v="2"/>
          </reference>
          <reference field="0" count="1" selected="0">
            <x v="9"/>
          </reference>
          <reference field="1" count="1" selected="0">
            <x v="34"/>
          </reference>
        </references>
      </pivotArea>
    </chartFormat>
    <chartFormat chart="0" format="918">
      <pivotArea type="data" outline="0" fieldPosition="0">
        <references count="3">
          <reference field="4294967294" count="1" selected="0">
            <x v="2"/>
          </reference>
          <reference field="0" count="1" selected="0">
            <x v="9"/>
          </reference>
          <reference field="1" count="1" selected="0">
            <x v="35"/>
          </reference>
        </references>
      </pivotArea>
    </chartFormat>
    <chartFormat chart="0" format="919">
      <pivotArea type="data" outline="0" fieldPosition="0">
        <references count="3">
          <reference field="4294967294" count="1" selected="0">
            <x v="2"/>
          </reference>
          <reference field="0" count="1" selected="0">
            <x v="9"/>
          </reference>
          <reference field="1" count="1" selected="0">
            <x v="36"/>
          </reference>
        </references>
      </pivotArea>
    </chartFormat>
    <chartFormat chart="0" format="920">
      <pivotArea type="data" outline="0" fieldPosition="0">
        <references count="3">
          <reference field="4294967294" count="1" selected="0">
            <x v="2"/>
          </reference>
          <reference field="0" count="1" selected="0">
            <x v="9"/>
          </reference>
          <reference field="1" count="1" selected="0">
            <x v="37"/>
          </reference>
        </references>
      </pivotArea>
    </chartFormat>
    <chartFormat chart="0" format="921">
      <pivotArea type="data" outline="0" fieldPosition="0">
        <references count="3">
          <reference field="4294967294" count="1" selected="0">
            <x v="2"/>
          </reference>
          <reference field="0" count="1" selected="0">
            <x v="9"/>
          </reference>
          <reference field="1" count="1" selected="0">
            <x v="38"/>
          </reference>
        </references>
      </pivotArea>
    </chartFormat>
    <chartFormat chart="0" format="922">
      <pivotArea type="data" outline="0" fieldPosition="0">
        <references count="3">
          <reference field="4294967294" count="1" selected="0">
            <x v="2"/>
          </reference>
          <reference field="0" count="1" selected="0">
            <x v="9"/>
          </reference>
          <reference field="1" count="1" selected="0">
            <x v="39"/>
          </reference>
        </references>
      </pivotArea>
    </chartFormat>
    <chartFormat chart="0" format="923">
      <pivotArea type="data" outline="0" fieldPosition="0">
        <references count="3">
          <reference field="4294967294" count="1" selected="0">
            <x v="2"/>
          </reference>
          <reference field="0" count="1" selected="0">
            <x v="9"/>
          </reference>
          <reference field="1" count="1" selected="0">
            <x v="40"/>
          </reference>
        </references>
      </pivotArea>
    </chartFormat>
    <chartFormat chart="0" format="924">
      <pivotArea type="data" outline="0" fieldPosition="0">
        <references count="3">
          <reference field="4294967294" count="1" selected="0">
            <x v="2"/>
          </reference>
          <reference field="0" count="1" selected="0">
            <x v="9"/>
          </reference>
          <reference field="1" count="1" selected="0">
            <x v="41"/>
          </reference>
        </references>
      </pivotArea>
    </chartFormat>
    <chartFormat chart="0" format="925">
      <pivotArea type="data" outline="0" fieldPosition="0">
        <references count="3">
          <reference field="4294967294" count="1" selected="0">
            <x v="2"/>
          </reference>
          <reference field="0" count="1" selected="0">
            <x v="9"/>
          </reference>
          <reference field="1" count="1" selected="0">
            <x v="42"/>
          </reference>
        </references>
      </pivotArea>
    </chartFormat>
    <chartFormat chart="0" format="926">
      <pivotArea type="data" outline="0" fieldPosition="0">
        <references count="3">
          <reference field="4294967294" count="1" selected="0">
            <x v="2"/>
          </reference>
          <reference field="0" count="1" selected="0">
            <x v="9"/>
          </reference>
          <reference field="1" count="1" selected="0">
            <x v="43"/>
          </reference>
        </references>
      </pivotArea>
    </chartFormat>
    <chartFormat chart="0" format="927">
      <pivotArea type="data" outline="0" fieldPosition="0">
        <references count="3">
          <reference field="4294967294" count="1" selected="0">
            <x v="2"/>
          </reference>
          <reference field="0" count="1" selected="0">
            <x v="9"/>
          </reference>
          <reference field="1" count="1" selected="0">
            <x v="44"/>
          </reference>
        </references>
      </pivotArea>
    </chartFormat>
    <chartFormat chart="0" format="928">
      <pivotArea type="data" outline="0" fieldPosition="0">
        <references count="3">
          <reference field="4294967294" count="1" selected="0">
            <x v="2"/>
          </reference>
          <reference field="0" count="1" selected="0">
            <x v="9"/>
          </reference>
          <reference field="1" count="1" selected="0">
            <x v="45"/>
          </reference>
        </references>
      </pivotArea>
    </chartFormat>
    <chartFormat chart="0" format="929">
      <pivotArea type="data" outline="0" fieldPosition="0">
        <references count="3">
          <reference field="4294967294" count="1" selected="0">
            <x v="2"/>
          </reference>
          <reference field="0" count="1" selected="0">
            <x v="9"/>
          </reference>
          <reference field="1" count="1" selected="0">
            <x v="46"/>
          </reference>
        </references>
      </pivotArea>
    </chartFormat>
    <chartFormat chart="0" format="930">
      <pivotArea type="data" outline="0" fieldPosition="0">
        <references count="3">
          <reference field="4294967294" count="1" selected="0">
            <x v="2"/>
          </reference>
          <reference field="0" count="1" selected="0">
            <x v="9"/>
          </reference>
          <reference field="1" count="1" selected="0">
            <x v="47"/>
          </reference>
        </references>
      </pivotArea>
    </chartFormat>
    <chartFormat chart="0" format="931">
      <pivotArea type="data" outline="0" fieldPosition="0">
        <references count="3">
          <reference field="4294967294" count="1" selected="0">
            <x v="2"/>
          </reference>
          <reference field="0" count="1" selected="0">
            <x v="9"/>
          </reference>
          <reference field="1" count="1" selected="0">
            <x v="48"/>
          </reference>
        </references>
      </pivotArea>
    </chartFormat>
    <chartFormat chart="0" format="932">
      <pivotArea type="data" outline="0" fieldPosition="0">
        <references count="3">
          <reference field="4294967294" count="1" selected="0">
            <x v="2"/>
          </reference>
          <reference field="0" count="1" selected="0">
            <x v="9"/>
          </reference>
          <reference field="1" count="1" selected="0">
            <x v="49"/>
          </reference>
        </references>
      </pivotArea>
    </chartFormat>
    <chartFormat chart="0" format="933">
      <pivotArea type="data" outline="0" fieldPosition="0">
        <references count="3">
          <reference field="4294967294" count="1" selected="0">
            <x v="2"/>
          </reference>
          <reference field="0" count="1" selected="0">
            <x v="9"/>
          </reference>
          <reference field="1" count="1" selected="0">
            <x v="50"/>
          </reference>
        </references>
      </pivotArea>
    </chartFormat>
    <chartFormat chart="0" format="934">
      <pivotArea type="data" outline="0" fieldPosition="0">
        <references count="3">
          <reference field="4294967294" count="1" selected="0">
            <x v="2"/>
          </reference>
          <reference field="0" count="1" selected="0">
            <x v="9"/>
          </reference>
          <reference field="1" count="1" selected="0">
            <x v="51"/>
          </reference>
        </references>
      </pivotArea>
    </chartFormat>
    <chartFormat chart="0" format="935">
      <pivotArea type="data" outline="0" fieldPosition="0">
        <references count="3">
          <reference field="4294967294" count="1" selected="0">
            <x v="2"/>
          </reference>
          <reference field="0" count="1" selected="0">
            <x v="9"/>
          </reference>
          <reference field="1" count="1" selected="0">
            <x v="52"/>
          </reference>
        </references>
      </pivotArea>
    </chartFormat>
    <chartFormat chart="0" format="936">
      <pivotArea type="data" outline="0" fieldPosition="0">
        <references count="3">
          <reference field="4294967294" count="1" selected="0">
            <x v="2"/>
          </reference>
          <reference field="0" count="1" selected="0">
            <x v="9"/>
          </reference>
          <reference field="1" count="1" selected="0">
            <x v="53"/>
          </reference>
        </references>
      </pivotArea>
    </chartFormat>
    <chartFormat chart="0" format="937">
      <pivotArea type="data" outline="0" fieldPosition="0">
        <references count="3">
          <reference field="4294967294" count="1" selected="0">
            <x v="2"/>
          </reference>
          <reference field="0" count="1" selected="0">
            <x v="9"/>
          </reference>
          <reference field="1" count="1" selected="0">
            <x v="54"/>
          </reference>
        </references>
      </pivotArea>
    </chartFormat>
    <chartFormat chart="0" format="938">
      <pivotArea type="data" outline="0" fieldPosition="0">
        <references count="3">
          <reference field="4294967294" count="1" selected="0">
            <x v="2"/>
          </reference>
          <reference field="0" count="1" selected="0">
            <x v="9"/>
          </reference>
          <reference field="1" count="1" selected="0">
            <x v="55"/>
          </reference>
        </references>
      </pivotArea>
    </chartFormat>
    <chartFormat chart="0" format="939">
      <pivotArea type="data" outline="0" fieldPosition="0">
        <references count="3">
          <reference field="4294967294" count="1" selected="0">
            <x v="2"/>
          </reference>
          <reference field="0" count="1" selected="0">
            <x v="9"/>
          </reference>
          <reference field="1" count="1" selected="0">
            <x v="56"/>
          </reference>
        </references>
      </pivotArea>
    </chartFormat>
    <chartFormat chart="0" format="940">
      <pivotArea type="data" outline="0" fieldPosition="0">
        <references count="3">
          <reference field="4294967294" count="1" selected="0">
            <x v="2"/>
          </reference>
          <reference field="0" count="1" selected="0">
            <x v="9"/>
          </reference>
          <reference field="1" count="1" selected="0">
            <x v="57"/>
          </reference>
        </references>
      </pivotArea>
    </chartFormat>
    <chartFormat chart="0" format="941">
      <pivotArea type="data" outline="0" fieldPosition="0">
        <references count="3">
          <reference field="4294967294" count="1" selected="0">
            <x v="2"/>
          </reference>
          <reference field="0" count="1" selected="0">
            <x v="9"/>
          </reference>
          <reference field="1" count="1" selected="0">
            <x v="58"/>
          </reference>
        </references>
      </pivotArea>
    </chartFormat>
    <chartFormat chart="0" format="942">
      <pivotArea type="data" outline="0" fieldPosition="0">
        <references count="3">
          <reference field="4294967294" count="1" selected="0">
            <x v="2"/>
          </reference>
          <reference field="0" count="1" selected="0">
            <x v="9"/>
          </reference>
          <reference field="1" count="1" selected="0">
            <x v="59"/>
          </reference>
        </references>
      </pivotArea>
    </chartFormat>
    <chartFormat chart="0" format="943">
      <pivotArea type="data" outline="0" fieldPosition="0">
        <references count="3">
          <reference field="4294967294" count="1" selected="0">
            <x v="2"/>
          </reference>
          <reference field="0" count="1" selected="0">
            <x v="9"/>
          </reference>
          <reference field="1" count="1" selected="0">
            <x v="60"/>
          </reference>
        </references>
      </pivotArea>
    </chartFormat>
    <chartFormat chart="0" format="944">
      <pivotArea type="data" outline="0" fieldPosition="0">
        <references count="3">
          <reference field="4294967294" count="1" selected="0">
            <x v="2"/>
          </reference>
          <reference field="0" count="1" selected="0">
            <x v="9"/>
          </reference>
          <reference field="1" count="1" selected="0">
            <x v="61"/>
          </reference>
        </references>
      </pivotArea>
    </chartFormat>
    <chartFormat chart="0" format="945">
      <pivotArea type="data" outline="0" fieldPosition="0">
        <references count="3">
          <reference field="4294967294" count="1" selected="0">
            <x v="2"/>
          </reference>
          <reference field="0" count="1" selected="0">
            <x v="9"/>
          </reference>
          <reference field="1" count="1" selected="0">
            <x v="62"/>
          </reference>
        </references>
      </pivotArea>
    </chartFormat>
    <chartFormat chart="0" format="946">
      <pivotArea type="data" outline="0" fieldPosition="0">
        <references count="3">
          <reference field="4294967294" count="1" selected="0">
            <x v="2"/>
          </reference>
          <reference field="0" count="1" selected="0">
            <x v="9"/>
          </reference>
          <reference field="1" count="1" selected="0">
            <x v="63"/>
          </reference>
        </references>
      </pivotArea>
    </chartFormat>
    <chartFormat chart="0" format="947">
      <pivotArea type="data" outline="0" fieldPosition="0">
        <references count="3">
          <reference field="4294967294" count="1" selected="0">
            <x v="2"/>
          </reference>
          <reference field="0" count="1" selected="0">
            <x v="9"/>
          </reference>
          <reference field="1" count="1" selected="0">
            <x v="64"/>
          </reference>
        </references>
      </pivotArea>
    </chartFormat>
    <chartFormat chart="0" format="948">
      <pivotArea type="data" outline="0" fieldPosition="0">
        <references count="3">
          <reference field="4294967294" count="1" selected="0">
            <x v="2"/>
          </reference>
          <reference field="0" count="1" selected="0">
            <x v="9"/>
          </reference>
          <reference field="1" count="1" selected="0">
            <x v="65"/>
          </reference>
        </references>
      </pivotArea>
    </chartFormat>
    <chartFormat chart="0" format="949">
      <pivotArea type="data" outline="0" fieldPosition="0">
        <references count="3">
          <reference field="4294967294" count="1" selected="0">
            <x v="2"/>
          </reference>
          <reference field="0" count="1" selected="0">
            <x v="9"/>
          </reference>
          <reference field="1" count="1" selected="0">
            <x v="66"/>
          </reference>
        </references>
      </pivotArea>
    </chartFormat>
    <chartFormat chart="0" format="950">
      <pivotArea type="data" outline="0" fieldPosition="0">
        <references count="3">
          <reference field="4294967294" count="1" selected="0">
            <x v="2"/>
          </reference>
          <reference field="0" count="1" selected="0">
            <x v="9"/>
          </reference>
          <reference field="1" count="1" selected="0">
            <x v="67"/>
          </reference>
        </references>
      </pivotArea>
    </chartFormat>
    <chartFormat chart="0" format="951">
      <pivotArea type="data" outline="0" fieldPosition="0">
        <references count="3">
          <reference field="4294967294" count="1" selected="0">
            <x v="2"/>
          </reference>
          <reference field="0" count="1" selected="0">
            <x v="9"/>
          </reference>
          <reference field="1" count="1" selected="0">
            <x v="68"/>
          </reference>
        </references>
      </pivotArea>
    </chartFormat>
    <chartFormat chart="0" format="952">
      <pivotArea type="data" outline="0" fieldPosition="0">
        <references count="3">
          <reference field="4294967294" count="1" selected="0">
            <x v="2"/>
          </reference>
          <reference field="0" count="1" selected="0">
            <x v="9"/>
          </reference>
          <reference field="1" count="1" selected="0">
            <x v="69"/>
          </reference>
        </references>
      </pivotArea>
    </chartFormat>
    <chartFormat chart="0" format="953">
      <pivotArea type="data" outline="0" fieldPosition="0">
        <references count="3">
          <reference field="4294967294" count="1" selected="0">
            <x v="2"/>
          </reference>
          <reference field="0" count="1" selected="0">
            <x v="9"/>
          </reference>
          <reference field="1" count="1" selected="0">
            <x v="70"/>
          </reference>
        </references>
      </pivotArea>
    </chartFormat>
    <chartFormat chart="0" format="954">
      <pivotArea type="data" outline="0" fieldPosition="0">
        <references count="3">
          <reference field="4294967294" count="1" selected="0">
            <x v="2"/>
          </reference>
          <reference field="0" count="1" selected="0">
            <x v="9"/>
          </reference>
          <reference field="1" count="1" selected="0">
            <x v="71"/>
          </reference>
        </references>
      </pivotArea>
    </chartFormat>
    <chartFormat chart="0" format="955">
      <pivotArea type="data" outline="0" fieldPosition="0">
        <references count="3">
          <reference field="4294967294" count="1" selected="0">
            <x v="2"/>
          </reference>
          <reference field="0" count="1" selected="0">
            <x v="9"/>
          </reference>
          <reference field="1" count="1" selected="0">
            <x v="72"/>
          </reference>
        </references>
      </pivotArea>
    </chartFormat>
    <chartFormat chart="0" format="956">
      <pivotArea type="data" outline="0" fieldPosition="0">
        <references count="3">
          <reference field="4294967294" count="1" selected="0">
            <x v="2"/>
          </reference>
          <reference field="0" count="1" selected="0">
            <x v="9"/>
          </reference>
          <reference field="1" count="1" selected="0">
            <x v="73"/>
          </reference>
        </references>
      </pivotArea>
    </chartFormat>
    <chartFormat chart="0" format="957">
      <pivotArea type="data" outline="0" fieldPosition="0">
        <references count="3">
          <reference field="4294967294" count="1" selected="0">
            <x v="2"/>
          </reference>
          <reference field="0" count="1" selected="0">
            <x v="9"/>
          </reference>
          <reference field="1" count="1" selected="0">
            <x v="74"/>
          </reference>
        </references>
      </pivotArea>
    </chartFormat>
    <chartFormat chart="0" format="958">
      <pivotArea type="data" outline="0" fieldPosition="0">
        <references count="3">
          <reference field="4294967294" count="1" selected="0">
            <x v="2"/>
          </reference>
          <reference field="0" count="1" selected="0">
            <x v="9"/>
          </reference>
          <reference field="1" count="1" selected="0">
            <x v="75"/>
          </reference>
        </references>
      </pivotArea>
    </chartFormat>
    <chartFormat chart="0" format="959">
      <pivotArea type="data" outline="0" fieldPosition="0">
        <references count="3">
          <reference field="4294967294" count="1" selected="0">
            <x v="2"/>
          </reference>
          <reference field="0" count="1" selected="0">
            <x v="9"/>
          </reference>
          <reference field="1" count="1" selected="0">
            <x v="76"/>
          </reference>
        </references>
      </pivotArea>
    </chartFormat>
    <chartFormat chart="0" format="960">
      <pivotArea type="data" outline="0" fieldPosition="0">
        <references count="3">
          <reference field="4294967294" count="1" selected="0">
            <x v="2"/>
          </reference>
          <reference field="0" count="1" selected="0">
            <x v="9"/>
          </reference>
          <reference field="1" count="1" selected="0">
            <x v="77"/>
          </reference>
        </references>
      </pivotArea>
    </chartFormat>
    <chartFormat chart="0" format="961">
      <pivotArea type="data" outline="0" fieldPosition="0">
        <references count="3">
          <reference field="4294967294" count="1" selected="0">
            <x v="2"/>
          </reference>
          <reference field="0" count="1" selected="0">
            <x v="9"/>
          </reference>
          <reference field="1" count="1" selected="0">
            <x v="78"/>
          </reference>
        </references>
      </pivotArea>
    </chartFormat>
    <chartFormat chart="0" format="962">
      <pivotArea type="data" outline="0" fieldPosition="0">
        <references count="3">
          <reference field="4294967294" count="1" selected="0">
            <x v="2"/>
          </reference>
          <reference field="0" count="1" selected="0">
            <x v="10"/>
          </reference>
          <reference field="1" count="1" selected="0">
            <x v="31"/>
          </reference>
        </references>
      </pivotArea>
    </chartFormat>
    <chartFormat chart="0" format="963">
      <pivotArea type="data" outline="0" fieldPosition="0">
        <references count="3">
          <reference field="4294967294" count="1" selected="0">
            <x v="2"/>
          </reference>
          <reference field="0" count="1" selected="0">
            <x v="10"/>
          </reference>
          <reference field="1" count="1" selected="0">
            <x v="32"/>
          </reference>
        </references>
      </pivotArea>
    </chartFormat>
    <chartFormat chart="0" format="964">
      <pivotArea type="data" outline="0" fieldPosition="0">
        <references count="3">
          <reference field="4294967294" count="1" selected="0">
            <x v="2"/>
          </reference>
          <reference field="0" count="1" selected="0">
            <x v="10"/>
          </reference>
          <reference field="1" count="1" selected="0">
            <x v="33"/>
          </reference>
        </references>
      </pivotArea>
    </chartFormat>
    <chartFormat chart="0" format="965">
      <pivotArea type="data" outline="0" fieldPosition="0">
        <references count="3">
          <reference field="4294967294" count="1" selected="0">
            <x v="2"/>
          </reference>
          <reference field="0" count="1" selected="0">
            <x v="10"/>
          </reference>
          <reference field="1" count="1" selected="0">
            <x v="34"/>
          </reference>
        </references>
      </pivotArea>
    </chartFormat>
    <chartFormat chart="0" format="966">
      <pivotArea type="data" outline="0" fieldPosition="0">
        <references count="3">
          <reference field="4294967294" count="1" selected="0">
            <x v="2"/>
          </reference>
          <reference field="0" count="1" selected="0">
            <x v="10"/>
          </reference>
          <reference field="1" count="1" selected="0">
            <x v="35"/>
          </reference>
        </references>
      </pivotArea>
    </chartFormat>
    <chartFormat chart="0" format="967">
      <pivotArea type="data" outline="0" fieldPosition="0">
        <references count="3">
          <reference field="4294967294" count="1" selected="0">
            <x v="2"/>
          </reference>
          <reference field="0" count="1" selected="0">
            <x v="10"/>
          </reference>
          <reference field="1" count="1" selected="0">
            <x v="36"/>
          </reference>
        </references>
      </pivotArea>
    </chartFormat>
    <chartFormat chart="0" format="968">
      <pivotArea type="data" outline="0" fieldPosition="0">
        <references count="3">
          <reference field="4294967294" count="1" selected="0">
            <x v="2"/>
          </reference>
          <reference field="0" count="1" selected="0">
            <x v="10"/>
          </reference>
          <reference field="1" count="1" selected="0">
            <x v="37"/>
          </reference>
        </references>
      </pivotArea>
    </chartFormat>
    <chartFormat chart="0" format="969">
      <pivotArea type="data" outline="0" fieldPosition="0">
        <references count="3">
          <reference field="4294967294" count="1" selected="0">
            <x v="2"/>
          </reference>
          <reference field="0" count="1" selected="0">
            <x v="10"/>
          </reference>
          <reference field="1" count="1" selected="0">
            <x v="38"/>
          </reference>
        </references>
      </pivotArea>
    </chartFormat>
    <chartFormat chart="0" format="970">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1">
      <pivotArea type="data" outline="0" fieldPosition="0">
        <references count="3">
          <reference field="4294967294" count="1" selected="0">
            <x v="2"/>
          </reference>
          <reference field="0" count="1" selected="0">
            <x v="10"/>
          </reference>
          <reference field="1" count="1" selected="0">
            <x v="40"/>
          </reference>
        </references>
      </pivotArea>
    </chartFormat>
    <chartFormat chart="0" format="972">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3">
      <pivotArea type="data" outline="0" fieldPosition="0">
        <references count="3">
          <reference field="4294967294" count="1" selected="0">
            <x v="2"/>
          </reference>
          <reference field="0" count="1" selected="0">
            <x v="10"/>
          </reference>
          <reference field="1" count="1" selected="0">
            <x v="42"/>
          </reference>
        </references>
      </pivotArea>
    </chartFormat>
    <chartFormat chart="0" format="974">
      <pivotArea type="data" outline="0" fieldPosition="0">
        <references count="3">
          <reference field="4294967294" count="1" selected="0">
            <x v="2"/>
          </reference>
          <reference field="0" count="1" selected="0">
            <x v="10"/>
          </reference>
          <reference field="1" count="1" selected="0">
            <x v="43"/>
          </reference>
        </references>
      </pivotArea>
    </chartFormat>
    <chartFormat chart="0" format="975">
      <pivotArea type="data" outline="0" fieldPosition="0">
        <references count="3">
          <reference field="4294967294" count="1" selected="0">
            <x v="2"/>
          </reference>
          <reference field="0" count="1" selected="0">
            <x v="10"/>
          </reference>
          <reference field="1" count="1" selected="0">
            <x v="44"/>
          </reference>
        </references>
      </pivotArea>
    </chartFormat>
    <chartFormat chart="0" format="976">
      <pivotArea type="data" outline="0" fieldPosition="0">
        <references count="3">
          <reference field="4294967294" count="1" selected="0">
            <x v="2"/>
          </reference>
          <reference field="0" count="1" selected="0">
            <x v="10"/>
          </reference>
          <reference field="1" count="1" selected="0">
            <x v="45"/>
          </reference>
        </references>
      </pivotArea>
    </chartFormat>
    <chartFormat chart="0" format="977">
      <pivotArea type="data" outline="0" fieldPosition="0">
        <references count="3">
          <reference field="4294967294" count="1" selected="0">
            <x v="2"/>
          </reference>
          <reference field="0" count="1" selected="0">
            <x v="10"/>
          </reference>
          <reference field="1" count="1" selected="0">
            <x v="46"/>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7"/>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8"/>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1">
      <pivotArea type="data" outline="0" fieldPosition="0">
        <references count="3">
          <reference field="4294967294" count="1" selected="0">
            <x v="2"/>
          </reference>
          <reference field="0" count="1" selected="0">
            <x v="10"/>
          </reference>
          <reference field="1" count="1" selected="0">
            <x v="50"/>
          </reference>
        </references>
      </pivotArea>
    </chartFormat>
    <chartFormat chart="0" format="982">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2"/>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4"/>
          </reference>
        </references>
      </pivotArea>
    </chartFormat>
    <chartFormat chart="0" format="986">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7">
      <pivotArea type="data" outline="0" fieldPosition="0">
        <references count="3">
          <reference field="4294967294" count="1" selected="0">
            <x v="2"/>
          </reference>
          <reference field="0" count="1" selected="0">
            <x v="10"/>
          </reference>
          <reference field="1" count="1" selected="0">
            <x v="56"/>
          </reference>
        </references>
      </pivotArea>
    </chartFormat>
    <chartFormat chart="0" format="988">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9">
      <pivotArea type="data" outline="0" fieldPosition="0">
        <references count="3">
          <reference field="4294967294" count="1" selected="0">
            <x v="2"/>
          </reference>
          <reference field="0" count="1" selected="0">
            <x v="10"/>
          </reference>
          <reference field="1" count="1" selected="0">
            <x v="58"/>
          </reference>
        </references>
      </pivotArea>
    </chartFormat>
    <chartFormat chart="0" format="990">
      <pivotArea type="data" outline="0" fieldPosition="0">
        <references count="3">
          <reference field="4294967294" count="1" selected="0">
            <x v="2"/>
          </reference>
          <reference field="0" count="1" selected="0">
            <x v="10"/>
          </reference>
          <reference field="1" count="1" selected="0">
            <x v="59"/>
          </reference>
        </references>
      </pivotArea>
    </chartFormat>
    <chartFormat chart="0" format="991">
      <pivotArea type="data" outline="0" fieldPosition="0">
        <references count="3">
          <reference field="4294967294" count="1" selected="0">
            <x v="2"/>
          </reference>
          <reference field="0" count="1" selected="0">
            <x v="10"/>
          </reference>
          <reference field="1" count="1" selected="0">
            <x v="60"/>
          </reference>
        </references>
      </pivotArea>
    </chartFormat>
    <chartFormat chart="0" format="992">
      <pivotArea type="data" outline="0" fieldPosition="0">
        <references count="3">
          <reference field="4294967294" count="1" selected="0">
            <x v="2"/>
          </reference>
          <reference field="0" count="1" selected="0">
            <x v="10"/>
          </reference>
          <reference field="1" count="1" selected="0">
            <x v="61"/>
          </reference>
        </references>
      </pivotArea>
    </chartFormat>
    <chartFormat chart="0" format="993">
      <pivotArea type="data" outline="0" fieldPosition="0">
        <references count="3">
          <reference field="4294967294" count="1" selected="0">
            <x v="2"/>
          </reference>
          <reference field="0" count="1" selected="0">
            <x v="10"/>
          </reference>
          <reference field="1" count="1" selected="0">
            <x v="62"/>
          </reference>
        </references>
      </pivotArea>
    </chartFormat>
    <chartFormat chart="0" format="994">
      <pivotArea type="data" outline="0" fieldPosition="0">
        <references count="3">
          <reference field="4294967294" count="1" selected="0">
            <x v="2"/>
          </reference>
          <reference field="0" count="1" selected="0">
            <x v="10"/>
          </reference>
          <reference field="1" count="1" selected="0">
            <x v="63"/>
          </reference>
        </references>
      </pivotArea>
    </chartFormat>
    <chartFormat chart="0" format="995">
      <pivotArea type="data" outline="0" fieldPosition="0">
        <references count="3">
          <reference field="4294967294" count="1" selected="0">
            <x v="2"/>
          </reference>
          <reference field="0" count="1" selected="0">
            <x v="10"/>
          </reference>
          <reference field="1" count="1" selected="0">
            <x v="64"/>
          </reference>
        </references>
      </pivotArea>
    </chartFormat>
    <chartFormat chart="0" format="996">
      <pivotArea type="data" outline="0" fieldPosition="0">
        <references count="3">
          <reference field="4294967294" count="1" selected="0">
            <x v="2"/>
          </reference>
          <reference field="0" count="1" selected="0">
            <x v="10"/>
          </reference>
          <reference field="1" count="1" selected="0">
            <x v="65"/>
          </reference>
        </references>
      </pivotArea>
    </chartFormat>
    <chartFormat chart="0" format="997">
      <pivotArea type="data" outline="0" fieldPosition="0">
        <references count="3">
          <reference field="4294967294" count="1" selected="0">
            <x v="2"/>
          </reference>
          <reference field="0" count="1" selected="0">
            <x v="10"/>
          </reference>
          <reference field="1" count="1" selected="0">
            <x v="66"/>
          </reference>
        </references>
      </pivotArea>
    </chartFormat>
    <chartFormat chart="0" format="998">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9">
      <pivotArea type="data" outline="0" fieldPosition="0">
        <references count="3">
          <reference field="4294967294" count="1" selected="0">
            <x v="2"/>
          </reference>
          <reference field="0" count="1" selected="0">
            <x v="10"/>
          </reference>
          <reference field="1" count="1" selected="0">
            <x v="68"/>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72"/>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74"/>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75"/>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76"/>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77"/>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78"/>
          </reference>
        </references>
      </pivotArea>
    </chartFormat>
    <chartFormat chart="0" format="1010">
      <pivotArea type="data" outline="0" fieldPosition="0">
        <references count="3">
          <reference field="4294967294" count="1" selected="0">
            <x v="2"/>
          </reference>
          <reference field="0" count="1" selected="0">
            <x v="11"/>
          </reference>
          <reference field="1" count="1" selected="0">
            <x v="31"/>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32"/>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33"/>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34"/>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63"/>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64"/>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65"/>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66"/>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67"/>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68"/>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69"/>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70"/>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71"/>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72"/>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73"/>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74"/>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75"/>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76"/>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77"/>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vl3_generic_9"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7" firstHeaderRow="0" firstDataRow="1" firstDataCol="2" rowPageCount="5" colPageCount="1"/>
  <pivotFields count="13">
    <pivotField axis="axisRow" compact="0" outline="0" subtotalTop="0" showAll="0" defaultSubtotal="0">
      <items count="12">
        <item x="0"/>
        <item m="1" x="5"/>
        <item m="1" x="9"/>
        <item x="1"/>
        <item x="2"/>
        <item m="1" x="11"/>
        <item m="1" x="6"/>
        <item m="1" x="7"/>
        <item m="1" x="3"/>
        <item m="1" x="8"/>
        <item m="1" x="4"/>
        <item m="1" x="10"/>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5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83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1"/>
          </reference>
        </references>
      </pivotArea>
    </chartFormat>
    <chartFormat chart="0" format="198">
      <pivotArea type="data" outline="0" fieldPosition="0">
        <references count="3">
          <reference field="4294967294" count="1" selected="0">
            <x v="0"/>
          </reference>
          <reference field="0" count="1" selected="0">
            <x v="1"/>
          </reference>
          <reference field="1" count="1" selected="0">
            <x v="2"/>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1"/>
          </reference>
        </references>
      </pivotArea>
    </chartFormat>
    <chartFormat chart="0" format="201">
      <pivotArea type="data" outline="0" fieldPosition="0">
        <references count="3">
          <reference field="4294967294" count="1" selected="0">
            <x v="2"/>
          </reference>
          <reference field="0" count="1" selected="0">
            <x v="1"/>
          </reference>
          <reference field="1" count="1" selected="0">
            <x v="2"/>
          </reference>
        </references>
      </pivotArea>
    </chartFormat>
    <chartFormat chart="0" format="202">
      <pivotArea type="data" outline="0" fieldPosition="0">
        <references count="3">
          <reference field="4294967294" count="1" selected="0">
            <x v="2"/>
          </reference>
          <reference field="0" count="1" selected="0">
            <x v="2"/>
          </reference>
          <reference field="1" count="1" selected="0">
            <x v="3"/>
          </reference>
        </references>
      </pivotArea>
    </chartFormat>
    <chartFormat chart="0" format="203">
      <pivotArea type="data" outline="0" fieldPosition="0">
        <references count="3">
          <reference field="4294967294" count="1" selected="0">
            <x v="2"/>
          </reference>
          <reference field="0" count="1" selected="0">
            <x v="2"/>
          </reference>
          <reference field="1" count="1" selected="0">
            <x v="4"/>
          </reference>
        </references>
      </pivotArea>
    </chartFormat>
    <chartFormat chart="0" format="204">
      <pivotArea type="data" outline="0" fieldPosition="0">
        <references count="3">
          <reference field="4294967294" count="1" selected="0">
            <x v="2"/>
          </reference>
          <reference field="0" count="1" selected="0">
            <x v="2"/>
          </reference>
          <reference field="1" count="1" selected="0">
            <x v="5"/>
          </reference>
        </references>
      </pivotArea>
    </chartFormat>
    <chartFormat chart="0" format="205">
      <pivotArea type="data" outline="0" fieldPosition="0">
        <references count="3">
          <reference field="4294967294" count="1" selected="0">
            <x v="2"/>
          </reference>
          <reference field="0" count="1" selected="0">
            <x v="2"/>
          </reference>
          <reference field="1" count="1" selected="0">
            <x v="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
          </reference>
        </references>
      </pivotArea>
    </chartFormat>
    <chartFormat chart="0" format="207">
      <pivotArea type="data" outline="0" fieldPosition="0">
        <references count="3">
          <reference field="4294967294" count="1" selected="0">
            <x v="2"/>
          </reference>
          <reference field="0" count="1" selected="0">
            <x v="2"/>
          </reference>
          <reference field="1" count="1" selected="0">
            <x v="8"/>
          </reference>
        </references>
      </pivotArea>
    </chartFormat>
    <chartFormat chart="0" format="208">
      <pivotArea type="data" outline="0" fieldPosition="0">
        <references count="3">
          <reference field="4294967294" count="1" selected="0">
            <x v="2"/>
          </reference>
          <reference field="0" count="1" selected="0">
            <x v="2"/>
          </reference>
          <reference field="1" count="1" selected="0">
            <x v="9"/>
          </reference>
        </references>
      </pivotArea>
    </chartFormat>
    <chartFormat chart="0" format="209">
      <pivotArea type="data" outline="0" fieldPosition="0">
        <references count="3">
          <reference field="4294967294" count="1" selected="0">
            <x v="2"/>
          </reference>
          <reference field="0" count="1" selected="0">
            <x v="2"/>
          </reference>
          <reference field="1" count="1" selected="0">
            <x v="10"/>
          </reference>
        </references>
      </pivotArea>
    </chartFormat>
    <chartFormat chart="0" format="210">
      <pivotArea type="data" outline="0" fieldPosition="0">
        <references count="3">
          <reference field="4294967294" count="1" selected="0">
            <x v="2"/>
          </reference>
          <reference field="0" count="1" selected="0">
            <x v="2"/>
          </reference>
          <reference field="1" count="1" selected="0">
            <x v="11"/>
          </reference>
        </references>
      </pivotArea>
    </chartFormat>
    <chartFormat chart="0" format="211">
      <pivotArea type="data" outline="0" fieldPosition="0">
        <references count="3">
          <reference field="4294967294" count="1" selected="0">
            <x v="2"/>
          </reference>
          <reference field="0" count="1" selected="0">
            <x v="2"/>
          </reference>
          <reference field="1" count="1" selected="0">
            <x v="12"/>
          </reference>
        </references>
      </pivotArea>
    </chartFormat>
    <chartFormat chart="0" format="212">
      <pivotArea type="data" outline="0" fieldPosition="0">
        <references count="3">
          <reference field="4294967294" count="1" selected="0">
            <x v="2"/>
          </reference>
          <reference field="0" count="1" selected="0">
            <x v="2"/>
          </reference>
          <reference field="1" count="1" selected="0">
            <x v="13"/>
          </reference>
        </references>
      </pivotArea>
    </chartFormat>
    <chartFormat chart="0" format="213">
      <pivotArea type="data" outline="0" fieldPosition="0">
        <references count="3">
          <reference field="4294967294" count="1" selected="0">
            <x v="2"/>
          </reference>
          <reference field="0" count="1" selected="0">
            <x v="2"/>
          </reference>
          <reference field="1" count="1" selected="0">
            <x v="14"/>
          </reference>
        </references>
      </pivotArea>
    </chartFormat>
    <chartFormat chart="0" format="214">
      <pivotArea type="data" outline="0" fieldPosition="0">
        <references count="3">
          <reference field="4294967294" count="1" selected="0">
            <x v="2"/>
          </reference>
          <reference field="0" count="1" selected="0">
            <x v="2"/>
          </reference>
          <reference field="1" count="1" selected="0">
            <x v="15"/>
          </reference>
        </references>
      </pivotArea>
    </chartFormat>
    <chartFormat chart="0" format="215">
      <pivotArea type="data" outline="0" fieldPosition="0">
        <references count="3">
          <reference field="4294967294" count="1" selected="0">
            <x v="2"/>
          </reference>
          <reference field="0" count="1" selected="0">
            <x v="2"/>
          </reference>
          <reference field="1" count="1" selected="0">
            <x v="16"/>
          </reference>
        </references>
      </pivotArea>
    </chartFormat>
    <chartFormat chart="0" format="216">
      <pivotArea type="data" outline="0" fieldPosition="0">
        <references count="3">
          <reference field="4294967294" count="1" selected="0">
            <x v="2"/>
          </reference>
          <reference field="0" count="1" selected="0">
            <x v="2"/>
          </reference>
          <reference field="1" count="1" selected="0">
            <x v="17"/>
          </reference>
        </references>
      </pivotArea>
    </chartFormat>
    <chartFormat chart="0" format="217">
      <pivotArea type="data" outline="0" fieldPosition="0">
        <references count="3">
          <reference field="4294967294" count="1" selected="0">
            <x v="2"/>
          </reference>
          <reference field="0" count="1" selected="0">
            <x v="2"/>
          </reference>
          <reference field="1" count="1" selected="0">
            <x v="18"/>
          </reference>
        </references>
      </pivotArea>
    </chartFormat>
    <chartFormat chart="0" format="218">
      <pivotArea type="data" outline="0" fieldPosition="0">
        <references count="3">
          <reference field="4294967294" count="1" selected="0">
            <x v="2"/>
          </reference>
          <reference field="0" count="1" selected="0">
            <x v="2"/>
          </reference>
          <reference field="1" count="1" selected="0">
            <x v="19"/>
          </reference>
        </references>
      </pivotArea>
    </chartFormat>
    <chartFormat chart="0" format="219">
      <pivotArea type="data" outline="0" fieldPosition="0">
        <references count="3">
          <reference field="4294967294" count="1" selected="0">
            <x v="2"/>
          </reference>
          <reference field="0" count="1" selected="0">
            <x v="2"/>
          </reference>
          <reference field="1" count="1" selected="0">
            <x v="20"/>
          </reference>
        </references>
      </pivotArea>
    </chartFormat>
    <chartFormat chart="0" format="220">
      <pivotArea type="data" outline="0" fieldPosition="0">
        <references count="3">
          <reference field="4294967294" count="1" selected="0">
            <x v="2"/>
          </reference>
          <reference field="0" count="1" selected="0">
            <x v="2"/>
          </reference>
          <reference field="1" count="1" selected="0">
            <x v="21"/>
          </reference>
        </references>
      </pivotArea>
    </chartFormat>
    <chartFormat chart="0" format="221">
      <pivotArea type="data" outline="0" fieldPosition="0">
        <references count="3">
          <reference field="4294967294" count="1" selected="0">
            <x v="2"/>
          </reference>
          <reference field="0" count="1" selected="0">
            <x v="2"/>
          </reference>
          <reference field="1" count="1" selected="0">
            <x v="22"/>
          </reference>
        </references>
      </pivotArea>
    </chartFormat>
    <chartFormat chart="0" format="222">
      <pivotArea type="data" outline="0" fieldPosition="0">
        <references count="3">
          <reference field="4294967294" count="1" selected="0">
            <x v="2"/>
          </reference>
          <reference field="0" count="1" selected="0">
            <x v="2"/>
          </reference>
          <reference field="1" count="1" selected="0">
            <x v="23"/>
          </reference>
        </references>
      </pivotArea>
    </chartFormat>
    <chartFormat chart="0" format="223">
      <pivotArea type="data" outline="0" fieldPosition="0">
        <references count="3">
          <reference field="4294967294" count="1" selected="0">
            <x v="2"/>
          </reference>
          <reference field="0" count="1" selected="0">
            <x v="2"/>
          </reference>
          <reference field="1" count="1" selected="0">
            <x v="24"/>
          </reference>
        </references>
      </pivotArea>
    </chartFormat>
    <chartFormat chart="0" format="224">
      <pivotArea type="data" outline="0" fieldPosition="0">
        <references count="3">
          <reference field="4294967294" count="1" selected="0">
            <x v="2"/>
          </reference>
          <reference field="0" count="1" selected="0">
            <x v="2"/>
          </reference>
          <reference field="1" count="1" selected="0">
            <x v="25"/>
          </reference>
        </references>
      </pivotArea>
    </chartFormat>
    <chartFormat chart="0" format="225">
      <pivotArea type="data" outline="0" fieldPosition="0">
        <references count="3">
          <reference field="4294967294" count="1" selected="0">
            <x v="2"/>
          </reference>
          <reference field="0" count="1" selected="0">
            <x v="2"/>
          </reference>
          <reference field="1" count="1" selected="0">
            <x v="26"/>
          </reference>
        </references>
      </pivotArea>
    </chartFormat>
    <chartFormat chart="0" format="226">
      <pivotArea type="data" outline="0" fieldPosition="0">
        <references count="3">
          <reference field="4294967294" count="1" selected="0">
            <x v="0"/>
          </reference>
          <reference field="0" count="1" selected="0">
            <x v="2"/>
          </reference>
          <reference field="1" count="1" selected="0">
            <x v="3"/>
          </reference>
        </references>
      </pivotArea>
    </chartFormat>
    <chartFormat chart="0" format="227">
      <pivotArea type="data" outline="0" fieldPosition="0">
        <references count="3">
          <reference field="4294967294" count="1" selected="0">
            <x v="0"/>
          </reference>
          <reference field="0" count="1" selected="0">
            <x v="2"/>
          </reference>
          <reference field="1" count="1" selected="0">
            <x v="4"/>
          </reference>
        </references>
      </pivotArea>
    </chartFormat>
    <chartFormat chart="0" format="228">
      <pivotArea type="data" outline="0" fieldPosition="0">
        <references count="3">
          <reference field="4294967294" count="1" selected="0">
            <x v="0"/>
          </reference>
          <reference field="0" count="1" selected="0">
            <x v="2"/>
          </reference>
          <reference field="1" count="1" selected="0">
            <x v="5"/>
          </reference>
        </references>
      </pivotArea>
    </chartFormat>
    <chartFormat chart="0" format="229">
      <pivotArea type="data" outline="0" fieldPosition="0">
        <references count="3">
          <reference field="4294967294" count="1" selected="0">
            <x v="0"/>
          </reference>
          <reference field="0" count="1" selected="0">
            <x v="2"/>
          </reference>
          <reference field="1" count="1" selected="0">
            <x v="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
          </reference>
        </references>
      </pivotArea>
    </chartFormat>
    <chartFormat chart="0" format="231">
      <pivotArea type="data" outline="0" fieldPosition="0">
        <references count="3">
          <reference field="4294967294" count="1" selected="0">
            <x v="0"/>
          </reference>
          <reference field="0" count="1" selected="0">
            <x v="2"/>
          </reference>
          <reference field="1" count="1" selected="0">
            <x v="8"/>
          </reference>
        </references>
      </pivotArea>
    </chartFormat>
    <chartFormat chart="0" format="232">
      <pivotArea type="data" outline="0" fieldPosition="0">
        <references count="3">
          <reference field="4294967294" count="1" selected="0">
            <x v="0"/>
          </reference>
          <reference field="0" count="1" selected="0">
            <x v="2"/>
          </reference>
          <reference field="1" count="1" selected="0">
            <x v="9"/>
          </reference>
        </references>
      </pivotArea>
    </chartFormat>
    <chartFormat chart="0" format="233">
      <pivotArea type="data" outline="0" fieldPosition="0">
        <references count="3">
          <reference field="4294967294" count="1" selected="0">
            <x v="0"/>
          </reference>
          <reference field="0" count="1" selected="0">
            <x v="2"/>
          </reference>
          <reference field="1" count="1" selected="0">
            <x v="10"/>
          </reference>
        </references>
      </pivotArea>
    </chartFormat>
    <chartFormat chart="0" format="234">
      <pivotArea type="data" outline="0" fieldPosition="0">
        <references count="3">
          <reference field="4294967294" count="1" selected="0">
            <x v="0"/>
          </reference>
          <reference field="0" count="1" selected="0">
            <x v="2"/>
          </reference>
          <reference field="1" count="1" selected="0">
            <x v="11"/>
          </reference>
        </references>
      </pivotArea>
    </chartFormat>
    <chartFormat chart="0" format="235">
      <pivotArea type="data" outline="0" fieldPosition="0">
        <references count="3">
          <reference field="4294967294" count="1" selected="0">
            <x v="0"/>
          </reference>
          <reference field="0" count="1" selected="0">
            <x v="2"/>
          </reference>
          <reference field="1" count="1" selected="0">
            <x v="12"/>
          </reference>
        </references>
      </pivotArea>
    </chartFormat>
    <chartFormat chart="0" format="236">
      <pivotArea type="data" outline="0" fieldPosition="0">
        <references count="3">
          <reference field="4294967294" count="1" selected="0">
            <x v="0"/>
          </reference>
          <reference field="0" count="1" selected="0">
            <x v="2"/>
          </reference>
          <reference field="1" count="1" selected="0">
            <x v="13"/>
          </reference>
        </references>
      </pivotArea>
    </chartFormat>
    <chartFormat chart="0" format="237">
      <pivotArea type="data" outline="0" fieldPosition="0">
        <references count="3">
          <reference field="4294967294" count="1" selected="0">
            <x v="0"/>
          </reference>
          <reference field="0" count="1" selected="0">
            <x v="2"/>
          </reference>
          <reference field="1" count="1" selected="0">
            <x v="14"/>
          </reference>
        </references>
      </pivotArea>
    </chartFormat>
    <chartFormat chart="0" format="238">
      <pivotArea type="data" outline="0" fieldPosition="0">
        <references count="3">
          <reference field="4294967294" count="1" selected="0">
            <x v="0"/>
          </reference>
          <reference field="0" count="1" selected="0">
            <x v="2"/>
          </reference>
          <reference field="1" count="1" selected="0">
            <x v="15"/>
          </reference>
        </references>
      </pivotArea>
    </chartFormat>
    <chartFormat chart="0" format="239">
      <pivotArea type="data" outline="0" fieldPosition="0">
        <references count="3">
          <reference field="4294967294" count="1" selected="0">
            <x v="0"/>
          </reference>
          <reference field="0" count="1" selected="0">
            <x v="2"/>
          </reference>
          <reference field="1" count="1" selected="0">
            <x v="16"/>
          </reference>
        </references>
      </pivotArea>
    </chartFormat>
    <chartFormat chart="0" format="240">
      <pivotArea type="data" outline="0" fieldPosition="0">
        <references count="3">
          <reference field="4294967294" count="1" selected="0">
            <x v="0"/>
          </reference>
          <reference field="0" count="1" selected="0">
            <x v="2"/>
          </reference>
          <reference field="1" count="1" selected="0">
            <x v="17"/>
          </reference>
        </references>
      </pivotArea>
    </chartFormat>
    <chartFormat chart="0" format="241">
      <pivotArea type="data" outline="0" fieldPosition="0">
        <references count="3">
          <reference field="4294967294" count="1" selected="0">
            <x v="0"/>
          </reference>
          <reference field="0" count="1" selected="0">
            <x v="2"/>
          </reference>
          <reference field="1" count="1" selected="0">
            <x v="18"/>
          </reference>
        </references>
      </pivotArea>
    </chartFormat>
    <chartFormat chart="0" format="242">
      <pivotArea type="data" outline="0" fieldPosition="0">
        <references count="3">
          <reference field="4294967294" count="1" selected="0">
            <x v="0"/>
          </reference>
          <reference field="0" count="1" selected="0">
            <x v="2"/>
          </reference>
          <reference field="1" count="1" selected="0">
            <x v="19"/>
          </reference>
        </references>
      </pivotArea>
    </chartFormat>
    <chartFormat chart="0" format="243">
      <pivotArea type="data" outline="0" fieldPosition="0">
        <references count="3">
          <reference field="4294967294" count="1" selected="0">
            <x v="0"/>
          </reference>
          <reference field="0" count="1" selected="0">
            <x v="2"/>
          </reference>
          <reference field="1" count="1" selected="0">
            <x v="20"/>
          </reference>
        </references>
      </pivotArea>
    </chartFormat>
    <chartFormat chart="0" format="244">
      <pivotArea type="data" outline="0" fieldPosition="0">
        <references count="3">
          <reference field="4294967294" count="1" selected="0">
            <x v="0"/>
          </reference>
          <reference field="0" count="1" selected="0">
            <x v="2"/>
          </reference>
          <reference field="1" count="1" selected="0">
            <x v="21"/>
          </reference>
        </references>
      </pivotArea>
    </chartFormat>
    <chartFormat chart="0" format="245">
      <pivotArea type="data" outline="0" fieldPosition="0">
        <references count="3">
          <reference field="4294967294" count="1" selected="0">
            <x v="0"/>
          </reference>
          <reference field="0" count="1" selected="0">
            <x v="2"/>
          </reference>
          <reference field="1" count="1" selected="0">
            <x v="22"/>
          </reference>
        </references>
      </pivotArea>
    </chartFormat>
    <chartFormat chart="0" format="246">
      <pivotArea type="data" outline="0" fieldPosition="0">
        <references count="3">
          <reference field="4294967294" count="1" selected="0">
            <x v="0"/>
          </reference>
          <reference field="0" count="1" selected="0">
            <x v="2"/>
          </reference>
          <reference field="1" count="1" selected="0">
            <x v="23"/>
          </reference>
        </references>
      </pivotArea>
    </chartFormat>
    <chartFormat chart="0" format="247">
      <pivotArea type="data" outline="0" fieldPosition="0">
        <references count="3">
          <reference field="4294967294" count="1" selected="0">
            <x v="0"/>
          </reference>
          <reference field="0" count="1" selected="0">
            <x v="2"/>
          </reference>
          <reference field="1" count="1" selected="0">
            <x v="24"/>
          </reference>
        </references>
      </pivotArea>
    </chartFormat>
    <chartFormat chart="0" format="248">
      <pivotArea type="data" outline="0" fieldPosition="0">
        <references count="3">
          <reference field="4294967294" count="1" selected="0">
            <x v="0"/>
          </reference>
          <reference field="0" count="1" selected="0">
            <x v="2"/>
          </reference>
          <reference field="1" count="1" selected="0">
            <x v="25"/>
          </reference>
        </references>
      </pivotArea>
    </chartFormat>
    <chartFormat chart="0" format="249">
      <pivotArea type="data" outline="0" fieldPosition="0">
        <references count="3">
          <reference field="4294967294" count="1" selected="0">
            <x v="0"/>
          </reference>
          <reference field="0" count="1" selected="0">
            <x v="2"/>
          </reference>
          <reference field="1" count="1" selected="0">
            <x v="26"/>
          </reference>
        </references>
      </pivotArea>
    </chartFormat>
    <chartFormat chart="0" format="250">
      <pivotArea type="data" outline="0" fieldPosition="0">
        <references count="3">
          <reference field="4294967294" count="1" selected="0">
            <x v="0"/>
          </reference>
          <reference field="0" count="1" selected="0">
            <x v="2"/>
          </reference>
          <reference field="1" count="1" selected="0">
            <x v="27"/>
          </reference>
        </references>
      </pivotArea>
    </chartFormat>
    <chartFormat chart="0" format="251">
      <pivotArea type="data" outline="0" fieldPosition="0">
        <references count="3">
          <reference field="4294967294" count="1" selected="0">
            <x v="0"/>
          </reference>
          <reference field="0" count="1" selected="0">
            <x v="2"/>
          </reference>
          <reference field="1" count="1" selected="0">
            <x v="28"/>
          </reference>
        </references>
      </pivotArea>
    </chartFormat>
    <chartFormat chart="0" format="252">
      <pivotArea type="data" outline="0" fieldPosition="0">
        <references count="3">
          <reference field="4294967294" count="1" selected="0">
            <x v="2"/>
          </reference>
          <reference field="0" count="1" selected="0">
            <x v="2"/>
          </reference>
          <reference field="1" count="1" selected="0">
            <x v="27"/>
          </reference>
        </references>
      </pivotArea>
    </chartFormat>
    <chartFormat chart="0" format="253">
      <pivotArea type="data" outline="0" fieldPosition="0">
        <references count="3">
          <reference field="4294967294" count="1" selected="0">
            <x v="2"/>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9"/>
          </reference>
        </references>
      </pivotArea>
    </chartFormat>
    <chartFormat chart="0" format="255">
      <pivotArea type="data" outline="0" fieldPosition="0">
        <references count="3">
          <reference field="4294967294" count="1" selected="0">
            <x v="2"/>
          </reference>
          <reference field="0" count="1" selected="0">
            <x v="2"/>
          </reference>
          <reference field="1" count="1" selected="0">
            <x v="30"/>
          </reference>
        </references>
      </pivotArea>
    </chartFormat>
    <chartFormat chart="0" format="256">
      <pivotArea type="data" outline="0" fieldPosition="0">
        <references count="3">
          <reference field="4294967294" count="1" selected="0">
            <x v="2"/>
          </reference>
          <reference field="0" count="1" selected="0">
            <x v="3"/>
          </reference>
          <reference field="1" count="1" selected="0">
            <x v="31"/>
          </reference>
        </references>
      </pivotArea>
    </chartFormat>
    <chartFormat chart="0" format="257">
      <pivotArea type="data" outline="0" fieldPosition="0">
        <references count="3">
          <reference field="4294967294" count="1" selected="0">
            <x v="2"/>
          </reference>
          <reference field="0" count="1" selected="0">
            <x v="3"/>
          </reference>
          <reference field="1" count="1" selected="0">
            <x v="32"/>
          </reference>
        </references>
      </pivotArea>
    </chartFormat>
    <chartFormat chart="0" format="258">
      <pivotArea type="data" outline="0" fieldPosition="0">
        <references count="3">
          <reference field="4294967294" count="1" selected="0">
            <x v="2"/>
          </reference>
          <reference field="0" count="1" selected="0">
            <x v="3"/>
          </reference>
          <reference field="1" count="1" selected="0">
            <x v="33"/>
          </reference>
        </references>
      </pivotArea>
    </chartFormat>
    <chartFormat chart="0" format="259">
      <pivotArea type="data" outline="0" fieldPosition="0">
        <references count="3">
          <reference field="4294967294" count="1" selected="0">
            <x v="2"/>
          </reference>
          <reference field="0" count="1" selected="0">
            <x v="3"/>
          </reference>
          <reference field="1" count="1" selected="0">
            <x v="34"/>
          </reference>
        </references>
      </pivotArea>
    </chartFormat>
    <chartFormat chart="0" format="260">
      <pivotArea type="data" outline="0" fieldPosition="0">
        <references count="3">
          <reference field="4294967294" count="1" selected="0">
            <x v="2"/>
          </reference>
          <reference field="0" count="1" selected="0">
            <x v="3"/>
          </reference>
          <reference field="1" count="1" selected="0">
            <x v="35"/>
          </reference>
        </references>
      </pivotArea>
    </chartFormat>
    <chartFormat chart="0" format="261">
      <pivotArea type="data" outline="0" fieldPosition="0">
        <references count="3">
          <reference field="4294967294" count="1" selected="0">
            <x v="2"/>
          </reference>
          <reference field="0" count="1" selected="0">
            <x v="3"/>
          </reference>
          <reference field="1" count="1" selected="0">
            <x v="36"/>
          </reference>
        </references>
      </pivotArea>
    </chartFormat>
    <chartFormat chart="0" format="262">
      <pivotArea type="data" outline="0" fieldPosition="0">
        <references count="3">
          <reference field="4294967294" count="1" selected="0">
            <x v="2"/>
          </reference>
          <reference field="0" count="1" selected="0">
            <x v="3"/>
          </reference>
          <reference field="1" count="1" selected="0">
            <x v="37"/>
          </reference>
        </references>
      </pivotArea>
    </chartFormat>
    <chartFormat chart="0" format="263">
      <pivotArea type="data" outline="0" fieldPosition="0">
        <references count="3">
          <reference field="4294967294" count="1" selected="0">
            <x v="2"/>
          </reference>
          <reference field="0" count="1" selected="0">
            <x v="3"/>
          </reference>
          <reference field="1" count="1" selected="0">
            <x v="38"/>
          </reference>
        </references>
      </pivotArea>
    </chartFormat>
    <chartFormat chart="0" format="264">
      <pivotArea type="data" outline="0" fieldPosition="0">
        <references count="3">
          <reference field="4294967294" count="1" selected="0">
            <x v="2"/>
          </reference>
          <reference field="0" count="1" selected="0">
            <x v="3"/>
          </reference>
          <reference field="1" count="1" selected="0">
            <x v="39"/>
          </reference>
        </references>
      </pivotArea>
    </chartFormat>
    <chartFormat chart="0" format="265">
      <pivotArea type="data" outline="0" fieldPosition="0">
        <references count="3">
          <reference field="4294967294" count="1" selected="0">
            <x v="2"/>
          </reference>
          <reference field="0" count="1" selected="0">
            <x v="3"/>
          </reference>
          <reference field="1" count="1" selected="0">
            <x v="40"/>
          </reference>
        </references>
      </pivotArea>
    </chartFormat>
    <chartFormat chart="0" format="266">
      <pivotArea type="data" outline="0" fieldPosition="0">
        <references count="3">
          <reference field="4294967294" count="1" selected="0">
            <x v="2"/>
          </reference>
          <reference field="0" count="1" selected="0">
            <x v="3"/>
          </reference>
          <reference field="1" count="1" selected="0">
            <x v="41"/>
          </reference>
        </references>
      </pivotArea>
    </chartFormat>
    <chartFormat chart="0" format="267">
      <pivotArea type="data" outline="0" fieldPosition="0">
        <references count="3">
          <reference field="4294967294" count="1" selected="0">
            <x v="2"/>
          </reference>
          <reference field="0" count="1" selected="0">
            <x v="3"/>
          </reference>
          <reference field="1" count="1" selected="0">
            <x v="42"/>
          </reference>
        </references>
      </pivotArea>
    </chartFormat>
    <chartFormat chart="0" format="268">
      <pivotArea type="data" outline="0" fieldPosition="0">
        <references count="3">
          <reference field="4294967294" count="1" selected="0">
            <x v="2"/>
          </reference>
          <reference field="0" count="1" selected="0">
            <x v="3"/>
          </reference>
          <reference field="1" count="1" selected="0">
            <x v="43"/>
          </reference>
        </references>
      </pivotArea>
    </chartFormat>
    <chartFormat chart="0" format="269">
      <pivotArea type="data" outline="0" fieldPosition="0">
        <references count="3">
          <reference field="4294967294" count="1" selected="0">
            <x v="2"/>
          </reference>
          <reference field="0" count="1" selected="0">
            <x v="3"/>
          </reference>
          <reference field="1" count="1" selected="0">
            <x v="44"/>
          </reference>
        </references>
      </pivotArea>
    </chartFormat>
    <chartFormat chart="0" format="270">
      <pivotArea type="data" outline="0" fieldPosition="0">
        <references count="3">
          <reference field="4294967294" count="1" selected="0">
            <x v="2"/>
          </reference>
          <reference field="0" count="1" selected="0">
            <x v="3"/>
          </reference>
          <reference field="1" count="1" selected="0">
            <x v="45"/>
          </reference>
        </references>
      </pivotArea>
    </chartFormat>
    <chartFormat chart="0" format="271">
      <pivotArea type="data" outline="0" fieldPosition="0">
        <references count="3">
          <reference field="4294967294" count="1" selected="0">
            <x v="2"/>
          </reference>
          <reference field="0" count="1" selected="0">
            <x v="3"/>
          </reference>
          <reference field="1" count="1" selected="0">
            <x v="46"/>
          </reference>
        </references>
      </pivotArea>
    </chartFormat>
    <chartFormat chart="0" format="272">
      <pivotArea type="data" outline="0" fieldPosition="0">
        <references count="3">
          <reference field="4294967294" count="1" selected="0">
            <x v="2"/>
          </reference>
          <reference field="0" count="1" selected="0">
            <x v="3"/>
          </reference>
          <reference field="1" count="1" selected="0">
            <x v="47"/>
          </reference>
        </references>
      </pivotArea>
    </chartFormat>
    <chartFormat chart="0" format="273">
      <pivotArea type="data" outline="0" fieldPosition="0">
        <references count="3">
          <reference field="4294967294" count="1" selected="0">
            <x v="2"/>
          </reference>
          <reference field="0" count="1" selected="0">
            <x v="3"/>
          </reference>
          <reference field="1" count="1" selected="0">
            <x v="48"/>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0"/>
          </reference>
        </references>
      </pivotArea>
    </chartFormat>
    <chartFormat chart="0" format="276">
      <pivotArea type="data" outline="0" fieldPosition="0">
        <references count="3">
          <reference field="4294967294" count="1" selected="0">
            <x v="2"/>
          </reference>
          <reference field="0" count="1" selected="0">
            <x v="3"/>
          </reference>
          <reference field="1" count="1" selected="0">
            <x v="51"/>
          </reference>
        </references>
      </pivotArea>
    </chartFormat>
    <chartFormat chart="0" format="277">
      <pivotArea type="data" outline="0" fieldPosition="0">
        <references count="3">
          <reference field="4294967294" count="1" selected="0">
            <x v="2"/>
          </reference>
          <reference field="0" count="1" selected="0">
            <x v="3"/>
          </reference>
          <reference field="1" count="1" selected="0">
            <x v="52"/>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4"/>
          </reference>
        </references>
      </pivotArea>
    </chartFormat>
    <chartFormat chart="0" format="280">
      <pivotArea type="data" outline="0" fieldPosition="0">
        <references count="3">
          <reference field="4294967294" count="1" selected="0">
            <x v="2"/>
          </reference>
          <reference field="0" count="1" selected="0">
            <x v="3"/>
          </reference>
          <reference field="1" count="1" selected="0">
            <x v="55"/>
          </reference>
        </references>
      </pivotArea>
    </chartFormat>
    <chartFormat chart="0" format="281">
      <pivotArea type="data" outline="0" fieldPosition="0">
        <references count="3">
          <reference field="4294967294" count="1" selected="0">
            <x v="2"/>
          </reference>
          <reference field="0" count="1" selected="0">
            <x v="3"/>
          </reference>
          <reference field="1" count="1" selected="0">
            <x v="56"/>
          </reference>
        </references>
      </pivotArea>
    </chartFormat>
    <chartFormat chart="0" format="282">
      <pivotArea type="data" outline="0" fieldPosition="0">
        <references count="3">
          <reference field="4294967294" count="1" selected="0">
            <x v="2"/>
          </reference>
          <reference field="0" count="1" selected="0">
            <x v="3"/>
          </reference>
          <reference field="1" count="1" selected="0">
            <x v="57"/>
          </reference>
        </references>
      </pivotArea>
    </chartFormat>
    <chartFormat chart="0" format="283">
      <pivotArea type="data" outline="0" fieldPosition="0">
        <references count="3">
          <reference field="4294967294" count="1" selected="0">
            <x v="2"/>
          </reference>
          <reference field="0" count="1" selected="0">
            <x v="3"/>
          </reference>
          <reference field="1" count="1" selected="0">
            <x v="58"/>
          </reference>
        </references>
      </pivotArea>
    </chartFormat>
    <chartFormat chart="0" format="284">
      <pivotArea type="data" outline="0" fieldPosition="0">
        <references count="3">
          <reference field="4294967294" count="1" selected="0">
            <x v="2"/>
          </reference>
          <reference field="0" count="1" selected="0">
            <x v="3"/>
          </reference>
          <reference field="1" count="1" selected="0">
            <x v="59"/>
          </reference>
        </references>
      </pivotArea>
    </chartFormat>
    <chartFormat chart="0" format="285">
      <pivotArea type="data" outline="0" fieldPosition="0">
        <references count="3">
          <reference field="4294967294" count="1" selected="0">
            <x v="2"/>
          </reference>
          <reference field="0" count="1" selected="0">
            <x v="3"/>
          </reference>
          <reference field="1" count="1" selected="0">
            <x v="60"/>
          </reference>
        </references>
      </pivotArea>
    </chartFormat>
    <chartFormat chart="0" format="286">
      <pivotArea type="data" outline="0" fieldPosition="0">
        <references count="3">
          <reference field="4294967294" count="1" selected="0">
            <x v="2"/>
          </reference>
          <reference field="0" count="1" selected="0">
            <x v="3"/>
          </reference>
          <reference field="1" count="1" selected="0">
            <x v="61"/>
          </reference>
        </references>
      </pivotArea>
    </chartFormat>
    <chartFormat chart="0" format="287">
      <pivotArea type="data" outline="0" fieldPosition="0">
        <references count="3">
          <reference field="4294967294" count="1" selected="0">
            <x v="2"/>
          </reference>
          <reference field="0" count="1" selected="0">
            <x v="3"/>
          </reference>
          <reference field="1" count="1" selected="0">
            <x v="62"/>
          </reference>
        </references>
      </pivotArea>
    </chartFormat>
    <chartFormat chart="0" format="288">
      <pivotArea type="data" outline="0" fieldPosition="0">
        <references count="3">
          <reference field="4294967294" count="1" selected="0">
            <x v="2"/>
          </reference>
          <reference field="0" count="1" selected="0">
            <x v="4"/>
          </reference>
          <reference field="1" count="1" selected="0">
            <x v="31"/>
          </reference>
        </references>
      </pivotArea>
    </chartFormat>
    <chartFormat chart="0" format="289">
      <pivotArea type="data" outline="0" fieldPosition="0">
        <references count="3">
          <reference field="4294967294" count="1" selected="0">
            <x v="2"/>
          </reference>
          <reference field="0" count="1" selected="0">
            <x v="4"/>
          </reference>
          <reference field="1" count="1" selected="0">
            <x v="3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3"/>
          </reference>
        </references>
      </pivotArea>
    </chartFormat>
    <chartFormat chart="0" format="291">
      <pivotArea type="data" outline="0" fieldPosition="0">
        <references count="3">
          <reference field="4294967294" count="1" selected="0">
            <x v="2"/>
          </reference>
          <reference field="0" count="1" selected="0">
            <x v="4"/>
          </reference>
          <reference field="1" count="1" selected="0">
            <x v="34"/>
          </reference>
        </references>
      </pivotArea>
    </chartFormat>
    <chartFormat chart="0" format="292">
      <pivotArea type="data" outline="0" fieldPosition="0">
        <references count="3">
          <reference field="4294967294" count="1" selected="0">
            <x v="2"/>
          </reference>
          <reference field="0" count="1" selected="0">
            <x v="4"/>
          </reference>
          <reference field="1" count="1" selected="0">
            <x v="35"/>
          </reference>
        </references>
      </pivotArea>
    </chartFormat>
    <chartFormat chart="0" format="293">
      <pivotArea type="data" outline="0" fieldPosition="0">
        <references count="3">
          <reference field="4294967294" count="1" selected="0">
            <x v="2"/>
          </reference>
          <reference field="0" count="1" selected="0">
            <x v="4"/>
          </reference>
          <reference field="1" count="1" selected="0">
            <x v="36"/>
          </reference>
        </references>
      </pivotArea>
    </chartFormat>
    <chartFormat chart="0" format="294">
      <pivotArea type="data" outline="0" fieldPosition="0">
        <references count="3">
          <reference field="4294967294" count="1" selected="0">
            <x v="2"/>
          </reference>
          <reference field="0" count="1" selected="0">
            <x v="4"/>
          </reference>
          <reference field="1" count="1" selected="0">
            <x v="37"/>
          </reference>
        </references>
      </pivotArea>
    </chartFormat>
    <chartFormat chart="0" format="295">
      <pivotArea type="data" outline="0" fieldPosition="0">
        <references count="3">
          <reference field="4294967294" count="1" selected="0">
            <x v="2"/>
          </reference>
          <reference field="0" count="1" selected="0">
            <x v="4"/>
          </reference>
          <reference field="1" count="1" selected="0">
            <x v="38"/>
          </reference>
        </references>
      </pivotArea>
    </chartFormat>
    <chartFormat chart="0" format="296">
      <pivotArea type="data" outline="0" fieldPosition="0">
        <references count="3">
          <reference field="4294967294" count="1" selected="0">
            <x v="2"/>
          </reference>
          <reference field="0" count="1" selected="0">
            <x v="4"/>
          </reference>
          <reference field="1" count="1" selected="0">
            <x v="39"/>
          </reference>
        </references>
      </pivotArea>
    </chartFormat>
    <chartFormat chart="0" format="297">
      <pivotArea type="data" outline="0" fieldPosition="0">
        <references count="3">
          <reference field="4294967294" count="1" selected="0">
            <x v="2"/>
          </reference>
          <reference field="0" count="1" selected="0">
            <x v="4"/>
          </reference>
          <reference field="1" count="1" selected="0">
            <x v="40"/>
          </reference>
        </references>
      </pivotArea>
    </chartFormat>
    <chartFormat chart="0" format="298">
      <pivotArea type="data" outline="0" fieldPosition="0">
        <references count="3">
          <reference field="4294967294" count="1" selected="0">
            <x v="2"/>
          </reference>
          <reference field="0" count="1" selected="0">
            <x v="4"/>
          </reference>
          <reference field="1" count="1" selected="0">
            <x v="41"/>
          </reference>
        </references>
      </pivotArea>
    </chartFormat>
    <chartFormat chart="0" format="299">
      <pivotArea type="data" outline="0" fieldPosition="0">
        <references count="3">
          <reference field="4294967294" count="1" selected="0">
            <x v="2"/>
          </reference>
          <reference field="0" count="1" selected="0">
            <x v="4"/>
          </reference>
          <reference field="1" count="1" selected="0">
            <x v="42"/>
          </reference>
        </references>
      </pivotArea>
    </chartFormat>
    <chartFormat chart="0" format="300">
      <pivotArea type="data" outline="0" fieldPosition="0">
        <references count="3">
          <reference field="4294967294" count="1" selected="0">
            <x v="2"/>
          </reference>
          <reference field="0" count="1" selected="0">
            <x v="4"/>
          </reference>
          <reference field="1" count="1" selected="0">
            <x v="43"/>
          </reference>
        </references>
      </pivotArea>
    </chartFormat>
    <chartFormat chart="0" format="301">
      <pivotArea type="data" outline="0" fieldPosition="0">
        <references count="3">
          <reference field="4294967294" count="1" selected="0">
            <x v="2"/>
          </reference>
          <reference field="0" count="1" selected="0">
            <x v="4"/>
          </reference>
          <reference field="1" count="1" selected="0">
            <x v="51"/>
          </reference>
        </references>
      </pivotArea>
    </chartFormat>
    <chartFormat chart="0" format="302">
      <pivotArea type="data" outline="0" fieldPosition="0">
        <references count="3">
          <reference field="4294967294" count="1" selected="0">
            <x v="2"/>
          </reference>
          <reference field="0" count="1" selected="0">
            <x v="4"/>
          </reference>
          <reference field="1" count="1" selected="0">
            <x v="52"/>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4"/>
          </reference>
        </references>
      </pivotArea>
    </chartFormat>
    <chartFormat chart="0" format="305">
      <pivotArea type="data" outline="0" fieldPosition="0">
        <references count="3">
          <reference field="4294967294" count="1" selected="0">
            <x v="2"/>
          </reference>
          <reference field="0" count="1" selected="0">
            <x v="4"/>
          </reference>
          <reference field="1" count="1" selected="0">
            <x v="55"/>
          </reference>
        </references>
      </pivotArea>
    </chartFormat>
    <chartFormat chart="0" format="306">
      <pivotArea type="data" outline="0" fieldPosition="0">
        <references count="3">
          <reference field="4294967294" count="1" selected="0">
            <x v="2"/>
          </reference>
          <reference field="0" count="1" selected="0">
            <x v="4"/>
          </reference>
          <reference field="1" count="1" selected="0">
            <x v="56"/>
          </reference>
        </references>
      </pivotArea>
    </chartFormat>
    <chartFormat chart="0" format="307">
      <pivotArea type="data" outline="0" fieldPosition="0">
        <references count="3">
          <reference field="4294967294" count="1" selected="0">
            <x v="2"/>
          </reference>
          <reference field="0" count="1" selected="0">
            <x v="4"/>
          </reference>
          <reference field="1" count="1" selected="0">
            <x v="57"/>
          </reference>
        </references>
      </pivotArea>
    </chartFormat>
    <chartFormat chart="0" format="308">
      <pivotArea type="data" outline="0" fieldPosition="0">
        <references count="3">
          <reference field="4294967294" count="1" selected="0">
            <x v="2"/>
          </reference>
          <reference field="0" count="1" selected="0">
            <x v="4"/>
          </reference>
          <reference field="1" count="1" selected="0">
            <x v="58"/>
          </reference>
        </references>
      </pivotArea>
    </chartFormat>
    <chartFormat chart="0" format="309">
      <pivotArea type="data" outline="0" fieldPosition="0">
        <references count="3">
          <reference field="4294967294" count="1" selected="0">
            <x v="2"/>
          </reference>
          <reference field="0" count="1" selected="0">
            <x v="4"/>
          </reference>
          <reference field="1" count="1" selected="0">
            <x v="59"/>
          </reference>
        </references>
      </pivotArea>
    </chartFormat>
    <chartFormat chart="0" format="310">
      <pivotArea type="data" outline="0" fieldPosition="0">
        <references count="3">
          <reference field="4294967294" count="1" selected="0">
            <x v="2"/>
          </reference>
          <reference field="0" count="1" selected="0">
            <x v="4"/>
          </reference>
          <reference field="1" count="1" selected="0">
            <x v="60"/>
          </reference>
        </references>
      </pivotArea>
    </chartFormat>
    <chartFormat chart="0" format="311">
      <pivotArea type="data" outline="0" fieldPosition="0">
        <references count="3">
          <reference field="4294967294" count="1" selected="0">
            <x v="2"/>
          </reference>
          <reference field="0" count="1" selected="0">
            <x v="4"/>
          </reference>
          <reference field="1" count="1" selected="0">
            <x v="63"/>
          </reference>
        </references>
      </pivotArea>
    </chartFormat>
    <chartFormat chart="0" format="312">
      <pivotArea type="data" outline="0" fieldPosition="0">
        <references count="3">
          <reference field="4294967294" count="1" selected="0">
            <x v="2"/>
          </reference>
          <reference field="0" count="1" selected="0">
            <x v="4"/>
          </reference>
          <reference field="1" count="1" selected="0">
            <x v="64"/>
          </reference>
        </references>
      </pivotArea>
    </chartFormat>
    <chartFormat chart="0" format="313">
      <pivotArea type="data" outline="0" fieldPosition="0">
        <references count="3">
          <reference field="4294967294" count="1" selected="0">
            <x v="2"/>
          </reference>
          <reference field="0" count="1" selected="0">
            <x v="4"/>
          </reference>
          <reference field="1" count="1" selected="0">
            <x v="65"/>
          </reference>
        </references>
      </pivotArea>
    </chartFormat>
    <chartFormat chart="0" format="314">
      <pivotArea type="data" outline="0" fieldPosition="0">
        <references count="3">
          <reference field="4294967294" count="1" selected="0">
            <x v="2"/>
          </reference>
          <reference field="0" count="1" selected="0">
            <x v="4"/>
          </reference>
          <reference field="1" count="1" selected="0">
            <x v="66"/>
          </reference>
        </references>
      </pivotArea>
    </chartFormat>
    <chartFormat chart="0" format="315">
      <pivotArea type="data" outline="0" fieldPosition="0">
        <references count="3">
          <reference field="4294967294" count="1" selected="0">
            <x v="2"/>
          </reference>
          <reference field="0" count="1" selected="0">
            <x v="4"/>
          </reference>
          <reference field="1" count="1" selected="0">
            <x v="67"/>
          </reference>
        </references>
      </pivotArea>
    </chartFormat>
    <chartFormat chart="0" format="316">
      <pivotArea type="data" outline="0" fieldPosition="0">
        <references count="3">
          <reference field="4294967294" count="1" selected="0">
            <x v="2"/>
          </reference>
          <reference field="0" count="1" selected="0">
            <x v="4"/>
          </reference>
          <reference field="1" count="1" selected="0">
            <x v="68"/>
          </reference>
        </references>
      </pivotArea>
    </chartFormat>
    <chartFormat chart="0" format="317">
      <pivotArea type="data" outline="0" fieldPosition="0">
        <references count="3">
          <reference field="4294967294" count="1" selected="0">
            <x v="2"/>
          </reference>
          <reference field="0" count="1" selected="0">
            <x v="4"/>
          </reference>
          <reference field="1" count="1" selected="0">
            <x v="69"/>
          </reference>
        </references>
      </pivotArea>
    </chartFormat>
    <chartFormat chart="0" format="318">
      <pivotArea type="data" outline="0" fieldPosition="0">
        <references count="3">
          <reference field="4294967294" count="1" selected="0">
            <x v="2"/>
          </reference>
          <reference field="0" count="1" selected="0">
            <x v="4"/>
          </reference>
          <reference field="1" count="1" selected="0">
            <x v="70"/>
          </reference>
        </references>
      </pivotArea>
    </chartFormat>
    <chartFormat chart="0" format="319">
      <pivotArea type="data" outline="0" fieldPosition="0">
        <references count="3">
          <reference field="4294967294" count="1" selected="0">
            <x v="2"/>
          </reference>
          <reference field="0" count="1" selected="0">
            <x v="4"/>
          </reference>
          <reference field="1" count="1" selected="0">
            <x v="71"/>
          </reference>
        </references>
      </pivotArea>
    </chartFormat>
    <chartFormat chart="0" format="320">
      <pivotArea type="data" outline="0" fieldPosition="0">
        <references count="3">
          <reference field="4294967294" count="1" selected="0">
            <x v="2"/>
          </reference>
          <reference field="0" count="1" selected="0">
            <x v="4"/>
          </reference>
          <reference field="1" count="1" selected="0">
            <x v="72"/>
          </reference>
        </references>
      </pivotArea>
    </chartFormat>
    <chartFormat chart="0" format="321">
      <pivotArea type="data" outline="0" fieldPosition="0">
        <references count="3">
          <reference field="4294967294" count="1" selected="0">
            <x v="2"/>
          </reference>
          <reference field="0" count="1" selected="0">
            <x v="4"/>
          </reference>
          <reference field="1" count="1" selected="0">
            <x v="73"/>
          </reference>
        </references>
      </pivotArea>
    </chartFormat>
    <chartFormat chart="0" format="322">
      <pivotArea type="data" outline="0" fieldPosition="0">
        <references count="3">
          <reference field="4294967294" count="1" selected="0">
            <x v="2"/>
          </reference>
          <reference field="0" count="1" selected="0">
            <x v="4"/>
          </reference>
          <reference field="1" count="1" selected="0">
            <x v="74"/>
          </reference>
        </references>
      </pivotArea>
    </chartFormat>
    <chartFormat chart="0" format="323">
      <pivotArea type="data" outline="0" fieldPosition="0">
        <references count="3">
          <reference field="4294967294" count="1" selected="0">
            <x v="2"/>
          </reference>
          <reference field="0" count="1" selected="0">
            <x v="4"/>
          </reference>
          <reference field="1" count="1" selected="0">
            <x v="75"/>
          </reference>
        </references>
      </pivotArea>
    </chartFormat>
    <chartFormat chart="0" format="324">
      <pivotArea type="data" outline="0" fieldPosition="0">
        <references count="3">
          <reference field="4294967294" count="1" selected="0">
            <x v="2"/>
          </reference>
          <reference field="0" count="1" selected="0">
            <x v="4"/>
          </reference>
          <reference field="1" count="1" selected="0">
            <x v="76"/>
          </reference>
        </references>
      </pivotArea>
    </chartFormat>
    <chartFormat chart="0" format="325">
      <pivotArea type="data" outline="0" fieldPosition="0">
        <references count="3">
          <reference field="4294967294" count="1" selected="0">
            <x v="0"/>
          </reference>
          <reference field="0" count="1" selected="0">
            <x v="3"/>
          </reference>
          <reference field="1" count="1" selected="0">
            <x v="31"/>
          </reference>
        </references>
      </pivotArea>
    </chartFormat>
    <chartFormat chart="0" format="326">
      <pivotArea type="data" outline="0" fieldPosition="0">
        <references count="3">
          <reference field="4294967294" count="1" selected="0">
            <x v="0"/>
          </reference>
          <reference field="0" count="1" selected="0">
            <x v="3"/>
          </reference>
          <reference field="1" count="1" selected="0">
            <x v="32"/>
          </reference>
        </references>
      </pivotArea>
    </chartFormat>
    <chartFormat chart="0" format="327">
      <pivotArea type="data" outline="0" fieldPosition="0">
        <references count="3">
          <reference field="4294967294" count="1" selected="0">
            <x v="0"/>
          </reference>
          <reference field="0" count="1" selected="0">
            <x v="3"/>
          </reference>
          <reference field="1" count="1" selected="0">
            <x v="33"/>
          </reference>
        </references>
      </pivotArea>
    </chartFormat>
    <chartFormat chart="0" format="328">
      <pivotArea type="data" outline="0" fieldPosition="0">
        <references count="3">
          <reference field="4294967294" count="1" selected="0">
            <x v="0"/>
          </reference>
          <reference field="0" count="1" selected="0">
            <x v="3"/>
          </reference>
          <reference field="1" count="1" selected="0">
            <x v="34"/>
          </reference>
        </references>
      </pivotArea>
    </chartFormat>
    <chartFormat chart="0" format="329">
      <pivotArea type="data" outline="0" fieldPosition="0">
        <references count="3">
          <reference field="4294967294" count="1" selected="0">
            <x v="0"/>
          </reference>
          <reference field="0" count="1" selected="0">
            <x v="3"/>
          </reference>
          <reference field="1" count="1" selected="0">
            <x v="35"/>
          </reference>
        </references>
      </pivotArea>
    </chartFormat>
    <chartFormat chart="0" format="330">
      <pivotArea type="data" outline="0" fieldPosition="0">
        <references count="3">
          <reference field="4294967294" count="1" selected="0">
            <x v="0"/>
          </reference>
          <reference field="0" count="1" selected="0">
            <x v="3"/>
          </reference>
          <reference field="1" count="1" selected="0">
            <x v="36"/>
          </reference>
        </references>
      </pivotArea>
    </chartFormat>
    <chartFormat chart="0" format="331">
      <pivotArea type="data" outline="0" fieldPosition="0">
        <references count="3">
          <reference field="4294967294" count="1" selected="0">
            <x v="0"/>
          </reference>
          <reference field="0" count="1" selected="0">
            <x v="3"/>
          </reference>
          <reference field="1" count="1" selected="0">
            <x v="37"/>
          </reference>
        </references>
      </pivotArea>
    </chartFormat>
    <chartFormat chart="0" format="332">
      <pivotArea type="data" outline="0" fieldPosition="0">
        <references count="3">
          <reference field="4294967294" count="1" selected="0">
            <x v="0"/>
          </reference>
          <reference field="0" count="1" selected="0">
            <x v="3"/>
          </reference>
          <reference field="1" count="1" selected="0">
            <x v="38"/>
          </reference>
        </references>
      </pivotArea>
    </chartFormat>
    <chartFormat chart="0" format="333">
      <pivotArea type="data" outline="0" fieldPosition="0">
        <references count="3">
          <reference field="4294967294" count="1" selected="0">
            <x v="0"/>
          </reference>
          <reference field="0" count="1" selected="0">
            <x v="3"/>
          </reference>
          <reference field="1" count="1" selected="0">
            <x v="39"/>
          </reference>
        </references>
      </pivotArea>
    </chartFormat>
    <chartFormat chart="0" format="334">
      <pivotArea type="data" outline="0" fieldPosition="0">
        <references count="3">
          <reference field="4294967294" count="1" selected="0">
            <x v="0"/>
          </reference>
          <reference field="0" count="1" selected="0">
            <x v="3"/>
          </reference>
          <reference field="1" count="1" selected="0">
            <x v="40"/>
          </reference>
        </references>
      </pivotArea>
    </chartFormat>
    <chartFormat chart="0" format="335">
      <pivotArea type="data" outline="0" fieldPosition="0">
        <references count="3">
          <reference field="4294967294" count="1" selected="0">
            <x v="0"/>
          </reference>
          <reference field="0" count="1" selected="0">
            <x v="3"/>
          </reference>
          <reference field="1" count="1" selected="0">
            <x v="41"/>
          </reference>
        </references>
      </pivotArea>
    </chartFormat>
    <chartFormat chart="0" format="336">
      <pivotArea type="data" outline="0" fieldPosition="0">
        <references count="3">
          <reference field="4294967294" count="1" selected="0">
            <x v="0"/>
          </reference>
          <reference field="0" count="1" selected="0">
            <x v="3"/>
          </reference>
          <reference field="1" count="1" selected="0">
            <x v="42"/>
          </reference>
        </references>
      </pivotArea>
    </chartFormat>
    <chartFormat chart="0" format="337">
      <pivotArea type="data" outline="0" fieldPosition="0">
        <references count="3">
          <reference field="4294967294" count="1" selected="0">
            <x v="0"/>
          </reference>
          <reference field="0" count="1" selected="0">
            <x v="3"/>
          </reference>
          <reference field="1" count="1" selected="0">
            <x v="43"/>
          </reference>
        </references>
      </pivotArea>
    </chartFormat>
    <chartFormat chart="0" format="338">
      <pivotArea type="data" outline="0" fieldPosition="0">
        <references count="3">
          <reference field="4294967294" count="1" selected="0">
            <x v="0"/>
          </reference>
          <reference field="0" count="1" selected="0">
            <x v="3"/>
          </reference>
          <reference field="1" count="1" selected="0">
            <x v="44"/>
          </reference>
        </references>
      </pivotArea>
    </chartFormat>
    <chartFormat chart="0" format="339">
      <pivotArea type="data" outline="0" fieldPosition="0">
        <references count="3">
          <reference field="4294967294" count="1" selected="0">
            <x v="0"/>
          </reference>
          <reference field="0" count="1" selected="0">
            <x v="3"/>
          </reference>
          <reference field="1" count="1" selected="0">
            <x v="45"/>
          </reference>
        </references>
      </pivotArea>
    </chartFormat>
    <chartFormat chart="0" format="340">
      <pivotArea type="data" outline="0" fieldPosition="0">
        <references count="3">
          <reference field="4294967294" count="1" selected="0">
            <x v="0"/>
          </reference>
          <reference field="0" count="1" selected="0">
            <x v="3"/>
          </reference>
          <reference field="1" count="1" selected="0">
            <x v="46"/>
          </reference>
        </references>
      </pivotArea>
    </chartFormat>
    <chartFormat chart="0" format="341">
      <pivotArea type="data" outline="0" fieldPosition="0">
        <references count="3">
          <reference field="4294967294" count="1" selected="0">
            <x v="0"/>
          </reference>
          <reference field="0" count="1" selected="0">
            <x v="3"/>
          </reference>
          <reference field="1" count="1" selected="0">
            <x v="47"/>
          </reference>
        </references>
      </pivotArea>
    </chartFormat>
    <chartFormat chart="0" format="342">
      <pivotArea type="data" outline="0" fieldPosition="0">
        <references count="3">
          <reference field="4294967294" count="1" selected="0">
            <x v="0"/>
          </reference>
          <reference field="0" count="1" selected="0">
            <x v="3"/>
          </reference>
          <reference field="1" count="1" selected="0">
            <x v="48"/>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0"/>
          </reference>
        </references>
      </pivotArea>
    </chartFormat>
    <chartFormat chart="0" format="345">
      <pivotArea type="data" outline="0" fieldPosition="0">
        <references count="3">
          <reference field="4294967294" count="1" selected="0">
            <x v="0"/>
          </reference>
          <reference field="0" count="1" selected="0">
            <x v="3"/>
          </reference>
          <reference field="1" count="1" selected="0">
            <x v="51"/>
          </reference>
        </references>
      </pivotArea>
    </chartFormat>
    <chartFormat chart="0" format="346">
      <pivotArea type="data" outline="0" fieldPosition="0">
        <references count="3">
          <reference field="4294967294" count="1" selected="0">
            <x v="0"/>
          </reference>
          <reference field="0" count="1" selected="0">
            <x v="3"/>
          </reference>
          <reference field="1" count="1" selected="0">
            <x v="52"/>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4"/>
          </reference>
        </references>
      </pivotArea>
    </chartFormat>
    <chartFormat chart="0" format="349">
      <pivotArea type="data" outline="0" fieldPosition="0">
        <references count="3">
          <reference field="4294967294" count="1" selected="0">
            <x v="0"/>
          </reference>
          <reference field="0" count="1" selected="0">
            <x v="3"/>
          </reference>
          <reference field="1" count="1" selected="0">
            <x v="55"/>
          </reference>
        </references>
      </pivotArea>
    </chartFormat>
    <chartFormat chart="0" format="350">
      <pivotArea type="data" outline="0" fieldPosition="0">
        <references count="3">
          <reference field="4294967294" count="1" selected="0">
            <x v="0"/>
          </reference>
          <reference field="0" count="1" selected="0">
            <x v="3"/>
          </reference>
          <reference field="1" count="1" selected="0">
            <x v="56"/>
          </reference>
        </references>
      </pivotArea>
    </chartFormat>
    <chartFormat chart="0" format="351">
      <pivotArea type="data" outline="0" fieldPosition="0">
        <references count="3">
          <reference field="4294967294" count="1" selected="0">
            <x v="0"/>
          </reference>
          <reference field="0" count="1" selected="0">
            <x v="3"/>
          </reference>
          <reference field="1" count="1" selected="0">
            <x v="57"/>
          </reference>
        </references>
      </pivotArea>
    </chartFormat>
    <chartFormat chart="0" format="352">
      <pivotArea type="data" outline="0" fieldPosition="0">
        <references count="3">
          <reference field="4294967294" count="1" selected="0">
            <x v="0"/>
          </reference>
          <reference field="0" count="1" selected="0">
            <x v="3"/>
          </reference>
          <reference field="1" count="1" selected="0">
            <x v="58"/>
          </reference>
        </references>
      </pivotArea>
    </chartFormat>
    <chartFormat chart="0" format="353">
      <pivotArea type="data" outline="0" fieldPosition="0">
        <references count="3">
          <reference field="4294967294" count="1" selected="0">
            <x v="0"/>
          </reference>
          <reference field="0" count="1" selected="0">
            <x v="3"/>
          </reference>
          <reference field="1" count="1" selected="0">
            <x v="59"/>
          </reference>
        </references>
      </pivotArea>
    </chartFormat>
    <chartFormat chart="0" format="354">
      <pivotArea type="data" outline="0" fieldPosition="0">
        <references count="3">
          <reference field="4294967294" count="1" selected="0">
            <x v="0"/>
          </reference>
          <reference field="0" count="1" selected="0">
            <x v="3"/>
          </reference>
          <reference field="1" count="1" selected="0">
            <x v="60"/>
          </reference>
        </references>
      </pivotArea>
    </chartFormat>
    <chartFormat chart="0" format="355">
      <pivotArea type="data" outline="0" fieldPosition="0">
        <references count="3">
          <reference field="4294967294" count="1" selected="0">
            <x v="0"/>
          </reference>
          <reference field="0" count="1" selected="0">
            <x v="3"/>
          </reference>
          <reference field="1" count="1" selected="0">
            <x v="61"/>
          </reference>
        </references>
      </pivotArea>
    </chartFormat>
    <chartFormat chart="0" format="356">
      <pivotArea type="data" outline="0" fieldPosition="0">
        <references count="3">
          <reference field="4294967294" count="1" selected="0">
            <x v="0"/>
          </reference>
          <reference field="0" count="1" selected="0">
            <x v="3"/>
          </reference>
          <reference field="1" count="1" selected="0">
            <x v="62"/>
          </reference>
        </references>
      </pivotArea>
    </chartFormat>
    <chartFormat chart="0" format="357">
      <pivotArea type="data" outline="0" fieldPosition="0">
        <references count="3">
          <reference field="4294967294" count="1" selected="0">
            <x v="0"/>
          </reference>
          <reference field="0" count="1" selected="0">
            <x v="4"/>
          </reference>
          <reference field="1" count="1" selected="0">
            <x v="31"/>
          </reference>
        </references>
      </pivotArea>
    </chartFormat>
    <chartFormat chart="0" format="358">
      <pivotArea type="data" outline="0" fieldPosition="0">
        <references count="3">
          <reference field="4294967294" count="1" selected="0">
            <x v="0"/>
          </reference>
          <reference field="0" count="1" selected="0">
            <x v="4"/>
          </reference>
          <reference field="1" count="1" selected="0">
            <x v="3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3"/>
          </reference>
        </references>
      </pivotArea>
    </chartFormat>
    <chartFormat chart="0" format="360">
      <pivotArea type="data" outline="0" fieldPosition="0">
        <references count="3">
          <reference field="4294967294" count="1" selected="0">
            <x v="0"/>
          </reference>
          <reference field="0" count="1" selected="0">
            <x v="4"/>
          </reference>
          <reference field="1" count="1" selected="0">
            <x v="34"/>
          </reference>
        </references>
      </pivotArea>
    </chartFormat>
    <chartFormat chart="0" format="361">
      <pivotArea type="data" outline="0" fieldPosition="0">
        <references count="3">
          <reference field="4294967294" count="1" selected="0">
            <x v="0"/>
          </reference>
          <reference field="0" count="1" selected="0">
            <x v="4"/>
          </reference>
          <reference field="1" count="1" selected="0">
            <x v="35"/>
          </reference>
        </references>
      </pivotArea>
    </chartFormat>
    <chartFormat chart="0" format="362">
      <pivotArea type="data" outline="0" fieldPosition="0">
        <references count="3">
          <reference field="4294967294" count="1" selected="0">
            <x v="0"/>
          </reference>
          <reference field="0" count="1" selected="0">
            <x v="4"/>
          </reference>
          <reference field="1" count="1" selected="0">
            <x v="36"/>
          </reference>
        </references>
      </pivotArea>
    </chartFormat>
    <chartFormat chart="0" format="363">
      <pivotArea type="data" outline="0" fieldPosition="0">
        <references count="3">
          <reference field="4294967294" count="1" selected="0">
            <x v="0"/>
          </reference>
          <reference field="0" count="1" selected="0">
            <x v="4"/>
          </reference>
          <reference field="1" count="1" selected="0">
            <x v="37"/>
          </reference>
        </references>
      </pivotArea>
    </chartFormat>
    <chartFormat chart="0" format="364">
      <pivotArea type="data" outline="0" fieldPosition="0">
        <references count="3">
          <reference field="4294967294" count="1" selected="0">
            <x v="0"/>
          </reference>
          <reference field="0" count="1" selected="0">
            <x v="4"/>
          </reference>
          <reference field="1" count="1" selected="0">
            <x v="38"/>
          </reference>
        </references>
      </pivotArea>
    </chartFormat>
    <chartFormat chart="0" format="365">
      <pivotArea type="data" outline="0" fieldPosition="0">
        <references count="3">
          <reference field="4294967294" count="1" selected="0">
            <x v="0"/>
          </reference>
          <reference field="0" count="1" selected="0">
            <x v="4"/>
          </reference>
          <reference field="1" count="1" selected="0">
            <x v="39"/>
          </reference>
        </references>
      </pivotArea>
    </chartFormat>
    <chartFormat chart="0" format="366">
      <pivotArea type="data" outline="0" fieldPosition="0">
        <references count="3">
          <reference field="4294967294" count="1" selected="0">
            <x v="0"/>
          </reference>
          <reference field="0" count="1" selected="0">
            <x v="4"/>
          </reference>
          <reference field="1" count="1" selected="0">
            <x v="40"/>
          </reference>
        </references>
      </pivotArea>
    </chartFormat>
    <chartFormat chart="0" format="367">
      <pivotArea type="data" outline="0" fieldPosition="0">
        <references count="3">
          <reference field="4294967294" count="1" selected="0">
            <x v="0"/>
          </reference>
          <reference field="0" count="1" selected="0">
            <x v="4"/>
          </reference>
          <reference field="1" count="1" selected="0">
            <x v="41"/>
          </reference>
        </references>
      </pivotArea>
    </chartFormat>
    <chartFormat chart="0" format="368">
      <pivotArea type="data" outline="0" fieldPosition="0">
        <references count="3">
          <reference field="4294967294" count="1" selected="0">
            <x v="0"/>
          </reference>
          <reference field="0" count="1" selected="0">
            <x v="4"/>
          </reference>
          <reference field="1" count="1" selected="0">
            <x v="42"/>
          </reference>
        </references>
      </pivotArea>
    </chartFormat>
    <chartFormat chart="0" format="369">
      <pivotArea type="data" outline="0" fieldPosition="0">
        <references count="3">
          <reference field="4294967294" count="1" selected="0">
            <x v="0"/>
          </reference>
          <reference field="0" count="1" selected="0">
            <x v="4"/>
          </reference>
          <reference field="1" count="1" selected="0">
            <x v="43"/>
          </reference>
        </references>
      </pivotArea>
    </chartFormat>
    <chartFormat chart="0" format="370">
      <pivotArea type="data" outline="0" fieldPosition="0">
        <references count="3">
          <reference field="4294967294" count="1" selected="0">
            <x v="0"/>
          </reference>
          <reference field="0" count="1" selected="0">
            <x v="4"/>
          </reference>
          <reference field="1" count="1" selected="0">
            <x v="44"/>
          </reference>
        </references>
      </pivotArea>
    </chartFormat>
    <chartFormat chart="0" format="371">
      <pivotArea type="data" outline="0" fieldPosition="0">
        <references count="3">
          <reference field="4294967294" count="1" selected="0">
            <x v="0"/>
          </reference>
          <reference field="0" count="1" selected="0">
            <x v="4"/>
          </reference>
          <reference field="1" count="1" selected="0">
            <x v="45"/>
          </reference>
        </references>
      </pivotArea>
    </chartFormat>
    <chartFormat chart="0" format="372">
      <pivotArea type="data" outline="0" fieldPosition="0">
        <references count="3">
          <reference field="4294967294" count="1" selected="0">
            <x v="0"/>
          </reference>
          <reference field="0" count="1" selected="0">
            <x v="4"/>
          </reference>
          <reference field="1" count="1" selected="0">
            <x v="46"/>
          </reference>
        </references>
      </pivotArea>
    </chartFormat>
    <chartFormat chart="0" format="373">
      <pivotArea type="data" outline="0" fieldPosition="0">
        <references count="3">
          <reference field="4294967294" count="1" selected="0">
            <x v="0"/>
          </reference>
          <reference field="0" count="1" selected="0">
            <x v="4"/>
          </reference>
          <reference field="1" count="1" selected="0">
            <x v="47"/>
          </reference>
        </references>
      </pivotArea>
    </chartFormat>
    <chartFormat chart="0" format="374">
      <pivotArea type="data" outline="0" fieldPosition="0">
        <references count="3">
          <reference field="4294967294" count="1" selected="0">
            <x v="0"/>
          </reference>
          <reference field="0" count="1" selected="0">
            <x v="4"/>
          </reference>
          <reference field="1" count="1" selected="0">
            <x v="48"/>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0"/>
          </reference>
        </references>
      </pivotArea>
    </chartFormat>
    <chartFormat chart="0" format="377">
      <pivotArea type="data" outline="0" fieldPosition="0">
        <references count="3">
          <reference field="4294967294" count="1" selected="0">
            <x v="0"/>
          </reference>
          <reference field="0" count="1" selected="0">
            <x v="4"/>
          </reference>
          <reference field="1" count="1" selected="0">
            <x v="51"/>
          </reference>
        </references>
      </pivotArea>
    </chartFormat>
    <chartFormat chart="0" format="378">
      <pivotArea type="data" outline="0" fieldPosition="0">
        <references count="3">
          <reference field="4294967294" count="1" selected="0">
            <x v="0"/>
          </reference>
          <reference field="0" count="1" selected="0">
            <x v="4"/>
          </reference>
          <reference field="1" count="1" selected="0">
            <x v="52"/>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4"/>
          </reference>
        </references>
      </pivotArea>
    </chartFormat>
    <chartFormat chart="0" format="381">
      <pivotArea type="data" outline="0" fieldPosition="0">
        <references count="3">
          <reference field="4294967294" count="1" selected="0">
            <x v="0"/>
          </reference>
          <reference field="0" count="1" selected="0">
            <x v="4"/>
          </reference>
          <reference field="1" count="1" selected="0">
            <x v="55"/>
          </reference>
        </references>
      </pivotArea>
    </chartFormat>
    <chartFormat chart="0" format="382">
      <pivotArea type="data" outline="0" fieldPosition="0">
        <references count="3">
          <reference field="4294967294" count="1" selected="0">
            <x v="0"/>
          </reference>
          <reference field="0" count="1" selected="0">
            <x v="4"/>
          </reference>
          <reference field="1" count="1" selected="0">
            <x v="56"/>
          </reference>
        </references>
      </pivotArea>
    </chartFormat>
    <chartFormat chart="0" format="383">
      <pivotArea type="data" outline="0" fieldPosition="0">
        <references count="3">
          <reference field="4294967294" count="1" selected="0">
            <x v="0"/>
          </reference>
          <reference field="0" count="1" selected="0">
            <x v="4"/>
          </reference>
          <reference field="1" count="1" selected="0">
            <x v="57"/>
          </reference>
        </references>
      </pivotArea>
    </chartFormat>
    <chartFormat chart="0" format="384">
      <pivotArea type="data" outline="0" fieldPosition="0">
        <references count="3">
          <reference field="4294967294" count="1" selected="0">
            <x v="0"/>
          </reference>
          <reference field="0" count="1" selected="0">
            <x v="4"/>
          </reference>
          <reference field="1" count="1" selected="0">
            <x v="58"/>
          </reference>
        </references>
      </pivotArea>
    </chartFormat>
    <chartFormat chart="0" format="385">
      <pivotArea type="data" outline="0" fieldPosition="0">
        <references count="3">
          <reference field="4294967294" count="1" selected="0">
            <x v="0"/>
          </reference>
          <reference field="0" count="1" selected="0">
            <x v="4"/>
          </reference>
          <reference field="1" count="1" selected="0">
            <x v="59"/>
          </reference>
        </references>
      </pivotArea>
    </chartFormat>
    <chartFormat chart="0" format="386">
      <pivotArea type="data" outline="0" fieldPosition="0">
        <references count="3">
          <reference field="4294967294" count="1" selected="0">
            <x v="0"/>
          </reference>
          <reference field="0" count="1" selected="0">
            <x v="4"/>
          </reference>
          <reference field="1" count="1" selected="0">
            <x v="60"/>
          </reference>
        </references>
      </pivotArea>
    </chartFormat>
    <chartFormat chart="0" format="387">
      <pivotArea type="data" outline="0" fieldPosition="0">
        <references count="3">
          <reference field="4294967294" count="1" selected="0">
            <x v="0"/>
          </reference>
          <reference field="0" count="1" selected="0">
            <x v="4"/>
          </reference>
          <reference field="1" count="1" selected="0">
            <x v="63"/>
          </reference>
        </references>
      </pivotArea>
    </chartFormat>
    <chartFormat chart="0" format="388">
      <pivotArea type="data" outline="0" fieldPosition="0">
        <references count="3">
          <reference field="4294967294" count="1" selected="0">
            <x v="0"/>
          </reference>
          <reference field="0" count="1" selected="0">
            <x v="4"/>
          </reference>
          <reference field="1" count="1" selected="0">
            <x v="64"/>
          </reference>
        </references>
      </pivotArea>
    </chartFormat>
    <chartFormat chart="0" format="389">
      <pivotArea type="data" outline="0" fieldPosition="0">
        <references count="3">
          <reference field="4294967294" count="1" selected="0">
            <x v="0"/>
          </reference>
          <reference field="0" count="1" selected="0">
            <x v="4"/>
          </reference>
          <reference field="1" count="1" selected="0">
            <x v="65"/>
          </reference>
        </references>
      </pivotArea>
    </chartFormat>
    <chartFormat chart="0" format="390">
      <pivotArea type="data" outline="0" fieldPosition="0">
        <references count="3">
          <reference field="4294967294" count="1" selected="0">
            <x v="0"/>
          </reference>
          <reference field="0" count="1" selected="0">
            <x v="4"/>
          </reference>
          <reference field="1" count="1" selected="0">
            <x v="66"/>
          </reference>
        </references>
      </pivotArea>
    </chartFormat>
    <chartFormat chart="0" format="391">
      <pivotArea type="data" outline="0" fieldPosition="0">
        <references count="3">
          <reference field="4294967294" count="1" selected="0">
            <x v="0"/>
          </reference>
          <reference field="0" count="1" selected="0">
            <x v="4"/>
          </reference>
          <reference field="1" count="1" selected="0">
            <x v="67"/>
          </reference>
        </references>
      </pivotArea>
    </chartFormat>
    <chartFormat chart="0" format="392">
      <pivotArea type="data" outline="0" fieldPosition="0">
        <references count="3">
          <reference field="4294967294" count="1" selected="0">
            <x v="0"/>
          </reference>
          <reference field="0" count="1" selected="0">
            <x v="4"/>
          </reference>
          <reference field="1" count="1" selected="0">
            <x v="68"/>
          </reference>
        </references>
      </pivotArea>
    </chartFormat>
    <chartFormat chart="0" format="393">
      <pivotArea type="data" outline="0" fieldPosition="0">
        <references count="3">
          <reference field="4294967294" count="1" selected="0">
            <x v="0"/>
          </reference>
          <reference field="0" count="1" selected="0">
            <x v="4"/>
          </reference>
          <reference field="1" count="1" selected="0">
            <x v="69"/>
          </reference>
        </references>
      </pivotArea>
    </chartFormat>
    <chartFormat chart="0" format="394">
      <pivotArea type="data" outline="0" fieldPosition="0">
        <references count="3">
          <reference field="4294967294" count="1" selected="0">
            <x v="0"/>
          </reference>
          <reference field="0" count="1" selected="0">
            <x v="4"/>
          </reference>
          <reference field="1" count="1" selected="0">
            <x v="70"/>
          </reference>
        </references>
      </pivotArea>
    </chartFormat>
    <chartFormat chart="0" format="395">
      <pivotArea type="data" outline="0" fieldPosition="0">
        <references count="3">
          <reference field="4294967294" count="1" selected="0">
            <x v="0"/>
          </reference>
          <reference field="0" count="1" selected="0">
            <x v="4"/>
          </reference>
          <reference field="1" count="1" selected="0">
            <x v="71"/>
          </reference>
        </references>
      </pivotArea>
    </chartFormat>
    <chartFormat chart="0" format="396">
      <pivotArea type="data" outline="0" fieldPosition="0">
        <references count="3">
          <reference field="4294967294" count="1" selected="0">
            <x v="0"/>
          </reference>
          <reference field="0" count="1" selected="0">
            <x v="4"/>
          </reference>
          <reference field="1" count="1" selected="0">
            <x v="72"/>
          </reference>
        </references>
      </pivotArea>
    </chartFormat>
    <chartFormat chart="0" format="397">
      <pivotArea type="data" outline="0" fieldPosition="0">
        <references count="3">
          <reference field="4294967294" count="1" selected="0">
            <x v="0"/>
          </reference>
          <reference field="0" count="1" selected="0">
            <x v="4"/>
          </reference>
          <reference field="1" count="1" selected="0">
            <x v="73"/>
          </reference>
        </references>
      </pivotArea>
    </chartFormat>
    <chartFormat chart="0" format="398">
      <pivotArea type="data" outline="0" fieldPosition="0">
        <references count="3">
          <reference field="4294967294" count="1" selected="0">
            <x v="0"/>
          </reference>
          <reference field="0" count="1" selected="0">
            <x v="4"/>
          </reference>
          <reference field="1" count="1" selected="0">
            <x v="74"/>
          </reference>
        </references>
      </pivotArea>
    </chartFormat>
    <chartFormat chart="0" format="399">
      <pivotArea type="data" outline="0" fieldPosition="0">
        <references count="3">
          <reference field="4294967294" count="1" selected="0">
            <x v="0"/>
          </reference>
          <reference field="0" count="1" selected="0">
            <x v="4"/>
          </reference>
          <reference field="1" count="1" selected="0">
            <x v="75"/>
          </reference>
        </references>
      </pivotArea>
    </chartFormat>
    <chartFormat chart="0" format="400">
      <pivotArea type="data" outline="0" fieldPosition="0">
        <references count="3">
          <reference field="4294967294" count="1" selected="0">
            <x v="0"/>
          </reference>
          <reference field="0" count="1" selected="0">
            <x v="4"/>
          </reference>
          <reference field="1" count="1" selected="0">
            <x v="76"/>
          </reference>
        </references>
      </pivotArea>
    </chartFormat>
    <chartFormat chart="0" format="401">
      <pivotArea type="data" outline="0" fieldPosition="0">
        <references count="3">
          <reference field="4294967294" count="1" selected="0">
            <x v="0"/>
          </reference>
          <reference field="0" count="1" selected="0">
            <x v="4"/>
          </reference>
          <reference field="1" count="1" selected="0">
            <x v="77"/>
          </reference>
        </references>
      </pivotArea>
    </chartFormat>
    <chartFormat chart="0" format="402">
      <pivotArea type="data" outline="0" fieldPosition="0">
        <references count="3">
          <reference field="4294967294" count="1" selected="0">
            <x v="0"/>
          </reference>
          <reference field="0" count="1" selected="0">
            <x v="4"/>
          </reference>
          <reference field="1" count="1" selected="0">
            <x v="78"/>
          </reference>
        </references>
      </pivotArea>
    </chartFormat>
    <chartFormat chart="0" format="403">
      <pivotArea type="data" outline="0" fieldPosition="0">
        <references count="3">
          <reference field="4294967294" count="1" selected="0">
            <x v="2"/>
          </reference>
          <reference field="0" count="1" selected="0">
            <x v="4"/>
          </reference>
          <reference field="1" count="1" selected="0">
            <x v="44"/>
          </reference>
        </references>
      </pivotArea>
    </chartFormat>
    <chartFormat chart="0" format="404">
      <pivotArea type="data" outline="0" fieldPosition="0">
        <references count="3">
          <reference field="4294967294" count="1" selected="0">
            <x v="2"/>
          </reference>
          <reference field="0" count="1" selected="0">
            <x v="4"/>
          </reference>
          <reference field="1" count="1" selected="0">
            <x v="45"/>
          </reference>
        </references>
      </pivotArea>
    </chartFormat>
    <chartFormat chart="0" format="405">
      <pivotArea type="data" outline="0" fieldPosition="0">
        <references count="3">
          <reference field="4294967294" count="1" selected="0">
            <x v="2"/>
          </reference>
          <reference field="0" count="1" selected="0">
            <x v="4"/>
          </reference>
          <reference field="1" count="1" selected="0">
            <x v="46"/>
          </reference>
        </references>
      </pivotArea>
    </chartFormat>
    <chartFormat chart="0" format="406">
      <pivotArea type="data" outline="0" fieldPosition="0">
        <references count="3">
          <reference field="4294967294" count="1" selected="0">
            <x v="2"/>
          </reference>
          <reference field="0" count="1" selected="0">
            <x v="4"/>
          </reference>
          <reference field="1" count="1" selected="0">
            <x v="47"/>
          </reference>
        </references>
      </pivotArea>
    </chartFormat>
    <chartFormat chart="0" format="407">
      <pivotArea type="data" outline="0" fieldPosition="0">
        <references count="3">
          <reference field="4294967294" count="1" selected="0">
            <x v="2"/>
          </reference>
          <reference field="0" count="1" selected="0">
            <x v="4"/>
          </reference>
          <reference field="1" count="1" selected="0">
            <x v="48"/>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0"/>
          </reference>
        </references>
      </pivotArea>
    </chartFormat>
    <chartFormat chart="0" format="410">
      <pivotArea type="data" outline="0" fieldPosition="0">
        <references count="3">
          <reference field="4294967294" count="1" selected="0">
            <x v="2"/>
          </reference>
          <reference field="0" count="1" selected="0">
            <x v="4"/>
          </reference>
          <reference field="1" count="1" selected="0">
            <x v="77"/>
          </reference>
        </references>
      </pivotArea>
    </chartFormat>
    <chartFormat chart="0" format="411">
      <pivotArea type="data" outline="0" fieldPosition="0">
        <references count="3">
          <reference field="4294967294" count="1" selected="0">
            <x v="2"/>
          </reference>
          <reference field="0" count="1" selected="0">
            <x v="4"/>
          </reference>
          <reference field="1" count="1" selected="0">
            <x v="78"/>
          </reference>
        </references>
      </pivotArea>
    </chartFormat>
    <chartFormat chart="0" format="412">
      <pivotArea type="data" outline="0" fieldPosition="0">
        <references count="3">
          <reference field="4294967294" count="1" selected="0">
            <x v="0"/>
          </reference>
          <reference field="0" count="1" selected="0">
            <x v="4"/>
          </reference>
          <reference field="1" count="1" selected="0">
            <x v="61"/>
          </reference>
        </references>
      </pivotArea>
    </chartFormat>
    <chartFormat chart="0" format="413">
      <pivotArea type="data" outline="0" fieldPosition="0">
        <references count="3">
          <reference field="4294967294" count="1" selected="0">
            <x v="0"/>
          </reference>
          <reference field="0" count="1" selected="0">
            <x v="4"/>
          </reference>
          <reference field="1" count="1" selected="0">
            <x v="62"/>
          </reference>
        </references>
      </pivotArea>
    </chartFormat>
    <chartFormat chart="0" format="414">
      <pivotArea type="data" outline="0" fieldPosition="0">
        <references count="3">
          <reference field="4294967294" count="1" selected="0">
            <x v="2"/>
          </reference>
          <reference field="0" count="1" selected="0">
            <x v="4"/>
          </reference>
          <reference field="1" count="1" selected="0">
            <x v="61"/>
          </reference>
        </references>
      </pivotArea>
    </chartFormat>
    <chartFormat chart="0" format="415">
      <pivotArea type="data" outline="0" fieldPosition="0">
        <references count="3">
          <reference field="4294967294" count="1" selected="0">
            <x v="2"/>
          </reference>
          <reference field="0" count="1" selected="0">
            <x v="4"/>
          </reference>
          <reference field="1" count="1" selected="0">
            <x v="62"/>
          </reference>
        </references>
      </pivotArea>
    </chartFormat>
    <chartFormat chart="0" format="416">
      <pivotArea type="data" outline="0" fieldPosition="0">
        <references count="3">
          <reference field="4294967294" count="1" selected="0">
            <x v="0"/>
          </reference>
          <reference field="0" count="1" selected="0">
            <x v="5"/>
          </reference>
          <reference field="1" count="1" selected="0">
            <x v="31"/>
          </reference>
        </references>
      </pivotArea>
    </chartFormat>
    <chartFormat chart="0" format="417">
      <pivotArea type="data" outline="0" fieldPosition="0">
        <references count="3">
          <reference field="4294967294" count="1" selected="0">
            <x v="0"/>
          </reference>
          <reference field="0" count="1" selected="0">
            <x v="5"/>
          </reference>
          <reference field="1" count="1" selected="0">
            <x v="32"/>
          </reference>
        </references>
      </pivotArea>
    </chartFormat>
    <chartFormat chart="0" format="418">
      <pivotArea type="data" outline="0" fieldPosition="0">
        <references count="3">
          <reference field="4294967294" count="1" selected="0">
            <x v="0"/>
          </reference>
          <reference field="0" count="1" selected="0">
            <x v="5"/>
          </reference>
          <reference field="1" count="1" selected="0">
            <x v="33"/>
          </reference>
        </references>
      </pivotArea>
    </chartFormat>
    <chartFormat chart="0" format="419">
      <pivotArea type="data" outline="0" fieldPosition="0">
        <references count="3">
          <reference field="4294967294" count="1" selected="0">
            <x v="0"/>
          </reference>
          <reference field="0" count="1" selected="0">
            <x v="5"/>
          </reference>
          <reference field="1" count="1" selected="0">
            <x v="34"/>
          </reference>
        </references>
      </pivotArea>
    </chartFormat>
    <chartFormat chart="0" format="420">
      <pivotArea type="data" outline="0" fieldPosition="0">
        <references count="3">
          <reference field="4294967294" count="1" selected="0">
            <x v="0"/>
          </reference>
          <reference field="0" count="1" selected="0">
            <x v="5"/>
          </reference>
          <reference field="1" count="1" selected="0">
            <x v="35"/>
          </reference>
        </references>
      </pivotArea>
    </chartFormat>
    <chartFormat chart="0" format="421">
      <pivotArea type="data" outline="0" fieldPosition="0">
        <references count="3">
          <reference field="4294967294" count="1" selected="0">
            <x v="0"/>
          </reference>
          <reference field="0" count="1" selected="0">
            <x v="5"/>
          </reference>
          <reference field="1" count="1" selected="0">
            <x v="36"/>
          </reference>
        </references>
      </pivotArea>
    </chartFormat>
    <chartFormat chart="0" format="422">
      <pivotArea type="data" outline="0" fieldPosition="0">
        <references count="3">
          <reference field="4294967294" count="1" selected="0">
            <x v="0"/>
          </reference>
          <reference field="0" count="1" selected="0">
            <x v="5"/>
          </reference>
          <reference field="1" count="1" selected="0">
            <x v="37"/>
          </reference>
        </references>
      </pivotArea>
    </chartFormat>
    <chartFormat chart="0" format="423">
      <pivotArea type="data" outline="0" fieldPosition="0">
        <references count="3">
          <reference field="4294967294" count="1" selected="0">
            <x v="0"/>
          </reference>
          <reference field="0" count="1" selected="0">
            <x v="5"/>
          </reference>
          <reference field="1" count="1" selected="0">
            <x v="38"/>
          </reference>
        </references>
      </pivotArea>
    </chartFormat>
    <chartFormat chart="0" format="424">
      <pivotArea type="data" outline="0" fieldPosition="0">
        <references count="3">
          <reference field="4294967294" count="1" selected="0">
            <x v="0"/>
          </reference>
          <reference field="0" count="1" selected="0">
            <x v="5"/>
          </reference>
          <reference field="1" count="1" selected="0">
            <x v="40"/>
          </reference>
        </references>
      </pivotArea>
    </chartFormat>
    <chartFormat chart="0" format="425">
      <pivotArea type="data" outline="0" fieldPosition="0">
        <references count="3">
          <reference field="4294967294" count="1" selected="0">
            <x v="0"/>
          </reference>
          <reference field="0" count="1" selected="0">
            <x v="5"/>
          </reference>
          <reference field="1" count="1" selected="0">
            <x v="63"/>
          </reference>
        </references>
      </pivotArea>
    </chartFormat>
    <chartFormat chart="0" format="426">
      <pivotArea type="data" outline="0" fieldPosition="0">
        <references count="3">
          <reference field="4294967294" count="1" selected="0">
            <x v="0"/>
          </reference>
          <reference field="0" count="1" selected="0">
            <x v="5"/>
          </reference>
          <reference field="1" count="1" selected="0">
            <x v="64"/>
          </reference>
        </references>
      </pivotArea>
    </chartFormat>
    <chartFormat chart="0" format="427">
      <pivotArea type="data" outline="0" fieldPosition="0">
        <references count="3">
          <reference field="4294967294" count="1" selected="0">
            <x v="0"/>
          </reference>
          <reference field="0" count="1" selected="0">
            <x v="5"/>
          </reference>
          <reference field="1" count="1" selected="0">
            <x v="65"/>
          </reference>
        </references>
      </pivotArea>
    </chartFormat>
    <chartFormat chart="0" format="428">
      <pivotArea type="data" outline="0" fieldPosition="0">
        <references count="3">
          <reference field="4294967294" count="1" selected="0">
            <x v="0"/>
          </reference>
          <reference field="0" count="1" selected="0">
            <x v="5"/>
          </reference>
          <reference field="1" count="1" selected="0">
            <x v="66"/>
          </reference>
        </references>
      </pivotArea>
    </chartFormat>
    <chartFormat chart="0" format="429">
      <pivotArea type="data" outline="0" fieldPosition="0">
        <references count="3">
          <reference field="4294967294" count="1" selected="0">
            <x v="0"/>
          </reference>
          <reference field="0" count="1" selected="0">
            <x v="5"/>
          </reference>
          <reference field="1" count="1" selected="0">
            <x v="67"/>
          </reference>
        </references>
      </pivotArea>
    </chartFormat>
    <chartFormat chart="0" format="430">
      <pivotArea type="data" outline="0" fieldPosition="0">
        <references count="3">
          <reference field="4294967294" count="1" selected="0">
            <x v="0"/>
          </reference>
          <reference field="0" count="1" selected="0">
            <x v="5"/>
          </reference>
          <reference field="1" count="1" selected="0">
            <x v="68"/>
          </reference>
        </references>
      </pivotArea>
    </chartFormat>
    <chartFormat chart="0" format="431">
      <pivotArea type="data" outline="0" fieldPosition="0">
        <references count="3">
          <reference field="4294967294" count="1" selected="0">
            <x v="0"/>
          </reference>
          <reference field="0" count="1" selected="0">
            <x v="5"/>
          </reference>
          <reference field="1" count="1" selected="0">
            <x v="69"/>
          </reference>
        </references>
      </pivotArea>
    </chartFormat>
    <chartFormat chart="0" format="432">
      <pivotArea type="data" outline="0" fieldPosition="0">
        <references count="3">
          <reference field="4294967294" count="1" selec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ted="0">
            <x v="0"/>
          </reference>
          <reference field="0" count="1" selected="0">
            <x v="5"/>
          </reference>
          <reference field="1" count="1" selected="0">
            <x v="71"/>
          </reference>
        </references>
      </pivotArea>
    </chartFormat>
    <chartFormat chart="0" format="434">
      <pivotArea type="data" outline="0" fieldPosition="0">
        <references count="3">
          <reference field="4294967294" count="1" selected="0">
            <x v="0"/>
          </reference>
          <reference field="0" count="1" selected="0">
            <x v="5"/>
          </reference>
          <reference field="1" count="1" selected="0">
            <x v="72"/>
          </reference>
        </references>
      </pivotArea>
    </chartFormat>
    <chartFormat chart="0" format="435">
      <pivotArea type="data" outline="0" fieldPosition="0">
        <references count="3">
          <reference field="4294967294" count="1" selected="0">
            <x v="0"/>
          </reference>
          <reference field="0" count="1" selected="0">
            <x v="5"/>
          </reference>
          <reference field="1" count="1" selected="0">
            <x v="73"/>
          </reference>
        </references>
      </pivotArea>
    </chartFormat>
    <chartFormat chart="0" format="436">
      <pivotArea type="data" outline="0" fieldPosition="0">
        <references count="3">
          <reference field="4294967294" count="1" selected="0">
            <x v="0"/>
          </reference>
          <reference field="0" count="1" selected="0">
            <x v="5"/>
          </reference>
          <reference field="1" count="1" selected="0">
            <x v="74"/>
          </reference>
        </references>
      </pivotArea>
    </chartFormat>
    <chartFormat chart="0" format="437">
      <pivotArea type="data" outline="0" fieldPosition="0">
        <references count="3">
          <reference field="4294967294" count="1" selected="0">
            <x v="0"/>
          </reference>
          <reference field="0" count="1" selected="0">
            <x v="5"/>
          </reference>
          <reference field="1" count="1" selected="0">
            <x v="75"/>
          </reference>
        </references>
      </pivotArea>
    </chartFormat>
    <chartFormat chart="0" format="438">
      <pivotArea type="data" outline="0" fieldPosition="0">
        <references count="3">
          <reference field="4294967294" count="1" selected="0">
            <x v="0"/>
          </reference>
          <reference field="0" count="1" selected="0">
            <x v="5"/>
          </reference>
          <reference field="1" count="1" selected="0">
            <x v="76"/>
          </reference>
        </references>
      </pivotArea>
    </chartFormat>
    <chartFormat chart="0" format="439">
      <pivotArea type="data" outline="0" fieldPosition="0">
        <references count="3">
          <reference field="4294967294" count="1" selected="0">
            <x v="0"/>
          </reference>
          <reference field="0" count="1" selected="0">
            <x v="5"/>
          </reference>
          <reference field="1" count="1" selected="0">
            <x v="77"/>
          </reference>
        </references>
      </pivotArea>
    </chartFormat>
    <chartFormat chart="0" format="440">
      <pivotArea type="data" outline="0" fieldPosition="0">
        <references count="3">
          <reference field="4294967294" count="1" selected="0">
            <x v="0"/>
          </reference>
          <reference field="0" count="1" selected="0">
            <x v="5"/>
          </reference>
          <reference field="1" count="1" selected="0">
            <x v="78"/>
          </reference>
        </references>
      </pivotArea>
    </chartFormat>
    <chartFormat chart="0" format="441">
      <pivotArea type="data" outline="0" fieldPosition="0">
        <references count="3">
          <reference field="4294967294" count="1" selected="0">
            <x v="2"/>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5"/>
          </reference>
          <reference field="1" count="1" selected="0">
            <x v="32"/>
          </reference>
        </references>
      </pivotArea>
    </chartFormat>
    <chartFormat chart="0" format="443">
      <pivotArea type="data" outline="0" fieldPosition="0">
        <references count="3">
          <reference field="4294967294" count="1" selected="0">
            <x v="2"/>
          </reference>
          <reference field="0" count="1" selected="0">
            <x v="5"/>
          </reference>
          <reference field="1" count="1" selected="0">
            <x v="33"/>
          </reference>
        </references>
      </pivotArea>
    </chartFormat>
    <chartFormat chart="0" format="444">
      <pivotArea type="data" outline="0" fieldPosition="0">
        <references count="3">
          <reference field="4294967294" count="1" selected="0">
            <x v="2"/>
          </reference>
          <reference field="0" count="1" selected="0">
            <x v="5"/>
          </reference>
          <reference field="1" count="1" selected="0">
            <x v="34"/>
          </reference>
        </references>
      </pivotArea>
    </chartFormat>
    <chartFormat chart="0" format="445">
      <pivotArea type="data" outline="0" fieldPosition="0">
        <references count="3">
          <reference field="4294967294" count="1" selected="0">
            <x v="2"/>
          </reference>
          <reference field="0" count="1" selected="0">
            <x v="5"/>
          </reference>
          <reference field="1" count="1" selected="0">
            <x v="35"/>
          </reference>
        </references>
      </pivotArea>
    </chartFormat>
    <chartFormat chart="0" format="446">
      <pivotArea type="data" outline="0" fieldPosition="0">
        <references count="3">
          <reference field="4294967294" count="1" selected="0">
            <x v="2"/>
          </reference>
          <reference field="0" count="1" selected="0">
            <x v="5"/>
          </reference>
          <reference field="1" count="1" selected="0">
            <x v="36"/>
          </reference>
        </references>
      </pivotArea>
    </chartFormat>
    <chartFormat chart="0" format="447">
      <pivotArea type="data" outline="0" fieldPosition="0">
        <references count="3">
          <reference field="4294967294" count="1" selected="0">
            <x v="2"/>
          </reference>
          <reference field="0" count="1" selected="0">
            <x v="5"/>
          </reference>
          <reference field="1" count="1" selected="0">
            <x v="37"/>
          </reference>
        </references>
      </pivotArea>
    </chartFormat>
    <chartFormat chart="0" format="448">
      <pivotArea type="data" outline="0" fieldPosition="0">
        <references count="3">
          <reference field="4294967294" count="1" selected="0">
            <x v="2"/>
          </reference>
          <reference field="0" count="1" selected="0">
            <x v="5"/>
          </reference>
          <reference field="1" count="1" selected="0">
            <x v="38"/>
          </reference>
        </references>
      </pivotArea>
    </chartFormat>
    <chartFormat chart="0" format="449">
      <pivotArea type="data" outline="0" fieldPosition="0">
        <references count="3">
          <reference field="4294967294" count="1" selected="0">
            <x v="2"/>
          </reference>
          <reference field="0" count="1" selected="0">
            <x v="5"/>
          </reference>
          <reference field="1" count="1" selected="0">
            <x v="40"/>
          </reference>
        </references>
      </pivotArea>
    </chartFormat>
    <chartFormat chart="0" format="450">
      <pivotArea type="data" outline="0" fieldPosition="0">
        <references count="3">
          <reference field="4294967294" count="1" selected="0">
            <x v="2"/>
          </reference>
          <reference field="0" count="1" selected="0">
            <x v="5"/>
          </reference>
          <reference field="1" count="1" selected="0">
            <x v="63"/>
          </reference>
        </references>
      </pivotArea>
    </chartFormat>
    <chartFormat chart="0" format="451">
      <pivotArea type="data" outline="0" fieldPosition="0">
        <references count="3">
          <reference field="4294967294" count="1" selected="0">
            <x v="2"/>
          </reference>
          <reference field="0" count="1" selected="0">
            <x v="5"/>
          </reference>
          <reference field="1" count="1" selected="0">
            <x v="64"/>
          </reference>
        </references>
      </pivotArea>
    </chartFormat>
    <chartFormat chart="0" format="452">
      <pivotArea type="data" outline="0" fieldPosition="0">
        <references count="3">
          <reference field="4294967294" count="1" selected="0">
            <x v="2"/>
          </reference>
          <reference field="0" count="1" selected="0">
            <x v="5"/>
          </reference>
          <reference field="1" count="1" selected="0">
            <x v="65"/>
          </reference>
        </references>
      </pivotArea>
    </chartFormat>
    <chartFormat chart="0" format="453">
      <pivotArea type="data" outline="0" fieldPosition="0">
        <references count="3">
          <reference field="4294967294" count="1" selected="0">
            <x v="2"/>
          </reference>
          <reference field="0" count="1" selected="0">
            <x v="5"/>
          </reference>
          <reference field="1" count="1" selected="0">
            <x v="66"/>
          </reference>
        </references>
      </pivotArea>
    </chartFormat>
    <chartFormat chart="0" format="454">
      <pivotArea type="data" outline="0" fieldPosition="0">
        <references count="3">
          <reference field="4294967294" count="1" selected="0">
            <x v="2"/>
          </reference>
          <reference field="0" count="1" selected="0">
            <x v="5"/>
          </reference>
          <reference field="1" count="1" selected="0">
            <x v="67"/>
          </reference>
        </references>
      </pivotArea>
    </chartFormat>
    <chartFormat chart="0" format="455">
      <pivotArea type="data" outline="0" fieldPosition="0">
        <references count="3">
          <reference field="4294967294" count="1" selected="0">
            <x v="2"/>
          </reference>
          <reference field="0" count="1" selected="0">
            <x v="5"/>
          </reference>
          <reference field="1" count="1" selected="0">
            <x v="68"/>
          </reference>
        </references>
      </pivotArea>
    </chartFormat>
    <chartFormat chart="0" format="456">
      <pivotArea type="data" outline="0" fieldPosition="0">
        <references count="3">
          <reference field="4294967294" count="1" selected="0">
            <x v="2"/>
          </reference>
          <reference field="0" count="1" selected="0">
            <x v="5"/>
          </reference>
          <reference field="1" count="1" selected="0">
            <x v="69"/>
          </reference>
        </references>
      </pivotArea>
    </chartFormat>
    <chartFormat chart="0" format="457">
      <pivotArea type="data" outline="0" fieldPosition="0">
        <references count="3">
          <reference field="4294967294" count="1" selected="0">
            <x v="2"/>
          </reference>
          <reference field="0" count="1" selected="0">
            <x v="5"/>
          </reference>
          <reference field="1" count="1" selected="0">
            <x v="70"/>
          </reference>
        </references>
      </pivotArea>
    </chartFormat>
    <chartFormat chart="0" format="458">
      <pivotArea type="data" outline="0" fieldPosition="0">
        <references count="3">
          <reference field="4294967294" count="1" selected="0">
            <x v="2"/>
          </reference>
          <reference field="0" count="1" selected="0">
            <x v="5"/>
          </reference>
          <reference field="1" count="1" selected="0">
            <x v="71"/>
          </reference>
        </references>
      </pivotArea>
    </chartFormat>
    <chartFormat chart="0" format="459">
      <pivotArea type="data" outline="0" fieldPosition="0">
        <references count="3">
          <reference field="4294967294" count="1" selected="0">
            <x v="2"/>
          </reference>
          <reference field="0" count="1" selected="0">
            <x v="5"/>
          </reference>
          <reference field="1" count="1" selected="0">
            <x v="72"/>
          </reference>
        </references>
      </pivotArea>
    </chartFormat>
    <chartFormat chart="0" format="460">
      <pivotArea type="data" outline="0" fieldPosition="0">
        <references count="3">
          <reference field="4294967294" count="1" selected="0">
            <x v="2"/>
          </reference>
          <reference field="0" count="1" selected="0">
            <x v="5"/>
          </reference>
          <reference field="1" count="1" selected="0">
            <x v="73"/>
          </reference>
        </references>
      </pivotArea>
    </chartFormat>
    <chartFormat chart="0" format="461">
      <pivotArea type="data" outline="0" fieldPosition="0">
        <references count="3">
          <reference field="4294967294" count="1" selected="0">
            <x v="2"/>
          </reference>
          <reference field="0" count="1" selected="0">
            <x v="5"/>
          </reference>
          <reference field="1" count="1" selected="0">
            <x v="74"/>
          </reference>
        </references>
      </pivotArea>
    </chartFormat>
    <chartFormat chart="0" format="462">
      <pivotArea type="data" outline="0" fieldPosition="0">
        <references count="3">
          <reference field="4294967294" count="1" selected="0">
            <x v="2"/>
          </reference>
          <reference field="0" count="1" selected="0">
            <x v="5"/>
          </reference>
          <reference field="1" count="1" selected="0">
            <x v="75"/>
          </reference>
        </references>
      </pivotArea>
    </chartFormat>
    <chartFormat chart="0" format="463">
      <pivotArea type="data" outline="0" fieldPosition="0">
        <references count="3">
          <reference field="4294967294" count="1" selected="0">
            <x v="2"/>
          </reference>
          <reference field="0" count="1" selected="0">
            <x v="5"/>
          </reference>
          <reference field="1" count="1" selected="0">
            <x v="76"/>
          </reference>
        </references>
      </pivotArea>
    </chartFormat>
    <chartFormat chart="0" format="464">
      <pivotArea type="data" outline="0" fieldPosition="0">
        <references count="3">
          <reference field="4294967294" count="1" selected="0">
            <x v="2"/>
          </reference>
          <reference field="0" count="1" selected="0">
            <x v="5"/>
          </reference>
          <reference field="1" count="1" selected="0">
            <x v="77"/>
          </reference>
        </references>
      </pivotArea>
    </chartFormat>
    <chartFormat chart="0" format="465">
      <pivotArea type="data" outline="0" fieldPosition="0">
        <references count="3">
          <reference field="4294967294" count="1" selected="0">
            <x v="2"/>
          </reference>
          <reference field="0" count="1" selected="0">
            <x v="5"/>
          </reference>
          <reference field="1" count="1" selected="0">
            <x v="78"/>
          </reference>
        </references>
      </pivotArea>
    </chartFormat>
    <chartFormat chart="0" format="466">
      <pivotArea type="data" outline="0" fieldPosition="0">
        <references count="3">
          <reference field="4294967294" count="1" selected="0">
            <x v="0"/>
          </reference>
          <reference field="0" count="1" selected="0">
            <x v="5"/>
          </reference>
          <reference field="1" count="1" selected="0">
            <x v="41"/>
          </reference>
        </references>
      </pivotArea>
    </chartFormat>
    <chartFormat chart="0" format="467">
      <pivotArea type="data" outline="0" fieldPosition="0">
        <references count="3">
          <reference field="4294967294" count="1" selected="0">
            <x v="0"/>
          </reference>
          <reference field="0" count="1" selected="0">
            <x v="5"/>
          </reference>
          <reference field="1" count="1" selected="0">
            <x v="42"/>
          </reference>
        </references>
      </pivotArea>
    </chartFormat>
    <chartFormat chart="0" format="468">
      <pivotArea type="data" outline="0" fieldPosition="0">
        <references count="3">
          <reference field="4294967294" count="1" selected="0">
            <x v="2"/>
          </reference>
          <reference field="0" count="1" selected="0">
            <x v="5"/>
          </reference>
          <reference field="1" count="1" selected="0">
            <x v="41"/>
          </reference>
        </references>
      </pivotArea>
    </chartFormat>
    <chartFormat chart="0" format="469">
      <pivotArea type="data" outline="0" fieldPosition="0">
        <references count="3">
          <reference field="4294967294" count="1" selected="0">
            <x v="2"/>
          </reference>
          <reference field="0" count="1" selected="0">
            <x v="5"/>
          </reference>
          <reference field="1" count="1" selected="0">
            <x v="42"/>
          </reference>
        </references>
      </pivotArea>
    </chartFormat>
    <chartFormat chart="0" format="470">
      <pivotArea type="data" outline="0" fieldPosition="0">
        <references count="3">
          <reference field="4294967294" count="1" selected="0">
            <x v="0"/>
          </reference>
          <reference field="0" count="1" selected="0">
            <x v="5"/>
          </reference>
          <reference field="1" count="1" selected="0">
            <x v="43"/>
          </reference>
        </references>
      </pivotArea>
    </chartFormat>
    <chartFormat chart="0" format="471">
      <pivotArea type="data" outline="0" fieldPosition="0">
        <references count="3">
          <reference field="4294967294" count="1" selected="0">
            <x v="0"/>
          </reference>
          <reference field="0" count="1" selected="0">
            <x v="5"/>
          </reference>
          <reference field="1" count="1" selected="0">
            <x v="44"/>
          </reference>
        </references>
      </pivotArea>
    </chartFormat>
    <chartFormat chart="0" format="472">
      <pivotArea type="data" outline="0" fieldPosition="0">
        <references count="3">
          <reference field="4294967294" count="1" selected="0">
            <x v="0"/>
          </reference>
          <reference field="0" count="1" selected="0">
            <x v="5"/>
          </reference>
          <reference field="1" count="1" selected="0">
            <x v="45"/>
          </reference>
        </references>
      </pivotArea>
    </chartFormat>
    <chartFormat chart="0" format="473">
      <pivotArea type="data" outline="0" fieldPosition="0">
        <references count="3">
          <reference field="4294967294" count="1" selected="0">
            <x v="0"/>
          </reference>
          <reference field="0" count="1" selected="0">
            <x v="5"/>
          </reference>
          <reference field="1" count="1" selected="0">
            <x v="46"/>
          </reference>
        </references>
      </pivotArea>
    </chartFormat>
    <chartFormat chart="0" format="474">
      <pivotArea type="data" outline="0" fieldPosition="0">
        <references count="3">
          <reference field="4294967294" count="1" selected="0">
            <x v="0"/>
          </reference>
          <reference field="0" count="1" selected="0">
            <x v="5"/>
          </reference>
          <reference field="1" count="1" selected="0">
            <x v="47"/>
          </reference>
        </references>
      </pivotArea>
    </chartFormat>
    <chartFormat chart="0" format="475">
      <pivotArea type="data" outline="0" fieldPosition="0">
        <references count="3">
          <reference field="4294967294" count="1" selected="0">
            <x v="0"/>
          </reference>
          <reference field="0" count="1" selected="0">
            <x v="5"/>
          </reference>
          <reference field="1" count="1" selected="0">
            <x v="48"/>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0"/>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2"/>
          </reference>
        </references>
      </pivotArea>
    </chartFormat>
    <chartFormat chart="0" format="480">
      <pivotArea type="data" outline="0" fieldPosition="0">
        <references count="3">
          <reference field="4294967294" count="1" selected="0">
            <x v="0"/>
          </reference>
          <reference field="0" count="1" selected="0">
            <x v="5"/>
          </reference>
          <reference field="1" count="1" selected="0">
            <x v="53"/>
          </reference>
        </references>
      </pivotArea>
    </chartFormat>
    <chartFormat chart="0" format="481">
      <pivotArea type="data" outline="0" fieldPosition="0">
        <references count="3">
          <reference field="4294967294" count="1" selected="0">
            <x v="0"/>
          </reference>
          <reference field="0" count="1" selected="0">
            <x v="5"/>
          </reference>
          <reference field="1" count="1" selected="0">
            <x v="54"/>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6"/>
          </reference>
        </references>
      </pivotArea>
    </chartFormat>
    <chartFormat chart="0" format="484">
      <pivotArea type="data" outline="0" fieldPosition="0">
        <references count="3">
          <reference field="4294967294" count="1" selected="0">
            <x v="2"/>
          </reference>
          <reference field="0" count="1" selected="0">
            <x v="5"/>
          </reference>
          <reference field="1" count="1" selected="0">
            <x v="43"/>
          </reference>
        </references>
      </pivotArea>
    </chartFormat>
    <chartFormat chart="0" format="485">
      <pivotArea type="data" outline="0" fieldPosition="0">
        <references count="3">
          <reference field="4294967294" count="1" selected="0">
            <x v="2"/>
          </reference>
          <reference field="0" count="1" selected="0">
            <x v="5"/>
          </reference>
          <reference field="1" count="1" selected="0">
            <x v="44"/>
          </reference>
        </references>
      </pivotArea>
    </chartFormat>
    <chartFormat chart="0" format="486">
      <pivotArea type="data" outline="0" fieldPosition="0">
        <references count="3">
          <reference field="4294967294" count="1" selected="0">
            <x v="2"/>
          </reference>
          <reference field="0" count="1" selected="0">
            <x v="5"/>
          </reference>
          <reference field="1" count="1" selected="0">
            <x v="45"/>
          </reference>
        </references>
      </pivotArea>
    </chartFormat>
    <chartFormat chart="0" format="487">
      <pivotArea type="data" outline="0" fieldPosition="0">
        <references count="3">
          <reference field="4294967294" count="1" selected="0">
            <x v="2"/>
          </reference>
          <reference field="0" count="1" selected="0">
            <x v="5"/>
          </reference>
          <reference field="1" count="1" selected="0">
            <x v="46"/>
          </reference>
        </references>
      </pivotArea>
    </chartFormat>
    <chartFormat chart="0" format="488">
      <pivotArea type="data" outline="0" fieldPosition="0">
        <references count="3">
          <reference field="4294967294" count="1" selected="0">
            <x v="2"/>
          </reference>
          <reference field="0" count="1" selected="0">
            <x v="5"/>
          </reference>
          <reference field="1" count="1" selected="0">
            <x v="47"/>
          </reference>
        </references>
      </pivotArea>
    </chartFormat>
    <chartFormat chart="0" format="489">
      <pivotArea type="data" outline="0" fieldPosition="0">
        <references count="3">
          <reference field="4294967294" count="1" selected="0">
            <x v="2"/>
          </reference>
          <reference field="0" count="1" selected="0">
            <x v="5"/>
          </reference>
          <reference field="1" count="1" selected="0">
            <x v="48"/>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0"/>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2"/>
          </reference>
        </references>
      </pivotArea>
    </chartFormat>
    <chartFormat chart="0" format="494">
      <pivotArea type="data" outline="0" fieldPosition="0">
        <references count="3">
          <reference field="4294967294" count="1" selected="0">
            <x v="2"/>
          </reference>
          <reference field="0" count="1" selected="0">
            <x v="5"/>
          </reference>
          <reference field="1" count="1" selected="0">
            <x v="53"/>
          </reference>
        </references>
      </pivotArea>
    </chartFormat>
    <chartFormat chart="0" format="495">
      <pivotArea type="data" outline="0" fieldPosition="0">
        <references count="3">
          <reference field="4294967294" count="1" selected="0">
            <x v="2"/>
          </reference>
          <reference field="0" count="1" selected="0">
            <x v="5"/>
          </reference>
          <reference field="1" count="1" selected="0">
            <x v="54"/>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6"/>
          </reference>
        </references>
      </pivotArea>
    </chartFormat>
    <chartFormat chart="0" format="498">
      <pivotArea type="data" outline="0" fieldPosition="0">
        <references count="3">
          <reference field="4294967294" count="1" selected="0">
            <x v="0"/>
          </reference>
          <reference field="0" count="1" selected="0">
            <x v="5"/>
          </reference>
          <reference field="1" count="1" selected="0">
            <x v="57"/>
          </reference>
        </references>
      </pivotArea>
    </chartFormat>
    <chartFormat chart="0" format="499">
      <pivotArea type="data" outline="0" fieldPosition="0">
        <references count="3">
          <reference field="4294967294" count="1" selected="0">
            <x v="0"/>
          </reference>
          <reference field="0" count="1" selected="0">
            <x v="5"/>
          </reference>
          <reference field="1" count="1" selected="0">
            <x v="58"/>
          </reference>
        </references>
      </pivotArea>
    </chartFormat>
    <chartFormat chart="0" format="500">
      <pivotArea type="data" outline="0" fieldPosition="0">
        <references count="3">
          <reference field="4294967294" count="1" selected="0">
            <x v="0"/>
          </reference>
          <reference field="0" count="1" selected="0">
            <x v="5"/>
          </reference>
          <reference field="1" count="1" selected="0">
            <x v="59"/>
          </reference>
        </references>
      </pivotArea>
    </chartFormat>
    <chartFormat chart="0" format="501">
      <pivotArea type="data" outline="0" fieldPosition="0">
        <references count="3">
          <reference field="4294967294" count="1" selected="0">
            <x v="0"/>
          </reference>
          <reference field="0" count="1" selected="0">
            <x v="5"/>
          </reference>
          <reference field="1" count="1" selected="0">
            <x v="60"/>
          </reference>
        </references>
      </pivotArea>
    </chartFormat>
    <chartFormat chart="0" format="502">
      <pivotArea type="data" outline="0" fieldPosition="0">
        <references count="3">
          <reference field="4294967294" count="1" selected="0">
            <x v="0"/>
          </reference>
          <reference field="0" count="1" selected="0">
            <x v="5"/>
          </reference>
          <reference field="1" count="1" selected="0">
            <x v="61"/>
          </reference>
        </references>
      </pivotArea>
    </chartFormat>
    <chartFormat chart="0" format="503">
      <pivotArea type="data" outline="0" fieldPosition="0">
        <references count="3">
          <reference field="4294967294" count="1" selected="0">
            <x v="0"/>
          </reference>
          <reference field="0" count="1" selected="0">
            <x v="5"/>
          </reference>
          <reference field="1" count="1" selected="0">
            <x v="62"/>
          </reference>
        </references>
      </pivotArea>
    </chartFormat>
    <chartFormat chart="0" format="504">
      <pivotArea type="data" outline="0" fieldPosition="0">
        <references count="3">
          <reference field="4294967294" count="1" selected="0">
            <x v="0"/>
          </reference>
          <reference field="0" count="1" selected="0">
            <x v="6"/>
          </reference>
          <reference field="1" count="1" selected="0">
            <x v="63"/>
          </reference>
        </references>
      </pivotArea>
    </chartFormat>
    <chartFormat chart="0" format="505">
      <pivotArea type="data" outline="0" fieldPosition="0">
        <references count="3">
          <reference field="4294967294" count="1" selected="0">
            <x v="0"/>
          </reference>
          <reference field="0" count="1" selected="0">
            <x v="6"/>
          </reference>
          <reference field="1" count="1" selected="0">
            <x v="64"/>
          </reference>
        </references>
      </pivotArea>
    </chartFormat>
    <chartFormat chart="0" format="506">
      <pivotArea type="data" outline="0" fieldPosition="0">
        <references count="3">
          <reference field="4294967294" count="1" selected="0">
            <x v="2"/>
          </reference>
          <reference field="0" count="1" selected="0">
            <x v="5"/>
          </reference>
          <reference field="1" count="1" selected="0">
            <x v="57"/>
          </reference>
        </references>
      </pivotArea>
    </chartFormat>
    <chartFormat chart="0" format="507">
      <pivotArea type="data" outline="0" fieldPosition="0">
        <references count="3">
          <reference field="4294967294" count="1" selected="0">
            <x v="2"/>
          </reference>
          <reference field="0" count="1" selected="0">
            <x v="5"/>
          </reference>
          <reference field="1" count="1" selected="0">
            <x v="58"/>
          </reference>
        </references>
      </pivotArea>
    </chartFormat>
    <chartFormat chart="0" format="508">
      <pivotArea type="data" outline="0" fieldPosition="0">
        <references count="3">
          <reference field="4294967294" count="1" selected="0">
            <x v="2"/>
          </reference>
          <reference field="0" count="1" selected="0">
            <x v="5"/>
          </reference>
          <reference field="1" count="1" selected="0">
            <x v="59"/>
          </reference>
        </references>
      </pivotArea>
    </chartFormat>
    <chartFormat chart="0" format="509">
      <pivotArea type="data" outline="0" fieldPosition="0">
        <references count="3">
          <reference field="4294967294" count="1" selected="0">
            <x v="2"/>
          </reference>
          <reference field="0" count="1" selected="0">
            <x v="5"/>
          </reference>
          <reference field="1" count="1" selected="0">
            <x v="60"/>
          </reference>
        </references>
      </pivotArea>
    </chartFormat>
    <chartFormat chart="0" format="510">
      <pivotArea type="data" outline="0" fieldPosition="0">
        <references count="3">
          <reference field="4294967294" count="1" selected="0">
            <x v="2"/>
          </reference>
          <reference field="0" count="1" selected="0">
            <x v="5"/>
          </reference>
          <reference field="1" count="1" selected="0">
            <x v="61"/>
          </reference>
        </references>
      </pivotArea>
    </chartFormat>
    <chartFormat chart="0" format="511">
      <pivotArea type="data" outline="0" fieldPosition="0">
        <references count="3">
          <reference field="4294967294" count="1" selected="0">
            <x v="2"/>
          </reference>
          <reference field="0" count="1" selected="0">
            <x v="5"/>
          </reference>
          <reference field="1" count="1" selected="0">
            <x v="62"/>
          </reference>
        </references>
      </pivotArea>
    </chartFormat>
    <chartFormat chart="0" format="512">
      <pivotArea type="data" outline="0" fieldPosition="0">
        <references count="3">
          <reference field="4294967294" count="1" selected="0">
            <x v="2"/>
          </reference>
          <reference field="0" count="1" selected="0">
            <x v="6"/>
          </reference>
          <reference field="1" count="1" selected="0">
            <x v="63"/>
          </reference>
        </references>
      </pivotArea>
    </chartFormat>
    <chartFormat chart="0" format="513">
      <pivotArea type="data" outline="0" fieldPosition="0">
        <references count="3">
          <reference field="4294967294" count="1" selected="0">
            <x v="2"/>
          </reference>
          <reference field="0" count="1" selected="0">
            <x v="6"/>
          </reference>
          <reference field="1" count="1" selected="0">
            <x v="64"/>
          </reference>
        </references>
      </pivotArea>
    </chartFormat>
    <chartFormat chart="0" format="514">
      <pivotArea type="data" outline="0" fieldPosition="0">
        <references count="3">
          <reference field="4294967294" count="1" selected="0">
            <x v="0"/>
          </reference>
          <reference field="0" count="1" selected="0">
            <x v="6"/>
          </reference>
          <reference field="1" count="1" selected="0">
            <x v="65"/>
          </reference>
        </references>
      </pivotArea>
    </chartFormat>
    <chartFormat chart="0" format="515">
      <pivotArea type="data" outline="0" fieldPosition="0">
        <references count="3">
          <reference field="4294967294" count="1" selected="0">
            <x v="0"/>
          </reference>
          <reference field="0" count="1" selected="0">
            <x v="6"/>
          </reference>
          <reference field="1" count="1" selected="0">
            <x v="66"/>
          </reference>
        </references>
      </pivotArea>
    </chartFormat>
    <chartFormat chart="0" format="516">
      <pivotArea type="data" outline="0" fieldPosition="0">
        <references count="3">
          <reference field="4294967294" count="1" selected="0">
            <x v="0"/>
          </reference>
          <reference field="0" count="1" selected="0">
            <x v="6"/>
          </reference>
          <reference field="1" count="1" selected="0">
            <x v="67"/>
          </reference>
        </references>
      </pivotArea>
    </chartFormat>
    <chartFormat chart="0" format="517">
      <pivotArea type="data" outline="0" fieldPosition="0">
        <references count="3">
          <reference field="4294967294" count="1" selected="0">
            <x v="0"/>
          </reference>
          <reference field="0" count="1" selected="0">
            <x v="6"/>
          </reference>
          <reference field="1" count="1" selected="0">
            <x v="68"/>
          </reference>
        </references>
      </pivotArea>
    </chartFormat>
    <chartFormat chart="0" format="518">
      <pivotArea type="data" outline="0" fieldPosition="0">
        <references count="3">
          <reference field="4294967294" count="1" selected="0">
            <x v="2"/>
          </reference>
          <reference field="0" count="1" selected="0">
            <x v="6"/>
          </reference>
          <reference field="1" count="1" selected="0">
            <x v="65"/>
          </reference>
        </references>
      </pivotArea>
    </chartFormat>
    <chartFormat chart="0" format="519">
      <pivotArea type="data" outline="0" fieldPosition="0">
        <references count="3">
          <reference field="4294967294" count="1" selected="0">
            <x v="2"/>
          </reference>
          <reference field="0" count="1" selected="0">
            <x v="6"/>
          </reference>
          <reference field="1" count="1" selected="0">
            <x v="66"/>
          </reference>
        </references>
      </pivotArea>
    </chartFormat>
    <chartFormat chart="0" format="520">
      <pivotArea type="data" outline="0" fieldPosition="0">
        <references count="3">
          <reference field="4294967294" count="1" selected="0">
            <x v="2"/>
          </reference>
          <reference field="0" count="1" selected="0">
            <x v="6"/>
          </reference>
          <reference field="1" count="1" selected="0">
            <x v="67"/>
          </reference>
        </references>
      </pivotArea>
    </chartFormat>
    <chartFormat chart="0" format="521">
      <pivotArea type="data" outline="0" fieldPosition="0">
        <references count="3">
          <reference field="4294967294" count="1" selected="0">
            <x v="2"/>
          </reference>
          <reference field="0" count="1" selected="0">
            <x v="6"/>
          </reference>
          <reference field="1" count="1" selected="0">
            <x v="68"/>
          </reference>
        </references>
      </pivotArea>
    </chartFormat>
    <chartFormat chart="0" format="522">
      <pivotArea type="data" outline="0" fieldPosition="0">
        <references count="3">
          <reference field="4294967294" count="1" selected="0">
            <x v="0"/>
          </reference>
          <reference field="0" count="1" selected="0">
            <x v="6"/>
          </reference>
          <reference field="1" count="1" selected="0">
            <x v="69"/>
          </reference>
        </references>
      </pivotArea>
    </chartFormat>
    <chartFormat chart="0" format="523">
      <pivotArea type="data" outline="0" fieldPosition="0">
        <references count="3">
          <reference field="4294967294" count="1" selected="0">
            <x v="0"/>
          </reference>
          <reference field="0" count="1" selected="0">
            <x v="6"/>
          </reference>
          <reference field="1" count="1" selected="0">
            <x v="70"/>
          </reference>
        </references>
      </pivotArea>
    </chartFormat>
    <chartFormat chart="0" format="524">
      <pivotArea type="data" outline="0" fieldPosition="0">
        <references count="3">
          <reference field="4294967294" count="1" selected="0">
            <x v="2"/>
          </reference>
          <reference field="0" count="1" selected="0">
            <x v="6"/>
          </reference>
          <reference field="1" count="1" selected="0">
            <x v="69"/>
          </reference>
        </references>
      </pivotArea>
    </chartFormat>
    <chartFormat chart="0" format="525">
      <pivotArea type="data" outline="0" fieldPosition="0">
        <references count="3">
          <reference field="4294967294" count="1" selected="0">
            <x v="2"/>
          </reference>
          <reference field="0" count="1" selected="0">
            <x v="6"/>
          </reference>
          <reference field="1" count="1" selected="0">
            <x v="70"/>
          </reference>
        </references>
      </pivotArea>
    </chartFormat>
    <chartFormat chart="0" format="526">
      <pivotArea type="data" outline="0" fieldPosition="0">
        <references count="3">
          <reference field="4294967294" count="1" selected="0">
            <x v="0"/>
          </reference>
          <reference field="0" count="1" selected="0">
            <x v="6"/>
          </reference>
          <reference field="1" count="1" selected="0">
            <x v="71"/>
          </reference>
        </references>
      </pivotArea>
    </chartFormat>
    <chartFormat chart="0" format="527">
      <pivotArea type="data" outline="0" fieldPosition="0">
        <references count="3">
          <reference field="4294967294" count="1" selected="0">
            <x v="0"/>
          </reference>
          <reference field="0" count="1" selected="0">
            <x v="6"/>
          </reference>
          <reference field="1" count="1" selected="0">
            <x v="72"/>
          </reference>
        </references>
      </pivotArea>
    </chartFormat>
    <chartFormat chart="0" format="528">
      <pivotArea type="data" outline="0" fieldPosition="0">
        <references count="3">
          <reference field="4294967294" count="1" selected="0">
            <x v="2"/>
          </reference>
          <reference field="0" count="1" selected="0">
            <x v="6"/>
          </reference>
          <reference field="1" count="1" selected="0">
            <x v="71"/>
          </reference>
        </references>
      </pivotArea>
    </chartFormat>
    <chartFormat chart="0" format="529">
      <pivotArea type="data" outline="0" fieldPosition="0">
        <references count="3">
          <reference field="4294967294" count="1" selected="0">
            <x v="2"/>
          </reference>
          <reference field="0" count="1" selected="0">
            <x v="6"/>
          </reference>
          <reference field="1" count="1" selected="0">
            <x v="72"/>
          </reference>
        </references>
      </pivotArea>
    </chartFormat>
    <chartFormat chart="0" format="530">
      <pivotArea type="data" outline="0" fieldPosition="0">
        <references count="3">
          <reference field="4294967294" count="1" selected="0">
            <x v="0"/>
          </reference>
          <reference field="0" count="1" selected="0">
            <x v="6"/>
          </reference>
          <reference field="1" count="1" selected="0">
            <x v="31"/>
          </reference>
        </references>
      </pivotArea>
    </chartFormat>
    <chartFormat chart="0" format="531">
      <pivotArea type="data" outline="0" fieldPosition="0">
        <references count="3">
          <reference field="4294967294" count="1" selected="0">
            <x v="0"/>
          </reference>
          <reference field="0" count="1" selected="0">
            <x v="6"/>
          </reference>
          <reference field="1" count="1" selected="0">
            <x v="32"/>
          </reference>
        </references>
      </pivotArea>
    </chartFormat>
    <chartFormat chart="0" format="532">
      <pivotArea type="data" outline="0" fieldPosition="0">
        <references count="3">
          <reference field="4294967294" count="1" selected="0">
            <x v="0"/>
          </reference>
          <reference field="0" count="1" selected="0">
            <x v="6"/>
          </reference>
          <reference field="1" count="1" selected="0">
            <x v="33"/>
          </reference>
        </references>
      </pivotArea>
    </chartFormat>
    <chartFormat chart="0" format="533">
      <pivotArea type="data" outline="0" fieldPosition="0">
        <references count="3">
          <reference field="4294967294" count="1" selected="0">
            <x v="0"/>
          </reference>
          <reference field="0" count="1" selected="0">
            <x v="6"/>
          </reference>
          <reference field="1" count="1" selected="0">
            <x v="34"/>
          </reference>
        </references>
      </pivotArea>
    </chartFormat>
    <chartFormat chart="0" format="534">
      <pivotArea type="data" outline="0" fieldPosition="0">
        <references count="3">
          <reference field="4294967294" count="1" selected="0">
            <x v="0"/>
          </reference>
          <reference field="0" count="1" selected="0">
            <x v="6"/>
          </reference>
          <reference field="1" count="1" selected="0">
            <x v="35"/>
          </reference>
        </references>
      </pivotArea>
    </chartFormat>
    <chartFormat chart="0" format="535">
      <pivotArea type="data" outline="0" fieldPosition="0">
        <references count="3">
          <reference field="4294967294" count="1" selected="0">
            <x v="0"/>
          </reference>
          <reference field="0" count="1" selected="0">
            <x v="6"/>
          </reference>
          <reference field="1" count="1" selected="0">
            <x v="36"/>
          </reference>
        </references>
      </pivotArea>
    </chartFormat>
    <chartFormat chart="0" format="536">
      <pivotArea type="data" outline="0" fieldPosition="0">
        <references count="3">
          <reference field="4294967294" count="1" selected="0">
            <x v="0"/>
          </reference>
          <reference field="0" count="1" selected="0">
            <x v="6"/>
          </reference>
          <reference field="1" count="1" selected="0">
            <x v="37"/>
          </reference>
        </references>
      </pivotArea>
    </chartFormat>
    <chartFormat chart="0" format="537">
      <pivotArea type="data" outline="0" fieldPosition="0">
        <references count="3">
          <reference field="4294967294" count="1" selected="0">
            <x v="0"/>
          </reference>
          <reference field="0" count="1" selected="0">
            <x v="6"/>
          </reference>
          <reference field="1" count="1" selected="0">
            <x v="38"/>
          </reference>
        </references>
      </pivotArea>
    </chartFormat>
    <chartFormat chart="0" format="538">
      <pivotArea type="data" outline="0" fieldPosition="0">
        <references count="3">
          <reference field="4294967294" count="1" selected="0">
            <x v="0"/>
          </reference>
          <reference field="0" count="1" selected="0">
            <x v="6"/>
          </reference>
          <reference field="1" count="1" selected="0">
            <x v="39"/>
          </reference>
        </references>
      </pivotArea>
    </chartFormat>
    <chartFormat chart="0" format="539">
      <pivotArea type="data" outline="0" fieldPosition="0">
        <references count="3">
          <reference field="4294967294" count="1" selected="0">
            <x v="0"/>
          </reference>
          <reference field="0" count="1" selected="0">
            <x v="6"/>
          </reference>
          <reference field="1" count="1" selected="0">
            <x v="40"/>
          </reference>
        </references>
      </pivotArea>
    </chartFormat>
    <chartFormat chart="0" format="540">
      <pivotArea type="data" outline="0" fieldPosition="0">
        <references count="3">
          <reference field="4294967294" count="1" selected="0">
            <x v="2"/>
          </reference>
          <reference field="0" count="1" selected="0">
            <x v="6"/>
          </reference>
          <reference field="1" count="1" selected="0">
            <x v="31"/>
          </reference>
        </references>
      </pivotArea>
    </chartFormat>
    <chartFormat chart="0" format="541">
      <pivotArea type="data" outline="0" fieldPosition="0">
        <references count="3">
          <reference field="4294967294" count="1" selected="0">
            <x v="2"/>
          </reference>
          <reference field="0" count="1" selected="0">
            <x v="6"/>
          </reference>
          <reference field="1" count="1" selected="0">
            <x v="32"/>
          </reference>
        </references>
      </pivotArea>
    </chartFormat>
    <chartFormat chart="0" format="542">
      <pivotArea type="data" outline="0" fieldPosition="0">
        <references count="3">
          <reference field="4294967294" count="1" selected="0">
            <x v="2"/>
          </reference>
          <reference field="0" count="1" selected="0">
            <x v="6"/>
          </reference>
          <reference field="1" count="1" selected="0">
            <x v="33"/>
          </reference>
        </references>
      </pivotArea>
    </chartFormat>
    <chartFormat chart="0" format="543">
      <pivotArea type="data" outline="0" fieldPosition="0">
        <references count="3">
          <reference field="4294967294" count="1" selected="0">
            <x v="2"/>
          </reference>
          <reference field="0" count="1" selected="0">
            <x v="6"/>
          </reference>
          <reference field="1" count="1" selected="0">
            <x v="34"/>
          </reference>
        </references>
      </pivotArea>
    </chartFormat>
    <chartFormat chart="0" format="544">
      <pivotArea type="data" outline="0" fieldPosition="0">
        <references count="3">
          <reference field="4294967294" count="1" selected="0">
            <x v="2"/>
          </reference>
          <reference field="0" count="1" selected="0">
            <x v="6"/>
          </reference>
          <reference field="1" count="1" selected="0">
            <x v="35"/>
          </reference>
        </references>
      </pivotArea>
    </chartFormat>
    <chartFormat chart="0" format="545">
      <pivotArea type="data" outline="0" fieldPosition="0">
        <references count="3">
          <reference field="4294967294" count="1" selected="0">
            <x v="2"/>
          </reference>
          <reference field="0" count="1" selected="0">
            <x v="6"/>
          </reference>
          <reference field="1" count="1" selected="0">
            <x v="36"/>
          </reference>
        </references>
      </pivotArea>
    </chartFormat>
    <chartFormat chart="0" format="546">
      <pivotArea type="data" outline="0" fieldPosition="0">
        <references count="3">
          <reference field="4294967294" count="1" selected="0">
            <x v="2"/>
          </reference>
          <reference field="0" count="1" selected="0">
            <x v="6"/>
          </reference>
          <reference field="1" count="1" selected="0">
            <x v="37"/>
          </reference>
        </references>
      </pivotArea>
    </chartFormat>
    <chartFormat chart="0" format="547">
      <pivotArea type="data" outline="0" fieldPosition="0">
        <references count="3">
          <reference field="4294967294" count="1" selected="0">
            <x v="2"/>
          </reference>
          <reference field="0" count="1" selected="0">
            <x v="6"/>
          </reference>
          <reference field="1" count="1" selected="0">
            <x v="38"/>
          </reference>
        </references>
      </pivotArea>
    </chartFormat>
    <chartFormat chart="0" format="548">
      <pivotArea type="data" outline="0" fieldPosition="0">
        <references count="3">
          <reference field="4294967294" count="1" selected="0">
            <x v="2"/>
          </reference>
          <reference field="0" count="1" selected="0">
            <x v="6"/>
          </reference>
          <reference field="1" count="1" selected="0">
            <x v="39"/>
          </reference>
        </references>
      </pivotArea>
    </chartFormat>
    <chartFormat chart="0" format="549">
      <pivotArea type="data" outline="0" fieldPosition="0">
        <references count="3">
          <reference field="4294967294" count="1" selected="0">
            <x v="2"/>
          </reference>
          <reference field="0" count="1" selected="0">
            <x v="6"/>
          </reference>
          <reference field="1" count="1" selected="0">
            <x v="40"/>
          </reference>
        </references>
      </pivotArea>
    </chartFormat>
    <chartFormat chart="0" format="550">
      <pivotArea type="data" outline="0" fieldPosition="0">
        <references count="3">
          <reference field="4294967294" count="1" selected="0">
            <x v="0"/>
          </reference>
          <reference field="0" count="1" selected="0">
            <x v="6"/>
          </reference>
          <reference field="1" count="1" selected="0">
            <x v="41"/>
          </reference>
        </references>
      </pivotArea>
    </chartFormat>
    <chartFormat chart="0" format="551">
      <pivotArea type="data" outline="0" fieldPosition="0">
        <references count="3">
          <reference field="4294967294" count="1" selected="0">
            <x v="0"/>
          </reference>
          <reference field="0" count="1" selected="0">
            <x v="6"/>
          </reference>
          <reference field="1" count="1" selected="0">
            <x v="42"/>
          </reference>
        </references>
      </pivotArea>
    </chartFormat>
    <chartFormat chart="0" format="552">
      <pivotArea type="data" outline="0" fieldPosition="0">
        <references count="3">
          <reference field="4294967294" count="1" selected="0">
            <x v="0"/>
          </reference>
          <reference field="0" count="1" selected="0">
            <x v="6"/>
          </reference>
          <reference field="1" count="1" selected="0">
            <x v="43"/>
          </reference>
        </references>
      </pivotArea>
    </chartFormat>
    <chartFormat chart="0" format="553">
      <pivotArea type="data" outline="0" fieldPosition="0">
        <references count="3">
          <reference field="4294967294" count="1" selected="0">
            <x v="0"/>
          </reference>
          <reference field="0" count="1" selected="0">
            <x v="6"/>
          </reference>
          <reference field="1" count="1" selected="0">
            <x v="44"/>
          </reference>
        </references>
      </pivotArea>
    </chartFormat>
    <chartFormat chart="0" format="554">
      <pivotArea type="data" outline="0" fieldPosition="0">
        <references count="3">
          <reference field="4294967294" count="1" selected="0">
            <x v="0"/>
          </reference>
          <reference field="0" count="1" selected="0">
            <x v="6"/>
          </reference>
          <reference field="1" count="1" selected="0">
            <x v="45"/>
          </reference>
        </references>
      </pivotArea>
    </chartFormat>
    <chartFormat chart="0" format="555">
      <pivotArea type="data" outline="0" fieldPosition="0">
        <references count="3">
          <reference field="4294967294" count="1" selected="0">
            <x v="0"/>
          </reference>
          <reference field="0" count="1" selected="0">
            <x v="6"/>
          </reference>
          <reference field="1" count="1" selected="0">
            <x v="46"/>
          </reference>
        </references>
      </pivotArea>
    </chartFormat>
    <chartFormat chart="0" format="556">
      <pivotArea type="data" outline="0" fieldPosition="0">
        <references count="3">
          <reference field="4294967294" count="1" selected="0">
            <x v="0"/>
          </reference>
          <reference field="0" count="1" selected="0">
            <x v="6"/>
          </reference>
          <reference field="1" count="1" selected="0">
            <x v="47"/>
          </reference>
        </references>
      </pivotArea>
    </chartFormat>
    <chartFormat chart="0" format="557">
      <pivotArea type="data" outline="0" fieldPosition="0">
        <references count="3">
          <reference field="4294967294" count="1" selected="0">
            <x v="0"/>
          </reference>
          <reference field="0" count="1" selected="0">
            <x v="6"/>
          </reference>
          <reference field="1" count="1" selected="0">
            <x v="48"/>
          </reference>
        </references>
      </pivotArea>
    </chartFormat>
    <chartFormat chart="0" format="558">
      <pivotArea type="data" outline="0" fieldPosition="0">
        <references count="3">
          <reference field="4294967294" count="1" selected="0">
            <x v="0"/>
          </reference>
          <reference field="0" count="1" selected="0">
            <x v="6"/>
          </reference>
          <reference field="1" count="1" selected="0">
            <x v="49"/>
          </reference>
        </references>
      </pivotArea>
    </chartFormat>
    <chartFormat chart="0" format="559">
      <pivotArea type="data" outline="0" fieldPosition="0">
        <references count="3">
          <reference field="4294967294" count="1" selected="0">
            <x v="0"/>
          </reference>
          <reference field="0" count="1" selected="0">
            <x v="6"/>
          </reference>
          <reference field="1" count="1" selected="0">
            <x v="50"/>
          </reference>
        </references>
      </pivotArea>
    </chartFormat>
    <chartFormat chart="0" format="560">
      <pivotArea type="data" outline="0" fieldPosition="0">
        <references count="3">
          <reference field="4294967294" count="1" selected="0">
            <x v="0"/>
          </reference>
          <reference field="0" count="1" selected="0">
            <x v="6"/>
          </reference>
          <reference field="1" count="1" selected="0">
            <x v="51"/>
          </reference>
        </references>
      </pivotArea>
    </chartFormat>
    <chartFormat chart="0" format="561">
      <pivotArea type="data" outline="0" fieldPosition="0">
        <references count="3">
          <reference field="4294967294" count="1" selected="0">
            <x v="0"/>
          </reference>
          <reference field="0" count="1" selected="0">
            <x v="6"/>
          </reference>
          <reference field="1" count="1" selected="0">
            <x v="52"/>
          </reference>
        </references>
      </pivotArea>
    </chartFormat>
    <chartFormat chart="0" format="562">
      <pivotArea type="data" outline="0" fieldPosition="0">
        <references count="3">
          <reference field="4294967294" count="1" selected="0">
            <x v="0"/>
          </reference>
          <reference field="0" count="1" selected="0">
            <x v="6"/>
          </reference>
          <reference field="1" count="1" selected="0">
            <x v="53"/>
          </reference>
        </references>
      </pivotArea>
    </chartFormat>
    <chartFormat chart="0" format="563">
      <pivotArea type="data" outline="0" fieldPosition="0">
        <references count="3">
          <reference field="4294967294" count="1" selected="0">
            <x v="0"/>
          </reference>
          <reference field="0" count="1" selected="0">
            <x v="6"/>
          </reference>
          <reference field="1" count="1" selected="0">
            <x v="54"/>
          </reference>
        </references>
      </pivotArea>
    </chartFormat>
    <chartFormat chart="0" format="564">
      <pivotArea type="data" outline="0" fieldPosition="0">
        <references count="3">
          <reference field="4294967294" count="1" selected="0">
            <x v="0"/>
          </reference>
          <reference field="0" count="1" selected="0">
            <x v="6"/>
          </reference>
          <reference field="1" count="1" selected="0">
            <x v="55"/>
          </reference>
        </references>
      </pivotArea>
    </chartFormat>
    <chartFormat chart="0" format="565">
      <pivotArea type="data" outline="0" fieldPosition="0">
        <references count="3">
          <reference field="4294967294" count="1" selected="0">
            <x v="0"/>
          </reference>
          <reference field="0" count="1" selected="0">
            <x v="6"/>
          </reference>
          <reference field="1" count="1" selected="0">
            <x v="56"/>
          </reference>
        </references>
      </pivotArea>
    </chartFormat>
    <chartFormat chart="0" format="566">
      <pivotArea type="data" outline="0" fieldPosition="0">
        <references count="3">
          <reference field="4294967294" count="1" selected="0">
            <x v="0"/>
          </reference>
          <reference field="0" count="1" selected="0">
            <x v="6"/>
          </reference>
          <reference field="1" count="1" selected="0">
            <x v="57"/>
          </reference>
        </references>
      </pivotArea>
    </chartFormat>
    <chartFormat chart="0" format="567">
      <pivotArea type="data" outline="0" fieldPosition="0">
        <references count="3">
          <reference field="4294967294" count="1" selected="0">
            <x v="0"/>
          </reference>
          <reference field="0" count="1" selected="0">
            <x v="6"/>
          </reference>
          <reference field="1" count="1" selected="0">
            <x v="58"/>
          </reference>
        </references>
      </pivotArea>
    </chartFormat>
    <chartFormat chart="0" format="568">
      <pivotArea type="data" outline="0" fieldPosition="0">
        <references count="3">
          <reference field="4294967294" count="1" selected="0">
            <x v="0"/>
          </reference>
          <reference field="0" count="1" selected="0">
            <x v="6"/>
          </reference>
          <reference field="1" count="1" selected="0">
            <x v="59"/>
          </reference>
        </references>
      </pivotArea>
    </chartFormat>
    <chartFormat chart="0" format="569">
      <pivotArea type="data" outline="0" fieldPosition="0">
        <references count="3">
          <reference field="4294967294" count="1" selected="0">
            <x v="0"/>
          </reference>
          <reference field="0" count="1" selected="0">
            <x v="6"/>
          </reference>
          <reference field="1" count="1" selected="0">
            <x v="60"/>
          </reference>
        </references>
      </pivotArea>
    </chartFormat>
    <chartFormat chart="0" format="570">
      <pivotArea type="data" outline="0" fieldPosition="0">
        <references count="3">
          <reference field="4294967294" count="1" selected="0">
            <x v="0"/>
          </reference>
          <reference field="0" count="1" selected="0">
            <x v="6"/>
          </reference>
          <reference field="1" count="1" selected="0">
            <x v="61"/>
          </reference>
        </references>
      </pivotArea>
    </chartFormat>
    <chartFormat chart="0" format="571">
      <pivotArea type="data" outline="0" fieldPosition="0">
        <references count="3">
          <reference field="4294967294" count="1" selected="0">
            <x v="0"/>
          </reference>
          <reference field="0" count="1" selected="0">
            <x v="6"/>
          </reference>
          <reference field="1" count="1" selected="0">
            <x v="62"/>
          </reference>
        </references>
      </pivotArea>
    </chartFormat>
    <chartFormat chart="0" format="572">
      <pivotArea type="data" outline="0" fieldPosition="0">
        <references count="3">
          <reference field="4294967294" count="1" selected="0">
            <x v="0"/>
          </reference>
          <reference field="0" count="1" selected="0">
            <x v="6"/>
          </reference>
          <reference field="1" count="1" selected="0">
            <x v="73"/>
          </reference>
        </references>
      </pivotArea>
    </chartFormat>
    <chartFormat chart="0" format="573">
      <pivotArea type="data" outline="0" fieldPosition="0">
        <references count="3">
          <reference field="4294967294" count="1" selected="0">
            <x v="0"/>
          </reference>
          <reference field="0" count="1" selected="0">
            <x v="6"/>
          </reference>
          <reference field="1" count="1" selected="0">
            <x v="74"/>
          </reference>
        </references>
      </pivotArea>
    </chartFormat>
    <chartFormat chart="0" format="574">
      <pivotArea type="data" outline="0" fieldPosition="0">
        <references count="3">
          <reference field="4294967294" count="1" selected="0">
            <x v="0"/>
          </reference>
          <reference field="0" count="1" selected="0">
            <x v="6"/>
          </reference>
          <reference field="1" count="1" selected="0">
            <x v="75"/>
          </reference>
        </references>
      </pivotArea>
    </chartFormat>
    <chartFormat chart="0" format="575">
      <pivotArea type="data" outline="0" fieldPosition="0">
        <references count="3">
          <reference field="4294967294" count="1" selected="0">
            <x v="0"/>
          </reference>
          <reference field="0" count="1" selected="0">
            <x v="6"/>
          </reference>
          <reference field="1" count="1" selected="0">
            <x v="76"/>
          </reference>
        </references>
      </pivotArea>
    </chartFormat>
    <chartFormat chart="0" format="576">
      <pivotArea type="data" outline="0" fieldPosition="0">
        <references count="3">
          <reference field="4294967294" count="1" selected="0">
            <x v="0"/>
          </reference>
          <reference field="0" count="1" selected="0">
            <x v="6"/>
          </reference>
          <reference field="1" count="1" selected="0">
            <x v="77"/>
          </reference>
        </references>
      </pivotArea>
    </chartFormat>
    <chartFormat chart="0" format="577">
      <pivotArea type="data" outline="0" fieldPosition="0">
        <references count="3">
          <reference field="4294967294" count="1" selected="0">
            <x v="0"/>
          </reference>
          <reference field="0" count="1" selected="0">
            <x v="6"/>
          </reference>
          <reference field="1" count="1" selected="0">
            <x v="78"/>
          </reference>
        </references>
      </pivotArea>
    </chartFormat>
    <chartFormat chart="0" format="578">
      <pivotArea type="data" outline="0" fieldPosition="0">
        <references count="3">
          <reference field="4294967294" count="1" selected="0">
            <x v="0"/>
          </reference>
          <reference field="0" count="1" selected="0">
            <x v="7"/>
          </reference>
          <reference field="1" count="1" selected="0">
            <x v="31"/>
          </reference>
        </references>
      </pivotArea>
    </chartFormat>
    <chartFormat chart="0" format="579">
      <pivotArea type="data" outline="0" fieldPosition="0">
        <references count="3">
          <reference field="4294967294" count="1" selected="0">
            <x v="0"/>
          </reference>
          <reference field="0" count="1" selected="0">
            <x v="7"/>
          </reference>
          <reference field="1" count="1" selected="0">
            <x v="32"/>
          </reference>
        </references>
      </pivotArea>
    </chartFormat>
    <chartFormat chart="0" format="580">
      <pivotArea type="data" outline="0" fieldPosition="0">
        <references count="3">
          <reference field="4294967294" count="1" selected="0">
            <x v="0"/>
          </reference>
          <reference field="0" count="1" selected="0">
            <x v="7"/>
          </reference>
          <reference field="1" count="1" selected="0">
            <x v="33"/>
          </reference>
        </references>
      </pivotArea>
    </chartFormat>
    <chartFormat chart="0" format="581">
      <pivotArea type="data" outline="0" fieldPosition="0">
        <references count="3">
          <reference field="4294967294" count="1" selected="0">
            <x v="0"/>
          </reference>
          <reference field="0" count="1" selected="0">
            <x v="7"/>
          </reference>
          <reference field="1" count="1" selected="0">
            <x v="34"/>
          </reference>
        </references>
      </pivotArea>
    </chartFormat>
    <chartFormat chart="0" format="582">
      <pivotArea type="data" outline="0" fieldPosition="0">
        <references count="3">
          <reference field="4294967294" count="1" selected="0">
            <x v="0"/>
          </reference>
          <reference field="0" count="1" selected="0">
            <x v="7"/>
          </reference>
          <reference field="1" count="1" selected="0">
            <x v="35"/>
          </reference>
        </references>
      </pivotArea>
    </chartFormat>
    <chartFormat chart="0" format="583">
      <pivotArea type="data" outline="0" fieldPosition="0">
        <references count="3">
          <reference field="4294967294" count="1" selected="0">
            <x v="0"/>
          </reference>
          <reference field="0" count="1" selected="0">
            <x v="7"/>
          </reference>
          <reference field="1" count="1" selected="0">
            <x v="36"/>
          </reference>
        </references>
      </pivotArea>
    </chartFormat>
    <chartFormat chart="0" format="584">
      <pivotArea type="data" outline="0" fieldPosition="0">
        <references count="3">
          <reference field="4294967294" count="1" selected="0">
            <x v="0"/>
          </reference>
          <reference field="0" count="1" selected="0">
            <x v="7"/>
          </reference>
          <reference field="1" count="1" selected="0">
            <x v="37"/>
          </reference>
        </references>
      </pivotArea>
    </chartFormat>
    <chartFormat chart="0" format="585">
      <pivotArea type="data" outline="0" fieldPosition="0">
        <references count="3">
          <reference field="4294967294" count="1" selected="0">
            <x v="0"/>
          </reference>
          <reference field="0" count="1" selected="0">
            <x v="7"/>
          </reference>
          <reference field="1" count="1" selected="0">
            <x v="38"/>
          </reference>
        </references>
      </pivotArea>
    </chartFormat>
    <chartFormat chart="0" format="586">
      <pivotArea type="data" outline="0" fieldPosition="0">
        <references count="3">
          <reference field="4294967294" count="1" selected="0">
            <x v="0"/>
          </reference>
          <reference field="0" count="1" selected="0">
            <x v="7"/>
          </reference>
          <reference field="1" count="1" selected="0">
            <x v="39"/>
          </reference>
        </references>
      </pivotArea>
    </chartFormat>
    <chartFormat chart="0" format="587">
      <pivotArea type="data" outline="0" fieldPosition="0">
        <references count="3">
          <reference field="4294967294" count="1" selected="0">
            <x v="0"/>
          </reference>
          <reference field="0" count="1" selected="0">
            <x v="7"/>
          </reference>
          <reference field="1" count="1" selected="0">
            <x v="40"/>
          </reference>
        </references>
      </pivotArea>
    </chartFormat>
    <chartFormat chart="0" format="588">
      <pivotArea type="data" outline="0" fieldPosition="0">
        <references count="3">
          <reference field="4294967294" count="1" selected="0">
            <x v="0"/>
          </reference>
          <reference field="0" count="1" selected="0">
            <x v="7"/>
          </reference>
          <reference field="1" count="1" selected="0">
            <x v="41"/>
          </reference>
        </references>
      </pivotArea>
    </chartFormat>
    <chartFormat chart="0" format="589">
      <pivotArea type="data" outline="0" fieldPosition="0">
        <references count="3">
          <reference field="4294967294" count="1" selected="0">
            <x v="0"/>
          </reference>
          <reference field="0" count="1" selected="0">
            <x v="7"/>
          </reference>
          <reference field="1" count="1" selected="0">
            <x v="42"/>
          </reference>
        </references>
      </pivotArea>
    </chartFormat>
    <chartFormat chart="0" format="590">
      <pivotArea type="data" outline="0" fieldPosition="0">
        <references count="3">
          <reference field="4294967294" count="1" selected="0">
            <x v="0"/>
          </reference>
          <reference field="0" count="1" selected="0">
            <x v="7"/>
          </reference>
          <reference field="1" count="1" selected="0">
            <x v="43"/>
          </reference>
        </references>
      </pivotArea>
    </chartFormat>
    <chartFormat chart="0" format="591">
      <pivotArea type="data" outline="0" fieldPosition="0">
        <references count="3">
          <reference field="4294967294" count="1" selected="0">
            <x v="0"/>
          </reference>
          <reference field="0" count="1" selected="0">
            <x v="7"/>
          </reference>
          <reference field="1" count="1" selected="0">
            <x v="44"/>
          </reference>
        </references>
      </pivotArea>
    </chartFormat>
    <chartFormat chart="0" format="592">
      <pivotArea type="data" outline="0" fieldPosition="0">
        <references count="3">
          <reference field="4294967294" count="1" selected="0">
            <x v="0"/>
          </reference>
          <reference field="0" count="1" selected="0">
            <x v="7"/>
          </reference>
          <reference field="1" count="1" selected="0">
            <x v="45"/>
          </reference>
        </references>
      </pivotArea>
    </chartFormat>
    <chartFormat chart="0" format="593">
      <pivotArea type="data" outline="0" fieldPosition="0">
        <references count="3">
          <reference field="4294967294" count="1" selected="0">
            <x v="0"/>
          </reference>
          <reference field="0" count="1" selected="0">
            <x v="7"/>
          </reference>
          <reference field="1" count="1" selected="0">
            <x v="46"/>
          </reference>
        </references>
      </pivotArea>
    </chartFormat>
    <chartFormat chart="0" format="594">
      <pivotArea type="data" outline="0" fieldPosition="0">
        <references count="3">
          <reference field="4294967294" count="1" selected="0">
            <x v="0"/>
          </reference>
          <reference field="0" count="1" selected="0">
            <x v="7"/>
          </reference>
          <reference field="1" count="1" selected="0">
            <x v="47"/>
          </reference>
        </references>
      </pivotArea>
    </chartFormat>
    <chartFormat chart="0" format="595">
      <pivotArea type="data" outline="0" fieldPosition="0">
        <references count="3">
          <reference field="4294967294" count="1" selected="0">
            <x v="0"/>
          </reference>
          <reference field="0" count="1" selected="0">
            <x v="7"/>
          </reference>
          <reference field="1" count="1" selected="0">
            <x v="48"/>
          </reference>
        </references>
      </pivotArea>
    </chartFormat>
    <chartFormat chart="0" format="596">
      <pivotArea type="data" outline="0" fieldPosition="0">
        <references count="3">
          <reference field="4294967294" count="1" selected="0">
            <x v="0"/>
          </reference>
          <reference field="0" count="1" selected="0">
            <x v="7"/>
          </reference>
          <reference field="1" count="1" selected="0">
            <x v="49"/>
          </reference>
        </references>
      </pivotArea>
    </chartFormat>
    <chartFormat chart="0" format="597">
      <pivotArea type="data" outline="0" fieldPosition="0">
        <references count="3">
          <reference field="4294967294" count="1" selected="0">
            <x v="0"/>
          </reference>
          <reference field="0" count="1" selected="0">
            <x v="7"/>
          </reference>
          <reference field="1" count="1" selected="0">
            <x v="50"/>
          </reference>
        </references>
      </pivotArea>
    </chartFormat>
    <chartFormat chart="0" format="598">
      <pivotArea type="data" outline="0" fieldPosition="0">
        <references count="3">
          <reference field="4294967294" count="1" selected="0">
            <x v="0"/>
          </reference>
          <reference field="0" count="1" selected="0">
            <x v="7"/>
          </reference>
          <reference field="1" count="1" selected="0">
            <x v="51"/>
          </reference>
        </references>
      </pivotArea>
    </chartFormat>
    <chartFormat chart="0" format="599">
      <pivotArea type="data" outline="0" fieldPosition="0">
        <references count="3">
          <reference field="4294967294" count="1" selected="0">
            <x v="0"/>
          </reference>
          <reference field="0" count="1" selected="0">
            <x v="7"/>
          </reference>
          <reference field="1" count="1" selected="0">
            <x v="52"/>
          </reference>
        </references>
      </pivotArea>
    </chartFormat>
    <chartFormat chart="0" format="600">
      <pivotArea type="data" outline="0" fieldPosition="0">
        <references count="3">
          <reference field="4294967294" count="1" selected="0">
            <x v="0"/>
          </reference>
          <reference field="0" count="1" selected="0">
            <x v="7"/>
          </reference>
          <reference field="1" count="1" selected="0">
            <x v="53"/>
          </reference>
        </references>
      </pivotArea>
    </chartFormat>
    <chartFormat chart="0" format="601">
      <pivotArea type="data" outline="0" fieldPosition="0">
        <references count="3">
          <reference field="4294967294" count="1" selected="0">
            <x v="0"/>
          </reference>
          <reference field="0" count="1" selected="0">
            <x v="7"/>
          </reference>
          <reference field="1" count="1" selected="0">
            <x v="54"/>
          </reference>
        </references>
      </pivotArea>
    </chartFormat>
    <chartFormat chart="0" format="602">
      <pivotArea type="data" outline="0" fieldPosition="0">
        <references count="3">
          <reference field="4294967294" count="1" selected="0">
            <x v="0"/>
          </reference>
          <reference field="0" count="1" selected="0">
            <x v="7"/>
          </reference>
          <reference field="1" count="1" selected="0">
            <x v="55"/>
          </reference>
        </references>
      </pivotArea>
    </chartFormat>
    <chartFormat chart="0" format="603">
      <pivotArea type="data" outline="0" fieldPosition="0">
        <references count="3">
          <reference field="4294967294" count="1" selected="0">
            <x v="0"/>
          </reference>
          <reference field="0" count="1" selected="0">
            <x v="7"/>
          </reference>
          <reference field="1" count="1" selected="0">
            <x v="56"/>
          </reference>
        </references>
      </pivotArea>
    </chartFormat>
    <chartFormat chart="0" format="604">
      <pivotArea type="data" outline="0" fieldPosition="0">
        <references count="3">
          <reference field="4294967294" count="1" selected="0">
            <x v="0"/>
          </reference>
          <reference field="0" count="1" selected="0">
            <x v="7"/>
          </reference>
          <reference field="1" count="1" selected="0">
            <x v="57"/>
          </reference>
        </references>
      </pivotArea>
    </chartFormat>
    <chartFormat chart="0" format="605">
      <pivotArea type="data" outline="0" fieldPosition="0">
        <references count="3">
          <reference field="4294967294" count="1" selected="0">
            <x v="0"/>
          </reference>
          <reference field="0" count="1" selected="0">
            <x v="7"/>
          </reference>
          <reference field="1" count="1" selected="0">
            <x v="58"/>
          </reference>
        </references>
      </pivotArea>
    </chartFormat>
    <chartFormat chart="0" format="606">
      <pivotArea type="data" outline="0" fieldPosition="0">
        <references count="3">
          <reference field="4294967294" count="1" selected="0">
            <x v="0"/>
          </reference>
          <reference field="0" count="1" selected="0">
            <x v="7"/>
          </reference>
          <reference field="1" count="1" selected="0">
            <x v="59"/>
          </reference>
        </references>
      </pivotArea>
    </chartFormat>
    <chartFormat chart="0" format="607">
      <pivotArea type="data" outline="0" fieldPosition="0">
        <references count="3">
          <reference field="4294967294" count="1" selected="0">
            <x v="0"/>
          </reference>
          <reference field="0" count="1" selected="0">
            <x v="7"/>
          </reference>
          <reference field="1" count="1" selected="0">
            <x v="60"/>
          </reference>
        </references>
      </pivotArea>
    </chartFormat>
    <chartFormat chart="0" format="608">
      <pivotArea type="data" outline="0" fieldPosition="0">
        <references count="3">
          <reference field="4294967294" count="1" selected="0">
            <x v="0"/>
          </reference>
          <reference field="0" count="1" selected="0">
            <x v="7"/>
          </reference>
          <reference field="1" count="1" selected="0">
            <x v="61"/>
          </reference>
        </references>
      </pivotArea>
    </chartFormat>
    <chartFormat chart="0" format="609">
      <pivotArea type="data" outline="0" fieldPosition="0">
        <references count="3">
          <reference field="4294967294" count="1" selected="0">
            <x v="0"/>
          </reference>
          <reference field="0" count="1" selected="0">
            <x v="7"/>
          </reference>
          <reference field="1" count="1" selected="0">
            <x v="62"/>
          </reference>
        </references>
      </pivotArea>
    </chartFormat>
    <chartFormat chart="0" format="610">
      <pivotArea type="data" outline="0" fieldPosition="0">
        <references count="3">
          <reference field="4294967294" count="1" selected="0">
            <x v="0"/>
          </reference>
          <reference field="0" count="1" selected="0">
            <x v="7"/>
          </reference>
          <reference field="1" count="1" selected="0">
            <x v="63"/>
          </reference>
        </references>
      </pivotArea>
    </chartFormat>
    <chartFormat chart="0" format="611">
      <pivotArea type="data" outline="0" fieldPosition="0">
        <references count="3">
          <reference field="4294967294" count="1" selected="0">
            <x v="0"/>
          </reference>
          <reference field="0" count="1" selected="0">
            <x v="7"/>
          </reference>
          <reference field="1" count="1" selected="0">
            <x v="64"/>
          </reference>
        </references>
      </pivotArea>
    </chartFormat>
    <chartFormat chart="0" format="612">
      <pivotArea type="data" outline="0" fieldPosition="0">
        <references count="3">
          <reference field="4294967294" count="1" selected="0">
            <x v="0"/>
          </reference>
          <reference field="0" count="1" selected="0">
            <x v="7"/>
          </reference>
          <reference field="1" count="1" selected="0">
            <x v="65"/>
          </reference>
        </references>
      </pivotArea>
    </chartFormat>
    <chartFormat chart="0" format="613">
      <pivotArea type="data" outline="0" fieldPosition="0">
        <references count="3">
          <reference field="4294967294" count="1" selected="0">
            <x v="0"/>
          </reference>
          <reference field="0" count="1" selected="0">
            <x v="7"/>
          </reference>
          <reference field="1" count="1" selected="0">
            <x v="66"/>
          </reference>
        </references>
      </pivotArea>
    </chartFormat>
    <chartFormat chart="0" format="614">
      <pivotArea type="data" outline="0" fieldPosition="0">
        <references count="3">
          <reference field="4294967294" count="1" selected="0">
            <x v="0"/>
          </reference>
          <reference field="0" count="1" selected="0">
            <x v="7"/>
          </reference>
          <reference field="1" count="1" selected="0">
            <x v="67"/>
          </reference>
        </references>
      </pivotArea>
    </chartFormat>
    <chartFormat chart="0" format="615">
      <pivotArea type="data" outline="0" fieldPosition="0">
        <references count="3">
          <reference field="4294967294" count="1" selected="0">
            <x v="0"/>
          </reference>
          <reference field="0" count="1" selected="0">
            <x v="7"/>
          </reference>
          <reference field="1" count="1" selected="0">
            <x v="68"/>
          </reference>
        </references>
      </pivotArea>
    </chartFormat>
    <chartFormat chart="0" format="616">
      <pivotArea type="data" outline="0" fieldPosition="0">
        <references count="3">
          <reference field="4294967294" count="1" selected="0">
            <x v="0"/>
          </reference>
          <reference field="0" count="1" selected="0">
            <x v="7"/>
          </reference>
          <reference field="1" count="1" selected="0">
            <x v="69"/>
          </reference>
        </references>
      </pivotArea>
    </chartFormat>
    <chartFormat chart="0" format="617">
      <pivotArea type="data" outline="0" fieldPosition="0">
        <references count="3">
          <reference field="4294967294" count="1" selected="0">
            <x v="0"/>
          </reference>
          <reference field="0" count="1" selected="0">
            <x v="7"/>
          </reference>
          <reference field="1" count="1" selected="0">
            <x v="70"/>
          </reference>
        </references>
      </pivotArea>
    </chartFormat>
    <chartFormat chart="0" format="618">
      <pivotArea type="data" outline="0" fieldPosition="0">
        <references count="3">
          <reference field="4294967294" count="1" selected="0">
            <x v="0"/>
          </reference>
          <reference field="0" count="1" selected="0">
            <x v="7"/>
          </reference>
          <reference field="1" count="1" selected="0">
            <x v="71"/>
          </reference>
        </references>
      </pivotArea>
    </chartFormat>
    <chartFormat chart="0" format="619">
      <pivotArea type="data" outline="0" fieldPosition="0">
        <references count="3">
          <reference field="4294967294" count="1" selected="0">
            <x v="0"/>
          </reference>
          <reference field="0" count="1" selected="0">
            <x v="7"/>
          </reference>
          <reference field="1" count="1" selected="0">
            <x v="72"/>
          </reference>
        </references>
      </pivotArea>
    </chartFormat>
    <chartFormat chart="0" format="620">
      <pivotArea type="data" outline="0" fieldPosition="0">
        <references count="3">
          <reference field="4294967294" count="1" selected="0">
            <x v="0"/>
          </reference>
          <reference field="0" count="1" selected="0">
            <x v="7"/>
          </reference>
          <reference field="1" count="1" selected="0">
            <x v="73"/>
          </reference>
        </references>
      </pivotArea>
    </chartFormat>
    <chartFormat chart="0" format="621">
      <pivotArea type="data" outline="0" fieldPosition="0">
        <references count="3">
          <reference field="4294967294" count="1" selected="0">
            <x v="0"/>
          </reference>
          <reference field="0" count="1" selected="0">
            <x v="7"/>
          </reference>
          <reference field="1" count="1" selected="0">
            <x v="74"/>
          </reference>
        </references>
      </pivotArea>
    </chartFormat>
    <chartFormat chart="0" format="622">
      <pivotArea type="data" outline="0" fieldPosition="0">
        <references count="3">
          <reference field="4294967294" count="1" selected="0">
            <x v="0"/>
          </reference>
          <reference field="0" count="1" selected="0">
            <x v="7"/>
          </reference>
          <reference field="1" count="1" selected="0">
            <x v="75"/>
          </reference>
        </references>
      </pivotArea>
    </chartFormat>
    <chartFormat chart="0" format="623">
      <pivotArea type="data" outline="0" fieldPosition="0">
        <references count="3">
          <reference field="4294967294" count="1" selected="0">
            <x v="0"/>
          </reference>
          <reference field="0" count="1" selected="0">
            <x v="7"/>
          </reference>
          <reference field="1" count="1" selected="0">
            <x v="76"/>
          </reference>
        </references>
      </pivotArea>
    </chartFormat>
    <chartFormat chart="0" format="624">
      <pivotArea type="data" outline="0" fieldPosition="0">
        <references count="3">
          <reference field="4294967294" count="1" selected="0">
            <x v="0"/>
          </reference>
          <reference field="0" count="1" selected="0">
            <x v="7"/>
          </reference>
          <reference field="1" count="1" selected="0">
            <x v="77"/>
          </reference>
        </references>
      </pivotArea>
    </chartFormat>
    <chartFormat chart="0" format="625">
      <pivotArea type="data" outline="0" fieldPosition="0">
        <references count="3">
          <reference field="4294967294" count="1" selected="0">
            <x v="0"/>
          </reference>
          <reference field="0" count="1" selected="0">
            <x v="7"/>
          </reference>
          <reference field="1" count="1" selected="0">
            <x v="78"/>
          </reference>
        </references>
      </pivotArea>
    </chartFormat>
    <chartFormat chart="0" format="626">
      <pivotArea type="data" outline="0" fieldPosition="0">
        <references count="3">
          <reference field="4294967294" count="1" selected="0">
            <x v="0"/>
          </reference>
          <reference field="0" count="1" selected="0">
            <x v="8"/>
          </reference>
          <reference field="1" count="1" selected="0">
            <x v="31"/>
          </reference>
        </references>
      </pivotArea>
    </chartFormat>
    <chartFormat chart="0" format="627">
      <pivotArea type="data" outline="0" fieldPosition="0">
        <references count="3">
          <reference field="4294967294" count="1" selected="0">
            <x v="0"/>
          </reference>
          <reference field="0" count="1" selected="0">
            <x v="8"/>
          </reference>
          <reference field="1" count="1" selected="0">
            <x v="32"/>
          </reference>
        </references>
      </pivotArea>
    </chartFormat>
    <chartFormat chart="0" format="628">
      <pivotArea type="data" outline="0" fieldPosition="0">
        <references count="3">
          <reference field="4294967294" count="1" selected="0">
            <x v="0"/>
          </reference>
          <reference field="0" count="1" selected="0">
            <x v="8"/>
          </reference>
          <reference field="1" count="1" selected="0">
            <x v="33"/>
          </reference>
        </references>
      </pivotArea>
    </chartFormat>
    <chartFormat chart="0" format="629">
      <pivotArea type="data" outline="0" fieldPosition="0">
        <references count="3">
          <reference field="4294967294" count="1" selected="0">
            <x v="0"/>
          </reference>
          <reference field="0" count="1" selected="0">
            <x v="8"/>
          </reference>
          <reference field="1" count="1" selected="0">
            <x v="34"/>
          </reference>
        </references>
      </pivotArea>
    </chartFormat>
    <chartFormat chart="0" format="630">
      <pivotArea type="data" outline="0" fieldPosition="0">
        <references count="3">
          <reference field="4294967294" count="1" selected="0">
            <x v="0"/>
          </reference>
          <reference field="0" count="1" selected="0">
            <x v="8"/>
          </reference>
          <reference field="1" count="1" selected="0">
            <x v="35"/>
          </reference>
        </references>
      </pivotArea>
    </chartFormat>
    <chartFormat chart="0" format="631">
      <pivotArea type="data" outline="0" fieldPosition="0">
        <references count="3">
          <reference field="4294967294" count="1" selected="0">
            <x v="0"/>
          </reference>
          <reference field="0" count="1" selected="0">
            <x v="8"/>
          </reference>
          <reference field="1" count="1" selected="0">
            <x v="36"/>
          </reference>
        </references>
      </pivotArea>
    </chartFormat>
    <chartFormat chart="0" format="632">
      <pivotArea type="data" outline="0" fieldPosition="0">
        <references count="3">
          <reference field="4294967294" count="1" selected="0">
            <x v="0"/>
          </reference>
          <reference field="0" count="1" selected="0">
            <x v="8"/>
          </reference>
          <reference field="1" count="1" selected="0">
            <x v="37"/>
          </reference>
        </references>
      </pivotArea>
    </chartFormat>
    <chartFormat chart="0" format="633">
      <pivotArea type="data" outline="0" fieldPosition="0">
        <references count="3">
          <reference field="4294967294" count="1" selected="0">
            <x v="0"/>
          </reference>
          <reference field="0" count="1" selected="0">
            <x v="8"/>
          </reference>
          <reference field="1" count="1" selected="0">
            <x v="38"/>
          </reference>
        </references>
      </pivotArea>
    </chartFormat>
    <chartFormat chart="0" format="634">
      <pivotArea type="data" outline="0" fieldPosition="0">
        <references count="3">
          <reference field="4294967294" count="1" selected="0">
            <x v="0"/>
          </reference>
          <reference field="0" count="1" selected="0">
            <x v="8"/>
          </reference>
          <reference field="1" count="1" selected="0">
            <x v="39"/>
          </reference>
        </references>
      </pivotArea>
    </chartFormat>
    <chartFormat chart="0" format="635">
      <pivotArea type="data" outline="0" fieldPosition="0">
        <references count="3">
          <reference field="4294967294" count="1" selected="0">
            <x v="0"/>
          </reference>
          <reference field="0" count="1" selected="0">
            <x v="8"/>
          </reference>
          <reference field="1" count="1" selected="0">
            <x v="40"/>
          </reference>
        </references>
      </pivotArea>
    </chartFormat>
    <chartFormat chart="0" format="636">
      <pivotArea type="data" outline="0" fieldPosition="0">
        <references count="3">
          <reference field="4294967294" count="1" selected="0">
            <x v="0"/>
          </reference>
          <reference field="0" count="1" selected="0">
            <x v="8"/>
          </reference>
          <reference field="1" count="1" selected="0">
            <x v="41"/>
          </reference>
        </references>
      </pivotArea>
    </chartFormat>
    <chartFormat chart="0" format="637">
      <pivotArea type="data" outline="0" fieldPosition="0">
        <references count="3">
          <reference field="4294967294" count="1" selected="0">
            <x v="0"/>
          </reference>
          <reference field="0" count="1" selected="0">
            <x v="8"/>
          </reference>
          <reference field="1" count="1" selected="0">
            <x v="42"/>
          </reference>
        </references>
      </pivotArea>
    </chartFormat>
    <chartFormat chart="0" format="638">
      <pivotArea type="data" outline="0" fieldPosition="0">
        <references count="3">
          <reference field="4294967294" count="1" selected="0">
            <x v="0"/>
          </reference>
          <reference field="0" count="1" selected="0">
            <x v="8"/>
          </reference>
          <reference field="1" count="1" selected="0">
            <x v="43"/>
          </reference>
        </references>
      </pivotArea>
    </chartFormat>
    <chartFormat chart="0" format="639">
      <pivotArea type="data" outline="0" fieldPosition="0">
        <references count="3">
          <reference field="4294967294" count="1" selected="0">
            <x v="0"/>
          </reference>
          <reference field="0" count="1" selected="0">
            <x v="8"/>
          </reference>
          <reference field="1" count="1" selected="0">
            <x v="44"/>
          </reference>
        </references>
      </pivotArea>
    </chartFormat>
    <chartFormat chart="0" format="640">
      <pivotArea type="data" outline="0" fieldPosition="0">
        <references count="3">
          <reference field="4294967294" count="1" selected="0">
            <x v="0"/>
          </reference>
          <reference field="0" count="1" selected="0">
            <x v="8"/>
          </reference>
          <reference field="1" count="1" selected="0">
            <x v="45"/>
          </reference>
        </references>
      </pivotArea>
    </chartFormat>
    <chartFormat chart="0" format="641">
      <pivotArea type="data" outline="0" fieldPosition="0">
        <references count="3">
          <reference field="4294967294" count="1" selected="0">
            <x v="0"/>
          </reference>
          <reference field="0" count="1" selected="0">
            <x v="8"/>
          </reference>
          <reference field="1" count="1" selected="0">
            <x v="46"/>
          </reference>
        </references>
      </pivotArea>
    </chartFormat>
    <chartFormat chart="0" format="642">
      <pivotArea type="data" outline="0" fieldPosition="0">
        <references count="3">
          <reference field="4294967294" count="1" selected="0">
            <x v="0"/>
          </reference>
          <reference field="0" count="1" selected="0">
            <x v="8"/>
          </reference>
          <reference field="1" count="1" selected="0">
            <x v="47"/>
          </reference>
        </references>
      </pivotArea>
    </chartFormat>
    <chartFormat chart="0" format="643">
      <pivotArea type="data" outline="0" fieldPosition="0">
        <references count="3">
          <reference field="4294967294" count="1" selected="0">
            <x v="0"/>
          </reference>
          <reference field="0" count="1" selected="0">
            <x v="8"/>
          </reference>
          <reference field="1" count="1" selected="0">
            <x v="48"/>
          </reference>
        </references>
      </pivotArea>
    </chartFormat>
    <chartFormat chart="0" format="644">
      <pivotArea type="data" outline="0" fieldPosition="0">
        <references count="3">
          <reference field="4294967294" count="1" selected="0">
            <x v="0"/>
          </reference>
          <reference field="0" count="1" selected="0">
            <x v="8"/>
          </reference>
          <reference field="1" count="1" selected="0">
            <x v="49"/>
          </reference>
        </references>
      </pivotArea>
    </chartFormat>
    <chartFormat chart="0" format="645">
      <pivotArea type="data" outline="0" fieldPosition="0">
        <references count="3">
          <reference field="4294967294" count="1" selected="0">
            <x v="0"/>
          </reference>
          <reference field="0" count="1" selected="0">
            <x v="8"/>
          </reference>
          <reference field="1" count="1" selected="0">
            <x v="50"/>
          </reference>
        </references>
      </pivotArea>
    </chartFormat>
    <chartFormat chart="0" format="646">
      <pivotArea type="data" outline="0" fieldPosition="0">
        <references count="3">
          <reference field="4294967294" count="1" selected="0">
            <x v="0"/>
          </reference>
          <reference field="0" count="1" selected="0">
            <x v="8"/>
          </reference>
          <reference field="1" count="1" selected="0">
            <x v="51"/>
          </reference>
        </references>
      </pivotArea>
    </chartFormat>
    <chartFormat chart="0" format="647">
      <pivotArea type="data" outline="0" fieldPosition="0">
        <references count="3">
          <reference field="4294967294" count="1" selected="0">
            <x v="0"/>
          </reference>
          <reference field="0" count="1" selected="0">
            <x v="8"/>
          </reference>
          <reference field="1" count="1" selected="0">
            <x v="52"/>
          </reference>
        </references>
      </pivotArea>
    </chartFormat>
    <chartFormat chart="0" format="648">
      <pivotArea type="data" outline="0" fieldPosition="0">
        <references count="3">
          <reference field="4294967294" count="1" selected="0">
            <x v="0"/>
          </reference>
          <reference field="0" count="1" selected="0">
            <x v="8"/>
          </reference>
          <reference field="1" count="1" selected="0">
            <x v="53"/>
          </reference>
        </references>
      </pivotArea>
    </chartFormat>
    <chartFormat chart="0" format="649">
      <pivotArea type="data" outline="0" fieldPosition="0">
        <references count="3">
          <reference field="4294967294" count="1" selected="0">
            <x v="0"/>
          </reference>
          <reference field="0" count="1" selected="0">
            <x v="8"/>
          </reference>
          <reference field="1" count="1" selected="0">
            <x v="54"/>
          </reference>
        </references>
      </pivotArea>
    </chartFormat>
    <chartFormat chart="0" format="650">
      <pivotArea type="data" outline="0" fieldPosition="0">
        <references count="3">
          <reference field="4294967294" count="1" selected="0">
            <x v="0"/>
          </reference>
          <reference field="0" count="1" selected="0">
            <x v="8"/>
          </reference>
          <reference field="1" count="1" selected="0">
            <x v="55"/>
          </reference>
        </references>
      </pivotArea>
    </chartFormat>
    <chartFormat chart="0" format="651">
      <pivotArea type="data" outline="0" fieldPosition="0">
        <references count="3">
          <reference field="4294967294" count="1" selected="0">
            <x v="0"/>
          </reference>
          <reference field="0" count="1" selected="0">
            <x v="8"/>
          </reference>
          <reference field="1" count="1" selected="0">
            <x v="56"/>
          </reference>
        </references>
      </pivotArea>
    </chartFormat>
    <chartFormat chart="0" format="652">
      <pivotArea type="data" outline="0" fieldPosition="0">
        <references count="3">
          <reference field="4294967294" count="1" selected="0">
            <x v="0"/>
          </reference>
          <reference field="0" count="1" selected="0">
            <x v="8"/>
          </reference>
          <reference field="1" count="1" selected="0">
            <x v="57"/>
          </reference>
        </references>
      </pivotArea>
    </chartFormat>
    <chartFormat chart="0" format="653">
      <pivotArea type="data" outline="0" fieldPosition="0">
        <references count="3">
          <reference field="4294967294" count="1" selected="0">
            <x v="0"/>
          </reference>
          <reference field="0" count="1" selected="0">
            <x v="8"/>
          </reference>
          <reference field="1" count="1" selected="0">
            <x v="58"/>
          </reference>
        </references>
      </pivotArea>
    </chartFormat>
    <chartFormat chart="0" format="654">
      <pivotArea type="data" outline="0" fieldPosition="0">
        <references count="3">
          <reference field="4294967294" count="1" selected="0">
            <x v="0"/>
          </reference>
          <reference field="0" count="1" selected="0">
            <x v="8"/>
          </reference>
          <reference field="1" count="1" selected="0">
            <x v="59"/>
          </reference>
        </references>
      </pivotArea>
    </chartFormat>
    <chartFormat chart="0" format="655">
      <pivotArea type="data" outline="0" fieldPosition="0">
        <references count="3">
          <reference field="4294967294" count="1" selected="0">
            <x v="0"/>
          </reference>
          <reference field="0" count="1" selected="0">
            <x v="8"/>
          </reference>
          <reference field="1" count="1" selected="0">
            <x v="60"/>
          </reference>
        </references>
      </pivotArea>
    </chartFormat>
    <chartFormat chart="0" format="656">
      <pivotArea type="data" outline="0" fieldPosition="0">
        <references count="3">
          <reference field="4294967294" count="1" selected="0">
            <x v="0"/>
          </reference>
          <reference field="0" count="1" selected="0">
            <x v="8"/>
          </reference>
          <reference field="1" count="1" selected="0">
            <x v="61"/>
          </reference>
        </references>
      </pivotArea>
    </chartFormat>
    <chartFormat chart="0" format="657">
      <pivotArea type="data" outline="0" fieldPosition="0">
        <references count="3">
          <reference field="4294967294" count="1" selected="0">
            <x v="0"/>
          </reference>
          <reference field="0" count="1" selected="0">
            <x v="8"/>
          </reference>
          <reference field="1" count="1" selected="0">
            <x v="62"/>
          </reference>
        </references>
      </pivotArea>
    </chartFormat>
    <chartFormat chart="0" format="658">
      <pivotArea type="data" outline="0" fieldPosition="0">
        <references count="3">
          <reference field="4294967294" count="1" selected="0">
            <x v="0"/>
          </reference>
          <reference field="0" count="1" selected="0">
            <x v="8"/>
          </reference>
          <reference field="1" count="1" selected="0">
            <x v="63"/>
          </reference>
        </references>
      </pivotArea>
    </chartFormat>
    <chartFormat chart="0" format="659">
      <pivotArea type="data" outline="0" fieldPosition="0">
        <references count="3">
          <reference field="4294967294" count="1" selected="0">
            <x v="0"/>
          </reference>
          <reference field="0" count="1" selected="0">
            <x v="8"/>
          </reference>
          <reference field="1" count="1" selected="0">
            <x v="64"/>
          </reference>
        </references>
      </pivotArea>
    </chartFormat>
    <chartFormat chart="0" format="660">
      <pivotArea type="data" outline="0" fieldPosition="0">
        <references count="3">
          <reference field="4294967294" count="1" selected="0">
            <x v="0"/>
          </reference>
          <reference field="0" count="1" selected="0">
            <x v="8"/>
          </reference>
          <reference field="1" count="1" selected="0">
            <x v="65"/>
          </reference>
        </references>
      </pivotArea>
    </chartFormat>
    <chartFormat chart="0" format="661">
      <pivotArea type="data" outline="0" fieldPosition="0">
        <references count="3">
          <reference field="4294967294" count="1" selected="0">
            <x v="0"/>
          </reference>
          <reference field="0" count="1" selected="0">
            <x v="8"/>
          </reference>
          <reference field="1" count="1" selected="0">
            <x v="66"/>
          </reference>
        </references>
      </pivotArea>
    </chartFormat>
    <chartFormat chart="0" format="662">
      <pivotArea type="data" outline="0" fieldPosition="0">
        <references count="3">
          <reference field="4294967294" count="1" selected="0">
            <x v="0"/>
          </reference>
          <reference field="0" count="1" selected="0">
            <x v="8"/>
          </reference>
          <reference field="1" count="1" selected="0">
            <x v="67"/>
          </reference>
        </references>
      </pivotArea>
    </chartFormat>
    <chartFormat chart="0" format="663">
      <pivotArea type="data" outline="0" fieldPosition="0">
        <references count="3">
          <reference field="4294967294" count="1" selected="0">
            <x v="0"/>
          </reference>
          <reference field="0" count="1" selected="0">
            <x v="8"/>
          </reference>
          <reference field="1" count="1" selected="0">
            <x v="68"/>
          </reference>
        </references>
      </pivotArea>
    </chartFormat>
    <chartFormat chart="0" format="664">
      <pivotArea type="data" outline="0" fieldPosition="0">
        <references count="3">
          <reference field="4294967294" count="1" selected="0">
            <x v="0"/>
          </reference>
          <reference field="0" count="1" selected="0">
            <x v="8"/>
          </reference>
          <reference field="1" count="1" selected="0">
            <x v="69"/>
          </reference>
        </references>
      </pivotArea>
    </chartFormat>
    <chartFormat chart="0" format="665">
      <pivotArea type="data" outline="0" fieldPosition="0">
        <references count="3">
          <reference field="4294967294" count="1" selected="0">
            <x v="0"/>
          </reference>
          <reference field="0" count="1" selected="0">
            <x v="8"/>
          </reference>
          <reference field="1" count="1" selected="0">
            <x v="70"/>
          </reference>
        </references>
      </pivotArea>
    </chartFormat>
    <chartFormat chart="0" format="666">
      <pivotArea type="data" outline="0" fieldPosition="0">
        <references count="3">
          <reference field="4294967294" count="1" selected="0">
            <x v="0"/>
          </reference>
          <reference field="0" count="1" selected="0">
            <x v="8"/>
          </reference>
          <reference field="1" count="1" selected="0">
            <x v="71"/>
          </reference>
        </references>
      </pivotArea>
    </chartFormat>
    <chartFormat chart="0" format="667">
      <pivotArea type="data" outline="0" fieldPosition="0">
        <references count="3">
          <reference field="4294967294" count="1" selected="0">
            <x v="0"/>
          </reference>
          <reference field="0" count="1" selected="0">
            <x v="8"/>
          </reference>
          <reference field="1" count="1" selected="0">
            <x v="72"/>
          </reference>
        </references>
      </pivotArea>
    </chartFormat>
    <chartFormat chart="0" format="668">
      <pivotArea type="data" outline="0" fieldPosition="0">
        <references count="3">
          <reference field="4294967294" count="1" selected="0">
            <x v="0"/>
          </reference>
          <reference field="0" count="1" selected="0">
            <x v="8"/>
          </reference>
          <reference field="1" count="1" selected="0">
            <x v="73"/>
          </reference>
        </references>
      </pivotArea>
    </chartFormat>
    <chartFormat chart="0" format="669">
      <pivotArea type="data" outline="0" fieldPosition="0">
        <references count="3">
          <reference field="4294967294" count="1" selected="0">
            <x v="0"/>
          </reference>
          <reference field="0" count="1" selected="0">
            <x v="8"/>
          </reference>
          <reference field="1" count="1" selected="0">
            <x v="74"/>
          </reference>
        </references>
      </pivotArea>
    </chartFormat>
    <chartFormat chart="0" format="670">
      <pivotArea type="data" outline="0" fieldPosition="0">
        <references count="3">
          <reference field="4294967294" count="1" selected="0">
            <x v="0"/>
          </reference>
          <reference field="0" count="1" selected="0">
            <x v="8"/>
          </reference>
          <reference field="1" count="1" selected="0">
            <x v="75"/>
          </reference>
        </references>
      </pivotArea>
    </chartFormat>
    <chartFormat chart="0" format="671">
      <pivotArea type="data" outline="0" fieldPosition="0">
        <references count="3">
          <reference field="4294967294" count="1" selected="0">
            <x v="0"/>
          </reference>
          <reference field="0" count="1" selected="0">
            <x v="8"/>
          </reference>
          <reference field="1" count="1" selected="0">
            <x v="76"/>
          </reference>
        </references>
      </pivotArea>
    </chartFormat>
    <chartFormat chart="0" format="672">
      <pivotArea type="data" outline="0" fieldPosition="0">
        <references count="3">
          <reference field="4294967294" count="1" selected="0">
            <x v="0"/>
          </reference>
          <reference field="0" count="1" selected="0">
            <x v="8"/>
          </reference>
          <reference field="1" count="1" selected="0">
            <x v="77"/>
          </reference>
        </references>
      </pivotArea>
    </chartFormat>
    <chartFormat chart="0" format="673">
      <pivotArea type="data" outline="0" fieldPosition="0">
        <references count="3">
          <reference field="4294967294" count="1" selected="0">
            <x v="0"/>
          </reference>
          <reference field="0" count="1" selected="0">
            <x v="8"/>
          </reference>
          <reference field="1" count="1" selected="0">
            <x v="78"/>
          </reference>
        </references>
      </pivotArea>
    </chartFormat>
    <chartFormat chart="0" format="674">
      <pivotArea type="data" outline="0" fieldPosition="0">
        <references count="3">
          <reference field="4294967294" count="1" selected="0">
            <x v="0"/>
          </reference>
          <reference field="0" count="1" selected="0">
            <x v="9"/>
          </reference>
          <reference field="1" count="1" selected="0">
            <x v="31"/>
          </reference>
        </references>
      </pivotArea>
    </chartFormat>
    <chartFormat chart="0" format="675">
      <pivotArea type="data" outline="0" fieldPosition="0">
        <references count="3">
          <reference field="4294967294" count="1" selected="0">
            <x v="0"/>
          </reference>
          <reference field="0" count="1" selected="0">
            <x v="9"/>
          </reference>
          <reference field="1" count="1" selected="0">
            <x v="32"/>
          </reference>
        </references>
      </pivotArea>
    </chartFormat>
    <chartFormat chart="0" format="676">
      <pivotArea type="data" outline="0" fieldPosition="0">
        <references count="3">
          <reference field="4294967294" count="1" selected="0">
            <x v="0"/>
          </reference>
          <reference field="0" count="1" selected="0">
            <x v="9"/>
          </reference>
          <reference field="1" count="1" selected="0">
            <x v="33"/>
          </reference>
        </references>
      </pivotArea>
    </chartFormat>
    <chartFormat chart="0" format="677">
      <pivotArea type="data" outline="0" fieldPosition="0">
        <references count="3">
          <reference field="4294967294" count="1" selected="0">
            <x v="0"/>
          </reference>
          <reference field="0" count="1" selected="0">
            <x v="9"/>
          </reference>
          <reference field="1" count="1" selected="0">
            <x v="34"/>
          </reference>
        </references>
      </pivotArea>
    </chartFormat>
    <chartFormat chart="0" format="678">
      <pivotArea type="data" outline="0" fieldPosition="0">
        <references count="3">
          <reference field="4294967294" count="1" selected="0">
            <x v="0"/>
          </reference>
          <reference field="0" count="1" selected="0">
            <x v="9"/>
          </reference>
          <reference field="1" count="1" selected="0">
            <x v="35"/>
          </reference>
        </references>
      </pivotArea>
    </chartFormat>
    <chartFormat chart="0" format="679">
      <pivotArea type="data" outline="0" fieldPosition="0">
        <references count="3">
          <reference field="4294967294" count="1" selected="0">
            <x v="0"/>
          </reference>
          <reference field="0" count="1" selected="0">
            <x v="9"/>
          </reference>
          <reference field="1" count="1" selected="0">
            <x v="36"/>
          </reference>
        </references>
      </pivotArea>
    </chartFormat>
    <chartFormat chart="0" format="680">
      <pivotArea type="data" outline="0" fieldPosition="0">
        <references count="3">
          <reference field="4294967294" count="1" selected="0">
            <x v="0"/>
          </reference>
          <reference field="0" count="1" selected="0">
            <x v="9"/>
          </reference>
          <reference field="1" count="1" selected="0">
            <x v="37"/>
          </reference>
        </references>
      </pivotArea>
    </chartFormat>
    <chartFormat chart="0" format="681">
      <pivotArea type="data" outline="0" fieldPosition="0">
        <references count="3">
          <reference field="4294967294" count="1" selected="0">
            <x v="0"/>
          </reference>
          <reference field="0" count="1" selected="0">
            <x v="9"/>
          </reference>
          <reference field="1" count="1" selected="0">
            <x v="38"/>
          </reference>
        </references>
      </pivotArea>
    </chartFormat>
    <chartFormat chart="0" format="682">
      <pivotArea type="data" outline="0" fieldPosition="0">
        <references count="3">
          <reference field="4294967294" count="1" selected="0">
            <x v="0"/>
          </reference>
          <reference field="0" count="1" selected="0">
            <x v="9"/>
          </reference>
          <reference field="1" count="1" selected="0">
            <x v="39"/>
          </reference>
        </references>
      </pivotArea>
    </chartFormat>
    <chartFormat chart="0" format="683">
      <pivotArea type="data" outline="0" fieldPosition="0">
        <references count="3">
          <reference field="4294967294" count="1" selected="0">
            <x v="0"/>
          </reference>
          <reference field="0" count="1" selected="0">
            <x v="9"/>
          </reference>
          <reference field="1" count="1" selected="0">
            <x v="40"/>
          </reference>
        </references>
      </pivotArea>
    </chartFormat>
    <chartFormat chart="0" format="684">
      <pivotArea type="data" outline="0" fieldPosition="0">
        <references count="3">
          <reference field="4294967294" count="1" selected="0">
            <x v="0"/>
          </reference>
          <reference field="0" count="1" selected="0">
            <x v="9"/>
          </reference>
          <reference field="1" count="1" selected="0">
            <x v="41"/>
          </reference>
        </references>
      </pivotArea>
    </chartFormat>
    <chartFormat chart="0" format="685">
      <pivotArea type="data" outline="0" fieldPosition="0">
        <references count="3">
          <reference field="4294967294" count="1" selected="0">
            <x v="0"/>
          </reference>
          <reference field="0" count="1" selected="0">
            <x v="9"/>
          </reference>
          <reference field="1" count="1" selected="0">
            <x v="42"/>
          </reference>
        </references>
      </pivotArea>
    </chartFormat>
    <chartFormat chart="0" format="686">
      <pivotArea type="data" outline="0" fieldPosition="0">
        <references count="3">
          <reference field="4294967294" count="1" selected="0">
            <x v="0"/>
          </reference>
          <reference field="0" count="1" selected="0">
            <x v="9"/>
          </reference>
          <reference field="1" count="1" selected="0">
            <x v="43"/>
          </reference>
        </references>
      </pivotArea>
    </chartFormat>
    <chartFormat chart="0" format="687">
      <pivotArea type="data" outline="0" fieldPosition="0">
        <references count="3">
          <reference field="4294967294" count="1" selected="0">
            <x v="0"/>
          </reference>
          <reference field="0" count="1" selected="0">
            <x v="9"/>
          </reference>
          <reference field="1" count="1" selected="0">
            <x v="44"/>
          </reference>
        </references>
      </pivotArea>
    </chartFormat>
    <chartFormat chart="0" format="688">
      <pivotArea type="data" outline="0" fieldPosition="0">
        <references count="3">
          <reference field="4294967294" count="1" selected="0">
            <x v="0"/>
          </reference>
          <reference field="0" count="1" selected="0">
            <x v="9"/>
          </reference>
          <reference field="1" count="1" selected="0">
            <x v="45"/>
          </reference>
        </references>
      </pivotArea>
    </chartFormat>
    <chartFormat chart="0" format="689">
      <pivotArea type="data" outline="0" fieldPosition="0">
        <references count="3">
          <reference field="4294967294" count="1" selected="0">
            <x v="0"/>
          </reference>
          <reference field="0" count="1" selected="0">
            <x v="9"/>
          </reference>
          <reference field="1" count="1" selected="0">
            <x v="46"/>
          </reference>
        </references>
      </pivotArea>
    </chartFormat>
    <chartFormat chart="0" format="690">
      <pivotArea type="data" outline="0" fieldPosition="0">
        <references count="3">
          <reference field="4294967294" count="1" selected="0">
            <x v="0"/>
          </reference>
          <reference field="0" count="1" selected="0">
            <x v="9"/>
          </reference>
          <reference field="1" count="1" selected="0">
            <x v="47"/>
          </reference>
        </references>
      </pivotArea>
    </chartFormat>
    <chartFormat chart="0" format="691">
      <pivotArea type="data" outline="0" fieldPosition="0">
        <references count="3">
          <reference field="4294967294" count="1" selected="0">
            <x v="0"/>
          </reference>
          <reference field="0" count="1" selected="0">
            <x v="9"/>
          </reference>
          <reference field="1" count="1" selected="0">
            <x v="48"/>
          </reference>
        </references>
      </pivotArea>
    </chartFormat>
    <chartFormat chart="0" format="692">
      <pivotArea type="data" outline="0" fieldPosition="0">
        <references count="3">
          <reference field="4294967294" count="1" selected="0">
            <x v="0"/>
          </reference>
          <reference field="0" count="1" selected="0">
            <x v="9"/>
          </reference>
          <reference field="1" count="1" selected="0">
            <x v="49"/>
          </reference>
        </references>
      </pivotArea>
    </chartFormat>
    <chartFormat chart="0" format="693">
      <pivotArea type="data" outline="0" fieldPosition="0">
        <references count="3">
          <reference field="4294967294" count="1" selected="0">
            <x v="0"/>
          </reference>
          <reference field="0" count="1" selected="0">
            <x v="9"/>
          </reference>
          <reference field="1" count="1" selected="0">
            <x v="50"/>
          </reference>
        </references>
      </pivotArea>
    </chartFormat>
    <chartFormat chart="0" format="694">
      <pivotArea type="data" outline="0" fieldPosition="0">
        <references count="3">
          <reference field="4294967294" count="1" selected="0">
            <x v="0"/>
          </reference>
          <reference field="0" count="1" selected="0">
            <x v="9"/>
          </reference>
          <reference field="1" count="1" selected="0">
            <x v="51"/>
          </reference>
        </references>
      </pivotArea>
    </chartFormat>
    <chartFormat chart="0" format="695">
      <pivotArea type="data" outline="0" fieldPosition="0">
        <references count="3">
          <reference field="4294967294" count="1" selected="0">
            <x v="0"/>
          </reference>
          <reference field="0" count="1" selected="0">
            <x v="9"/>
          </reference>
          <reference field="1" count="1" selected="0">
            <x v="52"/>
          </reference>
        </references>
      </pivotArea>
    </chartFormat>
    <chartFormat chart="0" format="696">
      <pivotArea type="data" outline="0" fieldPosition="0">
        <references count="3">
          <reference field="4294967294" count="1" selected="0">
            <x v="0"/>
          </reference>
          <reference field="0" count="1" selected="0">
            <x v="9"/>
          </reference>
          <reference field="1" count="1" selected="0">
            <x v="53"/>
          </reference>
        </references>
      </pivotArea>
    </chartFormat>
    <chartFormat chart="0" format="697">
      <pivotArea type="data" outline="0" fieldPosition="0">
        <references count="3">
          <reference field="4294967294" count="1" selected="0">
            <x v="0"/>
          </reference>
          <reference field="0" count="1" selected="0">
            <x v="9"/>
          </reference>
          <reference field="1" count="1" selected="0">
            <x v="54"/>
          </reference>
        </references>
      </pivotArea>
    </chartFormat>
    <chartFormat chart="0" format="698">
      <pivotArea type="data" outline="0" fieldPosition="0">
        <references count="3">
          <reference field="4294967294" count="1" selected="0">
            <x v="0"/>
          </reference>
          <reference field="0" count="1" selected="0">
            <x v="9"/>
          </reference>
          <reference field="1" count="1" selected="0">
            <x v="55"/>
          </reference>
        </references>
      </pivotArea>
    </chartFormat>
    <chartFormat chart="0" format="699">
      <pivotArea type="data" outline="0" fieldPosition="0">
        <references count="3">
          <reference field="4294967294" count="1" selected="0">
            <x v="0"/>
          </reference>
          <reference field="0" count="1" selected="0">
            <x v="9"/>
          </reference>
          <reference field="1" count="1" selected="0">
            <x v="56"/>
          </reference>
        </references>
      </pivotArea>
    </chartFormat>
    <chartFormat chart="0" format="700">
      <pivotArea type="data" outline="0" fieldPosition="0">
        <references count="3">
          <reference field="4294967294" count="1" selected="0">
            <x v="0"/>
          </reference>
          <reference field="0" count="1" selected="0">
            <x v="9"/>
          </reference>
          <reference field="1" count="1" selected="0">
            <x v="57"/>
          </reference>
        </references>
      </pivotArea>
    </chartFormat>
    <chartFormat chart="0" format="701">
      <pivotArea type="data" outline="0" fieldPosition="0">
        <references count="3">
          <reference field="4294967294" count="1" selected="0">
            <x v="0"/>
          </reference>
          <reference field="0" count="1" selected="0">
            <x v="9"/>
          </reference>
          <reference field="1" count="1" selected="0">
            <x v="58"/>
          </reference>
        </references>
      </pivotArea>
    </chartFormat>
    <chartFormat chart="0" format="702">
      <pivotArea type="data" outline="0" fieldPosition="0">
        <references count="3">
          <reference field="4294967294" count="1" selected="0">
            <x v="0"/>
          </reference>
          <reference field="0" count="1" selected="0">
            <x v="9"/>
          </reference>
          <reference field="1" count="1" selected="0">
            <x v="59"/>
          </reference>
        </references>
      </pivotArea>
    </chartFormat>
    <chartFormat chart="0" format="703">
      <pivotArea type="data" outline="0" fieldPosition="0">
        <references count="3">
          <reference field="4294967294" count="1" selected="0">
            <x v="0"/>
          </reference>
          <reference field="0" count="1" selected="0">
            <x v="9"/>
          </reference>
          <reference field="1" count="1" selected="0">
            <x v="60"/>
          </reference>
        </references>
      </pivotArea>
    </chartFormat>
    <chartFormat chart="0" format="704">
      <pivotArea type="data" outline="0" fieldPosition="0">
        <references count="3">
          <reference field="4294967294" count="1" selected="0">
            <x v="0"/>
          </reference>
          <reference field="0" count="1" selected="0">
            <x v="9"/>
          </reference>
          <reference field="1" count="1" selected="0">
            <x v="61"/>
          </reference>
        </references>
      </pivotArea>
    </chartFormat>
    <chartFormat chart="0" format="705">
      <pivotArea type="data" outline="0" fieldPosition="0">
        <references count="3">
          <reference field="4294967294" count="1" selected="0">
            <x v="0"/>
          </reference>
          <reference field="0" count="1" selected="0">
            <x v="9"/>
          </reference>
          <reference field="1" count="1" selected="0">
            <x v="62"/>
          </reference>
        </references>
      </pivotArea>
    </chartFormat>
    <chartFormat chart="0" format="706">
      <pivotArea type="data" outline="0" fieldPosition="0">
        <references count="3">
          <reference field="4294967294" count="1" selected="0">
            <x v="0"/>
          </reference>
          <reference field="0" count="1" selected="0">
            <x v="9"/>
          </reference>
          <reference field="1" count="1" selected="0">
            <x v="63"/>
          </reference>
        </references>
      </pivotArea>
    </chartFormat>
    <chartFormat chart="0" format="707">
      <pivotArea type="data" outline="0" fieldPosition="0">
        <references count="3">
          <reference field="4294967294" count="1" selected="0">
            <x v="0"/>
          </reference>
          <reference field="0" count="1" selected="0">
            <x v="9"/>
          </reference>
          <reference field="1" count="1" selected="0">
            <x v="64"/>
          </reference>
        </references>
      </pivotArea>
    </chartFormat>
    <chartFormat chart="0" format="708">
      <pivotArea type="data" outline="0" fieldPosition="0">
        <references count="3">
          <reference field="4294967294" count="1" selected="0">
            <x v="0"/>
          </reference>
          <reference field="0" count="1" selected="0">
            <x v="9"/>
          </reference>
          <reference field="1" count="1" selected="0">
            <x v="65"/>
          </reference>
        </references>
      </pivotArea>
    </chartFormat>
    <chartFormat chart="0" format="709">
      <pivotArea type="data" outline="0" fieldPosition="0">
        <references count="3">
          <reference field="4294967294" count="1" selected="0">
            <x v="0"/>
          </reference>
          <reference field="0" count="1" selected="0">
            <x v="9"/>
          </reference>
          <reference field="1" count="1" selected="0">
            <x v="66"/>
          </reference>
        </references>
      </pivotArea>
    </chartFormat>
    <chartFormat chart="0" format="710">
      <pivotArea type="data" outline="0" fieldPosition="0">
        <references count="3">
          <reference field="4294967294" count="1" selected="0">
            <x v="0"/>
          </reference>
          <reference field="0" count="1" selected="0">
            <x v="9"/>
          </reference>
          <reference field="1" count="1" selected="0">
            <x v="67"/>
          </reference>
        </references>
      </pivotArea>
    </chartFormat>
    <chartFormat chart="0" format="711">
      <pivotArea type="data" outline="0" fieldPosition="0">
        <references count="3">
          <reference field="4294967294" count="1" selected="0">
            <x v="0"/>
          </reference>
          <reference field="0" count="1" selected="0">
            <x v="9"/>
          </reference>
          <reference field="1" count="1" selected="0">
            <x v="68"/>
          </reference>
        </references>
      </pivotArea>
    </chartFormat>
    <chartFormat chart="0" format="712">
      <pivotArea type="data" outline="0" fieldPosition="0">
        <references count="3">
          <reference field="4294967294" count="1" selected="0">
            <x v="0"/>
          </reference>
          <reference field="0" count="1" selected="0">
            <x v="9"/>
          </reference>
          <reference field="1" count="1" selected="0">
            <x v="69"/>
          </reference>
        </references>
      </pivotArea>
    </chartFormat>
    <chartFormat chart="0" format="713">
      <pivotArea type="data" outline="0" fieldPosition="0">
        <references count="3">
          <reference field="4294967294" count="1" selected="0">
            <x v="0"/>
          </reference>
          <reference field="0" count="1" selected="0">
            <x v="9"/>
          </reference>
          <reference field="1" count="1" selected="0">
            <x v="70"/>
          </reference>
        </references>
      </pivotArea>
    </chartFormat>
    <chartFormat chart="0" format="714">
      <pivotArea type="data" outline="0" fieldPosition="0">
        <references count="3">
          <reference field="4294967294" count="1" selected="0">
            <x v="0"/>
          </reference>
          <reference field="0" count="1" selected="0">
            <x v="9"/>
          </reference>
          <reference field="1" count="1" selected="0">
            <x v="71"/>
          </reference>
        </references>
      </pivotArea>
    </chartFormat>
    <chartFormat chart="0" format="715">
      <pivotArea type="data" outline="0" fieldPosition="0">
        <references count="3">
          <reference field="4294967294" count="1" selected="0">
            <x v="0"/>
          </reference>
          <reference field="0" count="1" selected="0">
            <x v="9"/>
          </reference>
          <reference field="1" count="1" selected="0">
            <x v="72"/>
          </reference>
        </references>
      </pivotArea>
    </chartFormat>
    <chartFormat chart="0" format="716">
      <pivotArea type="data" outline="0" fieldPosition="0">
        <references count="3">
          <reference field="4294967294" count="1" selected="0">
            <x v="0"/>
          </reference>
          <reference field="0" count="1" selected="0">
            <x v="9"/>
          </reference>
          <reference field="1" count="1" selected="0">
            <x v="73"/>
          </reference>
        </references>
      </pivotArea>
    </chartFormat>
    <chartFormat chart="0" format="717">
      <pivotArea type="data" outline="0" fieldPosition="0">
        <references count="3">
          <reference field="4294967294" count="1" selected="0">
            <x v="0"/>
          </reference>
          <reference field="0" count="1" selected="0">
            <x v="9"/>
          </reference>
          <reference field="1" count="1" selected="0">
            <x v="74"/>
          </reference>
        </references>
      </pivotArea>
    </chartFormat>
    <chartFormat chart="0" format="718">
      <pivotArea type="data" outline="0" fieldPosition="0">
        <references count="3">
          <reference field="4294967294" count="1" selected="0">
            <x v="0"/>
          </reference>
          <reference field="0" count="1" selected="0">
            <x v="9"/>
          </reference>
          <reference field="1" count="1" selected="0">
            <x v="75"/>
          </reference>
        </references>
      </pivotArea>
    </chartFormat>
    <chartFormat chart="0" format="719">
      <pivotArea type="data" outline="0" fieldPosition="0">
        <references count="3">
          <reference field="4294967294" count="1" selected="0">
            <x v="0"/>
          </reference>
          <reference field="0" count="1" selected="0">
            <x v="9"/>
          </reference>
          <reference field="1" count="1" selected="0">
            <x v="76"/>
          </reference>
        </references>
      </pivotArea>
    </chartFormat>
    <chartFormat chart="0" format="720">
      <pivotArea type="data" outline="0" fieldPosition="0">
        <references count="3">
          <reference field="4294967294" count="1" selected="0">
            <x v="0"/>
          </reference>
          <reference field="0" count="1" selected="0">
            <x v="9"/>
          </reference>
          <reference field="1" count="1" selected="0">
            <x v="77"/>
          </reference>
        </references>
      </pivotArea>
    </chartFormat>
    <chartFormat chart="0" format="721">
      <pivotArea type="data" outline="0" fieldPosition="0">
        <references count="3">
          <reference field="4294967294" count="1" selected="0">
            <x v="0"/>
          </reference>
          <reference field="0" count="1" selected="0">
            <x v="9"/>
          </reference>
          <reference field="1" count="1" selected="0">
            <x v="78"/>
          </reference>
        </references>
      </pivotArea>
    </chartFormat>
    <chartFormat chart="0" format="722">
      <pivotArea type="data" outline="0" fieldPosition="0">
        <references count="3">
          <reference field="4294967294" count="1" selected="0">
            <x v="0"/>
          </reference>
          <reference field="0" count="1" selected="0">
            <x v="10"/>
          </reference>
          <reference field="1" count="1" selected="0">
            <x v="31"/>
          </reference>
        </references>
      </pivotArea>
    </chartFormat>
    <chartFormat chart="0" format="723">
      <pivotArea type="data" outline="0" fieldPosition="0">
        <references count="3">
          <reference field="4294967294" count="1" selected="0">
            <x v="0"/>
          </reference>
          <reference field="0" count="1" selected="0">
            <x v="10"/>
          </reference>
          <reference field="1" count="1" selected="0">
            <x v="32"/>
          </reference>
        </references>
      </pivotArea>
    </chartFormat>
    <chartFormat chart="0" format="724">
      <pivotArea type="data" outline="0" fieldPosition="0">
        <references count="3">
          <reference field="4294967294" count="1" selected="0">
            <x v="0"/>
          </reference>
          <reference field="0" count="1" selected="0">
            <x v="10"/>
          </reference>
          <reference field="1" count="1" selected="0">
            <x v="33"/>
          </reference>
        </references>
      </pivotArea>
    </chartFormat>
    <chartFormat chart="0" format="725">
      <pivotArea type="data" outline="0" fieldPosition="0">
        <references count="3">
          <reference field="4294967294" count="1" selected="0">
            <x v="0"/>
          </reference>
          <reference field="0" count="1" selected="0">
            <x v="10"/>
          </reference>
          <reference field="1" count="1" selected="0">
            <x v="34"/>
          </reference>
        </references>
      </pivotArea>
    </chartFormat>
    <chartFormat chart="0" format="726">
      <pivotArea type="data" outline="0" fieldPosition="0">
        <references count="3">
          <reference field="4294967294" count="1" selected="0">
            <x v="0"/>
          </reference>
          <reference field="0" count="1" selected="0">
            <x v="10"/>
          </reference>
          <reference field="1" count="1" selected="0">
            <x v="35"/>
          </reference>
        </references>
      </pivotArea>
    </chartFormat>
    <chartFormat chart="0" format="727">
      <pivotArea type="data" outline="0" fieldPosition="0">
        <references count="3">
          <reference field="4294967294" count="1" selected="0">
            <x v="0"/>
          </reference>
          <reference field="0" count="1" selected="0">
            <x v="10"/>
          </reference>
          <reference field="1" count="1" selected="0">
            <x v="36"/>
          </reference>
        </references>
      </pivotArea>
    </chartFormat>
    <chartFormat chart="0" format="728">
      <pivotArea type="data" outline="0" fieldPosition="0">
        <references count="3">
          <reference field="4294967294" count="1" selected="0">
            <x v="0"/>
          </reference>
          <reference field="0" count="1" selected="0">
            <x v="10"/>
          </reference>
          <reference field="1" count="1" selected="0">
            <x v="37"/>
          </reference>
        </references>
      </pivotArea>
    </chartFormat>
    <chartFormat chart="0" format="729">
      <pivotArea type="data" outline="0" fieldPosition="0">
        <references count="3">
          <reference field="4294967294" count="1" selected="0">
            <x v="0"/>
          </reference>
          <reference field="0" count="1" selected="0">
            <x v="10"/>
          </reference>
          <reference field="1" count="1" selected="0">
            <x v="38"/>
          </reference>
        </references>
      </pivotArea>
    </chartFormat>
    <chartFormat chart="0" format="730">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1">
      <pivotArea type="data" outline="0" fieldPosition="0">
        <references count="3">
          <reference field="4294967294" count="1" selected="0">
            <x v="0"/>
          </reference>
          <reference field="0" count="1" selected="0">
            <x v="10"/>
          </reference>
          <reference field="1" count="1" selected="0">
            <x v="40"/>
          </reference>
        </references>
      </pivotArea>
    </chartFormat>
    <chartFormat chart="0" format="732">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3">
      <pivotArea type="data" outline="0" fieldPosition="0">
        <references count="3">
          <reference field="4294967294" count="1" selected="0">
            <x v="0"/>
          </reference>
          <reference field="0" count="1" selected="0">
            <x v="10"/>
          </reference>
          <reference field="1" count="1" selected="0">
            <x v="42"/>
          </reference>
        </references>
      </pivotArea>
    </chartFormat>
    <chartFormat chart="0" format="734">
      <pivotArea type="data" outline="0" fieldPosition="0">
        <references count="3">
          <reference field="4294967294" count="1" selected="0">
            <x v="0"/>
          </reference>
          <reference field="0" count="1" selected="0">
            <x v="10"/>
          </reference>
          <reference field="1" count="1" selected="0">
            <x v="43"/>
          </reference>
        </references>
      </pivotArea>
    </chartFormat>
    <chartFormat chart="0" format="735">
      <pivotArea type="data" outline="0" fieldPosition="0">
        <references count="3">
          <reference field="4294967294" count="1" selected="0">
            <x v="0"/>
          </reference>
          <reference field="0" count="1" selected="0">
            <x v="10"/>
          </reference>
          <reference field="1" count="1" selected="0">
            <x v="44"/>
          </reference>
        </references>
      </pivotArea>
    </chartFormat>
    <chartFormat chart="0" format="736">
      <pivotArea type="data" outline="0" fieldPosition="0">
        <references count="3">
          <reference field="4294967294" count="1" selected="0">
            <x v="0"/>
          </reference>
          <reference field="0" count="1" selected="0">
            <x v="10"/>
          </reference>
          <reference field="1" count="1" selected="0">
            <x v="45"/>
          </reference>
        </references>
      </pivotArea>
    </chartFormat>
    <chartFormat chart="0" format="737">
      <pivotArea type="data" outline="0" fieldPosition="0">
        <references count="3">
          <reference field="4294967294" count="1" selected="0">
            <x v="0"/>
          </reference>
          <reference field="0" count="1" selected="0">
            <x v="10"/>
          </reference>
          <reference field="1" count="1" selected="0">
            <x v="46"/>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7"/>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8"/>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1">
      <pivotArea type="data" outline="0" fieldPosition="0">
        <references count="3">
          <reference field="4294967294" count="1" selected="0">
            <x v="0"/>
          </reference>
          <reference field="0" count="1" selected="0">
            <x v="10"/>
          </reference>
          <reference field="1" count="1" selected="0">
            <x v="50"/>
          </reference>
        </references>
      </pivotArea>
    </chartFormat>
    <chartFormat chart="0" format="742">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2"/>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4"/>
          </reference>
        </references>
      </pivotArea>
    </chartFormat>
    <chartFormat chart="0" format="746">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7">
      <pivotArea type="data" outline="0" fieldPosition="0">
        <references count="3">
          <reference field="4294967294" count="1" selected="0">
            <x v="0"/>
          </reference>
          <reference field="0" count="1" selected="0">
            <x v="10"/>
          </reference>
          <reference field="1" count="1" selected="0">
            <x v="56"/>
          </reference>
        </references>
      </pivotArea>
    </chartFormat>
    <chartFormat chart="0" format="748">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9">
      <pivotArea type="data" outline="0" fieldPosition="0">
        <references count="3">
          <reference field="4294967294" count="1" selected="0">
            <x v="0"/>
          </reference>
          <reference field="0" count="1" selected="0">
            <x v="10"/>
          </reference>
          <reference field="1" count="1" selected="0">
            <x v="58"/>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1">
      <pivotArea type="data" outline="0" fieldPosition="0">
        <references count="3">
          <reference field="4294967294" count="1" selected="0">
            <x v="0"/>
          </reference>
          <reference field="0" count="1" selected="0">
            <x v="10"/>
          </reference>
          <reference field="1" count="1" selected="0">
            <x v="60"/>
          </reference>
        </references>
      </pivotArea>
    </chartFormat>
    <chartFormat chart="0" format="752">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3">
      <pivotArea type="data" outline="0" fieldPosition="0">
        <references count="3">
          <reference field="4294967294" count="1" selected="0">
            <x v="0"/>
          </reference>
          <reference field="0" count="1" selected="0">
            <x v="10"/>
          </reference>
          <reference field="1" count="1" selected="0">
            <x v="62"/>
          </reference>
        </references>
      </pivotArea>
    </chartFormat>
    <chartFormat chart="0" format="754">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4"/>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6"/>
          </reference>
        </references>
      </pivotArea>
    </chartFormat>
    <chartFormat chart="0" format="758">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8"/>
          </reference>
        </references>
      </pivotArea>
    </chartFormat>
    <chartFormat chart="0" format="760">
      <pivotArea type="data" outline="0" fieldPosition="0">
        <references count="3">
          <reference field="4294967294" count="1" selected="0">
            <x v="0"/>
          </reference>
          <reference field="0" count="1" selected="0">
            <x v="10"/>
          </reference>
          <reference field="1" count="1" selected="0">
            <x v="69"/>
          </reference>
        </references>
      </pivotArea>
    </chartFormat>
    <chartFormat chart="0" format="761">
      <pivotArea type="data" outline="0" fieldPosition="0">
        <references count="3">
          <reference field="4294967294" count="1" selected="0">
            <x v="0"/>
          </reference>
          <reference field="0" count="1" selected="0">
            <x v="10"/>
          </reference>
          <reference field="1" count="1" selected="0">
            <x v="70"/>
          </reference>
        </references>
      </pivotArea>
    </chartFormat>
    <chartFormat chart="0" format="762">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3">
      <pivotArea type="data" outline="0" fieldPosition="0">
        <references count="3">
          <reference field="4294967294" count="1" selected="0">
            <x v="0"/>
          </reference>
          <reference field="0" count="1" selected="0">
            <x v="10"/>
          </reference>
          <reference field="1" count="1" selected="0">
            <x v="72"/>
          </reference>
        </references>
      </pivotArea>
    </chartFormat>
    <chartFormat chart="0" format="764">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5">
      <pivotArea type="data" outline="0" fieldPosition="0">
        <references count="3">
          <reference field="4294967294" count="1" selected="0">
            <x v="0"/>
          </reference>
          <reference field="0" count="1" selected="0">
            <x v="10"/>
          </reference>
          <reference field="1" count="1" selected="0">
            <x v="74"/>
          </reference>
        </references>
      </pivotArea>
    </chartFormat>
    <chartFormat chart="0" format="766">
      <pivotArea type="data" outline="0" fieldPosition="0">
        <references count="3">
          <reference field="4294967294" count="1" selected="0">
            <x v="0"/>
          </reference>
          <reference field="0" count="1" selected="0">
            <x v="10"/>
          </reference>
          <reference field="1" count="1" selected="0">
            <x v="75"/>
          </reference>
        </references>
      </pivotArea>
    </chartFormat>
    <chartFormat chart="0" format="767">
      <pivotArea type="data" outline="0" fieldPosition="0">
        <references count="3">
          <reference field="4294967294" count="1" selected="0">
            <x v="0"/>
          </reference>
          <reference field="0" count="1" selected="0">
            <x v="10"/>
          </reference>
          <reference field="1" count="1" selected="0">
            <x v="76"/>
          </reference>
        </references>
      </pivotArea>
    </chartFormat>
    <chartFormat chart="0" format="768">
      <pivotArea type="data" outline="0" fieldPosition="0">
        <references count="3">
          <reference field="4294967294" count="1" selected="0">
            <x v="0"/>
          </reference>
          <reference field="0" count="1" selected="0">
            <x v="10"/>
          </reference>
          <reference field="1" count="1" selected="0">
            <x v="77"/>
          </reference>
        </references>
      </pivotArea>
    </chartFormat>
    <chartFormat chart="0" format="769">
      <pivotArea type="data" outline="0" fieldPosition="0">
        <references count="3">
          <reference field="4294967294" count="1" selected="0">
            <x v="0"/>
          </reference>
          <reference field="0" count="1" selected="0">
            <x v="10"/>
          </reference>
          <reference field="1" count="1" selected="0">
            <x v="78"/>
          </reference>
        </references>
      </pivotArea>
    </chartFormat>
    <chartFormat chart="0" format="770">
      <pivotArea type="data" outline="0" fieldPosition="0">
        <references count="3">
          <reference field="4294967294" count="1" selected="0">
            <x v="0"/>
          </reference>
          <reference field="0" count="1" selected="0">
            <x v="11"/>
          </reference>
          <reference field="1" count="1" selected="0">
            <x v="31"/>
          </reference>
        </references>
      </pivotArea>
    </chartFormat>
    <chartFormat chart="0" format="771">
      <pivotArea type="data" outline="0" fieldPosition="0">
        <references count="3">
          <reference field="4294967294" count="1" selected="0">
            <x v="0"/>
          </reference>
          <reference field="0" count="1" selected="0">
            <x v="11"/>
          </reference>
          <reference field="1" count="1" selected="0">
            <x v="32"/>
          </reference>
        </references>
      </pivotArea>
    </chartFormat>
    <chartFormat chart="0" format="772">
      <pivotArea type="data" outline="0" fieldPosition="0">
        <references count="3">
          <reference field="4294967294" count="1" selected="0">
            <x v="0"/>
          </reference>
          <reference field="0" count="1" selected="0">
            <x v="11"/>
          </reference>
          <reference field="1" count="1" selected="0">
            <x v="33"/>
          </reference>
        </references>
      </pivotArea>
    </chartFormat>
    <chartFormat chart="0" format="773">
      <pivotArea type="data" outline="0" fieldPosition="0">
        <references count="3">
          <reference field="4294967294" count="1" selected="0">
            <x v="0"/>
          </reference>
          <reference field="0" count="1" selected="0">
            <x v="11"/>
          </reference>
          <reference field="1" count="1" selected="0">
            <x v="34"/>
          </reference>
        </references>
      </pivotArea>
    </chartFormat>
    <chartFormat chart="0" format="774">
      <pivotArea type="data" outline="0" fieldPosition="0">
        <references count="3">
          <reference field="4294967294" count="1" selected="0">
            <x v="0"/>
          </reference>
          <reference field="0" count="1" selected="0">
            <x v="11"/>
          </reference>
          <reference field="1" count="1" selected="0">
            <x v="63"/>
          </reference>
        </references>
      </pivotArea>
    </chartFormat>
    <chartFormat chart="0" format="775">
      <pivotArea type="data" outline="0" fieldPosition="0">
        <references count="3">
          <reference field="4294967294" count="1" selected="0">
            <x v="0"/>
          </reference>
          <reference field="0" count="1" selected="0">
            <x v="11"/>
          </reference>
          <reference field="1" count="1" selected="0">
            <x v="64"/>
          </reference>
        </references>
      </pivotArea>
    </chartFormat>
    <chartFormat chart="0" format="776">
      <pivotArea type="data" outline="0" fieldPosition="0">
        <references count="3">
          <reference field="4294967294" count="1" selected="0">
            <x v="0"/>
          </reference>
          <reference field="0" count="1" selected="0">
            <x v="11"/>
          </reference>
          <reference field="1" count="1" selected="0">
            <x v="65"/>
          </reference>
        </references>
      </pivotArea>
    </chartFormat>
    <chartFormat chart="0" format="777">
      <pivotArea type="data" outline="0" fieldPosition="0">
        <references count="3">
          <reference field="4294967294" count="1" selected="0">
            <x v="0"/>
          </reference>
          <reference field="0" count="1" selected="0">
            <x v="11"/>
          </reference>
          <reference field="1" count="1" selected="0">
            <x v="66"/>
          </reference>
        </references>
      </pivotArea>
    </chartFormat>
    <chartFormat chart="0" format="778">
      <pivotArea type="data" outline="0" fieldPosition="0">
        <references count="3">
          <reference field="4294967294" count="1" selected="0">
            <x v="0"/>
          </reference>
          <reference field="0" count="1" selected="0">
            <x v="11"/>
          </reference>
          <reference field="1" count="1" selected="0">
            <x v="67"/>
          </reference>
        </references>
      </pivotArea>
    </chartFormat>
    <chartFormat chart="0" format="779">
      <pivotArea type="data" outline="0" fieldPosition="0">
        <references count="3">
          <reference field="4294967294" count="1" selected="0">
            <x v="0"/>
          </reference>
          <reference field="0" count="1" selected="0">
            <x v="11"/>
          </reference>
          <reference field="1" count="1" selected="0">
            <x v="68"/>
          </reference>
        </references>
      </pivotArea>
    </chartFormat>
    <chartFormat chart="0" format="780">
      <pivotArea type="data" outline="0" fieldPosition="0">
        <references count="3">
          <reference field="4294967294" count="1" selected="0">
            <x v="0"/>
          </reference>
          <reference field="0" count="1" selected="0">
            <x v="11"/>
          </reference>
          <reference field="1" count="1" selected="0">
            <x v="69"/>
          </reference>
        </references>
      </pivotArea>
    </chartFormat>
    <chartFormat chart="0" format="781">
      <pivotArea type="data" outline="0" fieldPosition="0">
        <references count="3">
          <reference field="4294967294" count="1" selected="0">
            <x v="0"/>
          </reference>
          <reference field="0" count="1" selected="0">
            <x v="11"/>
          </reference>
          <reference field="1" count="1" selected="0">
            <x v="70"/>
          </reference>
        </references>
      </pivotArea>
    </chartFormat>
    <chartFormat chart="0" format="782">
      <pivotArea type="data" outline="0" fieldPosition="0">
        <references count="3">
          <reference field="4294967294" count="1" selected="0">
            <x v="0"/>
          </reference>
          <reference field="0" count="1" selected="0">
            <x v="11"/>
          </reference>
          <reference field="1" count="1" selected="0">
            <x v="71"/>
          </reference>
        </references>
      </pivotArea>
    </chartFormat>
    <chartFormat chart="0" format="783">
      <pivotArea type="data" outline="0" fieldPosition="0">
        <references count="3">
          <reference field="4294967294" count="1" selected="0">
            <x v="0"/>
          </reference>
          <reference field="0" count="1" selected="0">
            <x v="11"/>
          </reference>
          <reference field="1" count="1" selected="0">
            <x v="72"/>
          </reference>
        </references>
      </pivotArea>
    </chartFormat>
    <chartFormat chart="0" format="784">
      <pivotArea type="data" outline="0" fieldPosition="0">
        <references count="3">
          <reference field="4294967294" count="1" selected="0">
            <x v="0"/>
          </reference>
          <reference field="0" count="1" selected="0">
            <x v="11"/>
          </reference>
          <reference field="1" count="1" selected="0">
            <x v="73"/>
          </reference>
        </references>
      </pivotArea>
    </chartFormat>
    <chartFormat chart="0" format="785">
      <pivotArea type="data" outline="0" fieldPosition="0">
        <references count="3">
          <reference field="4294967294" count="1" selected="0">
            <x v="0"/>
          </reference>
          <reference field="0" count="1" selected="0">
            <x v="11"/>
          </reference>
          <reference field="1" count="1" selected="0">
            <x v="74"/>
          </reference>
        </references>
      </pivotArea>
    </chartFormat>
    <chartFormat chart="0" format="786">
      <pivotArea type="data" outline="0" fieldPosition="0">
        <references count="3">
          <reference field="4294967294" count="1" selected="0">
            <x v="0"/>
          </reference>
          <reference field="0" count="1" selected="0">
            <x v="11"/>
          </reference>
          <reference field="1" count="1" selected="0">
            <x v="75"/>
          </reference>
        </references>
      </pivotArea>
    </chartFormat>
    <chartFormat chart="0" format="787">
      <pivotArea type="data" outline="0" fieldPosition="0">
        <references count="3">
          <reference field="4294967294" count="1" selected="0">
            <x v="0"/>
          </reference>
          <reference field="0" count="1" selected="0">
            <x v="11"/>
          </reference>
          <reference field="1" count="1" selected="0">
            <x v="76"/>
          </reference>
        </references>
      </pivotArea>
    </chartFormat>
    <chartFormat chart="0" format="788">
      <pivotArea type="data" outline="0" fieldPosition="0">
        <references count="3">
          <reference field="4294967294" count="1" selected="0">
            <x v="0"/>
          </reference>
          <reference field="0" count="1" selected="0">
            <x v="11"/>
          </reference>
          <reference field="1" count="1" selected="0">
            <x v="77"/>
          </reference>
        </references>
      </pivotArea>
    </chartFormat>
    <chartFormat chart="0" format="789">
      <pivotArea type="data" outline="0" fieldPosition="0">
        <references count="3">
          <reference field="4294967294" count="1" selected="0">
            <x v="0"/>
          </reference>
          <reference field="0" count="1" selected="0">
            <x v="11"/>
          </reference>
          <reference field="1" count="1" selected="0">
            <x v="78"/>
          </reference>
        </references>
      </pivotArea>
    </chartFormat>
    <chartFormat chart="0" format="790">
      <pivotArea type="data" outline="0" fieldPosition="0">
        <references count="3">
          <reference field="4294967294" count="1" selected="0">
            <x v="2"/>
          </reference>
          <reference field="0" count="1" selected="0">
            <x v="6"/>
          </reference>
          <reference field="1" count="1" selected="0">
            <x v="41"/>
          </reference>
        </references>
      </pivotArea>
    </chartFormat>
    <chartFormat chart="0" format="791">
      <pivotArea type="data" outline="0" fieldPosition="0">
        <references count="3">
          <reference field="4294967294" count="1" selected="0">
            <x v="2"/>
          </reference>
          <reference field="0" count="1" selected="0">
            <x v="6"/>
          </reference>
          <reference field="1" count="1" selected="0">
            <x v="42"/>
          </reference>
        </references>
      </pivotArea>
    </chartFormat>
    <chartFormat chart="0" format="792">
      <pivotArea type="data" outline="0" fieldPosition="0">
        <references count="3">
          <reference field="4294967294" count="1" selected="0">
            <x v="2"/>
          </reference>
          <reference field="0" count="1" selected="0">
            <x v="6"/>
          </reference>
          <reference field="1" count="1" selected="0">
            <x v="43"/>
          </reference>
        </references>
      </pivotArea>
    </chartFormat>
    <chartFormat chart="0" format="793">
      <pivotArea type="data" outline="0" fieldPosition="0">
        <references count="3">
          <reference field="4294967294" count="1" selected="0">
            <x v="2"/>
          </reference>
          <reference field="0" count="1" selected="0">
            <x v="6"/>
          </reference>
          <reference field="1" count="1" selected="0">
            <x v="44"/>
          </reference>
        </references>
      </pivotArea>
    </chartFormat>
    <chartFormat chart="0" format="794">
      <pivotArea type="data" outline="0" fieldPosition="0">
        <references count="3">
          <reference field="4294967294" count="1" selected="0">
            <x v="2"/>
          </reference>
          <reference field="0" count="1" selected="0">
            <x v="6"/>
          </reference>
          <reference field="1" count="1" selected="0">
            <x v="45"/>
          </reference>
        </references>
      </pivotArea>
    </chartFormat>
    <chartFormat chart="0" format="795">
      <pivotArea type="data" outline="0" fieldPosition="0">
        <references count="3">
          <reference field="4294967294" count="1" selected="0">
            <x v="2"/>
          </reference>
          <reference field="0" count="1" selected="0">
            <x v="6"/>
          </reference>
          <reference field="1" count="1" selected="0">
            <x v="46"/>
          </reference>
        </references>
      </pivotArea>
    </chartFormat>
    <chartFormat chart="0" format="796">
      <pivotArea type="data" outline="0" fieldPosition="0">
        <references count="3">
          <reference field="4294967294" count="1" selected="0">
            <x v="2"/>
          </reference>
          <reference field="0" count="1" selected="0">
            <x v="6"/>
          </reference>
          <reference field="1" count="1" selected="0">
            <x v="47"/>
          </reference>
        </references>
      </pivotArea>
    </chartFormat>
    <chartFormat chart="0" format="797">
      <pivotArea type="data" outline="0" fieldPosition="0">
        <references count="3">
          <reference field="4294967294" count="1" selected="0">
            <x v="2"/>
          </reference>
          <reference field="0" count="1" selected="0">
            <x v="6"/>
          </reference>
          <reference field="1" count="1" selected="0">
            <x v="48"/>
          </reference>
        </references>
      </pivotArea>
    </chartFormat>
    <chartFormat chart="0" format="798">
      <pivotArea type="data" outline="0" fieldPosition="0">
        <references count="3">
          <reference field="4294967294" count="1" selected="0">
            <x v="2"/>
          </reference>
          <reference field="0" count="1" selected="0">
            <x v="6"/>
          </reference>
          <reference field="1" count="1" selected="0">
            <x v="49"/>
          </reference>
        </references>
      </pivotArea>
    </chartFormat>
    <chartFormat chart="0" format="799">
      <pivotArea type="data" outline="0" fieldPosition="0">
        <references count="3">
          <reference field="4294967294" count="1" selected="0">
            <x v="2"/>
          </reference>
          <reference field="0" count="1" selected="0">
            <x v="6"/>
          </reference>
          <reference field="1" count="1" selected="0">
            <x v="50"/>
          </reference>
        </references>
      </pivotArea>
    </chartFormat>
    <chartFormat chart="0" format="800">
      <pivotArea type="data" outline="0" fieldPosition="0">
        <references count="3">
          <reference field="4294967294" count="1" selected="0">
            <x v="2"/>
          </reference>
          <reference field="0" count="1" selected="0">
            <x v="6"/>
          </reference>
          <reference field="1" count="1" selected="0">
            <x v="51"/>
          </reference>
        </references>
      </pivotArea>
    </chartFormat>
    <chartFormat chart="0" format="801">
      <pivotArea type="data" outline="0" fieldPosition="0">
        <references count="3">
          <reference field="4294967294" count="1" selected="0">
            <x v="2"/>
          </reference>
          <reference field="0" count="1" selected="0">
            <x v="6"/>
          </reference>
          <reference field="1" count="1" selected="0">
            <x v="52"/>
          </reference>
        </references>
      </pivotArea>
    </chartFormat>
    <chartFormat chart="0" format="802">
      <pivotArea type="data" outline="0" fieldPosition="0">
        <references count="3">
          <reference field="4294967294" count="1" selected="0">
            <x v="2"/>
          </reference>
          <reference field="0" count="1" selected="0">
            <x v="6"/>
          </reference>
          <reference field="1" count="1" selected="0">
            <x v="53"/>
          </reference>
        </references>
      </pivotArea>
    </chartFormat>
    <chartFormat chart="0" format="803">
      <pivotArea type="data" outline="0" fieldPosition="0">
        <references count="3">
          <reference field="4294967294" count="1" selected="0">
            <x v="2"/>
          </reference>
          <reference field="0" count="1" selected="0">
            <x v="6"/>
          </reference>
          <reference field="1" count="1" selected="0">
            <x v="54"/>
          </reference>
        </references>
      </pivotArea>
    </chartFormat>
    <chartFormat chart="0" format="804">
      <pivotArea type="data" outline="0" fieldPosition="0">
        <references count="3">
          <reference field="4294967294" count="1" selected="0">
            <x v="2"/>
          </reference>
          <reference field="0" count="1" selected="0">
            <x v="6"/>
          </reference>
          <reference field="1" count="1" selected="0">
            <x v="55"/>
          </reference>
        </references>
      </pivotArea>
    </chartFormat>
    <chartFormat chart="0" format="805">
      <pivotArea type="data" outline="0" fieldPosition="0">
        <references count="3">
          <reference field="4294967294" count="1" selected="0">
            <x v="2"/>
          </reference>
          <reference field="0" count="1" selected="0">
            <x v="6"/>
          </reference>
          <reference field="1" count="1" selected="0">
            <x v="56"/>
          </reference>
        </references>
      </pivotArea>
    </chartFormat>
    <chartFormat chart="0" format="806">
      <pivotArea type="data" outline="0" fieldPosition="0">
        <references count="3">
          <reference field="4294967294" count="1" selected="0">
            <x v="2"/>
          </reference>
          <reference field="0" count="1" selected="0">
            <x v="6"/>
          </reference>
          <reference field="1" count="1" selected="0">
            <x v="57"/>
          </reference>
        </references>
      </pivotArea>
    </chartFormat>
    <chartFormat chart="0" format="807">
      <pivotArea type="data" outline="0" fieldPosition="0">
        <references count="3">
          <reference field="4294967294" count="1" selected="0">
            <x v="2"/>
          </reference>
          <reference field="0" count="1" selected="0">
            <x v="6"/>
          </reference>
          <reference field="1" count="1" selected="0">
            <x v="58"/>
          </reference>
        </references>
      </pivotArea>
    </chartFormat>
    <chartFormat chart="0" format="808">
      <pivotArea type="data" outline="0" fieldPosition="0">
        <references count="3">
          <reference field="4294967294" count="1" selected="0">
            <x v="2"/>
          </reference>
          <reference field="0" count="1" selected="0">
            <x v="6"/>
          </reference>
          <reference field="1" count="1" selected="0">
            <x v="59"/>
          </reference>
        </references>
      </pivotArea>
    </chartFormat>
    <chartFormat chart="0" format="809">
      <pivotArea type="data" outline="0" fieldPosition="0">
        <references count="3">
          <reference field="4294967294" count="1" selected="0">
            <x v="2"/>
          </reference>
          <reference field="0" count="1" selected="0">
            <x v="6"/>
          </reference>
          <reference field="1" count="1" selected="0">
            <x v="60"/>
          </reference>
        </references>
      </pivotArea>
    </chartFormat>
    <chartFormat chart="0" format="810">
      <pivotArea type="data" outline="0" fieldPosition="0">
        <references count="3">
          <reference field="4294967294" count="1" selected="0">
            <x v="2"/>
          </reference>
          <reference field="0" count="1" selected="0">
            <x v="6"/>
          </reference>
          <reference field="1" count="1" selected="0">
            <x v="61"/>
          </reference>
        </references>
      </pivotArea>
    </chartFormat>
    <chartFormat chart="0" format="811">
      <pivotArea type="data" outline="0" fieldPosition="0">
        <references count="3">
          <reference field="4294967294" count="1" selected="0">
            <x v="2"/>
          </reference>
          <reference field="0" count="1" selected="0">
            <x v="6"/>
          </reference>
          <reference field="1" count="1" selected="0">
            <x v="62"/>
          </reference>
        </references>
      </pivotArea>
    </chartFormat>
    <chartFormat chart="0" format="812">
      <pivotArea type="data" outline="0" fieldPosition="0">
        <references count="3">
          <reference field="4294967294" count="1" selected="0">
            <x v="2"/>
          </reference>
          <reference field="0" count="1" selected="0">
            <x v="6"/>
          </reference>
          <reference field="1" count="1" selected="0">
            <x v="73"/>
          </reference>
        </references>
      </pivotArea>
    </chartFormat>
    <chartFormat chart="0" format="813">
      <pivotArea type="data" outline="0" fieldPosition="0">
        <references count="3">
          <reference field="4294967294" count="1" selected="0">
            <x v="2"/>
          </reference>
          <reference field="0" count="1" selected="0">
            <x v="6"/>
          </reference>
          <reference field="1" count="1" selected="0">
            <x v="74"/>
          </reference>
        </references>
      </pivotArea>
    </chartFormat>
    <chartFormat chart="0" format="814">
      <pivotArea type="data" outline="0" fieldPosition="0">
        <references count="3">
          <reference field="4294967294" count="1" selected="0">
            <x v="2"/>
          </reference>
          <reference field="0" count="1" selected="0">
            <x v="6"/>
          </reference>
          <reference field="1" count="1" selected="0">
            <x v="75"/>
          </reference>
        </references>
      </pivotArea>
    </chartFormat>
    <chartFormat chart="0" format="815">
      <pivotArea type="data" outline="0" fieldPosition="0">
        <references count="3">
          <reference field="4294967294" count="1" selected="0">
            <x v="2"/>
          </reference>
          <reference field="0" count="1" selected="0">
            <x v="6"/>
          </reference>
          <reference field="1" count="1" selected="0">
            <x v="76"/>
          </reference>
        </references>
      </pivotArea>
    </chartFormat>
    <chartFormat chart="0" format="816">
      <pivotArea type="data" outline="0" fieldPosition="0">
        <references count="3">
          <reference field="4294967294" count="1" selected="0">
            <x v="2"/>
          </reference>
          <reference field="0" count="1" selected="0">
            <x v="6"/>
          </reference>
          <reference field="1" count="1" selected="0">
            <x v="77"/>
          </reference>
        </references>
      </pivotArea>
    </chartFormat>
    <chartFormat chart="0" format="817">
      <pivotArea type="data" outline="0" fieldPosition="0">
        <references count="3">
          <reference field="4294967294" count="1" selected="0">
            <x v="2"/>
          </reference>
          <reference field="0" count="1" selected="0">
            <x v="6"/>
          </reference>
          <reference field="1" count="1" selected="0">
            <x v="78"/>
          </reference>
        </references>
      </pivotArea>
    </chartFormat>
    <chartFormat chart="0" format="818">
      <pivotArea type="data" outline="0" fieldPosition="0">
        <references count="3">
          <reference field="4294967294" count="1" selected="0">
            <x v="2"/>
          </reference>
          <reference field="0" count="1" selected="0">
            <x v="7"/>
          </reference>
          <reference field="1" count="1" selected="0">
            <x v="31"/>
          </reference>
        </references>
      </pivotArea>
    </chartFormat>
    <chartFormat chart="0" format="819">
      <pivotArea type="data" outline="0" fieldPosition="0">
        <references count="3">
          <reference field="4294967294" count="1" selected="0">
            <x v="2"/>
          </reference>
          <reference field="0" count="1" selected="0">
            <x v="7"/>
          </reference>
          <reference field="1" count="1" selected="0">
            <x v="32"/>
          </reference>
        </references>
      </pivotArea>
    </chartFormat>
    <chartFormat chart="0" format="820">
      <pivotArea type="data" outline="0" fieldPosition="0">
        <references count="3">
          <reference field="4294967294" count="1" selected="0">
            <x v="2"/>
          </reference>
          <reference field="0" count="1" selected="0">
            <x v="7"/>
          </reference>
          <reference field="1" count="1" selected="0">
            <x v="33"/>
          </reference>
        </references>
      </pivotArea>
    </chartFormat>
    <chartFormat chart="0" format="821">
      <pivotArea type="data" outline="0" fieldPosition="0">
        <references count="3">
          <reference field="4294967294" count="1" selected="0">
            <x v="2"/>
          </reference>
          <reference field="0" count="1" selected="0">
            <x v="7"/>
          </reference>
          <reference field="1" count="1" selected="0">
            <x v="34"/>
          </reference>
        </references>
      </pivotArea>
    </chartFormat>
    <chartFormat chart="0" format="822">
      <pivotArea type="data" outline="0" fieldPosition="0">
        <references count="3">
          <reference field="4294967294" count="1" selected="0">
            <x v="2"/>
          </reference>
          <reference field="0" count="1" selected="0">
            <x v="7"/>
          </reference>
          <reference field="1" count="1" selected="0">
            <x v="35"/>
          </reference>
        </references>
      </pivotArea>
    </chartFormat>
    <chartFormat chart="0" format="823">
      <pivotArea type="data" outline="0" fieldPosition="0">
        <references count="3">
          <reference field="4294967294" count="1" selected="0">
            <x v="2"/>
          </reference>
          <reference field="0" count="1" selected="0">
            <x v="7"/>
          </reference>
          <reference field="1" count="1" selected="0">
            <x v="36"/>
          </reference>
        </references>
      </pivotArea>
    </chartFormat>
    <chartFormat chart="0" format="824">
      <pivotArea type="data" outline="0" fieldPosition="0">
        <references count="3">
          <reference field="4294967294" count="1" selected="0">
            <x v="2"/>
          </reference>
          <reference field="0" count="1" selected="0">
            <x v="7"/>
          </reference>
          <reference field="1" count="1" selected="0">
            <x v="37"/>
          </reference>
        </references>
      </pivotArea>
    </chartFormat>
    <chartFormat chart="0" format="825">
      <pivotArea type="data" outline="0" fieldPosition="0">
        <references count="3">
          <reference field="4294967294" count="1" selected="0">
            <x v="2"/>
          </reference>
          <reference field="0" count="1" selected="0">
            <x v="7"/>
          </reference>
          <reference field="1" count="1" selected="0">
            <x v="38"/>
          </reference>
        </references>
      </pivotArea>
    </chartFormat>
    <chartFormat chart="0" format="826">
      <pivotArea type="data" outline="0" fieldPosition="0">
        <references count="3">
          <reference field="4294967294" count="1" selected="0">
            <x v="2"/>
          </reference>
          <reference field="0" count="1" selected="0">
            <x v="7"/>
          </reference>
          <reference field="1" count="1" selected="0">
            <x v="39"/>
          </reference>
        </references>
      </pivotArea>
    </chartFormat>
    <chartFormat chart="0" format="827">
      <pivotArea type="data" outline="0" fieldPosition="0">
        <references count="3">
          <reference field="4294967294" count="1" selected="0">
            <x v="2"/>
          </reference>
          <reference field="0" count="1" selected="0">
            <x v="7"/>
          </reference>
          <reference field="1" count="1" selected="0">
            <x v="40"/>
          </reference>
        </references>
      </pivotArea>
    </chartFormat>
    <chartFormat chart="0" format="828">
      <pivotArea type="data" outline="0" fieldPosition="0">
        <references count="3">
          <reference field="4294967294" count="1" selected="0">
            <x v="2"/>
          </reference>
          <reference field="0" count="1" selected="0">
            <x v="7"/>
          </reference>
          <reference field="1" count="1" selected="0">
            <x v="41"/>
          </reference>
        </references>
      </pivotArea>
    </chartFormat>
    <chartFormat chart="0" format="829">
      <pivotArea type="data" outline="0" fieldPosition="0">
        <references count="3">
          <reference field="4294967294" count="1" selected="0">
            <x v="2"/>
          </reference>
          <reference field="0" count="1" selected="0">
            <x v="7"/>
          </reference>
          <reference field="1" count="1" selected="0">
            <x v="42"/>
          </reference>
        </references>
      </pivotArea>
    </chartFormat>
    <chartFormat chart="0" format="830">
      <pivotArea type="data" outline="0" fieldPosition="0">
        <references count="3">
          <reference field="4294967294" count="1" selected="0">
            <x v="2"/>
          </reference>
          <reference field="0" count="1" selected="0">
            <x v="7"/>
          </reference>
          <reference field="1" count="1" selected="0">
            <x v="43"/>
          </reference>
        </references>
      </pivotArea>
    </chartFormat>
    <chartFormat chart="0" format="831">
      <pivotArea type="data" outline="0" fieldPosition="0">
        <references count="3">
          <reference field="4294967294" count="1" selected="0">
            <x v="2"/>
          </reference>
          <reference field="0" count="1" selected="0">
            <x v="7"/>
          </reference>
          <reference field="1" count="1" selected="0">
            <x v="44"/>
          </reference>
        </references>
      </pivotArea>
    </chartFormat>
    <chartFormat chart="0" format="832">
      <pivotArea type="data" outline="0" fieldPosition="0">
        <references count="3">
          <reference field="4294967294" count="1" selected="0">
            <x v="2"/>
          </reference>
          <reference field="0" count="1" selected="0">
            <x v="7"/>
          </reference>
          <reference field="1" count="1" selected="0">
            <x v="45"/>
          </reference>
        </references>
      </pivotArea>
    </chartFormat>
    <chartFormat chart="0" format="833">
      <pivotArea type="data" outline="0" fieldPosition="0">
        <references count="3">
          <reference field="4294967294" count="1" selected="0">
            <x v="2"/>
          </reference>
          <reference field="0" count="1" selected="0">
            <x v="7"/>
          </reference>
          <reference field="1" count="1" selected="0">
            <x v="46"/>
          </reference>
        </references>
      </pivotArea>
    </chartFormat>
    <chartFormat chart="0" format="834">
      <pivotArea type="data" outline="0" fieldPosition="0">
        <references count="3">
          <reference field="4294967294" count="1" selected="0">
            <x v="2"/>
          </reference>
          <reference field="0" count="1" selected="0">
            <x v="7"/>
          </reference>
          <reference field="1" count="1" selected="0">
            <x v="47"/>
          </reference>
        </references>
      </pivotArea>
    </chartFormat>
    <chartFormat chart="0" format="835">
      <pivotArea type="data" outline="0" fieldPosition="0">
        <references count="3">
          <reference field="4294967294" count="1" selected="0">
            <x v="2"/>
          </reference>
          <reference field="0" count="1" selected="0">
            <x v="7"/>
          </reference>
          <reference field="1" count="1" selected="0">
            <x v="48"/>
          </reference>
        </references>
      </pivotArea>
    </chartFormat>
    <chartFormat chart="0" format="836">
      <pivotArea type="data" outline="0" fieldPosition="0">
        <references count="3">
          <reference field="4294967294" count="1" selected="0">
            <x v="2"/>
          </reference>
          <reference field="0" count="1" selected="0">
            <x v="7"/>
          </reference>
          <reference field="1" count="1" selected="0">
            <x v="49"/>
          </reference>
        </references>
      </pivotArea>
    </chartFormat>
    <chartFormat chart="0" format="837">
      <pivotArea type="data" outline="0" fieldPosition="0">
        <references count="3">
          <reference field="4294967294" count="1" selected="0">
            <x v="2"/>
          </reference>
          <reference field="0" count="1" selected="0">
            <x v="7"/>
          </reference>
          <reference field="1" count="1" selected="0">
            <x v="50"/>
          </reference>
        </references>
      </pivotArea>
    </chartFormat>
    <chartFormat chart="0" format="838">
      <pivotArea type="data" outline="0" fieldPosition="0">
        <references count="3">
          <reference field="4294967294" count="1" selected="0">
            <x v="2"/>
          </reference>
          <reference field="0" count="1" selected="0">
            <x v="7"/>
          </reference>
          <reference field="1" count="1" selected="0">
            <x v="51"/>
          </reference>
        </references>
      </pivotArea>
    </chartFormat>
    <chartFormat chart="0" format="839">
      <pivotArea type="data" outline="0" fieldPosition="0">
        <references count="3">
          <reference field="4294967294" count="1" selected="0">
            <x v="2"/>
          </reference>
          <reference field="0" count="1" selected="0">
            <x v="7"/>
          </reference>
          <reference field="1" count="1" selected="0">
            <x v="52"/>
          </reference>
        </references>
      </pivotArea>
    </chartFormat>
    <chartFormat chart="0" format="840">
      <pivotArea type="data" outline="0" fieldPosition="0">
        <references count="3">
          <reference field="4294967294" count="1" selected="0">
            <x v="2"/>
          </reference>
          <reference field="0" count="1" selected="0">
            <x v="7"/>
          </reference>
          <reference field="1" count="1" selected="0">
            <x v="53"/>
          </reference>
        </references>
      </pivotArea>
    </chartFormat>
    <chartFormat chart="0" format="841">
      <pivotArea type="data" outline="0" fieldPosition="0">
        <references count="3">
          <reference field="4294967294" count="1" selected="0">
            <x v="2"/>
          </reference>
          <reference field="0" count="1" selected="0">
            <x v="7"/>
          </reference>
          <reference field="1" count="1" selected="0">
            <x v="54"/>
          </reference>
        </references>
      </pivotArea>
    </chartFormat>
    <chartFormat chart="0" format="842">
      <pivotArea type="data" outline="0" fieldPosition="0">
        <references count="3">
          <reference field="4294967294" count="1" selected="0">
            <x v="2"/>
          </reference>
          <reference field="0" count="1" selected="0">
            <x v="7"/>
          </reference>
          <reference field="1" count="1" selected="0">
            <x v="55"/>
          </reference>
        </references>
      </pivotArea>
    </chartFormat>
    <chartFormat chart="0" format="843">
      <pivotArea type="data" outline="0" fieldPosition="0">
        <references count="3">
          <reference field="4294967294" count="1" selected="0">
            <x v="2"/>
          </reference>
          <reference field="0" count="1" selected="0">
            <x v="7"/>
          </reference>
          <reference field="1" count="1" selected="0">
            <x v="56"/>
          </reference>
        </references>
      </pivotArea>
    </chartFormat>
    <chartFormat chart="0" format="844">
      <pivotArea type="data" outline="0" fieldPosition="0">
        <references count="3">
          <reference field="4294967294" count="1" selected="0">
            <x v="2"/>
          </reference>
          <reference field="0" count="1" selected="0">
            <x v="7"/>
          </reference>
          <reference field="1" count="1" selected="0">
            <x v="57"/>
          </reference>
        </references>
      </pivotArea>
    </chartFormat>
    <chartFormat chart="0" format="845">
      <pivotArea type="data" outline="0" fieldPosition="0">
        <references count="3">
          <reference field="4294967294" count="1" selected="0">
            <x v="2"/>
          </reference>
          <reference field="0" count="1" selected="0">
            <x v="7"/>
          </reference>
          <reference field="1" count="1" selected="0">
            <x v="58"/>
          </reference>
        </references>
      </pivotArea>
    </chartFormat>
    <chartFormat chart="0" format="846">
      <pivotArea type="data" outline="0" fieldPosition="0">
        <references count="3">
          <reference field="4294967294" count="1" selected="0">
            <x v="2"/>
          </reference>
          <reference field="0" count="1" selected="0">
            <x v="7"/>
          </reference>
          <reference field="1" count="1" selected="0">
            <x v="59"/>
          </reference>
        </references>
      </pivotArea>
    </chartFormat>
    <chartFormat chart="0" format="847">
      <pivotArea type="data" outline="0" fieldPosition="0">
        <references count="3">
          <reference field="4294967294" count="1" selected="0">
            <x v="2"/>
          </reference>
          <reference field="0" count="1" selected="0">
            <x v="7"/>
          </reference>
          <reference field="1" count="1" selected="0">
            <x v="60"/>
          </reference>
        </references>
      </pivotArea>
    </chartFormat>
    <chartFormat chart="0" format="848">
      <pivotArea type="data" outline="0" fieldPosition="0">
        <references count="3">
          <reference field="4294967294" count="1" selected="0">
            <x v="2"/>
          </reference>
          <reference field="0" count="1" selected="0">
            <x v="7"/>
          </reference>
          <reference field="1" count="1" selected="0">
            <x v="61"/>
          </reference>
        </references>
      </pivotArea>
    </chartFormat>
    <chartFormat chart="0" format="849">
      <pivotArea type="data" outline="0" fieldPosition="0">
        <references count="3">
          <reference field="4294967294" count="1" selected="0">
            <x v="2"/>
          </reference>
          <reference field="0" count="1" selected="0">
            <x v="7"/>
          </reference>
          <reference field="1" count="1" selected="0">
            <x v="62"/>
          </reference>
        </references>
      </pivotArea>
    </chartFormat>
    <chartFormat chart="0" format="850">
      <pivotArea type="data" outline="0" fieldPosition="0">
        <references count="3">
          <reference field="4294967294" count="1" selected="0">
            <x v="2"/>
          </reference>
          <reference field="0" count="1" selected="0">
            <x v="7"/>
          </reference>
          <reference field="1" count="1" selected="0">
            <x v="63"/>
          </reference>
        </references>
      </pivotArea>
    </chartFormat>
    <chartFormat chart="0" format="851">
      <pivotArea type="data" outline="0" fieldPosition="0">
        <references count="3">
          <reference field="4294967294" count="1" selected="0">
            <x v="2"/>
          </reference>
          <reference field="0" count="1" selected="0">
            <x v="7"/>
          </reference>
          <reference field="1" count="1" selected="0">
            <x v="64"/>
          </reference>
        </references>
      </pivotArea>
    </chartFormat>
    <chartFormat chart="0" format="852">
      <pivotArea type="data" outline="0" fieldPosition="0">
        <references count="3">
          <reference field="4294967294" count="1" selected="0">
            <x v="2"/>
          </reference>
          <reference field="0" count="1" selected="0">
            <x v="7"/>
          </reference>
          <reference field="1" count="1" selected="0">
            <x v="65"/>
          </reference>
        </references>
      </pivotArea>
    </chartFormat>
    <chartFormat chart="0" format="853">
      <pivotArea type="data" outline="0" fieldPosition="0">
        <references count="3">
          <reference field="4294967294" count="1" selected="0">
            <x v="2"/>
          </reference>
          <reference field="0" count="1" selected="0">
            <x v="7"/>
          </reference>
          <reference field="1" count="1" selected="0">
            <x v="66"/>
          </reference>
        </references>
      </pivotArea>
    </chartFormat>
    <chartFormat chart="0" format="854">
      <pivotArea type="data" outline="0" fieldPosition="0">
        <references count="3">
          <reference field="4294967294" count="1" selected="0">
            <x v="2"/>
          </reference>
          <reference field="0" count="1" selected="0">
            <x v="7"/>
          </reference>
          <reference field="1" count="1" selected="0">
            <x v="67"/>
          </reference>
        </references>
      </pivotArea>
    </chartFormat>
    <chartFormat chart="0" format="855">
      <pivotArea type="data" outline="0" fieldPosition="0">
        <references count="3">
          <reference field="4294967294" count="1" selected="0">
            <x v="2"/>
          </reference>
          <reference field="0" count="1" selected="0">
            <x v="7"/>
          </reference>
          <reference field="1" count="1" selected="0">
            <x v="68"/>
          </reference>
        </references>
      </pivotArea>
    </chartFormat>
    <chartFormat chart="0" format="856">
      <pivotArea type="data" outline="0" fieldPosition="0">
        <references count="3">
          <reference field="4294967294" count="1" selected="0">
            <x v="2"/>
          </reference>
          <reference field="0" count="1" selected="0">
            <x v="7"/>
          </reference>
          <reference field="1" count="1" selected="0">
            <x v="69"/>
          </reference>
        </references>
      </pivotArea>
    </chartFormat>
    <chartFormat chart="0" format="857">
      <pivotArea type="data" outline="0" fieldPosition="0">
        <references count="3">
          <reference field="4294967294" count="1" selected="0">
            <x v="2"/>
          </reference>
          <reference field="0" count="1" selected="0">
            <x v="7"/>
          </reference>
          <reference field="1" count="1" selected="0">
            <x v="70"/>
          </reference>
        </references>
      </pivotArea>
    </chartFormat>
    <chartFormat chart="0" format="858">
      <pivotArea type="data" outline="0" fieldPosition="0">
        <references count="3">
          <reference field="4294967294" count="1" selected="0">
            <x v="2"/>
          </reference>
          <reference field="0" count="1" selected="0">
            <x v="7"/>
          </reference>
          <reference field="1" count="1" selected="0">
            <x v="71"/>
          </reference>
        </references>
      </pivotArea>
    </chartFormat>
    <chartFormat chart="0" format="859">
      <pivotArea type="data" outline="0" fieldPosition="0">
        <references count="3">
          <reference field="4294967294" count="1" selected="0">
            <x v="2"/>
          </reference>
          <reference field="0" count="1" selected="0">
            <x v="7"/>
          </reference>
          <reference field="1" count="1" selected="0">
            <x v="72"/>
          </reference>
        </references>
      </pivotArea>
    </chartFormat>
    <chartFormat chart="0" format="860">
      <pivotArea type="data" outline="0" fieldPosition="0">
        <references count="3">
          <reference field="4294967294" count="1" selected="0">
            <x v="2"/>
          </reference>
          <reference field="0" count="1" selected="0">
            <x v="7"/>
          </reference>
          <reference field="1" count="1" selected="0">
            <x v="73"/>
          </reference>
        </references>
      </pivotArea>
    </chartFormat>
    <chartFormat chart="0" format="861">
      <pivotArea type="data" outline="0" fieldPosition="0">
        <references count="3">
          <reference field="4294967294" count="1" selected="0">
            <x v="2"/>
          </reference>
          <reference field="0" count="1" selected="0">
            <x v="7"/>
          </reference>
          <reference field="1" count="1" selected="0">
            <x v="74"/>
          </reference>
        </references>
      </pivotArea>
    </chartFormat>
    <chartFormat chart="0" format="862">
      <pivotArea type="data" outline="0" fieldPosition="0">
        <references count="3">
          <reference field="4294967294" count="1" selected="0">
            <x v="2"/>
          </reference>
          <reference field="0" count="1" selected="0">
            <x v="7"/>
          </reference>
          <reference field="1" count="1" selected="0">
            <x v="75"/>
          </reference>
        </references>
      </pivotArea>
    </chartFormat>
    <chartFormat chart="0" format="863">
      <pivotArea type="data" outline="0" fieldPosition="0">
        <references count="3">
          <reference field="4294967294" count="1" selected="0">
            <x v="2"/>
          </reference>
          <reference field="0" count="1" selected="0">
            <x v="7"/>
          </reference>
          <reference field="1" count="1" selected="0">
            <x v="76"/>
          </reference>
        </references>
      </pivotArea>
    </chartFormat>
    <chartFormat chart="0" format="864">
      <pivotArea type="data" outline="0" fieldPosition="0">
        <references count="3">
          <reference field="4294967294" count="1" selected="0">
            <x v="2"/>
          </reference>
          <reference field="0" count="1" selected="0">
            <x v="7"/>
          </reference>
          <reference field="1" count="1" selected="0">
            <x v="77"/>
          </reference>
        </references>
      </pivotArea>
    </chartFormat>
    <chartFormat chart="0" format="865">
      <pivotArea type="data" outline="0" fieldPosition="0">
        <references count="3">
          <reference field="4294967294" count="1" selected="0">
            <x v="2"/>
          </reference>
          <reference field="0" count="1" selected="0">
            <x v="7"/>
          </reference>
          <reference field="1" count="1" selected="0">
            <x v="78"/>
          </reference>
        </references>
      </pivotArea>
    </chartFormat>
    <chartFormat chart="0" format="866">
      <pivotArea type="data" outline="0" fieldPosition="0">
        <references count="3">
          <reference field="4294967294" count="1" selected="0">
            <x v="2"/>
          </reference>
          <reference field="0" count="1" selected="0">
            <x v="8"/>
          </reference>
          <reference field="1" count="1" selected="0">
            <x v="31"/>
          </reference>
        </references>
      </pivotArea>
    </chartFormat>
    <chartFormat chart="0" format="867">
      <pivotArea type="data" outline="0" fieldPosition="0">
        <references count="3">
          <reference field="4294967294" count="1" selected="0">
            <x v="2"/>
          </reference>
          <reference field="0" count="1" selected="0">
            <x v="8"/>
          </reference>
          <reference field="1" count="1" selected="0">
            <x v="32"/>
          </reference>
        </references>
      </pivotArea>
    </chartFormat>
    <chartFormat chart="0" format="868">
      <pivotArea type="data" outline="0" fieldPosition="0">
        <references count="3">
          <reference field="4294967294" count="1" selected="0">
            <x v="2"/>
          </reference>
          <reference field="0" count="1" selected="0">
            <x v="8"/>
          </reference>
          <reference field="1" count="1" selected="0">
            <x v="33"/>
          </reference>
        </references>
      </pivotArea>
    </chartFormat>
    <chartFormat chart="0" format="869">
      <pivotArea type="data" outline="0" fieldPosition="0">
        <references count="3">
          <reference field="4294967294" count="1" selected="0">
            <x v="2"/>
          </reference>
          <reference field="0" count="1" selected="0">
            <x v="8"/>
          </reference>
          <reference field="1" count="1" selected="0">
            <x v="34"/>
          </reference>
        </references>
      </pivotArea>
    </chartFormat>
    <chartFormat chart="0" format="870">
      <pivotArea type="data" outline="0" fieldPosition="0">
        <references count="3">
          <reference field="4294967294" count="1" selected="0">
            <x v="2"/>
          </reference>
          <reference field="0" count="1" selected="0">
            <x v="8"/>
          </reference>
          <reference field="1" count="1" selected="0">
            <x v="35"/>
          </reference>
        </references>
      </pivotArea>
    </chartFormat>
    <chartFormat chart="0" format="871">
      <pivotArea type="data" outline="0" fieldPosition="0">
        <references count="3">
          <reference field="4294967294" count="1" selected="0">
            <x v="2"/>
          </reference>
          <reference field="0" count="1" selected="0">
            <x v="8"/>
          </reference>
          <reference field="1" count="1" selected="0">
            <x v="36"/>
          </reference>
        </references>
      </pivotArea>
    </chartFormat>
    <chartFormat chart="0" format="872">
      <pivotArea type="data" outline="0" fieldPosition="0">
        <references count="3">
          <reference field="4294967294" count="1" selected="0">
            <x v="2"/>
          </reference>
          <reference field="0" count="1" selected="0">
            <x v="8"/>
          </reference>
          <reference field="1" count="1" selected="0">
            <x v="37"/>
          </reference>
        </references>
      </pivotArea>
    </chartFormat>
    <chartFormat chart="0" format="873">
      <pivotArea type="data" outline="0" fieldPosition="0">
        <references count="3">
          <reference field="4294967294" count="1" selected="0">
            <x v="2"/>
          </reference>
          <reference field="0" count="1" selected="0">
            <x v="8"/>
          </reference>
          <reference field="1" count="1" selected="0">
            <x v="38"/>
          </reference>
        </references>
      </pivotArea>
    </chartFormat>
    <chartFormat chart="0" format="874">
      <pivotArea type="data" outline="0" fieldPosition="0">
        <references count="3">
          <reference field="4294967294" count="1" selected="0">
            <x v="2"/>
          </reference>
          <reference field="0" count="1" selected="0">
            <x v="8"/>
          </reference>
          <reference field="1" count="1" selected="0">
            <x v="39"/>
          </reference>
        </references>
      </pivotArea>
    </chartFormat>
    <chartFormat chart="0" format="875">
      <pivotArea type="data" outline="0" fieldPosition="0">
        <references count="3">
          <reference field="4294967294" count="1" selected="0">
            <x v="2"/>
          </reference>
          <reference field="0" count="1" selected="0">
            <x v="8"/>
          </reference>
          <reference field="1" count="1" selected="0">
            <x v="40"/>
          </reference>
        </references>
      </pivotArea>
    </chartFormat>
    <chartFormat chart="0" format="876">
      <pivotArea type="data" outline="0" fieldPosition="0">
        <references count="3">
          <reference field="4294967294" count="1" selected="0">
            <x v="2"/>
          </reference>
          <reference field="0" count="1" selected="0">
            <x v="8"/>
          </reference>
          <reference field="1" count="1" selected="0">
            <x v="41"/>
          </reference>
        </references>
      </pivotArea>
    </chartFormat>
    <chartFormat chart="0" format="877">
      <pivotArea type="data" outline="0" fieldPosition="0">
        <references count="3">
          <reference field="4294967294" count="1" selected="0">
            <x v="2"/>
          </reference>
          <reference field="0" count="1" selected="0">
            <x v="8"/>
          </reference>
          <reference field="1" count="1" selected="0">
            <x v="42"/>
          </reference>
        </references>
      </pivotArea>
    </chartFormat>
    <chartFormat chart="0" format="878">
      <pivotArea type="data" outline="0" fieldPosition="0">
        <references count="3">
          <reference field="4294967294" count="1" selected="0">
            <x v="2"/>
          </reference>
          <reference field="0" count="1" selected="0">
            <x v="8"/>
          </reference>
          <reference field="1" count="1" selected="0">
            <x v="43"/>
          </reference>
        </references>
      </pivotArea>
    </chartFormat>
    <chartFormat chart="0" format="879">
      <pivotArea type="data" outline="0" fieldPosition="0">
        <references count="3">
          <reference field="4294967294" count="1" selected="0">
            <x v="2"/>
          </reference>
          <reference field="0" count="1" selected="0">
            <x v="8"/>
          </reference>
          <reference field="1" count="1" selected="0">
            <x v="44"/>
          </reference>
        </references>
      </pivotArea>
    </chartFormat>
    <chartFormat chart="0" format="880">
      <pivotArea type="data" outline="0" fieldPosition="0">
        <references count="3">
          <reference field="4294967294" count="1" selected="0">
            <x v="2"/>
          </reference>
          <reference field="0" count="1" selected="0">
            <x v="8"/>
          </reference>
          <reference field="1" count="1" selected="0">
            <x v="45"/>
          </reference>
        </references>
      </pivotArea>
    </chartFormat>
    <chartFormat chart="0" format="881">
      <pivotArea type="data" outline="0" fieldPosition="0">
        <references count="3">
          <reference field="4294967294" count="1" selected="0">
            <x v="2"/>
          </reference>
          <reference field="0" count="1" selected="0">
            <x v="8"/>
          </reference>
          <reference field="1" count="1" selected="0">
            <x v="46"/>
          </reference>
        </references>
      </pivotArea>
    </chartFormat>
    <chartFormat chart="0" format="882">
      <pivotArea type="data" outline="0" fieldPosition="0">
        <references count="3">
          <reference field="4294967294" count="1" selected="0">
            <x v="2"/>
          </reference>
          <reference field="0" count="1" selected="0">
            <x v="8"/>
          </reference>
          <reference field="1" count="1" selected="0">
            <x v="47"/>
          </reference>
        </references>
      </pivotArea>
    </chartFormat>
    <chartFormat chart="0" format="883">
      <pivotArea type="data" outline="0" fieldPosition="0">
        <references count="3">
          <reference field="4294967294" count="1" selected="0">
            <x v="2"/>
          </reference>
          <reference field="0" count="1" selected="0">
            <x v="8"/>
          </reference>
          <reference field="1" count="1" selected="0">
            <x v="48"/>
          </reference>
        </references>
      </pivotArea>
    </chartFormat>
    <chartFormat chart="0" format="884">
      <pivotArea type="data" outline="0" fieldPosition="0">
        <references count="3">
          <reference field="4294967294" count="1" selected="0">
            <x v="2"/>
          </reference>
          <reference field="0" count="1" selected="0">
            <x v="8"/>
          </reference>
          <reference field="1" count="1" selected="0">
            <x v="49"/>
          </reference>
        </references>
      </pivotArea>
    </chartFormat>
    <chartFormat chart="0" format="885">
      <pivotArea type="data" outline="0" fieldPosition="0">
        <references count="3">
          <reference field="4294967294" count="1" selected="0">
            <x v="2"/>
          </reference>
          <reference field="0" count="1" selected="0">
            <x v="8"/>
          </reference>
          <reference field="1" count="1" selected="0">
            <x v="50"/>
          </reference>
        </references>
      </pivotArea>
    </chartFormat>
    <chartFormat chart="0" format="886">
      <pivotArea type="data" outline="0" fieldPosition="0">
        <references count="3">
          <reference field="4294967294" count="1" selected="0">
            <x v="2"/>
          </reference>
          <reference field="0" count="1" selected="0">
            <x v="8"/>
          </reference>
          <reference field="1" count="1" selected="0">
            <x v="51"/>
          </reference>
        </references>
      </pivotArea>
    </chartFormat>
    <chartFormat chart="0" format="887">
      <pivotArea type="data" outline="0" fieldPosition="0">
        <references count="3">
          <reference field="4294967294" count="1" selected="0">
            <x v="2"/>
          </reference>
          <reference field="0" count="1" selected="0">
            <x v="8"/>
          </reference>
          <reference field="1" count="1" selected="0">
            <x v="52"/>
          </reference>
        </references>
      </pivotArea>
    </chartFormat>
    <chartFormat chart="0" format="888">
      <pivotArea type="data" outline="0" fieldPosition="0">
        <references count="3">
          <reference field="4294967294" count="1" selected="0">
            <x v="2"/>
          </reference>
          <reference field="0" count="1" selected="0">
            <x v="8"/>
          </reference>
          <reference field="1" count="1" selected="0">
            <x v="53"/>
          </reference>
        </references>
      </pivotArea>
    </chartFormat>
    <chartFormat chart="0" format="889">
      <pivotArea type="data" outline="0" fieldPosition="0">
        <references count="3">
          <reference field="4294967294" count="1" selected="0">
            <x v="2"/>
          </reference>
          <reference field="0" count="1" selected="0">
            <x v="8"/>
          </reference>
          <reference field="1" count="1" selected="0">
            <x v="54"/>
          </reference>
        </references>
      </pivotArea>
    </chartFormat>
    <chartFormat chart="0" format="890">
      <pivotArea type="data" outline="0" fieldPosition="0">
        <references count="3">
          <reference field="4294967294" count="1" selected="0">
            <x v="2"/>
          </reference>
          <reference field="0" count="1" selected="0">
            <x v="8"/>
          </reference>
          <reference field="1" count="1" selected="0">
            <x v="55"/>
          </reference>
        </references>
      </pivotArea>
    </chartFormat>
    <chartFormat chart="0" format="891">
      <pivotArea type="data" outline="0" fieldPosition="0">
        <references count="3">
          <reference field="4294967294" count="1" selected="0">
            <x v="2"/>
          </reference>
          <reference field="0" count="1" selected="0">
            <x v="8"/>
          </reference>
          <reference field="1" count="1" selected="0">
            <x v="56"/>
          </reference>
        </references>
      </pivotArea>
    </chartFormat>
    <chartFormat chart="0" format="892">
      <pivotArea type="data" outline="0" fieldPosition="0">
        <references count="3">
          <reference field="4294967294" count="1" selected="0">
            <x v="2"/>
          </reference>
          <reference field="0" count="1" selected="0">
            <x v="8"/>
          </reference>
          <reference field="1" count="1" selected="0">
            <x v="57"/>
          </reference>
        </references>
      </pivotArea>
    </chartFormat>
    <chartFormat chart="0" format="893">
      <pivotArea type="data" outline="0" fieldPosition="0">
        <references count="3">
          <reference field="4294967294" count="1" selected="0">
            <x v="2"/>
          </reference>
          <reference field="0" count="1" selected="0">
            <x v="8"/>
          </reference>
          <reference field="1" count="1" selected="0">
            <x v="58"/>
          </reference>
        </references>
      </pivotArea>
    </chartFormat>
    <chartFormat chart="0" format="894">
      <pivotArea type="data" outline="0" fieldPosition="0">
        <references count="3">
          <reference field="4294967294" count="1" selected="0">
            <x v="2"/>
          </reference>
          <reference field="0" count="1" selected="0">
            <x v="8"/>
          </reference>
          <reference field="1" count="1" selected="0">
            <x v="59"/>
          </reference>
        </references>
      </pivotArea>
    </chartFormat>
    <chartFormat chart="0" format="895">
      <pivotArea type="data" outline="0" fieldPosition="0">
        <references count="3">
          <reference field="4294967294" count="1" selected="0">
            <x v="2"/>
          </reference>
          <reference field="0" count="1" selected="0">
            <x v="8"/>
          </reference>
          <reference field="1" count="1" selected="0">
            <x v="60"/>
          </reference>
        </references>
      </pivotArea>
    </chartFormat>
    <chartFormat chart="0" format="896">
      <pivotArea type="data" outline="0" fieldPosition="0">
        <references count="3">
          <reference field="4294967294" count="1" selected="0">
            <x v="2"/>
          </reference>
          <reference field="0" count="1" selected="0">
            <x v="8"/>
          </reference>
          <reference field="1" count="1" selected="0">
            <x v="61"/>
          </reference>
        </references>
      </pivotArea>
    </chartFormat>
    <chartFormat chart="0" format="897">
      <pivotArea type="data" outline="0" fieldPosition="0">
        <references count="3">
          <reference field="4294967294" count="1" selected="0">
            <x v="2"/>
          </reference>
          <reference field="0" count="1" selected="0">
            <x v="8"/>
          </reference>
          <reference field="1" count="1" selected="0">
            <x v="62"/>
          </reference>
        </references>
      </pivotArea>
    </chartFormat>
    <chartFormat chart="0" format="898">
      <pivotArea type="data" outline="0" fieldPosition="0">
        <references count="3">
          <reference field="4294967294" count="1" selected="0">
            <x v="2"/>
          </reference>
          <reference field="0" count="1" selected="0">
            <x v="8"/>
          </reference>
          <reference field="1" count="1" selected="0">
            <x v="63"/>
          </reference>
        </references>
      </pivotArea>
    </chartFormat>
    <chartFormat chart="0" format="899">
      <pivotArea type="data" outline="0" fieldPosition="0">
        <references count="3">
          <reference field="4294967294" count="1" selected="0">
            <x v="2"/>
          </reference>
          <reference field="0" count="1" selected="0">
            <x v="8"/>
          </reference>
          <reference field="1" count="1" selected="0">
            <x v="64"/>
          </reference>
        </references>
      </pivotArea>
    </chartFormat>
    <chartFormat chart="0" format="900">
      <pivotArea type="data" outline="0" fieldPosition="0">
        <references count="3">
          <reference field="4294967294" count="1" selected="0">
            <x v="2"/>
          </reference>
          <reference field="0" count="1" selected="0">
            <x v="8"/>
          </reference>
          <reference field="1" count="1" selected="0">
            <x v="65"/>
          </reference>
        </references>
      </pivotArea>
    </chartFormat>
    <chartFormat chart="0" format="901">
      <pivotArea type="data" outline="0" fieldPosition="0">
        <references count="3">
          <reference field="4294967294" count="1" selected="0">
            <x v="2"/>
          </reference>
          <reference field="0" count="1" selected="0">
            <x v="8"/>
          </reference>
          <reference field="1" count="1" selected="0">
            <x v="66"/>
          </reference>
        </references>
      </pivotArea>
    </chartFormat>
    <chartFormat chart="0" format="902">
      <pivotArea type="data" outline="0" fieldPosition="0">
        <references count="3">
          <reference field="4294967294" count="1" selected="0">
            <x v="2"/>
          </reference>
          <reference field="0" count="1" selected="0">
            <x v="8"/>
          </reference>
          <reference field="1" count="1" selected="0">
            <x v="67"/>
          </reference>
        </references>
      </pivotArea>
    </chartFormat>
    <chartFormat chart="0" format="903">
      <pivotArea type="data" outline="0" fieldPosition="0">
        <references count="3">
          <reference field="4294967294" count="1" selected="0">
            <x v="2"/>
          </reference>
          <reference field="0" count="1" selected="0">
            <x v="8"/>
          </reference>
          <reference field="1" count="1" selected="0">
            <x v="68"/>
          </reference>
        </references>
      </pivotArea>
    </chartFormat>
    <chartFormat chart="0" format="904">
      <pivotArea type="data" outline="0" fieldPosition="0">
        <references count="3">
          <reference field="4294967294" count="1" selected="0">
            <x v="2"/>
          </reference>
          <reference field="0" count="1" selected="0">
            <x v="8"/>
          </reference>
          <reference field="1" count="1" selected="0">
            <x v="69"/>
          </reference>
        </references>
      </pivotArea>
    </chartFormat>
    <chartFormat chart="0" format="905">
      <pivotArea type="data" outline="0" fieldPosition="0">
        <references count="3">
          <reference field="4294967294" count="1" selected="0">
            <x v="2"/>
          </reference>
          <reference field="0" count="1" selected="0">
            <x v="8"/>
          </reference>
          <reference field="1" count="1" selected="0">
            <x v="70"/>
          </reference>
        </references>
      </pivotArea>
    </chartFormat>
    <chartFormat chart="0" format="906">
      <pivotArea type="data" outline="0" fieldPosition="0">
        <references count="3">
          <reference field="4294967294" count="1" selected="0">
            <x v="2"/>
          </reference>
          <reference field="0" count="1" selected="0">
            <x v="8"/>
          </reference>
          <reference field="1" count="1" selected="0">
            <x v="71"/>
          </reference>
        </references>
      </pivotArea>
    </chartFormat>
    <chartFormat chart="0" format="907">
      <pivotArea type="data" outline="0" fieldPosition="0">
        <references count="3">
          <reference field="4294967294" count="1" selected="0">
            <x v="2"/>
          </reference>
          <reference field="0" count="1" selected="0">
            <x v="8"/>
          </reference>
          <reference field="1" count="1" selected="0">
            <x v="72"/>
          </reference>
        </references>
      </pivotArea>
    </chartFormat>
    <chartFormat chart="0" format="908">
      <pivotArea type="data" outline="0" fieldPosition="0">
        <references count="3">
          <reference field="4294967294" count="1" selected="0">
            <x v="2"/>
          </reference>
          <reference field="0" count="1" selected="0">
            <x v="8"/>
          </reference>
          <reference field="1" count="1" selected="0">
            <x v="73"/>
          </reference>
        </references>
      </pivotArea>
    </chartFormat>
    <chartFormat chart="0" format="909">
      <pivotArea type="data" outline="0" fieldPosition="0">
        <references count="3">
          <reference field="4294967294" count="1" selected="0">
            <x v="2"/>
          </reference>
          <reference field="0" count="1" selected="0">
            <x v="8"/>
          </reference>
          <reference field="1" count="1" selected="0">
            <x v="74"/>
          </reference>
        </references>
      </pivotArea>
    </chartFormat>
    <chartFormat chart="0" format="910">
      <pivotArea type="data" outline="0" fieldPosition="0">
        <references count="3">
          <reference field="4294967294" count="1" selected="0">
            <x v="2"/>
          </reference>
          <reference field="0" count="1" selected="0">
            <x v="8"/>
          </reference>
          <reference field="1" count="1" selected="0">
            <x v="75"/>
          </reference>
        </references>
      </pivotArea>
    </chartFormat>
    <chartFormat chart="0" format="911">
      <pivotArea type="data" outline="0" fieldPosition="0">
        <references count="3">
          <reference field="4294967294" count="1" selected="0">
            <x v="2"/>
          </reference>
          <reference field="0" count="1" selected="0">
            <x v="8"/>
          </reference>
          <reference field="1" count="1" selected="0">
            <x v="76"/>
          </reference>
        </references>
      </pivotArea>
    </chartFormat>
    <chartFormat chart="0" format="912">
      <pivotArea type="data" outline="0" fieldPosition="0">
        <references count="3">
          <reference field="4294967294" count="1" selected="0">
            <x v="2"/>
          </reference>
          <reference field="0" count="1" selected="0">
            <x v="8"/>
          </reference>
          <reference field="1" count="1" selected="0">
            <x v="77"/>
          </reference>
        </references>
      </pivotArea>
    </chartFormat>
    <chartFormat chart="0" format="913">
      <pivotArea type="data" outline="0" fieldPosition="0">
        <references count="3">
          <reference field="4294967294" count="1" selected="0">
            <x v="2"/>
          </reference>
          <reference field="0" count="1" selected="0">
            <x v="8"/>
          </reference>
          <reference field="1" count="1" selected="0">
            <x v="78"/>
          </reference>
        </references>
      </pivotArea>
    </chartFormat>
    <chartFormat chart="0" format="914">
      <pivotArea type="data" outline="0" fieldPosition="0">
        <references count="3">
          <reference field="4294967294" count="1" selected="0">
            <x v="2"/>
          </reference>
          <reference field="0" count="1" selected="0">
            <x v="9"/>
          </reference>
          <reference field="1" count="1" selected="0">
            <x v="31"/>
          </reference>
        </references>
      </pivotArea>
    </chartFormat>
    <chartFormat chart="0" format="915">
      <pivotArea type="data" outline="0" fieldPosition="0">
        <references count="3">
          <reference field="4294967294" count="1" selected="0">
            <x v="2"/>
          </reference>
          <reference field="0" count="1" selected="0">
            <x v="9"/>
          </reference>
          <reference field="1" count="1" selected="0">
            <x v="32"/>
          </reference>
        </references>
      </pivotArea>
    </chartFormat>
    <chartFormat chart="0" format="916">
      <pivotArea type="data" outline="0" fieldPosition="0">
        <references count="3">
          <reference field="4294967294" count="1" selected="0">
            <x v="2"/>
          </reference>
          <reference field="0" count="1" selected="0">
            <x v="9"/>
          </reference>
          <reference field="1" count="1" selected="0">
            <x v="33"/>
          </reference>
        </references>
      </pivotArea>
    </chartFormat>
    <chartFormat chart="0" format="917">
      <pivotArea type="data" outline="0" fieldPosition="0">
        <references count="3">
          <reference field="4294967294" count="1" selected="0">
            <x v="2"/>
          </reference>
          <reference field="0" count="1" selected="0">
            <x v="9"/>
          </reference>
          <reference field="1" count="1" selected="0">
            <x v="34"/>
          </reference>
        </references>
      </pivotArea>
    </chartFormat>
    <chartFormat chart="0" format="918">
      <pivotArea type="data" outline="0" fieldPosition="0">
        <references count="3">
          <reference field="4294967294" count="1" selected="0">
            <x v="2"/>
          </reference>
          <reference field="0" count="1" selected="0">
            <x v="9"/>
          </reference>
          <reference field="1" count="1" selected="0">
            <x v="35"/>
          </reference>
        </references>
      </pivotArea>
    </chartFormat>
    <chartFormat chart="0" format="919">
      <pivotArea type="data" outline="0" fieldPosition="0">
        <references count="3">
          <reference field="4294967294" count="1" selected="0">
            <x v="2"/>
          </reference>
          <reference field="0" count="1" selected="0">
            <x v="9"/>
          </reference>
          <reference field="1" count="1" selected="0">
            <x v="36"/>
          </reference>
        </references>
      </pivotArea>
    </chartFormat>
    <chartFormat chart="0" format="920">
      <pivotArea type="data" outline="0" fieldPosition="0">
        <references count="3">
          <reference field="4294967294" count="1" selected="0">
            <x v="2"/>
          </reference>
          <reference field="0" count="1" selected="0">
            <x v="9"/>
          </reference>
          <reference field="1" count="1" selected="0">
            <x v="37"/>
          </reference>
        </references>
      </pivotArea>
    </chartFormat>
    <chartFormat chart="0" format="921">
      <pivotArea type="data" outline="0" fieldPosition="0">
        <references count="3">
          <reference field="4294967294" count="1" selected="0">
            <x v="2"/>
          </reference>
          <reference field="0" count="1" selected="0">
            <x v="9"/>
          </reference>
          <reference field="1" count="1" selected="0">
            <x v="38"/>
          </reference>
        </references>
      </pivotArea>
    </chartFormat>
    <chartFormat chart="0" format="922">
      <pivotArea type="data" outline="0" fieldPosition="0">
        <references count="3">
          <reference field="4294967294" count="1" selected="0">
            <x v="2"/>
          </reference>
          <reference field="0" count="1" selected="0">
            <x v="9"/>
          </reference>
          <reference field="1" count="1" selected="0">
            <x v="39"/>
          </reference>
        </references>
      </pivotArea>
    </chartFormat>
    <chartFormat chart="0" format="923">
      <pivotArea type="data" outline="0" fieldPosition="0">
        <references count="3">
          <reference field="4294967294" count="1" selected="0">
            <x v="2"/>
          </reference>
          <reference field="0" count="1" selected="0">
            <x v="9"/>
          </reference>
          <reference field="1" count="1" selected="0">
            <x v="40"/>
          </reference>
        </references>
      </pivotArea>
    </chartFormat>
    <chartFormat chart="0" format="924">
      <pivotArea type="data" outline="0" fieldPosition="0">
        <references count="3">
          <reference field="4294967294" count="1" selected="0">
            <x v="2"/>
          </reference>
          <reference field="0" count="1" selected="0">
            <x v="9"/>
          </reference>
          <reference field="1" count="1" selected="0">
            <x v="41"/>
          </reference>
        </references>
      </pivotArea>
    </chartFormat>
    <chartFormat chart="0" format="925">
      <pivotArea type="data" outline="0" fieldPosition="0">
        <references count="3">
          <reference field="4294967294" count="1" selected="0">
            <x v="2"/>
          </reference>
          <reference field="0" count="1" selected="0">
            <x v="9"/>
          </reference>
          <reference field="1" count="1" selected="0">
            <x v="42"/>
          </reference>
        </references>
      </pivotArea>
    </chartFormat>
    <chartFormat chart="0" format="926">
      <pivotArea type="data" outline="0" fieldPosition="0">
        <references count="3">
          <reference field="4294967294" count="1" selected="0">
            <x v="2"/>
          </reference>
          <reference field="0" count="1" selected="0">
            <x v="9"/>
          </reference>
          <reference field="1" count="1" selected="0">
            <x v="43"/>
          </reference>
        </references>
      </pivotArea>
    </chartFormat>
    <chartFormat chart="0" format="927">
      <pivotArea type="data" outline="0" fieldPosition="0">
        <references count="3">
          <reference field="4294967294" count="1" selected="0">
            <x v="2"/>
          </reference>
          <reference field="0" count="1" selected="0">
            <x v="9"/>
          </reference>
          <reference field="1" count="1" selected="0">
            <x v="44"/>
          </reference>
        </references>
      </pivotArea>
    </chartFormat>
    <chartFormat chart="0" format="928">
      <pivotArea type="data" outline="0" fieldPosition="0">
        <references count="3">
          <reference field="4294967294" count="1" selected="0">
            <x v="2"/>
          </reference>
          <reference field="0" count="1" selected="0">
            <x v="9"/>
          </reference>
          <reference field="1" count="1" selected="0">
            <x v="45"/>
          </reference>
        </references>
      </pivotArea>
    </chartFormat>
    <chartFormat chart="0" format="929">
      <pivotArea type="data" outline="0" fieldPosition="0">
        <references count="3">
          <reference field="4294967294" count="1" selected="0">
            <x v="2"/>
          </reference>
          <reference field="0" count="1" selected="0">
            <x v="9"/>
          </reference>
          <reference field="1" count="1" selected="0">
            <x v="46"/>
          </reference>
        </references>
      </pivotArea>
    </chartFormat>
    <chartFormat chart="0" format="930">
      <pivotArea type="data" outline="0" fieldPosition="0">
        <references count="3">
          <reference field="4294967294" count="1" selected="0">
            <x v="2"/>
          </reference>
          <reference field="0" count="1" selected="0">
            <x v="9"/>
          </reference>
          <reference field="1" count="1" selected="0">
            <x v="47"/>
          </reference>
        </references>
      </pivotArea>
    </chartFormat>
    <chartFormat chart="0" format="931">
      <pivotArea type="data" outline="0" fieldPosition="0">
        <references count="3">
          <reference field="4294967294" count="1" selected="0">
            <x v="2"/>
          </reference>
          <reference field="0" count="1" selected="0">
            <x v="9"/>
          </reference>
          <reference field="1" count="1" selected="0">
            <x v="48"/>
          </reference>
        </references>
      </pivotArea>
    </chartFormat>
    <chartFormat chart="0" format="932">
      <pivotArea type="data" outline="0" fieldPosition="0">
        <references count="3">
          <reference field="4294967294" count="1" selected="0">
            <x v="2"/>
          </reference>
          <reference field="0" count="1" selected="0">
            <x v="9"/>
          </reference>
          <reference field="1" count="1" selected="0">
            <x v="49"/>
          </reference>
        </references>
      </pivotArea>
    </chartFormat>
    <chartFormat chart="0" format="933">
      <pivotArea type="data" outline="0" fieldPosition="0">
        <references count="3">
          <reference field="4294967294" count="1" selected="0">
            <x v="2"/>
          </reference>
          <reference field="0" count="1" selected="0">
            <x v="9"/>
          </reference>
          <reference field="1" count="1" selected="0">
            <x v="50"/>
          </reference>
        </references>
      </pivotArea>
    </chartFormat>
    <chartFormat chart="0" format="934">
      <pivotArea type="data" outline="0" fieldPosition="0">
        <references count="3">
          <reference field="4294967294" count="1" selected="0">
            <x v="2"/>
          </reference>
          <reference field="0" count="1" selected="0">
            <x v="9"/>
          </reference>
          <reference field="1" count="1" selected="0">
            <x v="51"/>
          </reference>
        </references>
      </pivotArea>
    </chartFormat>
    <chartFormat chart="0" format="935">
      <pivotArea type="data" outline="0" fieldPosition="0">
        <references count="3">
          <reference field="4294967294" count="1" selected="0">
            <x v="2"/>
          </reference>
          <reference field="0" count="1" selected="0">
            <x v="9"/>
          </reference>
          <reference field="1" count="1" selected="0">
            <x v="52"/>
          </reference>
        </references>
      </pivotArea>
    </chartFormat>
    <chartFormat chart="0" format="936">
      <pivotArea type="data" outline="0" fieldPosition="0">
        <references count="3">
          <reference field="4294967294" count="1" selected="0">
            <x v="2"/>
          </reference>
          <reference field="0" count="1" selected="0">
            <x v="9"/>
          </reference>
          <reference field="1" count="1" selected="0">
            <x v="53"/>
          </reference>
        </references>
      </pivotArea>
    </chartFormat>
    <chartFormat chart="0" format="937">
      <pivotArea type="data" outline="0" fieldPosition="0">
        <references count="3">
          <reference field="4294967294" count="1" selected="0">
            <x v="2"/>
          </reference>
          <reference field="0" count="1" selected="0">
            <x v="9"/>
          </reference>
          <reference field="1" count="1" selected="0">
            <x v="54"/>
          </reference>
        </references>
      </pivotArea>
    </chartFormat>
    <chartFormat chart="0" format="938">
      <pivotArea type="data" outline="0" fieldPosition="0">
        <references count="3">
          <reference field="4294967294" count="1" selected="0">
            <x v="2"/>
          </reference>
          <reference field="0" count="1" selected="0">
            <x v="9"/>
          </reference>
          <reference field="1" count="1" selected="0">
            <x v="55"/>
          </reference>
        </references>
      </pivotArea>
    </chartFormat>
    <chartFormat chart="0" format="939">
      <pivotArea type="data" outline="0" fieldPosition="0">
        <references count="3">
          <reference field="4294967294" count="1" selected="0">
            <x v="2"/>
          </reference>
          <reference field="0" count="1" selected="0">
            <x v="9"/>
          </reference>
          <reference field="1" count="1" selected="0">
            <x v="56"/>
          </reference>
        </references>
      </pivotArea>
    </chartFormat>
    <chartFormat chart="0" format="940">
      <pivotArea type="data" outline="0" fieldPosition="0">
        <references count="3">
          <reference field="4294967294" count="1" selected="0">
            <x v="2"/>
          </reference>
          <reference field="0" count="1" selected="0">
            <x v="9"/>
          </reference>
          <reference field="1" count="1" selected="0">
            <x v="57"/>
          </reference>
        </references>
      </pivotArea>
    </chartFormat>
    <chartFormat chart="0" format="941">
      <pivotArea type="data" outline="0" fieldPosition="0">
        <references count="3">
          <reference field="4294967294" count="1" selected="0">
            <x v="2"/>
          </reference>
          <reference field="0" count="1" selected="0">
            <x v="9"/>
          </reference>
          <reference field="1" count="1" selected="0">
            <x v="58"/>
          </reference>
        </references>
      </pivotArea>
    </chartFormat>
    <chartFormat chart="0" format="942">
      <pivotArea type="data" outline="0" fieldPosition="0">
        <references count="3">
          <reference field="4294967294" count="1" selected="0">
            <x v="2"/>
          </reference>
          <reference field="0" count="1" selected="0">
            <x v="9"/>
          </reference>
          <reference field="1" count="1" selected="0">
            <x v="59"/>
          </reference>
        </references>
      </pivotArea>
    </chartFormat>
    <chartFormat chart="0" format="943">
      <pivotArea type="data" outline="0" fieldPosition="0">
        <references count="3">
          <reference field="4294967294" count="1" selected="0">
            <x v="2"/>
          </reference>
          <reference field="0" count="1" selected="0">
            <x v="9"/>
          </reference>
          <reference field="1" count="1" selected="0">
            <x v="60"/>
          </reference>
        </references>
      </pivotArea>
    </chartFormat>
    <chartFormat chart="0" format="944">
      <pivotArea type="data" outline="0" fieldPosition="0">
        <references count="3">
          <reference field="4294967294" count="1" selected="0">
            <x v="2"/>
          </reference>
          <reference field="0" count="1" selected="0">
            <x v="9"/>
          </reference>
          <reference field="1" count="1" selected="0">
            <x v="61"/>
          </reference>
        </references>
      </pivotArea>
    </chartFormat>
    <chartFormat chart="0" format="945">
      <pivotArea type="data" outline="0" fieldPosition="0">
        <references count="3">
          <reference field="4294967294" count="1" selected="0">
            <x v="2"/>
          </reference>
          <reference field="0" count="1" selected="0">
            <x v="9"/>
          </reference>
          <reference field="1" count="1" selected="0">
            <x v="62"/>
          </reference>
        </references>
      </pivotArea>
    </chartFormat>
    <chartFormat chart="0" format="946">
      <pivotArea type="data" outline="0" fieldPosition="0">
        <references count="3">
          <reference field="4294967294" count="1" selected="0">
            <x v="2"/>
          </reference>
          <reference field="0" count="1" selected="0">
            <x v="9"/>
          </reference>
          <reference field="1" count="1" selected="0">
            <x v="63"/>
          </reference>
        </references>
      </pivotArea>
    </chartFormat>
    <chartFormat chart="0" format="947">
      <pivotArea type="data" outline="0" fieldPosition="0">
        <references count="3">
          <reference field="4294967294" count="1" selected="0">
            <x v="2"/>
          </reference>
          <reference field="0" count="1" selected="0">
            <x v="9"/>
          </reference>
          <reference field="1" count="1" selected="0">
            <x v="64"/>
          </reference>
        </references>
      </pivotArea>
    </chartFormat>
    <chartFormat chart="0" format="948">
      <pivotArea type="data" outline="0" fieldPosition="0">
        <references count="3">
          <reference field="4294967294" count="1" selected="0">
            <x v="2"/>
          </reference>
          <reference field="0" count="1" selected="0">
            <x v="9"/>
          </reference>
          <reference field="1" count="1" selected="0">
            <x v="65"/>
          </reference>
        </references>
      </pivotArea>
    </chartFormat>
    <chartFormat chart="0" format="949">
      <pivotArea type="data" outline="0" fieldPosition="0">
        <references count="3">
          <reference field="4294967294" count="1" selected="0">
            <x v="2"/>
          </reference>
          <reference field="0" count="1" selected="0">
            <x v="9"/>
          </reference>
          <reference field="1" count="1" selected="0">
            <x v="66"/>
          </reference>
        </references>
      </pivotArea>
    </chartFormat>
    <chartFormat chart="0" format="950">
      <pivotArea type="data" outline="0" fieldPosition="0">
        <references count="3">
          <reference field="4294967294" count="1" selected="0">
            <x v="2"/>
          </reference>
          <reference field="0" count="1" selected="0">
            <x v="9"/>
          </reference>
          <reference field="1" count="1" selected="0">
            <x v="67"/>
          </reference>
        </references>
      </pivotArea>
    </chartFormat>
    <chartFormat chart="0" format="951">
      <pivotArea type="data" outline="0" fieldPosition="0">
        <references count="3">
          <reference field="4294967294" count="1" selected="0">
            <x v="2"/>
          </reference>
          <reference field="0" count="1" selected="0">
            <x v="9"/>
          </reference>
          <reference field="1" count="1" selected="0">
            <x v="68"/>
          </reference>
        </references>
      </pivotArea>
    </chartFormat>
    <chartFormat chart="0" format="952">
      <pivotArea type="data" outline="0" fieldPosition="0">
        <references count="3">
          <reference field="4294967294" count="1" selected="0">
            <x v="2"/>
          </reference>
          <reference field="0" count="1" selected="0">
            <x v="9"/>
          </reference>
          <reference field="1" count="1" selected="0">
            <x v="69"/>
          </reference>
        </references>
      </pivotArea>
    </chartFormat>
    <chartFormat chart="0" format="953">
      <pivotArea type="data" outline="0" fieldPosition="0">
        <references count="3">
          <reference field="4294967294" count="1" selected="0">
            <x v="2"/>
          </reference>
          <reference field="0" count="1" selected="0">
            <x v="9"/>
          </reference>
          <reference field="1" count="1" selected="0">
            <x v="70"/>
          </reference>
        </references>
      </pivotArea>
    </chartFormat>
    <chartFormat chart="0" format="954">
      <pivotArea type="data" outline="0" fieldPosition="0">
        <references count="3">
          <reference field="4294967294" count="1" selected="0">
            <x v="2"/>
          </reference>
          <reference field="0" count="1" selected="0">
            <x v="9"/>
          </reference>
          <reference field="1" count="1" selected="0">
            <x v="71"/>
          </reference>
        </references>
      </pivotArea>
    </chartFormat>
    <chartFormat chart="0" format="955">
      <pivotArea type="data" outline="0" fieldPosition="0">
        <references count="3">
          <reference field="4294967294" count="1" selected="0">
            <x v="2"/>
          </reference>
          <reference field="0" count="1" selected="0">
            <x v="9"/>
          </reference>
          <reference field="1" count="1" selected="0">
            <x v="72"/>
          </reference>
        </references>
      </pivotArea>
    </chartFormat>
    <chartFormat chart="0" format="956">
      <pivotArea type="data" outline="0" fieldPosition="0">
        <references count="3">
          <reference field="4294967294" count="1" selected="0">
            <x v="2"/>
          </reference>
          <reference field="0" count="1" selected="0">
            <x v="9"/>
          </reference>
          <reference field="1" count="1" selected="0">
            <x v="73"/>
          </reference>
        </references>
      </pivotArea>
    </chartFormat>
    <chartFormat chart="0" format="957">
      <pivotArea type="data" outline="0" fieldPosition="0">
        <references count="3">
          <reference field="4294967294" count="1" selected="0">
            <x v="2"/>
          </reference>
          <reference field="0" count="1" selected="0">
            <x v="9"/>
          </reference>
          <reference field="1" count="1" selected="0">
            <x v="74"/>
          </reference>
        </references>
      </pivotArea>
    </chartFormat>
    <chartFormat chart="0" format="958">
      <pivotArea type="data" outline="0" fieldPosition="0">
        <references count="3">
          <reference field="4294967294" count="1" selected="0">
            <x v="2"/>
          </reference>
          <reference field="0" count="1" selected="0">
            <x v="9"/>
          </reference>
          <reference field="1" count="1" selected="0">
            <x v="75"/>
          </reference>
        </references>
      </pivotArea>
    </chartFormat>
    <chartFormat chart="0" format="959">
      <pivotArea type="data" outline="0" fieldPosition="0">
        <references count="3">
          <reference field="4294967294" count="1" selected="0">
            <x v="2"/>
          </reference>
          <reference field="0" count="1" selected="0">
            <x v="9"/>
          </reference>
          <reference field="1" count="1" selected="0">
            <x v="76"/>
          </reference>
        </references>
      </pivotArea>
    </chartFormat>
    <chartFormat chart="0" format="960">
      <pivotArea type="data" outline="0" fieldPosition="0">
        <references count="3">
          <reference field="4294967294" count="1" selected="0">
            <x v="2"/>
          </reference>
          <reference field="0" count="1" selected="0">
            <x v="9"/>
          </reference>
          <reference field="1" count="1" selected="0">
            <x v="77"/>
          </reference>
        </references>
      </pivotArea>
    </chartFormat>
    <chartFormat chart="0" format="961">
      <pivotArea type="data" outline="0" fieldPosition="0">
        <references count="3">
          <reference field="4294967294" count="1" selected="0">
            <x v="2"/>
          </reference>
          <reference field="0" count="1" selected="0">
            <x v="9"/>
          </reference>
          <reference field="1" count="1" selected="0">
            <x v="78"/>
          </reference>
        </references>
      </pivotArea>
    </chartFormat>
    <chartFormat chart="0" format="962">
      <pivotArea type="data" outline="0" fieldPosition="0">
        <references count="3">
          <reference field="4294967294" count="1" selected="0">
            <x v="2"/>
          </reference>
          <reference field="0" count="1" selected="0">
            <x v="10"/>
          </reference>
          <reference field="1" count="1" selected="0">
            <x v="31"/>
          </reference>
        </references>
      </pivotArea>
    </chartFormat>
    <chartFormat chart="0" format="963">
      <pivotArea type="data" outline="0" fieldPosition="0">
        <references count="3">
          <reference field="4294967294" count="1" selected="0">
            <x v="2"/>
          </reference>
          <reference field="0" count="1" selected="0">
            <x v="10"/>
          </reference>
          <reference field="1" count="1" selected="0">
            <x v="32"/>
          </reference>
        </references>
      </pivotArea>
    </chartFormat>
    <chartFormat chart="0" format="964">
      <pivotArea type="data" outline="0" fieldPosition="0">
        <references count="3">
          <reference field="4294967294" count="1" selected="0">
            <x v="2"/>
          </reference>
          <reference field="0" count="1" selected="0">
            <x v="10"/>
          </reference>
          <reference field="1" count="1" selected="0">
            <x v="33"/>
          </reference>
        </references>
      </pivotArea>
    </chartFormat>
    <chartFormat chart="0" format="965">
      <pivotArea type="data" outline="0" fieldPosition="0">
        <references count="3">
          <reference field="4294967294" count="1" selected="0">
            <x v="2"/>
          </reference>
          <reference field="0" count="1" selected="0">
            <x v="10"/>
          </reference>
          <reference field="1" count="1" selected="0">
            <x v="34"/>
          </reference>
        </references>
      </pivotArea>
    </chartFormat>
    <chartFormat chart="0" format="966">
      <pivotArea type="data" outline="0" fieldPosition="0">
        <references count="3">
          <reference field="4294967294" count="1" selected="0">
            <x v="2"/>
          </reference>
          <reference field="0" count="1" selected="0">
            <x v="10"/>
          </reference>
          <reference field="1" count="1" selected="0">
            <x v="35"/>
          </reference>
        </references>
      </pivotArea>
    </chartFormat>
    <chartFormat chart="0" format="967">
      <pivotArea type="data" outline="0" fieldPosition="0">
        <references count="3">
          <reference field="4294967294" count="1" selected="0">
            <x v="2"/>
          </reference>
          <reference field="0" count="1" selected="0">
            <x v="10"/>
          </reference>
          <reference field="1" count="1" selected="0">
            <x v="36"/>
          </reference>
        </references>
      </pivotArea>
    </chartFormat>
    <chartFormat chart="0" format="968">
      <pivotArea type="data" outline="0" fieldPosition="0">
        <references count="3">
          <reference field="4294967294" count="1" selected="0">
            <x v="2"/>
          </reference>
          <reference field="0" count="1" selected="0">
            <x v="10"/>
          </reference>
          <reference field="1" count="1" selected="0">
            <x v="37"/>
          </reference>
        </references>
      </pivotArea>
    </chartFormat>
    <chartFormat chart="0" format="969">
      <pivotArea type="data" outline="0" fieldPosition="0">
        <references count="3">
          <reference field="4294967294" count="1" selected="0">
            <x v="2"/>
          </reference>
          <reference field="0" count="1" selected="0">
            <x v="10"/>
          </reference>
          <reference field="1" count="1" selected="0">
            <x v="38"/>
          </reference>
        </references>
      </pivotArea>
    </chartFormat>
    <chartFormat chart="0" format="970">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1">
      <pivotArea type="data" outline="0" fieldPosition="0">
        <references count="3">
          <reference field="4294967294" count="1" selected="0">
            <x v="2"/>
          </reference>
          <reference field="0" count="1" selected="0">
            <x v="10"/>
          </reference>
          <reference field="1" count="1" selected="0">
            <x v="40"/>
          </reference>
        </references>
      </pivotArea>
    </chartFormat>
    <chartFormat chart="0" format="972">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3">
      <pivotArea type="data" outline="0" fieldPosition="0">
        <references count="3">
          <reference field="4294967294" count="1" selected="0">
            <x v="2"/>
          </reference>
          <reference field="0" count="1" selected="0">
            <x v="10"/>
          </reference>
          <reference field="1" count="1" selected="0">
            <x v="42"/>
          </reference>
        </references>
      </pivotArea>
    </chartFormat>
    <chartFormat chart="0" format="974">
      <pivotArea type="data" outline="0" fieldPosition="0">
        <references count="3">
          <reference field="4294967294" count="1" selected="0">
            <x v="2"/>
          </reference>
          <reference field="0" count="1" selected="0">
            <x v="10"/>
          </reference>
          <reference field="1" count="1" selected="0">
            <x v="43"/>
          </reference>
        </references>
      </pivotArea>
    </chartFormat>
    <chartFormat chart="0" format="975">
      <pivotArea type="data" outline="0" fieldPosition="0">
        <references count="3">
          <reference field="4294967294" count="1" selected="0">
            <x v="2"/>
          </reference>
          <reference field="0" count="1" selected="0">
            <x v="10"/>
          </reference>
          <reference field="1" count="1" selected="0">
            <x v="44"/>
          </reference>
        </references>
      </pivotArea>
    </chartFormat>
    <chartFormat chart="0" format="976">
      <pivotArea type="data" outline="0" fieldPosition="0">
        <references count="3">
          <reference field="4294967294" count="1" selected="0">
            <x v="2"/>
          </reference>
          <reference field="0" count="1" selected="0">
            <x v="10"/>
          </reference>
          <reference field="1" count="1" selected="0">
            <x v="45"/>
          </reference>
        </references>
      </pivotArea>
    </chartFormat>
    <chartFormat chart="0" format="977">
      <pivotArea type="data" outline="0" fieldPosition="0">
        <references count="3">
          <reference field="4294967294" count="1" selected="0">
            <x v="2"/>
          </reference>
          <reference field="0" count="1" selected="0">
            <x v="10"/>
          </reference>
          <reference field="1" count="1" selected="0">
            <x v="46"/>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7"/>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8"/>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1">
      <pivotArea type="data" outline="0" fieldPosition="0">
        <references count="3">
          <reference field="4294967294" count="1" selected="0">
            <x v="2"/>
          </reference>
          <reference field="0" count="1" selected="0">
            <x v="10"/>
          </reference>
          <reference field="1" count="1" selected="0">
            <x v="50"/>
          </reference>
        </references>
      </pivotArea>
    </chartFormat>
    <chartFormat chart="0" format="982">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2"/>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4"/>
          </reference>
        </references>
      </pivotArea>
    </chartFormat>
    <chartFormat chart="0" format="986">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7">
      <pivotArea type="data" outline="0" fieldPosition="0">
        <references count="3">
          <reference field="4294967294" count="1" selected="0">
            <x v="2"/>
          </reference>
          <reference field="0" count="1" selected="0">
            <x v="10"/>
          </reference>
          <reference field="1" count="1" selected="0">
            <x v="56"/>
          </reference>
        </references>
      </pivotArea>
    </chartFormat>
    <chartFormat chart="0" format="988">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9">
      <pivotArea type="data" outline="0" fieldPosition="0">
        <references count="3">
          <reference field="4294967294" count="1" selected="0">
            <x v="2"/>
          </reference>
          <reference field="0" count="1" selected="0">
            <x v="10"/>
          </reference>
          <reference field="1" count="1" selected="0">
            <x v="58"/>
          </reference>
        </references>
      </pivotArea>
    </chartFormat>
    <chartFormat chart="0" format="990">
      <pivotArea type="data" outline="0" fieldPosition="0">
        <references count="3">
          <reference field="4294967294" count="1" selected="0">
            <x v="2"/>
          </reference>
          <reference field="0" count="1" selected="0">
            <x v="10"/>
          </reference>
          <reference field="1" count="1" selected="0">
            <x v="59"/>
          </reference>
        </references>
      </pivotArea>
    </chartFormat>
    <chartFormat chart="0" format="991">
      <pivotArea type="data" outline="0" fieldPosition="0">
        <references count="3">
          <reference field="4294967294" count="1" selected="0">
            <x v="2"/>
          </reference>
          <reference field="0" count="1" selected="0">
            <x v="10"/>
          </reference>
          <reference field="1" count="1" selected="0">
            <x v="60"/>
          </reference>
        </references>
      </pivotArea>
    </chartFormat>
    <chartFormat chart="0" format="992">
      <pivotArea type="data" outline="0" fieldPosition="0">
        <references count="3">
          <reference field="4294967294" count="1" selected="0">
            <x v="2"/>
          </reference>
          <reference field="0" count="1" selected="0">
            <x v="10"/>
          </reference>
          <reference field="1" count="1" selected="0">
            <x v="61"/>
          </reference>
        </references>
      </pivotArea>
    </chartFormat>
    <chartFormat chart="0" format="993">
      <pivotArea type="data" outline="0" fieldPosition="0">
        <references count="3">
          <reference field="4294967294" count="1" selected="0">
            <x v="2"/>
          </reference>
          <reference field="0" count="1" selected="0">
            <x v="10"/>
          </reference>
          <reference field="1" count="1" selected="0">
            <x v="62"/>
          </reference>
        </references>
      </pivotArea>
    </chartFormat>
    <chartFormat chart="0" format="994">
      <pivotArea type="data" outline="0" fieldPosition="0">
        <references count="3">
          <reference field="4294967294" count="1" selected="0">
            <x v="2"/>
          </reference>
          <reference field="0" count="1" selected="0">
            <x v="10"/>
          </reference>
          <reference field="1" count="1" selected="0">
            <x v="63"/>
          </reference>
        </references>
      </pivotArea>
    </chartFormat>
    <chartFormat chart="0" format="995">
      <pivotArea type="data" outline="0" fieldPosition="0">
        <references count="3">
          <reference field="4294967294" count="1" selected="0">
            <x v="2"/>
          </reference>
          <reference field="0" count="1" selected="0">
            <x v="10"/>
          </reference>
          <reference field="1" count="1" selected="0">
            <x v="64"/>
          </reference>
        </references>
      </pivotArea>
    </chartFormat>
    <chartFormat chart="0" format="996">
      <pivotArea type="data" outline="0" fieldPosition="0">
        <references count="3">
          <reference field="4294967294" count="1" selected="0">
            <x v="2"/>
          </reference>
          <reference field="0" count="1" selected="0">
            <x v="10"/>
          </reference>
          <reference field="1" count="1" selected="0">
            <x v="65"/>
          </reference>
        </references>
      </pivotArea>
    </chartFormat>
    <chartFormat chart="0" format="997">
      <pivotArea type="data" outline="0" fieldPosition="0">
        <references count="3">
          <reference field="4294967294" count="1" selected="0">
            <x v="2"/>
          </reference>
          <reference field="0" count="1" selected="0">
            <x v="10"/>
          </reference>
          <reference field="1" count="1" selected="0">
            <x v="66"/>
          </reference>
        </references>
      </pivotArea>
    </chartFormat>
    <chartFormat chart="0" format="998">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9">
      <pivotArea type="data" outline="0" fieldPosition="0">
        <references count="3">
          <reference field="4294967294" count="1" selected="0">
            <x v="2"/>
          </reference>
          <reference field="0" count="1" selected="0">
            <x v="10"/>
          </reference>
          <reference field="1" count="1" selected="0">
            <x v="68"/>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72"/>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74"/>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75"/>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76"/>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77"/>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78"/>
          </reference>
        </references>
      </pivotArea>
    </chartFormat>
    <chartFormat chart="0" format="1010">
      <pivotArea type="data" outline="0" fieldPosition="0">
        <references count="3">
          <reference field="4294967294" count="1" selected="0">
            <x v="2"/>
          </reference>
          <reference field="0" count="1" selected="0">
            <x v="11"/>
          </reference>
          <reference field="1" count="1" selected="0">
            <x v="31"/>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32"/>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33"/>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34"/>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63"/>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64"/>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65"/>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66"/>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67"/>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68"/>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69"/>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70"/>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71"/>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72"/>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73"/>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74"/>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75"/>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76"/>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77"/>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t.lvl3_generic_10" cacheId="1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7" firstHeaderRow="0" firstDataRow="1" firstDataCol="2" rowPageCount="5" colPageCount="1"/>
  <pivotFields count="13">
    <pivotField axis="axisRow" compact="0" outline="0" subtotalTop="0" showAll="0" defaultSubtotal="0">
      <items count="12">
        <item x="0"/>
        <item m="1" x="5"/>
        <item m="1" x="9"/>
        <item x="1"/>
        <item x="2"/>
        <item m="1" x="11"/>
        <item m="1" x="6"/>
        <item m="1" x="7"/>
        <item m="1" x="3"/>
        <item m="1" x="8"/>
        <item m="1" x="4"/>
        <item m="1" x="10"/>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6">
        <item x="0"/>
        <item x="1"/>
        <item m="1" x="4"/>
        <item x="2"/>
        <item m="1"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m="1"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dataField="1" compact="0" outline="0" subtotalTop="0" showAll="0"/>
    <pivotField compact="0" outline="0" subtotalTop="0" showAll="0"/>
    <pivotField compact="0" outline="0" subtotalTop="0" showAll="0"/>
    <pivotField axis="axisPage" compact="0" outline="0" subtotalTop="0" showAll="0">
      <items count="6">
        <item x="0"/>
        <item x="2"/>
        <item x="3"/>
        <item x="1"/>
        <item m="1" x="4"/>
        <item t="default"/>
      </items>
    </pivotField>
    <pivotField axis="axisPage" compact="0" outline="0" subtotalTop="0" showAll="0">
      <items count="21">
        <item x="0"/>
        <item m="1" x="10"/>
        <item x="1"/>
        <item x="2"/>
        <item m="1" x="9"/>
        <item x="3"/>
        <item m="1" x="19"/>
        <item m="1" x="18"/>
        <item m="1" x="14"/>
        <item m="1" x="13"/>
        <item m="1" x="17"/>
        <item m="1" x="16"/>
        <item m="1" x="7"/>
        <item m="1" x="6"/>
        <item m="1" x="15"/>
        <item m="1" x="12"/>
        <item m="1" x="5"/>
        <item m="1" x="4"/>
        <item m="1" x="11"/>
        <item m="1" x="8"/>
        <item t="default"/>
      </items>
    </pivotField>
  </pivotFields>
  <rowFields count="2">
    <field x="0"/>
    <field x="1"/>
  </rowFields>
  <rowItems count="50">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63"/>
    </i>
    <i r="1">
      <x v="64"/>
    </i>
    <i r="1">
      <x v="65"/>
    </i>
    <i r="1">
      <x v="66"/>
    </i>
    <i r="1">
      <x v="67"/>
    </i>
    <i r="1">
      <x v="68"/>
    </i>
    <i r="1">
      <x v="69"/>
    </i>
    <i r="1">
      <x v="70"/>
    </i>
    <i r="1">
      <x v="71"/>
    </i>
    <i r="1">
      <x v="72"/>
    </i>
    <i r="1">
      <x v="73"/>
    </i>
    <i r="1">
      <x v="74"/>
    </i>
    <i r="1">
      <x v="75"/>
    </i>
    <i r="1">
      <x v="76"/>
    </i>
    <i r="1">
      <x v="77"/>
    </i>
    <i r="1">
      <x v="78"/>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Cíl Úkol/Člověk" fld="8" subtotal="average" baseField="0" baseItem="0"/>
  </dataFields>
  <chartFormats count="419">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50">
      <pivotArea type="data" outline="0" fieldPosition="0">
        <references count="3">
          <reference field="4294967294" count="1" selected="0">
            <x v="0"/>
          </reference>
          <reference field="0" count="1" selected="0">
            <x v="0"/>
          </reference>
          <reference field="1" count="1" selected="0">
            <x v="0"/>
          </reference>
        </references>
      </pivotArea>
    </chartFormat>
    <chartFormat chart="0" format="151">
      <pivotArea type="data" outline="0" fieldPosition="0">
        <references count="3">
          <reference field="4294967294" count="1" selected="0">
            <x v="0"/>
          </reference>
          <reference field="0" count="1" selected="0">
            <x v="1"/>
          </reference>
          <reference field="1" count="1" selected="0">
            <x v="1"/>
          </reference>
        </references>
      </pivotArea>
    </chartFormat>
    <chartFormat chart="0" format="152">
      <pivotArea type="data" outline="0" fieldPosition="0">
        <references count="3">
          <reference field="4294967294" count="1" selected="0">
            <x v="0"/>
          </reference>
          <reference field="0" count="1" selected="0">
            <x v="1"/>
          </reference>
          <reference field="1" count="1" selected="0">
            <x v="2"/>
          </reference>
        </references>
      </pivotArea>
    </chartFormat>
    <chartFormat chart="0" format="153">
      <pivotArea type="data" outline="0" fieldPosition="0">
        <references count="3">
          <reference field="4294967294" count="1" selected="0">
            <x v="0"/>
          </reference>
          <reference field="0" count="1" selected="0">
            <x v="2"/>
          </reference>
          <reference field="1" count="1" selected="0">
            <x v="3"/>
          </reference>
        </references>
      </pivotArea>
    </chartFormat>
    <chartFormat chart="0" format="154">
      <pivotArea type="data" outline="0" fieldPosition="0">
        <references count="3">
          <reference field="4294967294" count="1" selected="0">
            <x v="0"/>
          </reference>
          <reference field="0" count="1" selected="0">
            <x v="2"/>
          </reference>
          <reference field="1" count="1" selected="0">
            <x v="4"/>
          </reference>
        </references>
      </pivotArea>
    </chartFormat>
    <chartFormat chart="0" format="155">
      <pivotArea type="data" outline="0" fieldPosition="0">
        <references count="3">
          <reference field="4294967294" count="1" selected="0">
            <x v="0"/>
          </reference>
          <reference field="0" count="1" selected="0">
            <x v="2"/>
          </reference>
          <reference field="1" count="1" selected="0">
            <x v="5"/>
          </reference>
        </references>
      </pivotArea>
    </chartFormat>
    <chartFormat chart="0" format="156">
      <pivotArea type="data" outline="0" fieldPosition="0">
        <references count="3">
          <reference field="4294967294" count="1" selected="0">
            <x v="0"/>
          </reference>
          <reference field="0" count="1" selected="0">
            <x v="2"/>
          </reference>
          <reference field="1" count="1" selected="0">
            <x v="6"/>
          </reference>
        </references>
      </pivotArea>
    </chartFormat>
    <chartFormat chart="0" format="157">
      <pivotArea type="data" outline="0" fieldPosition="0">
        <references count="3">
          <reference field="4294967294" count="1" selected="0">
            <x v="0"/>
          </reference>
          <reference field="0" count="1" selected="0">
            <x v="2"/>
          </reference>
          <reference field="1" count="1" selected="0">
            <x v="7"/>
          </reference>
        </references>
      </pivotArea>
    </chartFormat>
    <chartFormat chart="0" format="158">
      <pivotArea type="data" outline="0" fieldPosition="0">
        <references count="3">
          <reference field="4294967294" count="1" selected="0">
            <x v="0"/>
          </reference>
          <reference field="0" count="1" selected="0">
            <x v="2"/>
          </reference>
          <reference field="1" count="1" selected="0">
            <x v="8"/>
          </reference>
        </references>
      </pivotArea>
    </chartFormat>
    <chartFormat chart="0" format="159">
      <pivotArea type="data" outline="0" fieldPosition="0">
        <references count="3">
          <reference field="4294967294" count="1" selected="0">
            <x v="0"/>
          </reference>
          <reference field="0" count="1" selected="0">
            <x v="2"/>
          </reference>
          <reference field="1" count="1" selected="0">
            <x v="9"/>
          </reference>
        </references>
      </pivotArea>
    </chartFormat>
    <chartFormat chart="0" format="160">
      <pivotArea type="data" outline="0" fieldPosition="0">
        <references count="3">
          <reference field="4294967294" count="1" selected="0">
            <x v="0"/>
          </reference>
          <reference field="0" count="1" selected="0">
            <x v="2"/>
          </reference>
          <reference field="1" count="1" selected="0">
            <x v="10"/>
          </reference>
        </references>
      </pivotArea>
    </chartFormat>
    <chartFormat chart="0" format="161">
      <pivotArea type="data" outline="0" fieldPosition="0">
        <references count="3">
          <reference field="4294967294" count="1" selected="0">
            <x v="0"/>
          </reference>
          <reference field="0" count="1" selected="0">
            <x v="2"/>
          </reference>
          <reference field="1" count="1" selected="0">
            <x v="11"/>
          </reference>
        </references>
      </pivotArea>
    </chartFormat>
    <chartFormat chart="0" format="162">
      <pivotArea type="data" outline="0" fieldPosition="0">
        <references count="3">
          <reference field="4294967294" count="1" selected="0">
            <x v="0"/>
          </reference>
          <reference field="0" count="1" selected="0">
            <x v="2"/>
          </reference>
          <reference field="1" count="1" selected="0">
            <x v="12"/>
          </reference>
        </references>
      </pivotArea>
    </chartFormat>
    <chartFormat chart="0" format="163">
      <pivotArea type="data" outline="0" fieldPosition="0">
        <references count="3">
          <reference field="4294967294" count="1" selected="0">
            <x v="0"/>
          </reference>
          <reference field="0" count="1" selected="0">
            <x v="2"/>
          </reference>
          <reference field="1" count="1" selected="0">
            <x v="13"/>
          </reference>
        </references>
      </pivotArea>
    </chartFormat>
    <chartFormat chart="0" format="164">
      <pivotArea type="data" outline="0" fieldPosition="0">
        <references count="3">
          <reference field="4294967294" count="1" selected="0">
            <x v="0"/>
          </reference>
          <reference field="0" count="1" selected="0">
            <x v="2"/>
          </reference>
          <reference field="1" count="1" selected="0">
            <x v="14"/>
          </reference>
        </references>
      </pivotArea>
    </chartFormat>
    <chartFormat chart="0" format="165">
      <pivotArea type="data" outline="0" fieldPosition="0">
        <references count="3">
          <reference field="4294967294" count="1" selected="0">
            <x v="0"/>
          </reference>
          <reference field="0" count="1" selected="0">
            <x v="2"/>
          </reference>
          <reference field="1" count="1" selected="0">
            <x v="15"/>
          </reference>
        </references>
      </pivotArea>
    </chartFormat>
    <chartFormat chart="0" format="166">
      <pivotArea type="data" outline="0" fieldPosition="0">
        <references count="3">
          <reference field="4294967294" count="1" selected="0">
            <x v="0"/>
          </reference>
          <reference field="0" count="1" selected="0">
            <x v="2"/>
          </reference>
          <reference field="1" count="1" selected="0">
            <x v="16"/>
          </reference>
        </references>
      </pivotArea>
    </chartFormat>
    <chartFormat chart="0" format="167">
      <pivotArea type="data" outline="0" fieldPosition="0">
        <references count="3">
          <reference field="4294967294" count="1" selected="0">
            <x v="0"/>
          </reference>
          <reference field="0" count="1" selected="0">
            <x v="2"/>
          </reference>
          <reference field="1" count="1" selected="0">
            <x v="17"/>
          </reference>
        </references>
      </pivotArea>
    </chartFormat>
    <chartFormat chart="0" format="168">
      <pivotArea type="data" outline="0" fieldPosition="0">
        <references count="3">
          <reference field="4294967294" count="1" selected="0">
            <x v="0"/>
          </reference>
          <reference field="0" count="1" selected="0">
            <x v="2"/>
          </reference>
          <reference field="1" count="1" selected="0">
            <x v="18"/>
          </reference>
        </references>
      </pivotArea>
    </chartFormat>
    <chartFormat chart="0" format="169">
      <pivotArea type="data" outline="0" fieldPosition="0">
        <references count="3">
          <reference field="4294967294" count="1" selected="0">
            <x v="0"/>
          </reference>
          <reference field="0" count="1" selected="0">
            <x v="2"/>
          </reference>
          <reference field="1" count="1" selected="0">
            <x v="19"/>
          </reference>
        </references>
      </pivotArea>
    </chartFormat>
    <chartFormat chart="0" format="170">
      <pivotArea type="data" outline="0" fieldPosition="0">
        <references count="3">
          <reference field="4294967294" count="1" selected="0">
            <x v="0"/>
          </reference>
          <reference field="0" count="1" selected="0">
            <x v="2"/>
          </reference>
          <reference field="1" count="1" selected="0">
            <x v="20"/>
          </reference>
        </references>
      </pivotArea>
    </chartFormat>
    <chartFormat chart="0" format="171">
      <pivotArea type="data" outline="0" fieldPosition="0">
        <references count="3">
          <reference field="4294967294" count="1" selected="0">
            <x v="0"/>
          </reference>
          <reference field="0" count="1" selected="0">
            <x v="2"/>
          </reference>
          <reference field="1" count="1" selected="0">
            <x v="21"/>
          </reference>
        </references>
      </pivotArea>
    </chartFormat>
    <chartFormat chart="0" format="172">
      <pivotArea type="data" outline="0" fieldPosition="0">
        <references count="3">
          <reference field="4294967294" count="1" selected="0">
            <x v="0"/>
          </reference>
          <reference field="0" count="1" selected="0">
            <x v="2"/>
          </reference>
          <reference field="1" count="1" selected="0">
            <x v="22"/>
          </reference>
        </references>
      </pivotArea>
    </chartFormat>
    <chartFormat chart="0" format="173">
      <pivotArea type="data" outline="0" fieldPosition="0">
        <references count="3">
          <reference field="4294967294" count="1" selected="0">
            <x v="0"/>
          </reference>
          <reference field="0" count="1" selected="0">
            <x v="2"/>
          </reference>
          <reference field="1" count="1" selected="0">
            <x v="23"/>
          </reference>
        </references>
      </pivotArea>
    </chartFormat>
    <chartFormat chart="0" format="174">
      <pivotArea type="data" outline="0" fieldPosition="0">
        <references count="3">
          <reference field="4294967294" count="1" selected="0">
            <x v="0"/>
          </reference>
          <reference field="0" count="1" selected="0">
            <x v="2"/>
          </reference>
          <reference field="1" count="1" selected="0">
            <x v="24"/>
          </reference>
        </references>
      </pivotArea>
    </chartFormat>
    <chartFormat chart="0" format="175">
      <pivotArea type="data" outline="0" fieldPosition="0">
        <references count="3">
          <reference field="4294967294" count="1" selected="0">
            <x v="0"/>
          </reference>
          <reference field="0" count="1" selected="0">
            <x v="2"/>
          </reference>
          <reference field="1" count="1" selected="0">
            <x v="25"/>
          </reference>
        </references>
      </pivotArea>
    </chartFormat>
    <chartFormat chart="0" format="176">
      <pivotArea type="data" outline="0" fieldPosition="0">
        <references count="3">
          <reference field="4294967294" count="1" selected="0">
            <x v="0"/>
          </reference>
          <reference field="0" count="1" selected="0">
            <x v="2"/>
          </reference>
          <reference field="1" count="1" selected="0">
            <x v="26"/>
          </reference>
        </references>
      </pivotArea>
    </chartFormat>
    <chartFormat chart="0" format="177">
      <pivotArea type="data" outline="0" fieldPosition="0">
        <references count="3">
          <reference field="4294967294" count="1" selected="0">
            <x v="0"/>
          </reference>
          <reference field="0" count="1" selected="0">
            <x v="2"/>
          </reference>
          <reference field="1" count="1" selected="0">
            <x v="27"/>
          </reference>
        </references>
      </pivotArea>
    </chartFormat>
    <chartFormat chart="0" format="178">
      <pivotArea type="data" outline="0" fieldPosition="0">
        <references count="3">
          <reference field="4294967294" count="1" selected="0">
            <x v="0"/>
          </reference>
          <reference field="0" count="1" selected="0">
            <x v="2"/>
          </reference>
          <reference field="1" count="1" selected="0">
            <x v="28"/>
          </reference>
        </references>
      </pivotArea>
    </chartFormat>
    <chartFormat chart="0" format="179">
      <pivotArea type="data" outline="0" fieldPosition="0">
        <references count="3">
          <reference field="4294967294" count="1" selected="0">
            <x v="0"/>
          </reference>
          <reference field="0" count="1" selected="0">
            <x v="3"/>
          </reference>
          <reference field="1" count="1" selected="0">
            <x v="31"/>
          </reference>
        </references>
      </pivotArea>
    </chartFormat>
    <chartFormat chart="0" format="180">
      <pivotArea type="data" outline="0" fieldPosition="0">
        <references count="3">
          <reference field="4294967294" count="1" selected="0">
            <x v="0"/>
          </reference>
          <reference field="0" count="1" selected="0">
            <x v="3"/>
          </reference>
          <reference field="1" count="1" selected="0">
            <x v="32"/>
          </reference>
        </references>
      </pivotArea>
    </chartFormat>
    <chartFormat chart="0" format="181">
      <pivotArea type="data" outline="0" fieldPosition="0">
        <references count="3">
          <reference field="4294967294" count="1" selected="0">
            <x v="0"/>
          </reference>
          <reference field="0" count="1" selected="0">
            <x v="3"/>
          </reference>
          <reference field="1" count="1" selected="0">
            <x v="33"/>
          </reference>
        </references>
      </pivotArea>
    </chartFormat>
    <chartFormat chart="0" format="182">
      <pivotArea type="data" outline="0" fieldPosition="0">
        <references count="3">
          <reference field="4294967294" count="1" selected="0">
            <x v="0"/>
          </reference>
          <reference field="0" count="1" selected="0">
            <x v="3"/>
          </reference>
          <reference field="1" count="1" selected="0">
            <x v="34"/>
          </reference>
        </references>
      </pivotArea>
    </chartFormat>
    <chartFormat chart="0" format="183">
      <pivotArea type="data" outline="0" fieldPosition="0">
        <references count="3">
          <reference field="4294967294" count="1" selected="0">
            <x v="0"/>
          </reference>
          <reference field="0" count="1" selected="0">
            <x v="3"/>
          </reference>
          <reference field="1" count="1" selected="0">
            <x v="35"/>
          </reference>
        </references>
      </pivotArea>
    </chartFormat>
    <chartFormat chart="0" format="184">
      <pivotArea type="data" outline="0" fieldPosition="0">
        <references count="3">
          <reference field="4294967294" count="1" selected="0">
            <x v="0"/>
          </reference>
          <reference field="0" count="1" selected="0">
            <x v="3"/>
          </reference>
          <reference field="1" count="1" selected="0">
            <x v="36"/>
          </reference>
        </references>
      </pivotArea>
    </chartFormat>
    <chartFormat chart="0" format="185">
      <pivotArea type="data" outline="0" fieldPosition="0">
        <references count="3">
          <reference field="4294967294" count="1" selected="0">
            <x v="0"/>
          </reference>
          <reference field="0" count="1" selected="0">
            <x v="3"/>
          </reference>
          <reference field="1" count="1" selected="0">
            <x v="37"/>
          </reference>
        </references>
      </pivotArea>
    </chartFormat>
    <chartFormat chart="0" format="186">
      <pivotArea type="data" outline="0" fieldPosition="0">
        <references count="3">
          <reference field="4294967294" count="1" selected="0">
            <x v="0"/>
          </reference>
          <reference field="0" count="1" selected="0">
            <x v="3"/>
          </reference>
          <reference field="1" count="1" selected="0">
            <x v="38"/>
          </reference>
        </references>
      </pivotArea>
    </chartFormat>
    <chartFormat chart="0" format="187">
      <pivotArea type="data" outline="0" fieldPosition="0">
        <references count="3">
          <reference field="4294967294" count="1" selected="0">
            <x v="0"/>
          </reference>
          <reference field="0" count="1" selected="0">
            <x v="3"/>
          </reference>
          <reference field="1" count="1" selected="0">
            <x v="39"/>
          </reference>
        </references>
      </pivotArea>
    </chartFormat>
    <chartFormat chart="0" format="188">
      <pivotArea type="data" outline="0" fieldPosition="0">
        <references count="3">
          <reference field="4294967294" count="1" selected="0">
            <x v="0"/>
          </reference>
          <reference field="0" count="1" selected="0">
            <x v="3"/>
          </reference>
          <reference field="1" count="1" selected="0">
            <x v="40"/>
          </reference>
        </references>
      </pivotArea>
    </chartFormat>
    <chartFormat chart="0" format="189">
      <pivotArea type="data" outline="0" fieldPosition="0">
        <references count="3">
          <reference field="4294967294" count="1" selected="0">
            <x v="0"/>
          </reference>
          <reference field="0" count="1" selected="0">
            <x v="3"/>
          </reference>
          <reference field="1" count="1" selected="0">
            <x v="41"/>
          </reference>
        </references>
      </pivotArea>
    </chartFormat>
    <chartFormat chart="0" format="190">
      <pivotArea type="data" outline="0" fieldPosition="0">
        <references count="3">
          <reference field="4294967294" count="1" selected="0">
            <x v="0"/>
          </reference>
          <reference field="0" count="1" selected="0">
            <x v="3"/>
          </reference>
          <reference field="1" count="1" selected="0">
            <x v="42"/>
          </reference>
        </references>
      </pivotArea>
    </chartFormat>
    <chartFormat chart="0" format="191">
      <pivotArea type="data" outline="0" fieldPosition="0">
        <references count="3">
          <reference field="4294967294" count="1" selected="0">
            <x v="0"/>
          </reference>
          <reference field="0" count="1" selected="0">
            <x v="3"/>
          </reference>
          <reference field="1" count="1" selected="0">
            <x v="43"/>
          </reference>
        </references>
      </pivotArea>
    </chartFormat>
    <chartFormat chart="0" format="192">
      <pivotArea type="data" outline="0" fieldPosition="0">
        <references count="3">
          <reference field="4294967294" count="1" selected="0">
            <x v="0"/>
          </reference>
          <reference field="0" count="1" selected="0">
            <x v="3"/>
          </reference>
          <reference field="1" count="1" selected="0">
            <x v="44"/>
          </reference>
        </references>
      </pivotArea>
    </chartFormat>
    <chartFormat chart="0" format="193">
      <pivotArea type="data" outline="0" fieldPosition="0">
        <references count="3">
          <reference field="4294967294" count="1" selected="0">
            <x v="0"/>
          </reference>
          <reference field="0" count="1" selected="0">
            <x v="3"/>
          </reference>
          <reference field="1" count="1" selected="0">
            <x v="45"/>
          </reference>
        </references>
      </pivotArea>
    </chartFormat>
    <chartFormat chart="0" format="194">
      <pivotArea type="data" outline="0" fieldPosition="0">
        <references count="3">
          <reference field="4294967294" count="1" selected="0">
            <x v="0"/>
          </reference>
          <reference field="0" count="1" selected="0">
            <x v="3"/>
          </reference>
          <reference field="1" count="1" selected="0">
            <x v="46"/>
          </reference>
        </references>
      </pivotArea>
    </chartFormat>
    <chartFormat chart="0" format="195">
      <pivotArea type="data" outline="0" fieldPosition="0">
        <references count="3">
          <reference field="4294967294" count="1" selected="0">
            <x v="0"/>
          </reference>
          <reference field="0" count="1" selected="0">
            <x v="3"/>
          </reference>
          <reference field="1" count="1" selected="0">
            <x v="47"/>
          </reference>
        </references>
      </pivotArea>
    </chartFormat>
    <chartFormat chart="0" format="196">
      <pivotArea type="data" outline="0" fieldPosition="0">
        <references count="3">
          <reference field="4294967294" count="1" selected="0">
            <x v="0"/>
          </reference>
          <reference field="0" count="1" selected="0">
            <x v="3"/>
          </reference>
          <reference field="1" count="1" selected="0">
            <x v="48"/>
          </reference>
        </references>
      </pivotArea>
    </chartFormat>
    <chartFormat chart="0" format="197">
      <pivotArea type="data" outline="0" fieldPosition="0">
        <references count="3">
          <reference field="4294967294" count="1" selected="0">
            <x v="0"/>
          </reference>
          <reference field="0" count="1" selected="0">
            <x v="3"/>
          </reference>
          <reference field="1" count="1" selected="0">
            <x v="49"/>
          </reference>
        </references>
      </pivotArea>
    </chartFormat>
    <chartFormat chart="0" format="198">
      <pivotArea type="data" outline="0" fieldPosition="0">
        <references count="3">
          <reference field="4294967294" count="1" selected="0">
            <x v="0"/>
          </reference>
          <reference field="0" count="1" selected="0">
            <x v="3"/>
          </reference>
          <reference field="1" count="1" selected="0">
            <x v="50"/>
          </reference>
        </references>
      </pivotArea>
    </chartFormat>
    <chartFormat chart="0" format="199">
      <pivotArea type="data" outline="0" fieldPosition="0">
        <references count="3">
          <reference field="4294967294" count="1" selected="0">
            <x v="0"/>
          </reference>
          <reference field="0" count="1" selected="0">
            <x v="3"/>
          </reference>
          <reference field="1" count="1" selected="0">
            <x v="51"/>
          </reference>
        </references>
      </pivotArea>
    </chartFormat>
    <chartFormat chart="0" format="200">
      <pivotArea type="data" outline="0" fieldPosition="0">
        <references count="3">
          <reference field="4294967294" count="1" selected="0">
            <x v="0"/>
          </reference>
          <reference field="0" count="1" selected="0">
            <x v="3"/>
          </reference>
          <reference field="1" count="1" selected="0">
            <x v="52"/>
          </reference>
        </references>
      </pivotArea>
    </chartFormat>
    <chartFormat chart="0" format="201">
      <pivotArea type="data" outline="0" fieldPosition="0">
        <references count="3">
          <reference field="4294967294" count="1" selected="0">
            <x v="0"/>
          </reference>
          <reference field="0" count="1" selected="0">
            <x v="3"/>
          </reference>
          <reference field="1" count="1" selected="0">
            <x v="53"/>
          </reference>
        </references>
      </pivotArea>
    </chartFormat>
    <chartFormat chart="0" format="202">
      <pivotArea type="data" outline="0" fieldPosition="0">
        <references count="3">
          <reference field="4294967294" count="1" selected="0">
            <x v="0"/>
          </reference>
          <reference field="0" count="1" selected="0">
            <x v="3"/>
          </reference>
          <reference field="1" count="1" selected="0">
            <x v="54"/>
          </reference>
        </references>
      </pivotArea>
    </chartFormat>
    <chartFormat chart="0" format="203">
      <pivotArea type="data" outline="0" fieldPosition="0">
        <references count="3">
          <reference field="4294967294" count="1" selected="0">
            <x v="0"/>
          </reference>
          <reference field="0" count="1" selected="0">
            <x v="3"/>
          </reference>
          <reference field="1" count="1" selected="0">
            <x v="55"/>
          </reference>
        </references>
      </pivotArea>
    </chartFormat>
    <chartFormat chart="0" format="204">
      <pivotArea type="data" outline="0" fieldPosition="0">
        <references count="3">
          <reference field="4294967294" count="1" selected="0">
            <x v="0"/>
          </reference>
          <reference field="0" count="1" selected="0">
            <x v="3"/>
          </reference>
          <reference field="1" count="1" selected="0">
            <x v="56"/>
          </reference>
        </references>
      </pivotArea>
    </chartFormat>
    <chartFormat chart="0" format="205">
      <pivotArea type="data" outline="0" fieldPosition="0">
        <references count="3">
          <reference field="4294967294" count="1" selected="0">
            <x v="0"/>
          </reference>
          <reference field="0" count="1" selected="0">
            <x v="3"/>
          </reference>
          <reference field="1" count="1" selected="0">
            <x v="57"/>
          </reference>
        </references>
      </pivotArea>
    </chartFormat>
    <chartFormat chart="0" format="206">
      <pivotArea type="data" outline="0" fieldPosition="0">
        <references count="3">
          <reference field="4294967294" count="1" selected="0">
            <x v="0"/>
          </reference>
          <reference field="0" count="1" selected="0">
            <x v="3"/>
          </reference>
          <reference field="1" count="1" selected="0">
            <x v="58"/>
          </reference>
        </references>
      </pivotArea>
    </chartFormat>
    <chartFormat chart="0" format="207">
      <pivotArea type="data" outline="0" fieldPosition="0">
        <references count="3">
          <reference field="4294967294" count="1" selected="0">
            <x v="0"/>
          </reference>
          <reference field="0" count="1" selected="0">
            <x v="3"/>
          </reference>
          <reference field="1" count="1" selected="0">
            <x v="59"/>
          </reference>
        </references>
      </pivotArea>
    </chartFormat>
    <chartFormat chart="0" format="208">
      <pivotArea type="data" outline="0" fieldPosition="0">
        <references count="3">
          <reference field="4294967294" count="1" selected="0">
            <x v="0"/>
          </reference>
          <reference field="0" count="1" selected="0">
            <x v="3"/>
          </reference>
          <reference field="1" count="1" selected="0">
            <x v="60"/>
          </reference>
        </references>
      </pivotArea>
    </chartFormat>
    <chartFormat chart="0" format="209">
      <pivotArea type="data" outline="0" fieldPosition="0">
        <references count="3">
          <reference field="4294967294" count="1" selected="0">
            <x v="0"/>
          </reference>
          <reference field="0" count="1" selected="0">
            <x v="3"/>
          </reference>
          <reference field="1" count="1" selected="0">
            <x v="61"/>
          </reference>
        </references>
      </pivotArea>
    </chartFormat>
    <chartFormat chart="0" format="210">
      <pivotArea type="data" outline="0" fieldPosition="0">
        <references count="3">
          <reference field="4294967294" count="1" selected="0">
            <x v="0"/>
          </reference>
          <reference field="0" count="1" selected="0">
            <x v="3"/>
          </reference>
          <reference field="1" count="1" selected="0">
            <x v="62"/>
          </reference>
        </references>
      </pivotArea>
    </chartFormat>
    <chartFormat chart="0" format="211">
      <pivotArea type="data" outline="0" fieldPosition="0">
        <references count="3">
          <reference field="4294967294" count="1" selected="0">
            <x v="0"/>
          </reference>
          <reference field="0" count="1" selected="0">
            <x v="4"/>
          </reference>
          <reference field="1" count="1" selected="0">
            <x v="31"/>
          </reference>
        </references>
      </pivotArea>
    </chartFormat>
    <chartFormat chart="0" format="212">
      <pivotArea type="data" outline="0" fieldPosition="0">
        <references count="3">
          <reference field="4294967294" count="1" selected="0">
            <x v="0"/>
          </reference>
          <reference field="0" count="1" selected="0">
            <x v="4"/>
          </reference>
          <reference field="1" count="1" selected="0">
            <x v="32"/>
          </reference>
        </references>
      </pivotArea>
    </chartFormat>
    <chartFormat chart="0" format="213">
      <pivotArea type="data" outline="0" fieldPosition="0">
        <references count="3">
          <reference field="4294967294" count="1" selected="0">
            <x v="0"/>
          </reference>
          <reference field="0" count="1" selected="0">
            <x v="4"/>
          </reference>
          <reference field="1" count="1" selected="0">
            <x v="33"/>
          </reference>
        </references>
      </pivotArea>
    </chartFormat>
    <chartFormat chart="0" format="214">
      <pivotArea type="data" outline="0" fieldPosition="0">
        <references count="3">
          <reference field="4294967294" count="1" selected="0">
            <x v="0"/>
          </reference>
          <reference field="0" count="1" selected="0">
            <x v="4"/>
          </reference>
          <reference field="1" count="1" selected="0">
            <x v="34"/>
          </reference>
        </references>
      </pivotArea>
    </chartFormat>
    <chartFormat chart="0" format="215">
      <pivotArea type="data" outline="0" fieldPosition="0">
        <references count="3">
          <reference field="4294967294" count="1" selected="0">
            <x v="0"/>
          </reference>
          <reference field="0" count="1" selected="0">
            <x v="4"/>
          </reference>
          <reference field="1" count="1" selected="0">
            <x v="35"/>
          </reference>
        </references>
      </pivotArea>
    </chartFormat>
    <chartFormat chart="0" format="216">
      <pivotArea type="data" outline="0" fieldPosition="0">
        <references count="3">
          <reference field="4294967294" count="1" selected="0">
            <x v="0"/>
          </reference>
          <reference field="0" count="1" selected="0">
            <x v="4"/>
          </reference>
          <reference field="1" count="1" selected="0">
            <x v="36"/>
          </reference>
        </references>
      </pivotArea>
    </chartFormat>
    <chartFormat chart="0" format="217">
      <pivotArea type="data" outline="0" fieldPosition="0">
        <references count="3">
          <reference field="4294967294" count="1" selected="0">
            <x v="0"/>
          </reference>
          <reference field="0" count="1" selected="0">
            <x v="4"/>
          </reference>
          <reference field="1" count="1" selected="0">
            <x v="37"/>
          </reference>
        </references>
      </pivotArea>
    </chartFormat>
    <chartFormat chart="0" format="218">
      <pivotArea type="data" outline="0" fieldPosition="0">
        <references count="3">
          <reference field="4294967294" count="1" selected="0">
            <x v="0"/>
          </reference>
          <reference field="0" count="1" selected="0">
            <x v="4"/>
          </reference>
          <reference field="1" count="1" selected="0">
            <x v="38"/>
          </reference>
        </references>
      </pivotArea>
    </chartFormat>
    <chartFormat chart="0" format="219">
      <pivotArea type="data" outline="0" fieldPosition="0">
        <references count="3">
          <reference field="4294967294" count="1" selected="0">
            <x v="0"/>
          </reference>
          <reference field="0" count="1" selected="0">
            <x v="4"/>
          </reference>
          <reference field="1" count="1" selected="0">
            <x v="39"/>
          </reference>
        </references>
      </pivotArea>
    </chartFormat>
    <chartFormat chart="0" format="220">
      <pivotArea type="data" outline="0" fieldPosition="0">
        <references count="3">
          <reference field="4294967294" count="1" selected="0">
            <x v="0"/>
          </reference>
          <reference field="0" count="1" selected="0">
            <x v="4"/>
          </reference>
          <reference field="1" count="1" selected="0">
            <x v="40"/>
          </reference>
        </references>
      </pivotArea>
    </chartFormat>
    <chartFormat chart="0" format="221">
      <pivotArea type="data" outline="0" fieldPosition="0">
        <references count="3">
          <reference field="4294967294" count="1" selected="0">
            <x v="0"/>
          </reference>
          <reference field="0" count="1" selected="0">
            <x v="4"/>
          </reference>
          <reference field="1" count="1" selected="0">
            <x v="41"/>
          </reference>
        </references>
      </pivotArea>
    </chartFormat>
    <chartFormat chart="0" format="222">
      <pivotArea type="data" outline="0" fieldPosition="0">
        <references count="3">
          <reference field="4294967294" count="1" selected="0">
            <x v="0"/>
          </reference>
          <reference field="0" count="1" selected="0">
            <x v="4"/>
          </reference>
          <reference field="1" count="1" selected="0">
            <x v="42"/>
          </reference>
        </references>
      </pivotArea>
    </chartFormat>
    <chartFormat chart="0" format="223">
      <pivotArea type="data" outline="0" fieldPosition="0">
        <references count="3">
          <reference field="4294967294" count="1" selected="0">
            <x v="0"/>
          </reference>
          <reference field="0" count="1" selected="0">
            <x v="4"/>
          </reference>
          <reference field="1" count="1" selected="0">
            <x v="43"/>
          </reference>
        </references>
      </pivotArea>
    </chartFormat>
    <chartFormat chart="0" format="224">
      <pivotArea type="data" outline="0" fieldPosition="0">
        <references count="3">
          <reference field="4294967294" count="1" selected="0">
            <x v="0"/>
          </reference>
          <reference field="0" count="1" selected="0">
            <x v="4"/>
          </reference>
          <reference field="1" count="1" selected="0">
            <x v="44"/>
          </reference>
        </references>
      </pivotArea>
    </chartFormat>
    <chartFormat chart="0" format="225">
      <pivotArea type="data" outline="0" fieldPosition="0">
        <references count="3">
          <reference field="4294967294" count="1" selected="0">
            <x v="0"/>
          </reference>
          <reference field="0" count="1" selected="0">
            <x v="4"/>
          </reference>
          <reference field="1" count="1" selected="0">
            <x v="45"/>
          </reference>
        </references>
      </pivotArea>
    </chartFormat>
    <chartFormat chart="0" format="226">
      <pivotArea type="data" outline="0" fieldPosition="0">
        <references count="3">
          <reference field="4294967294" count="1" selected="0">
            <x v="0"/>
          </reference>
          <reference field="0" count="1" selected="0">
            <x v="4"/>
          </reference>
          <reference field="1" count="1" selected="0">
            <x v="46"/>
          </reference>
        </references>
      </pivotArea>
    </chartFormat>
    <chartFormat chart="0" format="227">
      <pivotArea type="data" outline="0" fieldPosition="0">
        <references count="3">
          <reference field="4294967294" count="1" selected="0">
            <x v="0"/>
          </reference>
          <reference field="0" count="1" selected="0">
            <x v="4"/>
          </reference>
          <reference field="1" count="1" selected="0">
            <x v="47"/>
          </reference>
        </references>
      </pivotArea>
    </chartFormat>
    <chartFormat chart="0" format="228">
      <pivotArea type="data" outline="0" fieldPosition="0">
        <references count="3">
          <reference field="4294967294" count="1" selected="0">
            <x v="0"/>
          </reference>
          <reference field="0" count="1" selected="0">
            <x v="4"/>
          </reference>
          <reference field="1" count="1" selected="0">
            <x v="48"/>
          </reference>
        </references>
      </pivotArea>
    </chartFormat>
    <chartFormat chart="0" format="229">
      <pivotArea type="data" outline="0" fieldPosition="0">
        <references count="3">
          <reference field="4294967294" count="1" selected="0">
            <x v="0"/>
          </reference>
          <reference field="0" count="1" selected="0">
            <x v="4"/>
          </reference>
          <reference field="1" count="1" selected="0">
            <x v="49"/>
          </reference>
        </references>
      </pivotArea>
    </chartFormat>
    <chartFormat chart="0" format="230">
      <pivotArea type="data" outline="0" fieldPosition="0">
        <references count="3">
          <reference field="4294967294" count="1" selected="0">
            <x v="0"/>
          </reference>
          <reference field="0" count="1" selected="0">
            <x v="4"/>
          </reference>
          <reference field="1" count="1" selected="0">
            <x v="50"/>
          </reference>
        </references>
      </pivotArea>
    </chartFormat>
    <chartFormat chart="0" format="231">
      <pivotArea type="data" outline="0" fieldPosition="0">
        <references count="3">
          <reference field="4294967294" count="1" selected="0">
            <x v="0"/>
          </reference>
          <reference field="0" count="1" selected="0">
            <x v="4"/>
          </reference>
          <reference field="1" count="1" selected="0">
            <x v="51"/>
          </reference>
        </references>
      </pivotArea>
    </chartFormat>
    <chartFormat chart="0" format="232">
      <pivotArea type="data" outline="0" fieldPosition="0">
        <references count="3">
          <reference field="4294967294" count="1" selected="0">
            <x v="0"/>
          </reference>
          <reference field="0" count="1" selected="0">
            <x v="4"/>
          </reference>
          <reference field="1" count="1" selected="0">
            <x v="52"/>
          </reference>
        </references>
      </pivotArea>
    </chartFormat>
    <chartFormat chart="0" format="233">
      <pivotArea type="data" outline="0" fieldPosition="0">
        <references count="3">
          <reference field="4294967294" count="1" selected="0">
            <x v="0"/>
          </reference>
          <reference field="0" count="1" selected="0">
            <x v="4"/>
          </reference>
          <reference field="1" count="1" selected="0">
            <x v="53"/>
          </reference>
        </references>
      </pivotArea>
    </chartFormat>
    <chartFormat chart="0" format="234">
      <pivotArea type="data" outline="0" fieldPosition="0">
        <references count="3">
          <reference field="4294967294" count="1" selected="0">
            <x v="0"/>
          </reference>
          <reference field="0" count="1" selected="0">
            <x v="4"/>
          </reference>
          <reference field="1" count="1" selected="0">
            <x v="54"/>
          </reference>
        </references>
      </pivotArea>
    </chartFormat>
    <chartFormat chart="0" format="235">
      <pivotArea type="data" outline="0" fieldPosition="0">
        <references count="3">
          <reference field="4294967294" count="1" selected="0">
            <x v="0"/>
          </reference>
          <reference field="0" count="1" selected="0">
            <x v="4"/>
          </reference>
          <reference field="1" count="1" selected="0">
            <x v="55"/>
          </reference>
        </references>
      </pivotArea>
    </chartFormat>
    <chartFormat chart="0" format="236">
      <pivotArea type="data" outline="0" fieldPosition="0">
        <references count="3">
          <reference field="4294967294" count="1" selected="0">
            <x v="0"/>
          </reference>
          <reference field="0" count="1" selected="0">
            <x v="4"/>
          </reference>
          <reference field="1" count="1" selected="0">
            <x v="56"/>
          </reference>
        </references>
      </pivotArea>
    </chartFormat>
    <chartFormat chart="0" format="237">
      <pivotArea type="data" outline="0" fieldPosition="0">
        <references count="3">
          <reference field="4294967294" count="1" selected="0">
            <x v="0"/>
          </reference>
          <reference field="0" count="1" selected="0">
            <x v="4"/>
          </reference>
          <reference field="1" count="1" selected="0">
            <x v="57"/>
          </reference>
        </references>
      </pivotArea>
    </chartFormat>
    <chartFormat chart="0" format="238">
      <pivotArea type="data" outline="0" fieldPosition="0">
        <references count="3">
          <reference field="4294967294" count="1" selected="0">
            <x v="0"/>
          </reference>
          <reference field="0" count="1" selected="0">
            <x v="4"/>
          </reference>
          <reference field="1" count="1" selected="0">
            <x v="58"/>
          </reference>
        </references>
      </pivotArea>
    </chartFormat>
    <chartFormat chart="0" format="239">
      <pivotArea type="data" outline="0" fieldPosition="0">
        <references count="3">
          <reference field="4294967294" count="1" selected="0">
            <x v="0"/>
          </reference>
          <reference field="0" count="1" selected="0">
            <x v="4"/>
          </reference>
          <reference field="1" count="1" selected="0">
            <x v="59"/>
          </reference>
        </references>
      </pivotArea>
    </chartFormat>
    <chartFormat chart="0" format="240">
      <pivotArea type="data" outline="0" fieldPosition="0">
        <references count="3">
          <reference field="4294967294" count="1" selected="0">
            <x v="0"/>
          </reference>
          <reference field="0" count="1" selected="0">
            <x v="4"/>
          </reference>
          <reference field="1" count="1" selected="0">
            <x v="60"/>
          </reference>
        </references>
      </pivotArea>
    </chartFormat>
    <chartFormat chart="0" format="241">
      <pivotArea type="data" outline="0" fieldPosition="0">
        <references count="3">
          <reference field="4294967294" count="1" selected="0">
            <x v="0"/>
          </reference>
          <reference field="0" count="1" selected="0">
            <x v="4"/>
          </reference>
          <reference field="1" count="1" selected="0">
            <x v="63"/>
          </reference>
        </references>
      </pivotArea>
    </chartFormat>
    <chartFormat chart="0" format="242">
      <pivotArea type="data" outline="0" fieldPosition="0">
        <references count="3">
          <reference field="4294967294" count="1" selected="0">
            <x v="0"/>
          </reference>
          <reference field="0" count="1" selected="0">
            <x v="4"/>
          </reference>
          <reference field="1" count="1" selected="0">
            <x v="64"/>
          </reference>
        </references>
      </pivotArea>
    </chartFormat>
    <chartFormat chart="0" format="243">
      <pivotArea type="data" outline="0" fieldPosition="0">
        <references count="3">
          <reference field="4294967294" count="1" selected="0">
            <x v="0"/>
          </reference>
          <reference field="0" count="1" selected="0">
            <x v="4"/>
          </reference>
          <reference field="1" count="1" selected="0">
            <x v="65"/>
          </reference>
        </references>
      </pivotArea>
    </chartFormat>
    <chartFormat chart="0" format="244">
      <pivotArea type="data" outline="0" fieldPosition="0">
        <references count="3">
          <reference field="4294967294" count="1" selected="0">
            <x v="0"/>
          </reference>
          <reference field="0" count="1" selected="0">
            <x v="4"/>
          </reference>
          <reference field="1" count="1" selected="0">
            <x v="66"/>
          </reference>
        </references>
      </pivotArea>
    </chartFormat>
    <chartFormat chart="0" format="245">
      <pivotArea type="data" outline="0" fieldPosition="0">
        <references count="3">
          <reference field="4294967294" count="1" selected="0">
            <x v="0"/>
          </reference>
          <reference field="0" count="1" selected="0">
            <x v="4"/>
          </reference>
          <reference field="1" count="1" selected="0">
            <x v="67"/>
          </reference>
        </references>
      </pivotArea>
    </chartFormat>
    <chartFormat chart="0" format="246">
      <pivotArea type="data" outline="0" fieldPosition="0">
        <references count="3">
          <reference field="4294967294" count="1" selected="0">
            <x v="0"/>
          </reference>
          <reference field="0" count="1" selected="0">
            <x v="4"/>
          </reference>
          <reference field="1" count="1" selected="0">
            <x v="68"/>
          </reference>
        </references>
      </pivotArea>
    </chartFormat>
    <chartFormat chart="0" format="247">
      <pivotArea type="data" outline="0" fieldPosition="0">
        <references count="3">
          <reference field="4294967294" count="1" selected="0">
            <x v="0"/>
          </reference>
          <reference field="0" count="1" selected="0">
            <x v="4"/>
          </reference>
          <reference field="1" count="1" selected="0">
            <x v="69"/>
          </reference>
        </references>
      </pivotArea>
    </chartFormat>
    <chartFormat chart="0" format="248">
      <pivotArea type="data" outline="0" fieldPosition="0">
        <references count="3">
          <reference field="4294967294" count="1" selected="0">
            <x v="0"/>
          </reference>
          <reference field="0" count="1" selected="0">
            <x v="4"/>
          </reference>
          <reference field="1" count="1" selected="0">
            <x v="70"/>
          </reference>
        </references>
      </pivotArea>
    </chartFormat>
    <chartFormat chart="0" format="249">
      <pivotArea type="data" outline="0" fieldPosition="0">
        <references count="3">
          <reference field="4294967294" count="1" selected="0">
            <x v="0"/>
          </reference>
          <reference field="0" count="1" selected="0">
            <x v="4"/>
          </reference>
          <reference field="1" count="1" selected="0">
            <x v="71"/>
          </reference>
        </references>
      </pivotArea>
    </chartFormat>
    <chartFormat chart="0" format="250">
      <pivotArea type="data" outline="0" fieldPosition="0">
        <references count="3">
          <reference field="4294967294" count="1" selected="0">
            <x v="0"/>
          </reference>
          <reference field="0" count="1" selected="0">
            <x v="4"/>
          </reference>
          <reference field="1" count="1" selected="0">
            <x v="72"/>
          </reference>
        </references>
      </pivotArea>
    </chartFormat>
    <chartFormat chart="0" format="251">
      <pivotArea type="data" outline="0" fieldPosition="0">
        <references count="3">
          <reference field="4294967294" count="1" selected="0">
            <x v="0"/>
          </reference>
          <reference field="0" count="1" selected="0">
            <x v="4"/>
          </reference>
          <reference field="1" count="1" selected="0">
            <x v="73"/>
          </reference>
        </references>
      </pivotArea>
    </chartFormat>
    <chartFormat chart="0" format="252">
      <pivotArea type="data" outline="0" fieldPosition="0">
        <references count="3">
          <reference field="4294967294" count="1" selected="0">
            <x v="0"/>
          </reference>
          <reference field="0" count="1" selected="0">
            <x v="4"/>
          </reference>
          <reference field="1" count="1" selected="0">
            <x v="74"/>
          </reference>
        </references>
      </pivotArea>
    </chartFormat>
    <chartFormat chart="0" format="253">
      <pivotArea type="data" outline="0" fieldPosition="0">
        <references count="3">
          <reference field="4294967294" count="1" selected="0">
            <x v="0"/>
          </reference>
          <reference field="0" count="1" selected="0">
            <x v="4"/>
          </reference>
          <reference field="1" count="1" selected="0">
            <x v="75"/>
          </reference>
        </references>
      </pivotArea>
    </chartFormat>
    <chartFormat chart="0" format="254">
      <pivotArea type="data" outline="0" fieldPosition="0">
        <references count="3">
          <reference field="4294967294" count="1" selected="0">
            <x v="0"/>
          </reference>
          <reference field="0" count="1" selected="0">
            <x v="4"/>
          </reference>
          <reference field="1" count="1" selected="0">
            <x v="76"/>
          </reference>
        </references>
      </pivotArea>
    </chartFormat>
    <chartFormat chart="0" format="255">
      <pivotArea type="data" outline="0" fieldPosition="0">
        <references count="3">
          <reference field="4294967294" count="1" selected="0">
            <x v="0"/>
          </reference>
          <reference field="0" count="1" selected="0">
            <x v="4"/>
          </reference>
          <reference field="1" count="1" selected="0">
            <x v="77"/>
          </reference>
        </references>
      </pivotArea>
    </chartFormat>
    <chartFormat chart="0" format="256">
      <pivotArea type="data" outline="0" fieldPosition="0">
        <references count="3">
          <reference field="4294967294" count="1" selected="0">
            <x v="0"/>
          </reference>
          <reference field="0" count="1" selected="0">
            <x v="4"/>
          </reference>
          <reference field="1" count="1" selected="0">
            <x v="78"/>
          </reference>
        </references>
      </pivotArea>
    </chartFormat>
    <chartFormat chart="0" format="257">
      <pivotArea type="data" outline="0" fieldPosition="0">
        <references count="3">
          <reference field="4294967294" count="1" selected="0">
            <x v="0"/>
          </reference>
          <reference field="0" count="1" selected="0">
            <x v="4"/>
          </reference>
          <reference field="1" count="1" selected="0">
            <x v="61"/>
          </reference>
        </references>
      </pivotArea>
    </chartFormat>
    <chartFormat chart="0" format="258">
      <pivotArea type="data" outline="0" fieldPosition="0">
        <references count="3">
          <reference field="4294967294" count="1" selected="0">
            <x v="0"/>
          </reference>
          <reference field="0" count="1" selected="0">
            <x v="4"/>
          </reference>
          <reference field="1" count="1" selected="0">
            <x v="62"/>
          </reference>
        </references>
      </pivotArea>
    </chartFormat>
    <chartFormat chart="0" format="259">
      <pivotArea type="data" outline="0" fieldPosition="0">
        <references count="3">
          <reference field="4294967294" count="1" selected="0">
            <x v="0"/>
          </reference>
          <reference field="0" count="1" selected="0">
            <x v="5"/>
          </reference>
          <reference field="1" count="1" selected="0">
            <x v="31"/>
          </reference>
        </references>
      </pivotArea>
    </chartFormat>
    <chartFormat chart="0" format="260">
      <pivotArea type="data" outline="0" fieldPosition="0">
        <references count="3">
          <reference field="4294967294" count="1" selected="0">
            <x v="0"/>
          </reference>
          <reference field="0" count="1" selected="0">
            <x v="5"/>
          </reference>
          <reference field="1" count="1" selected="0">
            <x v="32"/>
          </reference>
        </references>
      </pivotArea>
    </chartFormat>
    <chartFormat chart="0" format="261">
      <pivotArea type="data" outline="0" fieldPosition="0">
        <references count="3">
          <reference field="4294967294" count="1" selected="0">
            <x v="0"/>
          </reference>
          <reference field="0" count="1" selected="0">
            <x v="5"/>
          </reference>
          <reference field="1" count="1" selected="0">
            <x v="33"/>
          </reference>
        </references>
      </pivotArea>
    </chartFormat>
    <chartFormat chart="0" format="262">
      <pivotArea type="data" outline="0" fieldPosition="0">
        <references count="3">
          <reference field="4294967294" count="1" selected="0">
            <x v="0"/>
          </reference>
          <reference field="0" count="1" selected="0">
            <x v="5"/>
          </reference>
          <reference field="1" count="1" selected="0">
            <x v="34"/>
          </reference>
        </references>
      </pivotArea>
    </chartFormat>
    <chartFormat chart="0" format="263">
      <pivotArea type="data" outline="0" fieldPosition="0">
        <references count="3">
          <reference field="4294967294" count="1" selected="0">
            <x v="0"/>
          </reference>
          <reference field="0" count="1" selected="0">
            <x v="5"/>
          </reference>
          <reference field="1" count="1" selected="0">
            <x v="35"/>
          </reference>
        </references>
      </pivotArea>
    </chartFormat>
    <chartFormat chart="0" format="264">
      <pivotArea type="data" outline="0" fieldPosition="0">
        <references count="3">
          <reference field="4294967294" count="1" selected="0">
            <x v="0"/>
          </reference>
          <reference field="0" count="1" selected="0">
            <x v="5"/>
          </reference>
          <reference field="1" count="1" selected="0">
            <x v="36"/>
          </reference>
        </references>
      </pivotArea>
    </chartFormat>
    <chartFormat chart="0" format="265">
      <pivotArea type="data" outline="0" fieldPosition="0">
        <references count="3">
          <reference field="4294967294" count="1" selected="0">
            <x v="0"/>
          </reference>
          <reference field="0" count="1" selected="0">
            <x v="5"/>
          </reference>
          <reference field="1" count="1" selected="0">
            <x v="37"/>
          </reference>
        </references>
      </pivotArea>
    </chartFormat>
    <chartFormat chart="0" format="266">
      <pivotArea type="data" outline="0" fieldPosition="0">
        <references count="3">
          <reference field="4294967294" count="1" selected="0">
            <x v="0"/>
          </reference>
          <reference field="0" count="1" selected="0">
            <x v="5"/>
          </reference>
          <reference field="1" count="1" selected="0">
            <x v="38"/>
          </reference>
        </references>
      </pivotArea>
    </chartFormat>
    <chartFormat chart="0" format="267">
      <pivotArea type="data" outline="0" fieldPosition="0">
        <references count="3">
          <reference field="4294967294" count="1" selected="0">
            <x v="0"/>
          </reference>
          <reference field="0" count="1" selected="0">
            <x v="5"/>
          </reference>
          <reference field="1" count="1" selected="0">
            <x v="40"/>
          </reference>
        </references>
      </pivotArea>
    </chartFormat>
    <chartFormat chart="0" format="268">
      <pivotArea type="data" outline="0" fieldPosition="0">
        <references count="3">
          <reference field="4294967294" count="1" selected="0">
            <x v="0"/>
          </reference>
          <reference field="0" count="1" selected="0">
            <x v="5"/>
          </reference>
          <reference field="1" count="1" selected="0">
            <x v="63"/>
          </reference>
        </references>
      </pivotArea>
    </chartFormat>
    <chartFormat chart="0" format="269">
      <pivotArea type="data" outline="0" fieldPosition="0">
        <references count="3">
          <reference field="4294967294" count="1" selected="0">
            <x v="0"/>
          </reference>
          <reference field="0" count="1" selected="0">
            <x v="5"/>
          </reference>
          <reference field="1" count="1" selected="0">
            <x v="64"/>
          </reference>
        </references>
      </pivotArea>
    </chartFormat>
    <chartFormat chart="0" format="270">
      <pivotArea type="data" outline="0" fieldPosition="0">
        <references count="3">
          <reference field="4294967294" count="1" selected="0">
            <x v="0"/>
          </reference>
          <reference field="0" count="1" selected="0">
            <x v="5"/>
          </reference>
          <reference field="1" count="1" selected="0">
            <x v="65"/>
          </reference>
        </references>
      </pivotArea>
    </chartFormat>
    <chartFormat chart="0" format="271">
      <pivotArea type="data" outline="0" fieldPosition="0">
        <references count="3">
          <reference field="4294967294" count="1" selected="0">
            <x v="0"/>
          </reference>
          <reference field="0" count="1" selected="0">
            <x v="5"/>
          </reference>
          <reference field="1" count="1" selected="0">
            <x v="66"/>
          </reference>
        </references>
      </pivotArea>
    </chartFormat>
    <chartFormat chart="0" format="272">
      <pivotArea type="data" outline="0" fieldPosition="0">
        <references count="3">
          <reference field="4294967294" count="1" selected="0">
            <x v="0"/>
          </reference>
          <reference field="0" count="1" selected="0">
            <x v="5"/>
          </reference>
          <reference field="1" count="1" selected="0">
            <x v="67"/>
          </reference>
        </references>
      </pivotArea>
    </chartFormat>
    <chartFormat chart="0" format="273">
      <pivotArea type="data" outline="0" fieldPosition="0">
        <references count="3">
          <reference field="4294967294" count="1" selected="0">
            <x v="0"/>
          </reference>
          <reference field="0" count="1" selected="0">
            <x v="5"/>
          </reference>
          <reference field="1" count="1" selected="0">
            <x v="68"/>
          </reference>
        </references>
      </pivotArea>
    </chartFormat>
    <chartFormat chart="0" format="274">
      <pivotArea type="data" outline="0" fieldPosition="0">
        <references count="3">
          <reference field="4294967294" count="1" selected="0">
            <x v="0"/>
          </reference>
          <reference field="0" count="1" selected="0">
            <x v="5"/>
          </reference>
          <reference field="1" count="1" selected="0">
            <x v="69"/>
          </reference>
        </references>
      </pivotArea>
    </chartFormat>
    <chartFormat chart="0" format="275">
      <pivotArea type="data" outline="0" fieldPosition="0">
        <references count="3">
          <reference field="4294967294" count="1" selected="0">
            <x v="0"/>
          </reference>
          <reference field="0" count="1" selected="0">
            <x v="5"/>
          </reference>
          <reference field="1" count="1" selected="0">
            <x v="70"/>
          </reference>
        </references>
      </pivotArea>
    </chartFormat>
    <chartFormat chart="0" format="276">
      <pivotArea type="data" outline="0" fieldPosition="0">
        <references count="3">
          <reference field="4294967294" count="1" selected="0">
            <x v="0"/>
          </reference>
          <reference field="0" count="1" selected="0">
            <x v="5"/>
          </reference>
          <reference field="1" count="1" selected="0">
            <x v="71"/>
          </reference>
        </references>
      </pivotArea>
    </chartFormat>
    <chartFormat chart="0" format="277">
      <pivotArea type="data" outline="0" fieldPosition="0">
        <references count="3">
          <reference field="4294967294" count="1" selected="0">
            <x v="0"/>
          </reference>
          <reference field="0" count="1" selected="0">
            <x v="5"/>
          </reference>
          <reference field="1" count="1" selected="0">
            <x v="72"/>
          </reference>
        </references>
      </pivotArea>
    </chartFormat>
    <chartFormat chart="0" format="278">
      <pivotArea type="data" outline="0" fieldPosition="0">
        <references count="3">
          <reference field="4294967294" count="1" selected="0">
            <x v="0"/>
          </reference>
          <reference field="0" count="1" selected="0">
            <x v="5"/>
          </reference>
          <reference field="1" count="1" selected="0">
            <x v="73"/>
          </reference>
        </references>
      </pivotArea>
    </chartFormat>
    <chartFormat chart="0" format="279">
      <pivotArea type="data" outline="0" fieldPosition="0">
        <references count="3">
          <reference field="4294967294" count="1" selected="0">
            <x v="0"/>
          </reference>
          <reference field="0" count="1" selected="0">
            <x v="5"/>
          </reference>
          <reference field="1" count="1" selected="0">
            <x v="74"/>
          </reference>
        </references>
      </pivotArea>
    </chartFormat>
    <chartFormat chart="0" format="280">
      <pivotArea type="data" outline="0" fieldPosition="0">
        <references count="3">
          <reference field="4294967294" count="1" selected="0">
            <x v="0"/>
          </reference>
          <reference field="0" count="1" selected="0">
            <x v="5"/>
          </reference>
          <reference field="1" count="1" selected="0">
            <x v="75"/>
          </reference>
        </references>
      </pivotArea>
    </chartFormat>
    <chartFormat chart="0" format="281">
      <pivotArea type="data" outline="0" fieldPosition="0">
        <references count="3">
          <reference field="4294967294" count="1" selected="0">
            <x v="0"/>
          </reference>
          <reference field="0" count="1" selected="0">
            <x v="5"/>
          </reference>
          <reference field="1" count="1" selected="0">
            <x v="76"/>
          </reference>
        </references>
      </pivotArea>
    </chartFormat>
    <chartFormat chart="0" format="282">
      <pivotArea type="data" outline="0" fieldPosition="0">
        <references count="3">
          <reference field="4294967294" count="1" selected="0">
            <x v="0"/>
          </reference>
          <reference field="0" count="1" selected="0">
            <x v="5"/>
          </reference>
          <reference field="1" count="1" selected="0">
            <x v="77"/>
          </reference>
        </references>
      </pivotArea>
    </chartFormat>
    <chartFormat chart="0" format="283">
      <pivotArea type="data" outline="0" fieldPosition="0">
        <references count="3">
          <reference field="4294967294" count="1" selected="0">
            <x v="0"/>
          </reference>
          <reference field="0" count="1" selected="0">
            <x v="5"/>
          </reference>
          <reference field="1" count="1" selected="0">
            <x v="78"/>
          </reference>
        </references>
      </pivotArea>
    </chartFormat>
    <chartFormat chart="0" format="284">
      <pivotArea type="data" outline="0" fieldPosition="0">
        <references count="3">
          <reference field="4294967294" count="1" selected="0">
            <x v="0"/>
          </reference>
          <reference field="0" count="1" selected="0">
            <x v="5"/>
          </reference>
          <reference field="1" count="1" selected="0">
            <x v="41"/>
          </reference>
        </references>
      </pivotArea>
    </chartFormat>
    <chartFormat chart="0" format="285">
      <pivotArea type="data" outline="0" fieldPosition="0">
        <references count="3">
          <reference field="4294967294" count="1" selected="0">
            <x v="0"/>
          </reference>
          <reference field="0" count="1" selected="0">
            <x v="5"/>
          </reference>
          <reference field="1" count="1" selected="0">
            <x v="42"/>
          </reference>
        </references>
      </pivotArea>
    </chartFormat>
    <chartFormat chart="0" format="286">
      <pivotArea type="data" outline="0" fieldPosition="0">
        <references count="3">
          <reference field="4294967294" count="1" selected="0">
            <x v="0"/>
          </reference>
          <reference field="0" count="1" selected="0">
            <x v="5"/>
          </reference>
          <reference field="1" count="1" selected="0">
            <x v="43"/>
          </reference>
        </references>
      </pivotArea>
    </chartFormat>
    <chartFormat chart="0" format="287">
      <pivotArea type="data" outline="0" fieldPosition="0">
        <references count="3">
          <reference field="4294967294" count="1" selected="0">
            <x v="0"/>
          </reference>
          <reference field="0" count="1" selected="0">
            <x v="5"/>
          </reference>
          <reference field="1" count="1" selected="0">
            <x v="44"/>
          </reference>
        </references>
      </pivotArea>
    </chartFormat>
    <chartFormat chart="0" format="288">
      <pivotArea type="data" outline="0" fieldPosition="0">
        <references count="3">
          <reference field="4294967294" count="1" selected="0">
            <x v="0"/>
          </reference>
          <reference field="0" count="1" selected="0">
            <x v="5"/>
          </reference>
          <reference field="1" count="1" selected="0">
            <x v="45"/>
          </reference>
        </references>
      </pivotArea>
    </chartFormat>
    <chartFormat chart="0" format="289">
      <pivotArea type="data" outline="0" fieldPosition="0">
        <references count="3">
          <reference field="4294967294" count="1" selected="0">
            <x v="0"/>
          </reference>
          <reference field="0" count="1" selected="0">
            <x v="5"/>
          </reference>
          <reference field="1" count="1" selected="0">
            <x v="46"/>
          </reference>
        </references>
      </pivotArea>
    </chartFormat>
    <chartFormat chart="0" format="290">
      <pivotArea type="data" outline="0" fieldPosition="0">
        <references count="3">
          <reference field="4294967294" count="1" selected="0">
            <x v="0"/>
          </reference>
          <reference field="0" count="1" selected="0">
            <x v="5"/>
          </reference>
          <reference field="1" count="1" selected="0">
            <x v="47"/>
          </reference>
        </references>
      </pivotArea>
    </chartFormat>
    <chartFormat chart="0" format="291">
      <pivotArea type="data" outline="0" fieldPosition="0">
        <references count="3">
          <reference field="4294967294" count="1" selected="0">
            <x v="0"/>
          </reference>
          <reference field="0" count="1" selected="0">
            <x v="5"/>
          </reference>
          <reference field="1" count="1" selected="0">
            <x v="48"/>
          </reference>
        </references>
      </pivotArea>
    </chartFormat>
    <chartFormat chart="0" format="292">
      <pivotArea type="data" outline="0" fieldPosition="0">
        <references count="3">
          <reference field="4294967294" count="1" selected="0">
            <x v="0"/>
          </reference>
          <reference field="0" count="1" selected="0">
            <x v="5"/>
          </reference>
          <reference field="1" count="1" selected="0">
            <x v="49"/>
          </reference>
        </references>
      </pivotArea>
    </chartFormat>
    <chartFormat chart="0" format="293">
      <pivotArea type="data" outline="0" fieldPosition="0">
        <references count="3">
          <reference field="4294967294" count="1" selected="0">
            <x v="0"/>
          </reference>
          <reference field="0" count="1" selected="0">
            <x v="5"/>
          </reference>
          <reference field="1" count="1" selected="0">
            <x v="50"/>
          </reference>
        </references>
      </pivotArea>
    </chartFormat>
    <chartFormat chart="0" format="294">
      <pivotArea type="data" outline="0" fieldPosition="0">
        <references count="3">
          <reference field="4294967294" count="1" selected="0">
            <x v="0"/>
          </reference>
          <reference field="0" count="1" selected="0">
            <x v="5"/>
          </reference>
          <reference field="1" count="1" selected="0">
            <x v="51"/>
          </reference>
        </references>
      </pivotArea>
    </chartFormat>
    <chartFormat chart="0" format="295">
      <pivotArea type="data" outline="0" fieldPosition="0">
        <references count="3">
          <reference field="4294967294" count="1" selected="0">
            <x v="0"/>
          </reference>
          <reference field="0" count="1" selected="0">
            <x v="5"/>
          </reference>
          <reference field="1" count="1" selected="0">
            <x v="52"/>
          </reference>
        </references>
      </pivotArea>
    </chartFormat>
    <chartFormat chart="0" format="296">
      <pivotArea type="data" outline="0" fieldPosition="0">
        <references count="3">
          <reference field="4294967294" count="1" selected="0">
            <x v="0"/>
          </reference>
          <reference field="0" count="1" selected="0">
            <x v="5"/>
          </reference>
          <reference field="1" count="1" selected="0">
            <x v="53"/>
          </reference>
        </references>
      </pivotArea>
    </chartFormat>
    <chartFormat chart="0" format="297">
      <pivotArea type="data" outline="0" fieldPosition="0">
        <references count="3">
          <reference field="4294967294" count="1" selected="0">
            <x v="0"/>
          </reference>
          <reference field="0" count="1" selected="0">
            <x v="5"/>
          </reference>
          <reference field="1" count="1" selected="0">
            <x v="54"/>
          </reference>
        </references>
      </pivotArea>
    </chartFormat>
    <chartFormat chart="0" format="298">
      <pivotArea type="data" outline="0" fieldPosition="0">
        <references count="3">
          <reference field="4294967294" count="1" selected="0">
            <x v="0"/>
          </reference>
          <reference field="0" count="1" selected="0">
            <x v="5"/>
          </reference>
          <reference field="1" count="1" selected="0">
            <x v="55"/>
          </reference>
        </references>
      </pivotArea>
    </chartFormat>
    <chartFormat chart="0" format="299">
      <pivotArea type="data" outline="0" fieldPosition="0">
        <references count="3">
          <reference field="4294967294" count="1" selected="0">
            <x v="0"/>
          </reference>
          <reference field="0" count="1" selected="0">
            <x v="5"/>
          </reference>
          <reference field="1" count="1" selected="0">
            <x v="56"/>
          </reference>
        </references>
      </pivotArea>
    </chartFormat>
    <chartFormat chart="0" format="300">
      <pivotArea type="data" outline="0" fieldPosition="0">
        <references count="3">
          <reference field="4294967294" count="1" selected="0">
            <x v="0"/>
          </reference>
          <reference field="0" count="1" selected="0">
            <x v="5"/>
          </reference>
          <reference field="1" count="1" selected="0">
            <x v="57"/>
          </reference>
        </references>
      </pivotArea>
    </chartFormat>
    <chartFormat chart="0" format="301">
      <pivotArea type="data" outline="0" fieldPosition="0">
        <references count="3">
          <reference field="4294967294" count="1" selected="0">
            <x v="0"/>
          </reference>
          <reference field="0" count="1" selected="0">
            <x v="5"/>
          </reference>
          <reference field="1" count="1" selected="0">
            <x v="58"/>
          </reference>
        </references>
      </pivotArea>
    </chartFormat>
    <chartFormat chart="0" format="302">
      <pivotArea type="data" outline="0" fieldPosition="0">
        <references count="3">
          <reference field="4294967294" count="1" selected="0">
            <x v="0"/>
          </reference>
          <reference field="0" count="1" selected="0">
            <x v="5"/>
          </reference>
          <reference field="1" count="1" selected="0">
            <x v="59"/>
          </reference>
        </references>
      </pivotArea>
    </chartFormat>
    <chartFormat chart="0" format="303">
      <pivotArea type="data" outline="0" fieldPosition="0">
        <references count="3">
          <reference field="4294967294" count="1" selected="0">
            <x v="0"/>
          </reference>
          <reference field="0" count="1" selected="0">
            <x v="5"/>
          </reference>
          <reference field="1" count="1" selected="0">
            <x v="60"/>
          </reference>
        </references>
      </pivotArea>
    </chartFormat>
    <chartFormat chart="0" format="304">
      <pivotArea type="data" outline="0" fieldPosition="0">
        <references count="3">
          <reference field="4294967294" count="1" selected="0">
            <x v="0"/>
          </reference>
          <reference field="0" count="1" selected="0">
            <x v="5"/>
          </reference>
          <reference field="1" count="1" selected="0">
            <x v="61"/>
          </reference>
        </references>
      </pivotArea>
    </chartFormat>
    <chartFormat chart="0" format="305">
      <pivotArea type="data" outline="0" fieldPosition="0">
        <references count="3">
          <reference field="4294967294" count="1" selected="0">
            <x v="0"/>
          </reference>
          <reference field="0" count="1" selected="0">
            <x v="5"/>
          </reference>
          <reference field="1" count="1" selected="0">
            <x v="62"/>
          </reference>
        </references>
      </pivotArea>
    </chartFormat>
    <chartFormat chart="0" format="306">
      <pivotArea type="data" outline="0" fieldPosition="0">
        <references count="3">
          <reference field="4294967294" count="1" selected="0">
            <x v="0"/>
          </reference>
          <reference field="0" count="1" selected="0">
            <x v="6"/>
          </reference>
          <reference field="1" count="1" selected="0">
            <x v="63"/>
          </reference>
        </references>
      </pivotArea>
    </chartFormat>
    <chartFormat chart="0" format="307">
      <pivotArea type="data" outline="0" fieldPosition="0">
        <references count="3">
          <reference field="4294967294" count="1" selected="0">
            <x v="0"/>
          </reference>
          <reference field="0" count="1" selected="0">
            <x v="6"/>
          </reference>
          <reference field="1" count="1" selected="0">
            <x v="64"/>
          </reference>
        </references>
      </pivotArea>
    </chartFormat>
    <chartFormat chart="0" format="308">
      <pivotArea type="data" outline="0" fieldPosition="0">
        <references count="3">
          <reference field="4294967294" count="1" selected="0">
            <x v="0"/>
          </reference>
          <reference field="0" count="1" selected="0">
            <x v="6"/>
          </reference>
          <reference field="1" count="1" selected="0">
            <x v="65"/>
          </reference>
        </references>
      </pivotArea>
    </chartFormat>
    <chartFormat chart="0" format="309">
      <pivotArea type="data" outline="0" fieldPosition="0">
        <references count="3">
          <reference field="4294967294" count="1" selected="0">
            <x v="0"/>
          </reference>
          <reference field="0" count="1" selected="0">
            <x v="6"/>
          </reference>
          <reference field="1" count="1" selected="0">
            <x v="66"/>
          </reference>
        </references>
      </pivotArea>
    </chartFormat>
    <chartFormat chart="0" format="310">
      <pivotArea type="data" outline="0" fieldPosition="0">
        <references count="3">
          <reference field="4294967294" count="1" selected="0">
            <x v="0"/>
          </reference>
          <reference field="0" count="1" selected="0">
            <x v="6"/>
          </reference>
          <reference field="1" count="1" selected="0">
            <x v="67"/>
          </reference>
        </references>
      </pivotArea>
    </chartFormat>
    <chartFormat chart="0" format="311">
      <pivotArea type="data" outline="0" fieldPosition="0">
        <references count="3">
          <reference field="4294967294" count="1" selected="0">
            <x v="0"/>
          </reference>
          <reference field="0" count="1" selected="0">
            <x v="6"/>
          </reference>
          <reference field="1" count="1" selected="0">
            <x v="68"/>
          </reference>
        </references>
      </pivotArea>
    </chartFormat>
    <chartFormat chart="0" format="312">
      <pivotArea type="data" outline="0" fieldPosition="0">
        <references count="3">
          <reference field="4294967294" count="1" selected="0">
            <x v="0"/>
          </reference>
          <reference field="0" count="1" selected="0">
            <x v="6"/>
          </reference>
          <reference field="1" count="1" selected="0">
            <x v="69"/>
          </reference>
        </references>
      </pivotArea>
    </chartFormat>
    <chartFormat chart="0" format="313">
      <pivotArea type="data" outline="0" fieldPosition="0">
        <references count="3">
          <reference field="4294967294" count="1" selected="0">
            <x v="0"/>
          </reference>
          <reference field="0" count="1" selected="0">
            <x v="6"/>
          </reference>
          <reference field="1" count="1" selected="0">
            <x v="70"/>
          </reference>
        </references>
      </pivotArea>
    </chartFormat>
    <chartFormat chart="0" format="314">
      <pivotArea type="data" outline="0" fieldPosition="0">
        <references count="3">
          <reference field="4294967294" count="1" selected="0">
            <x v="0"/>
          </reference>
          <reference field="0" count="1" selected="0">
            <x v="6"/>
          </reference>
          <reference field="1" count="1" selected="0">
            <x v="71"/>
          </reference>
        </references>
      </pivotArea>
    </chartFormat>
    <chartFormat chart="0" format="315">
      <pivotArea type="data" outline="0" fieldPosition="0">
        <references count="3">
          <reference field="4294967294" count="1" selected="0">
            <x v="0"/>
          </reference>
          <reference field="0" count="1" selected="0">
            <x v="6"/>
          </reference>
          <reference field="1" count="1" selected="0">
            <x v="72"/>
          </reference>
        </references>
      </pivotArea>
    </chartFormat>
    <chartFormat chart="0" format="316">
      <pivotArea type="data" outline="0" fieldPosition="0">
        <references count="3">
          <reference field="4294967294" count="1" selected="0">
            <x v="0"/>
          </reference>
          <reference field="0" count="1" selected="0">
            <x v="6"/>
          </reference>
          <reference field="1" count="1" selected="0">
            <x v="31"/>
          </reference>
        </references>
      </pivotArea>
    </chartFormat>
    <chartFormat chart="0" format="317">
      <pivotArea type="data" outline="0" fieldPosition="0">
        <references count="3">
          <reference field="4294967294" count="1" selected="0">
            <x v="0"/>
          </reference>
          <reference field="0" count="1" selected="0">
            <x v="6"/>
          </reference>
          <reference field="1" count="1" selected="0">
            <x v="32"/>
          </reference>
        </references>
      </pivotArea>
    </chartFormat>
    <chartFormat chart="0" format="318">
      <pivotArea type="data" outline="0" fieldPosition="0">
        <references count="3">
          <reference field="4294967294" count="1" selected="0">
            <x v="0"/>
          </reference>
          <reference field="0" count="1" selected="0">
            <x v="6"/>
          </reference>
          <reference field="1" count="1" selected="0">
            <x v="33"/>
          </reference>
        </references>
      </pivotArea>
    </chartFormat>
    <chartFormat chart="0" format="319">
      <pivotArea type="data" outline="0" fieldPosition="0">
        <references count="3">
          <reference field="4294967294" count="1" selected="0">
            <x v="0"/>
          </reference>
          <reference field="0" count="1" selected="0">
            <x v="6"/>
          </reference>
          <reference field="1" count="1" selected="0">
            <x v="34"/>
          </reference>
        </references>
      </pivotArea>
    </chartFormat>
    <chartFormat chart="0" format="320">
      <pivotArea type="data" outline="0" fieldPosition="0">
        <references count="3">
          <reference field="4294967294" count="1" selected="0">
            <x v="0"/>
          </reference>
          <reference field="0" count="1" selected="0">
            <x v="6"/>
          </reference>
          <reference field="1" count="1" selected="0">
            <x v="35"/>
          </reference>
        </references>
      </pivotArea>
    </chartFormat>
    <chartFormat chart="0" format="321">
      <pivotArea type="data" outline="0" fieldPosition="0">
        <references count="3">
          <reference field="4294967294" count="1" selected="0">
            <x v="0"/>
          </reference>
          <reference field="0" count="1" selected="0">
            <x v="6"/>
          </reference>
          <reference field="1" count="1" selected="0">
            <x v="36"/>
          </reference>
        </references>
      </pivotArea>
    </chartFormat>
    <chartFormat chart="0" format="322">
      <pivotArea type="data" outline="0" fieldPosition="0">
        <references count="3">
          <reference field="4294967294" count="1" selected="0">
            <x v="0"/>
          </reference>
          <reference field="0" count="1" selected="0">
            <x v="6"/>
          </reference>
          <reference field="1" count="1" selected="0">
            <x v="37"/>
          </reference>
        </references>
      </pivotArea>
    </chartFormat>
    <chartFormat chart="0" format="323">
      <pivotArea type="data" outline="0" fieldPosition="0">
        <references count="3">
          <reference field="4294967294" count="1" selected="0">
            <x v="0"/>
          </reference>
          <reference field="0" count="1" selected="0">
            <x v="6"/>
          </reference>
          <reference field="1" count="1" selected="0">
            <x v="38"/>
          </reference>
        </references>
      </pivotArea>
    </chartFormat>
    <chartFormat chart="0" format="324">
      <pivotArea type="data" outline="0" fieldPosition="0">
        <references count="3">
          <reference field="4294967294" count="1" selected="0">
            <x v="0"/>
          </reference>
          <reference field="0" count="1" selected="0">
            <x v="6"/>
          </reference>
          <reference field="1" count="1" selected="0">
            <x v="39"/>
          </reference>
        </references>
      </pivotArea>
    </chartFormat>
    <chartFormat chart="0" format="325">
      <pivotArea type="data" outline="0" fieldPosition="0">
        <references count="3">
          <reference field="4294967294" count="1" selected="0">
            <x v="0"/>
          </reference>
          <reference field="0" count="1" selected="0">
            <x v="6"/>
          </reference>
          <reference field="1" count="1" selected="0">
            <x v="40"/>
          </reference>
        </references>
      </pivotArea>
    </chartFormat>
    <chartFormat chart="0" format="326">
      <pivotArea type="data" outline="0" fieldPosition="0">
        <references count="3">
          <reference field="4294967294" count="1" selected="0">
            <x v="0"/>
          </reference>
          <reference field="0" count="1" selected="0">
            <x v="6"/>
          </reference>
          <reference field="1" count="1" selected="0">
            <x v="41"/>
          </reference>
        </references>
      </pivotArea>
    </chartFormat>
    <chartFormat chart="0" format="327">
      <pivotArea type="data" outline="0" fieldPosition="0">
        <references count="3">
          <reference field="4294967294" count="1" selected="0">
            <x v="0"/>
          </reference>
          <reference field="0" count="1" selected="0">
            <x v="6"/>
          </reference>
          <reference field="1" count="1" selected="0">
            <x v="42"/>
          </reference>
        </references>
      </pivotArea>
    </chartFormat>
    <chartFormat chart="0" format="328">
      <pivotArea type="data" outline="0" fieldPosition="0">
        <references count="3">
          <reference field="4294967294" count="1" selected="0">
            <x v="0"/>
          </reference>
          <reference field="0" count="1" selected="0">
            <x v="6"/>
          </reference>
          <reference field="1" count="1" selected="0">
            <x v="43"/>
          </reference>
        </references>
      </pivotArea>
    </chartFormat>
    <chartFormat chart="0" format="329">
      <pivotArea type="data" outline="0" fieldPosition="0">
        <references count="3">
          <reference field="4294967294" count="1" selected="0">
            <x v="0"/>
          </reference>
          <reference field="0" count="1" selected="0">
            <x v="6"/>
          </reference>
          <reference field="1" count="1" selected="0">
            <x v="44"/>
          </reference>
        </references>
      </pivotArea>
    </chartFormat>
    <chartFormat chart="0" format="330">
      <pivotArea type="data" outline="0" fieldPosition="0">
        <references count="3">
          <reference field="4294967294" count="1" selected="0">
            <x v="0"/>
          </reference>
          <reference field="0" count="1" selected="0">
            <x v="6"/>
          </reference>
          <reference field="1" count="1" selected="0">
            <x v="45"/>
          </reference>
        </references>
      </pivotArea>
    </chartFormat>
    <chartFormat chart="0" format="331">
      <pivotArea type="data" outline="0" fieldPosition="0">
        <references count="3">
          <reference field="4294967294" count="1" selected="0">
            <x v="0"/>
          </reference>
          <reference field="0" count="1" selected="0">
            <x v="6"/>
          </reference>
          <reference field="1" count="1" selected="0">
            <x v="46"/>
          </reference>
        </references>
      </pivotArea>
    </chartFormat>
    <chartFormat chart="0" format="332">
      <pivotArea type="data" outline="0" fieldPosition="0">
        <references count="3">
          <reference field="4294967294" count="1" selected="0">
            <x v="0"/>
          </reference>
          <reference field="0" count="1" selected="0">
            <x v="6"/>
          </reference>
          <reference field="1" count="1" selected="0">
            <x v="47"/>
          </reference>
        </references>
      </pivotArea>
    </chartFormat>
    <chartFormat chart="0" format="333">
      <pivotArea type="data" outline="0" fieldPosition="0">
        <references count="3">
          <reference field="4294967294" count="1" selected="0">
            <x v="0"/>
          </reference>
          <reference field="0" count="1" selected="0">
            <x v="6"/>
          </reference>
          <reference field="1" count="1" selected="0">
            <x v="48"/>
          </reference>
        </references>
      </pivotArea>
    </chartFormat>
    <chartFormat chart="0" format="334">
      <pivotArea type="data" outline="0" fieldPosition="0">
        <references count="3">
          <reference field="4294967294" count="1" selected="0">
            <x v="0"/>
          </reference>
          <reference field="0" count="1" selected="0">
            <x v="6"/>
          </reference>
          <reference field="1" count="1" selected="0">
            <x v="49"/>
          </reference>
        </references>
      </pivotArea>
    </chartFormat>
    <chartFormat chart="0" format="335">
      <pivotArea type="data" outline="0" fieldPosition="0">
        <references count="3">
          <reference field="4294967294" count="1" selected="0">
            <x v="0"/>
          </reference>
          <reference field="0" count="1" selected="0">
            <x v="6"/>
          </reference>
          <reference field="1" count="1" selected="0">
            <x v="50"/>
          </reference>
        </references>
      </pivotArea>
    </chartFormat>
    <chartFormat chart="0" format="336">
      <pivotArea type="data" outline="0" fieldPosition="0">
        <references count="3">
          <reference field="4294967294" count="1" selected="0">
            <x v="0"/>
          </reference>
          <reference field="0" count="1" selected="0">
            <x v="6"/>
          </reference>
          <reference field="1" count="1" selected="0">
            <x v="51"/>
          </reference>
        </references>
      </pivotArea>
    </chartFormat>
    <chartFormat chart="0" format="337">
      <pivotArea type="data" outline="0" fieldPosition="0">
        <references count="3">
          <reference field="4294967294" count="1" selected="0">
            <x v="0"/>
          </reference>
          <reference field="0" count="1" selected="0">
            <x v="6"/>
          </reference>
          <reference field="1" count="1" selected="0">
            <x v="52"/>
          </reference>
        </references>
      </pivotArea>
    </chartFormat>
    <chartFormat chart="0" format="338">
      <pivotArea type="data" outline="0" fieldPosition="0">
        <references count="3">
          <reference field="4294967294" count="1" selected="0">
            <x v="0"/>
          </reference>
          <reference field="0" count="1" selected="0">
            <x v="6"/>
          </reference>
          <reference field="1" count="1" selected="0">
            <x v="53"/>
          </reference>
        </references>
      </pivotArea>
    </chartFormat>
    <chartFormat chart="0" format="339">
      <pivotArea type="data" outline="0" fieldPosition="0">
        <references count="3">
          <reference field="4294967294" count="1" selected="0">
            <x v="0"/>
          </reference>
          <reference field="0" count="1" selected="0">
            <x v="6"/>
          </reference>
          <reference field="1" count="1" selected="0">
            <x v="54"/>
          </reference>
        </references>
      </pivotArea>
    </chartFormat>
    <chartFormat chart="0" format="340">
      <pivotArea type="data" outline="0" fieldPosition="0">
        <references count="3">
          <reference field="4294967294" count="1" selected="0">
            <x v="0"/>
          </reference>
          <reference field="0" count="1" selected="0">
            <x v="6"/>
          </reference>
          <reference field="1" count="1" selected="0">
            <x v="55"/>
          </reference>
        </references>
      </pivotArea>
    </chartFormat>
    <chartFormat chart="0" format="341">
      <pivotArea type="data" outline="0" fieldPosition="0">
        <references count="3">
          <reference field="4294967294" count="1" selected="0">
            <x v="0"/>
          </reference>
          <reference field="0" count="1" selected="0">
            <x v="6"/>
          </reference>
          <reference field="1" count="1" selected="0">
            <x v="56"/>
          </reference>
        </references>
      </pivotArea>
    </chartFormat>
    <chartFormat chart="0" format="342">
      <pivotArea type="data" outline="0" fieldPosition="0">
        <references count="3">
          <reference field="4294967294" count="1" selected="0">
            <x v="0"/>
          </reference>
          <reference field="0" count="1" selected="0">
            <x v="6"/>
          </reference>
          <reference field="1" count="1" selected="0">
            <x v="57"/>
          </reference>
        </references>
      </pivotArea>
    </chartFormat>
    <chartFormat chart="0" format="343">
      <pivotArea type="data" outline="0" fieldPosition="0">
        <references count="3">
          <reference field="4294967294" count="1" selected="0">
            <x v="0"/>
          </reference>
          <reference field="0" count="1" selected="0">
            <x v="6"/>
          </reference>
          <reference field="1" count="1" selected="0">
            <x v="58"/>
          </reference>
        </references>
      </pivotArea>
    </chartFormat>
    <chartFormat chart="0" format="344">
      <pivotArea type="data" outline="0" fieldPosition="0">
        <references count="3">
          <reference field="4294967294" count="1" selected="0">
            <x v="0"/>
          </reference>
          <reference field="0" count="1" selected="0">
            <x v="6"/>
          </reference>
          <reference field="1" count="1" selected="0">
            <x v="59"/>
          </reference>
        </references>
      </pivotArea>
    </chartFormat>
    <chartFormat chart="0" format="345">
      <pivotArea type="data" outline="0" fieldPosition="0">
        <references count="3">
          <reference field="4294967294" count="1" selected="0">
            <x v="0"/>
          </reference>
          <reference field="0" count="1" selected="0">
            <x v="6"/>
          </reference>
          <reference field="1" count="1" selected="0">
            <x v="60"/>
          </reference>
        </references>
      </pivotArea>
    </chartFormat>
    <chartFormat chart="0" format="346">
      <pivotArea type="data" outline="0" fieldPosition="0">
        <references count="3">
          <reference field="4294967294" count="1" selected="0">
            <x v="0"/>
          </reference>
          <reference field="0" count="1" selected="0">
            <x v="6"/>
          </reference>
          <reference field="1" count="1" selected="0">
            <x v="61"/>
          </reference>
        </references>
      </pivotArea>
    </chartFormat>
    <chartFormat chart="0" format="347">
      <pivotArea type="data" outline="0" fieldPosition="0">
        <references count="3">
          <reference field="4294967294" count="1" selected="0">
            <x v="0"/>
          </reference>
          <reference field="0" count="1" selected="0">
            <x v="6"/>
          </reference>
          <reference field="1" count="1" selected="0">
            <x v="62"/>
          </reference>
        </references>
      </pivotArea>
    </chartFormat>
    <chartFormat chart="0" format="348">
      <pivotArea type="data" outline="0" fieldPosition="0">
        <references count="3">
          <reference field="4294967294" count="1" selected="0">
            <x v="0"/>
          </reference>
          <reference field="0" count="1" selected="0">
            <x v="6"/>
          </reference>
          <reference field="1" count="1" selected="0">
            <x v="73"/>
          </reference>
        </references>
      </pivotArea>
    </chartFormat>
    <chartFormat chart="0" format="349">
      <pivotArea type="data" outline="0" fieldPosition="0">
        <references count="3">
          <reference field="4294967294" count="1" selected="0">
            <x v="0"/>
          </reference>
          <reference field="0" count="1" selected="0">
            <x v="6"/>
          </reference>
          <reference field="1" count="1" selected="0">
            <x v="74"/>
          </reference>
        </references>
      </pivotArea>
    </chartFormat>
    <chartFormat chart="0" format="350">
      <pivotArea type="data" outline="0" fieldPosition="0">
        <references count="3">
          <reference field="4294967294" count="1" selected="0">
            <x v="0"/>
          </reference>
          <reference field="0" count="1" selected="0">
            <x v="6"/>
          </reference>
          <reference field="1" count="1" selected="0">
            <x v="75"/>
          </reference>
        </references>
      </pivotArea>
    </chartFormat>
    <chartFormat chart="0" format="351">
      <pivotArea type="data" outline="0" fieldPosition="0">
        <references count="3">
          <reference field="4294967294" count="1" selected="0">
            <x v="0"/>
          </reference>
          <reference field="0" count="1" selected="0">
            <x v="6"/>
          </reference>
          <reference field="1" count="1" selected="0">
            <x v="76"/>
          </reference>
        </references>
      </pivotArea>
    </chartFormat>
    <chartFormat chart="0" format="352">
      <pivotArea type="data" outline="0" fieldPosition="0">
        <references count="3">
          <reference field="4294967294" count="1" selected="0">
            <x v="0"/>
          </reference>
          <reference field="0" count="1" selected="0">
            <x v="6"/>
          </reference>
          <reference field="1" count="1" selected="0">
            <x v="77"/>
          </reference>
        </references>
      </pivotArea>
    </chartFormat>
    <chartFormat chart="0" format="353">
      <pivotArea type="data" outline="0" fieldPosition="0">
        <references count="3">
          <reference field="4294967294" count="1" selected="0">
            <x v="0"/>
          </reference>
          <reference field="0" count="1" selected="0">
            <x v="6"/>
          </reference>
          <reference field="1" count="1" selected="0">
            <x v="78"/>
          </reference>
        </references>
      </pivotArea>
    </chartFormat>
    <chartFormat chart="0" format="354">
      <pivotArea type="data" outline="0" fieldPosition="0">
        <references count="3">
          <reference field="4294967294" count="1" selected="0">
            <x v="0"/>
          </reference>
          <reference field="0" count="1" selected="0">
            <x v="7"/>
          </reference>
          <reference field="1" count="1" selected="0">
            <x v="31"/>
          </reference>
        </references>
      </pivotArea>
    </chartFormat>
    <chartFormat chart="0" format="355">
      <pivotArea type="data" outline="0" fieldPosition="0">
        <references count="3">
          <reference field="4294967294" count="1" selected="0">
            <x v="0"/>
          </reference>
          <reference field="0" count="1" selected="0">
            <x v="7"/>
          </reference>
          <reference field="1" count="1" selected="0">
            <x v="32"/>
          </reference>
        </references>
      </pivotArea>
    </chartFormat>
    <chartFormat chart="0" format="356">
      <pivotArea type="data" outline="0" fieldPosition="0">
        <references count="3">
          <reference field="4294967294" count="1" selected="0">
            <x v="0"/>
          </reference>
          <reference field="0" count="1" selected="0">
            <x v="7"/>
          </reference>
          <reference field="1" count="1" selected="0">
            <x v="33"/>
          </reference>
        </references>
      </pivotArea>
    </chartFormat>
    <chartFormat chart="0" format="357">
      <pivotArea type="data" outline="0" fieldPosition="0">
        <references count="3">
          <reference field="4294967294" count="1" selected="0">
            <x v="0"/>
          </reference>
          <reference field="0" count="1" selected="0">
            <x v="7"/>
          </reference>
          <reference field="1" count="1" selected="0">
            <x v="34"/>
          </reference>
        </references>
      </pivotArea>
    </chartFormat>
    <chartFormat chart="0" format="358">
      <pivotArea type="data" outline="0" fieldPosition="0">
        <references count="3">
          <reference field="4294967294" count="1" selected="0">
            <x v="0"/>
          </reference>
          <reference field="0" count="1" selected="0">
            <x v="7"/>
          </reference>
          <reference field="1" count="1" selected="0">
            <x v="35"/>
          </reference>
        </references>
      </pivotArea>
    </chartFormat>
    <chartFormat chart="0" format="359">
      <pivotArea type="data" outline="0" fieldPosition="0">
        <references count="3">
          <reference field="4294967294" count="1" selected="0">
            <x v="0"/>
          </reference>
          <reference field="0" count="1" selected="0">
            <x v="7"/>
          </reference>
          <reference field="1" count="1" selected="0">
            <x v="36"/>
          </reference>
        </references>
      </pivotArea>
    </chartFormat>
    <chartFormat chart="0" format="360">
      <pivotArea type="data" outline="0" fieldPosition="0">
        <references count="3">
          <reference field="4294967294" count="1" selected="0">
            <x v="0"/>
          </reference>
          <reference field="0" count="1" selected="0">
            <x v="7"/>
          </reference>
          <reference field="1" count="1" selected="0">
            <x v="37"/>
          </reference>
        </references>
      </pivotArea>
    </chartFormat>
    <chartFormat chart="0" format="361">
      <pivotArea type="data" outline="0" fieldPosition="0">
        <references count="3">
          <reference field="4294967294" count="1" selected="0">
            <x v="0"/>
          </reference>
          <reference field="0" count="1" selected="0">
            <x v="7"/>
          </reference>
          <reference field="1" count="1" selected="0">
            <x v="38"/>
          </reference>
        </references>
      </pivotArea>
    </chartFormat>
    <chartFormat chart="0" format="362">
      <pivotArea type="data" outline="0" fieldPosition="0">
        <references count="3">
          <reference field="4294967294" count="1" selected="0">
            <x v="0"/>
          </reference>
          <reference field="0" count="1" selected="0">
            <x v="7"/>
          </reference>
          <reference field="1" count="1" selected="0">
            <x v="39"/>
          </reference>
        </references>
      </pivotArea>
    </chartFormat>
    <chartFormat chart="0" format="363">
      <pivotArea type="data" outline="0" fieldPosition="0">
        <references count="3">
          <reference field="4294967294" count="1" selected="0">
            <x v="0"/>
          </reference>
          <reference field="0" count="1" selected="0">
            <x v="7"/>
          </reference>
          <reference field="1" count="1" selected="0">
            <x v="40"/>
          </reference>
        </references>
      </pivotArea>
    </chartFormat>
    <chartFormat chart="0" format="364">
      <pivotArea type="data" outline="0" fieldPosition="0">
        <references count="3">
          <reference field="4294967294" count="1" selected="0">
            <x v="0"/>
          </reference>
          <reference field="0" count="1" selected="0">
            <x v="7"/>
          </reference>
          <reference field="1" count="1" selected="0">
            <x v="41"/>
          </reference>
        </references>
      </pivotArea>
    </chartFormat>
    <chartFormat chart="0" format="365">
      <pivotArea type="data" outline="0" fieldPosition="0">
        <references count="3">
          <reference field="4294967294" count="1" selected="0">
            <x v="0"/>
          </reference>
          <reference field="0" count="1" selected="0">
            <x v="7"/>
          </reference>
          <reference field="1" count="1" selected="0">
            <x v="42"/>
          </reference>
        </references>
      </pivotArea>
    </chartFormat>
    <chartFormat chart="0" format="366">
      <pivotArea type="data" outline="0" fieldPosition="0">
        <references count="3">
          <reference field="4294967294" count="1" selected="0">
            <x v="0"/>
          </reference>
          <reference field="0" count="1" selected="0">
            <x v="7"/>
          </reference>
          <reference field="1" count="1" selected="0">
            <x v="43"/>
          </reference>
        </references>
      </pivotArea>
    </chartFormat>
    <chartFormat chart="0" format="367">
      <pivotArea type="data" outline="0" fieldPosition="0">
        <references count="3">
          <reference field="4294967294" count="1" selected="0">
            <x v="0"/>
          </reference>
          <reference field="0" count="1" selected="0">
            <x v="7"/>
          </reference>
          <reference field="1" count="1" selected="0">
            <x v="44"/>
          </reference>
        </references>
      </pivotArea>
    </chartFormat>
    <chartFormat chart="0" format="368">
      <pivotArea type="data" outline="0" fieldPosition="0">
        <references count="3">
          <reference field="4294967294" count="1" selected="0">
            <x v="0"/>
          </reference>
          <reference field="0" count="1" selected="0">
            <x v="7"/>
          </reference>
          <reference field="1" count="1" selected="0">
            <x v="45"/>
          </reference>
        </references>
      </pivotArea>
    </chartFormat>
    <chartFormat chart="0" format="369">
      <pivotArea type="data" outline="0" fieldPosition="0">
        <references count="3">
          <reference field="4294967294" count="1" selected="0">
            <x v="0"/>
          </reference>
          <reference field="0" count="1" selected="0">
            <x v="7"/>
          </reference>
          <reference field="1" count="1" selected="0">
            <x v="46"/>
          </reference>
        </references>
      </pivotArea>
    </chartFormat>
    <chartFormat chart="0" format="370">
      <pivotArea type="data" outline="0" fieldPosition="0">
        <references count="3">
          <reference field="4294967294" count="1" selected="0">
            <x v="0"/>
          </reference>
          <reference field="0" count="1" selected="0">
            <x v="7"/>
          </reference>
          <reference field="1" count="1" selected="0">
            <x v="47"/>
          </reference>
        </references>
      </pivotArea>
    </chartFormat>
    <chartFormat chart="0" format="371">
      <pivotArea type="data" outline="0" fieldPosition="0">
        <references count="3">
          <reference field="4294967294" count="1" selected="0">
            <x v="0"/>
          </reference>
          <reference field="0" count="1" selected="0">
            <x v="7"/>
          </reference>
          <reference field="1" count="1" selected="0">
            <x v="48"/>
          </reference>
        </references>
      </pivotArea>
    </chartFormat>
    <chartFormat chart="0" format="372">
      <pivotArea type="data" outline="0" fieldPosition="0">
        <references count="3">
          <reference field="4294967294" count="1" selected="0">
            <x v="0"/>
          </reference>
          <reference field="0" count="1" selected="0">
            <x v="7"/>
          </reference>
          <reference field="1" count="1" selected="0">
            <x v="49"/>
          </reference>
        </references>
      </pivotArea>
    </chartFormat>
    <chartFormat chart="0" format="373">
      <pivotArea type="data" outline="0" fieldPosition="0">
        <references count="3">
          <reference field="4294967294" count="1" selected="0">
            <x v="0"/>
          </reference>
          <reference field="0" count="1" selected="0">
            <x v="7"/>
          </reference>
          <reference field="1" count="1" selected="0">
            <x v="50"/>
          </reference>
        </references>
      </pivotArea>
    </chartFormat>
    <chartFormat chart="0" format="374">
      <pivotArea type="data" outline="0" fieldPosition="0">
        <references count="3">
          <reference field="4294967294" count="1" selected="0">
            <x v="0"/>
          </reference>
          <reference field="0" count="1" selected="0">
            <x v="7"/>
          </reference>
          <reference field="1" count="1" selected="0">
            <x v="51"/>
          </reference>
        </references>
      </pivotArea>
    </chartFormat>
    <chartFormat chart="0" format="375">
      <pivotArea type="data" outline="0" fieldPosition="0">
        <references count="3">
          <reference field="4294967294" count="1" selected="0">
            <x v="0"/>
          </reference>
          <reference field="0" count="1" selected="0">
            <x v="7"/>
          </reference>
          <reference field="1" count="1" selected="0">
            <x v="52"/>
          </reference>
        </references>
      </pivotArea>
    </chartFormat>
    <chartFormat chart="0" format="376">
      <pivotArea type="data" outline="0" fieldPosition="0">
        <references count="3">
          <reference field="4294967294" count="1" selected="0">
            <x v="0"/>
          </reference>
          <reference field="0" count="1" selected="0">
            <x v="7"/>
          </reference>
          <reference field="1" count="1" selected="0">
            <x v="53"/>
          </reference>
        </references>
      </pivotArea>
    </chartFormat>
    <chartFormat chart="0" format="377">
      <pivotArea type="data" outline="0" fieldPosition="0">
        <references count="3">
          <reference field="4294967294" count="1" selected="0">
            <x v="0"/>
          </reference>
          <reference field="0" count="1" selected="0">
            <x v="7"/>
          </reference>
          <reference field="1" count="1" selected="0">
            <x v="54"/>
          </reference>
        </references>
      </pivotArea>
    </chartFormat>
    <chartFormat chart="0" format="378">
      <pivotArea type="data" outline="0" fieldPosition="0">
        <references count="3">
          <reference field="4294967294" count="1" selected="0">
            <x v="0"/>
          </reference>
          <reference field="0" count="1" selected="0">
            <x v="7"/>
          </reference>
          <reference field="1" count="1" selected="0">
            <x v="55"/>
          </reference>
        </references>
      </pivotArea>
    </chartFormat>
    <chartFormat chart="0" format="379">
      <pivotArea type="data" outline="0" fieldPosition="0">
        <references count="3">
          <reference field="4294967294" count="1" selected="0">
            <x v="0"/>
          </reference>
          <reference field="0" count="1" selected="0">
            <x v="7"/>
          </reference>
          <reference field="1" count="1" selected="0">
            <x v="56"/>
          </reference>
        </references>
      </pivotArea>
    </chartFormat>
    <chartFormat chart="0" format="380">
      <pivotArea type="data" outline="0" fieldPosition="0">
        <references count="3">
          <reference field="4294967294" count="1" selected="0">
            <x v="0"/>
          </reference>
          <reference field="0" count="1" selected="0">
            <x v="7"/>
          </reference>
          <reference field="1" count="1" selected="0">
            <x v="57"/>
          </reference>
        </references>
      </pivotArea>
    </chartFormat>
    <chartFormat chart="0" format="381">
      <pivotArea type="data" outline="0" fieldPosition="0">
        <references count="3">
          <reference field="4294967294" count="1" selected="0">
            <x v="0"/>
          </reference>
          <reference field="0" count="1" selected="0">
            <x v="7"/>
          </reference>
          <reference field="1" count="1" selected="0">
            <x v="58"/>
          </reference>
        </references>
      </pivotArea>
    </chartFormat>
    <chartFormat chart="0" format="382">
      <pivotArea type="data" outline="0" fieldPosition="0">
        <references count="3">
          <reference field="4294967294" count="1" selected="0">
            <x v="0"/>
          </reference>
          <reference field="0" count="1" selected="0">
            <x v="7"/>
          </reference>
          <reference field="1" count="1" selected="0">
            <x v="59"/>
          </reference>
        </references>
      </pivotArea>
    </chartFormat>
    <chartFormat chart="0" format="383">
      <pivotArea type="data" outline="0" fieldPosition="0">
        <references count="3">
          <reference field="4294967294" count="1" selected="0">
            <x v="0"/>
          </reference>
          <reference field="0" count="1" selected="0">
            <x v="7"/>
          </reference>
          <reference field="1" count="1" selected="0">
            <x v="60"/>
          </reference>
        </references>
      </pivotArea>
    </chartFormat>
    <chartFormat chart="0" format="384">
      <pivotArea type="data" outline="0" fieldPosition="0">
        <references count="3">
          <reference field="4294967294" count="1" selected="0">
            <x v="0"/>
          </reference>
          <reference field="0" count="1" selected="0">
            <x v="7"/>
          </reference>
          <reference field="1" count="1" selected="0">
            <x v="61"/>
          </reference>
        </references>
      </pivotArea>
    </chartFormat>
    <chartFormat chart="0" format="385">
      <pivotArea type="data" outline="0" fieldPosition="0">
        <references count="3">
          <reference field="4294967294" count="1" selected="0">
            <x v="0"/>
          </reference>
          <reference field="0" count="1" selected="0">
            <x v="7"/>
          </reference>
          <reference field="1" count="1" selected="0">
            <x v="62"/>
          </reference>
        </references>
      </pivotArea>
    </chartFormat>
    <chartFormat chart="0" format="386">
      <pivotArea type="data" outline="0" fieldPosition="0">
        <references count="3">
          <reference field="4294967294" count="1" selected="0">
            <x v="0"/>
          </reference>
          <reference field="0" count="1" selected="0">
            <x v="7"/>
          </reference>
          <reference field="1" count="1" selected="0">
            <x v="63"/>
          </reference>
        </references>
      </pivotArea>
    </chartFormat>
    <chartFormat chart="0" format="387">
      <pivotArea type="data" outline="0" fieldPosition="0">
        <references count="3">
          <reference field="4294967294" count="1" selected="0">
            <x v="0"/>
          </reference>
          <reference field="0" count="1" selected="0">
            <x v="7"/>
          </reference>
          <reference field="1" count="1" selected="0">
            <x v="64"/>
          </reference>
        </references>
      </pivotArea>
    </chartFormat>
    <chartFormat chart="0" format="388">
      <pivotArea type="data" outline="0" fieldPosition="0">
        <references count="3">
          <reference field="4294967294" count="1" selected="0">
            <x v="0"/>
          </reference>
          <reference field="0" count="1" selected="0">
            <x v="7"/>
          </reference>
          <reference field="1" count="1" selected="0">
            <x v="65"/>
          </reference>
        </references>
      </pivotArea>
    </chartFormat>
    <chartFormat chart="0" format="389">
      <pivotArea type="data" outline="0" fieldPosition="0">
        <references count="3">
          <reference field="4294967294" count="1" selected="0">
            <x v="0"/>
          </reference>
          <reference field="0" count="1" selected="0">
            <x v="7"/>
          </reference>
          <reference field="1" count="1" selected="0">
            <x v="66"/>
          </reference>
        </references>
      </pivotArea>
    </chartFormat>
    <chartFormat chart="0" format="390">
      <pivotArea type="data" outline="0" fieldPosition="0">
        <references count="3">
          <reference field="4294967294" count="1" selected="0">
            <x v="0"/>
          </reference>
          <reference field="0" count="1" selected="0">
            <x v="7"/>
          </reference>
          <reference field="1" count="1" selected="0">
            <x v="67"/>
          </reference>
        </references>
      </pivotArea>
    </chartFormat>
    <chartFormat chart="0" format="391">
      <pivotArea type="data" outline="0" fieldPosition="0">
        <references count="3">
          <reference field="4294967294" count="1" selected="0">
            <x v="0"/>
          </reference>
          <reference field="0" count="1" selected="0">
            <x v="7"/>
          </reference>
          <reference field="1" count="1" selected="0">
            <x v="68"/>
          </reference>
        </references>
      </pivotArea>
    </chartFormat>
    <chartFormat chart="0" format="392">
      <pivotArea type="data" outline="0" fieldPosition="0">
        <references count="3">
          <reference field="4294967294" count="1" selected="0">
            <x v="0"/>
          </reference>
          <reference field="0" count="1" selected="0">
            <x v="7"/>
          </reference>
          <reference field="1" count="1" selected="0">
            <x v="69"/>
          </reference>
        </references>
      </pivotArea>
    </chartFormat>
    <chartFormat chart="0" format="393">
      <pivotArea type="data" outline="0" fieldPosition="0">
        <references count="3">
          <reference field="4294967294" count="1" selected="0">
            <x v="0"/>
          </reference>
          <reference field="0" count="1" selected="0">
            <x v="7"/>
          </reference>
          <reference field="1" count="1" selected="0">
            <x v="70"/>
          </reference>
        </references>
      </pivotArea>
    </chartFormat>
    <chartFormat chart="0" format="394">
      <pivotArea type="data" outline="0" fieldPosition="0">
        <references count="3">
          <reference field="4294967294" count="1" selected="0">
            <x v="0"/>
          </reference>
          <reference field="0" count="1" selected="0">
            <x v="7"/>
          </reference>
          <reference field="1" count="1" selected="0">
            <x v="71"/>
          </reference>
        </references>
      </pivotArea>
    </chartFormat>
    <chartFormat chart="0" format="395">
      <pivotArea type="data" outline="0" fieldPosition="0">
        <references count="3">
          <reference field="4294967294" count="1" selected="0">
            <x v="0"/>
          </reference>
          <reference field="0" count="1" selected="0">
            <x v="7"/>
          </reference>
          <reference field="1" count="1" selected="0">
            <x v="72"/>
          </reference>
        </references>
      </pivotArea>
    </chartFormat>
    <chartFormat chart="0" format="396">
      <pivotArea type="data" outline="0" fieldPosition="0">
        <references count="3">
          <reference field="4294967294" count="1" selected="0">
            <x v="0"/>
          </reference>
          <reference field="0" count="1" selected="0">
            <x v="7"/>
          </reference>
          <reference field="1" count="1" selected="0">
            <x v="73"/>
          </reference>
        </references>
      </pivotArea>
    </chartFormat>
    <chartFormat chart="0" format="397">
      <pivotArea type="data" outline="0" fieldPosition="0">
        <references count="3">
          <reference field="4294967294" count="1" selected="0">
            <x v="0"/>
          </reference>
          <reference field="0" count="1" selected="0">
            <x v="7"/>
          </reference>
          <reference field="1" count="1" selected="0">
            <x v="74"/>
          </reference>
        </references>
      </pivotArea>
    </chartFormat>
    <chartFormat chart="0" format="398">
      <pivotArea type="data" outline="0" fieldPosition="0">
        <references count="3">
          <reference field="4294967294" count="1" selected="0">
            <x v="0"/>
          </reference>
          <reference field="0" count="1" selected="0">
            <x v="7"/>
          </reference>
          <reference field="1" count="1" selected="0">
            <x v="75"/>
          </reference>
        </references>
      </pivotArea>
    </chartFormat>
    <chartFormat chart="0" format="399">
      <pivotArea type="data" outline="0" fieldPosition="0">
        <references count="3">
          <reference field="4294967294" count="1" selected="0">
            <x v="0"/>
          </reference>
          <reference field="0" count="1" selected="0">
            <x v="7"/>
          </reference>
          <reference field="1" count="1" selected="0">
            <x v="76"/>
          </reference>
        </references>
      </pivotArea>
    </chartFormat>
    <chartFormat chart="0" format="400">
      <pivotArea type="data" outline="0" fieldPosition="0">
        <references count="3">
          <reference field="4294967294" count="1" selected="0">
            <x v="0"/>
          </reference>
          <reference field="0" count="1" selected="0">
            <x v="7"/>
          </reference>
          <reference field="1" count="1" selected="0">
            <x v="77"/>
          </reference>
        </references>
      </pivotArea>
    </chartFormat>
    <chartFormat chart="0" format="401">
      <pivotArea type="data" outline="0" fieldPosition="0">
        <references count="3">
          <reference field="4294967294" count="1" selected="0">
            <x v="0"/>
          </reference>
          <reference field="0" count="1" selected="0">
            <x v="7"/>
          </reference>
          <reference field="1" count="1" selected="0">
            <x v="78"/>
          </reference>
        </references>
      </pivotArea>
    </chartFormat>
    <chartFormat chart="0" format="402">
      <pivotArea type="data" outline="0" fieldPosition="0">
        <references count="3">
          <reference field="4294967294" count="1" selected="0">
            <x v="0"/>
          </reference>
          <reference field="0" count="1" selected="0">
            <x v="8"/>
          </reference>
          <reference field="1" count="1" selected="0">
            <x v="31"/>
          </reference>
        </references>
      </pivotArea>
    </chartFormat>
    <chartFormat chart="0" format="403">
      <pivotArea type="data" outline="0" fieldPosition="0">
        <references count="3">
          <reference field="4294967294" count="1" selected="0">
            <x v="0"/>
          </reference>
          <reference field="0" count="1" selected="0">
            <x v="8"/>
          </reference>
          <reference field="1" count="1" selected="0">
            <x v="32"/>
          </reference>
        </references>
      </pivotArea>
    </chartFormat>
    <chartFormat chart="0" format="404">
      <pivotArea type="data" outline="0" fieldPosition="0">
        <references count="3">
          <reference field="4294967294" count="1" selected="0">
            <x v="0"/>
          </reference>
          <reference field="0" count="1" selected="0">
            <x v="8"/>
          </reference>
          <reference field="1" count="1" selected="0">
            <x v="33"/>
          </reference>
        </references>
      </pivotArea>
    </chartFormat>
    <chartFormat chart="0" format="405">
      <pivotArea type="data" outline="0" fieldPosition="0">
        <references count="3">
          <reference field="4294967294" count="1" selected="0">
            <x v="0"/>
          </reference>
          <reference field="0" count="1" selected="0">
            <x v="8"/>
          </reference>
          <reference field="1" count="1" selected="0">
            <x v="34"/>
          </reference>
        </references>
      </pivotArea>
    </chartFormat>
    <chartFormat chart="0" format="406">
      <pivotArea type="data" outline="0" fieldPosition="0">
        <references count="3">
          <reference field="4294967294" count="1" selected="0">
            <x v="0"/>
          </reference>
          <reference field="0" count="1" selected="0">
            <x v="8"/>
          </reference>
          <reference field="1" count="1" selected="0">
            <x v="35"/>
          </reference>
        </references>
      </pivotArea>
    </chartFormat>
    <chartFormat chart="0" format="407">
      <pivotArea type="data" outline="0" fieldPosition="0">
        <references count="3">
          <reference field="4294967294" count="1" selected="0">
            <x v="0"/>
          </reference>
          <reference field="0" count="1" selected="0">
            <x v="8"/>
          </reference>
          <reference field="1" count="1" selected="0">
            <x v="36"/>
          </reference>
        </references>
      </pivotArea>
    </chartFormat>
    <chartFormat chart="0" format="408">
      <pivotArea type="data" outline="0" fieldPosition="0">
        <references count="3">
          <reference field="4294967294" count="1" selected="0">
            <x v="0"/>
          </reference>
          <reference field="0" count="1" selected="0">
            <x v="8"/>
          </reference>
          <reference field="1" count="1" selected="0">
            <x v="37"/>
          </reference>
        </references>
      </pivotArea>
    </chartFormat>
    <chartFormat chart="0" format="409">
      <pivotArea type="data" outline="0" fieldPosition="0">
        <references count="3">
          <reference field="4294967294" count="1" selected="0">
            <x v="0"/>
          </reference>
          <reference field="0" count="1" selected="0">
            <x v="8"/>
          </reference>
          <reference field="1" count="1" selected="0">
            <x v="38"/>
          </reference>
        </references>
      </pivotArea>
    </chartFormat>
    <chartFormat chart="0" format="410">
      <pivotArea type="data" outline="0" fieldPosition="0">
        <references count="3">
          <reference field="4294967294" count="1" selected="0">
            <x v="0"/>
          </reference>
          <reference field="0" count="1" selected="0">
            <x v="8"/>
          </reference>
          <reference field="1" count="1" selected="0">
            <x v="39"/>
          </reference>
        </references>
      </pivotArea>
    </chartFormat>
    <chartFormat chart="0" format="411">
      <pivotArea type="data" outline="0" fieldPosition="0">
        <references count="3">
          <reference field="4294967294" count="1" selected="0">
            <x v="0"/>
          </reference>
          <reference field="0" count="1" selected="0">
            <x v="8"/>
          </reference>
          <reference field="1" count="1" selected="0">
            <x v="40"/>
          </reference>
        </references>
      </pivotArea>
    </chartFormat>
    <chartFormat chart="0" format="412">
      <pivotArea type="data" outline="0" fieldPosition="0">
        <references count="3">
          <reference field="4294967294" count="1" selected="0">
            <x v="0"/>
          </reference>
          <reference field="0" count="1" selected="0">
            <x v="8"/>
          </reference>
          <reference field="1" count="1" selected="0">
            <x v="41"/>
          </reference>
        </references>
      </pivotArea>
    </chartFormat>
    <chartFormat chart="0" format="413">
      <pivotArea type="data" outline="0" fieldPosition="0">
        <references count="3">
          <reference field="4294967294" count="1" selected="0">
            <x v="0"/>
          </reference>
          <reference field="0" count="1" selected="0">
            <x v="8"/>
          </reference>
          <reference field="1" count="1" selected="0">
            <x v="42"/>
          </reference>
        </references>
      </pivotArea>
    </chartFormat>
    <chartFormat chart="0" format="414">
      <pivotArea type="data" outline="0" fieldPosition="0">
        <references count="3">
          <reference field="4294967294" count="1" selected="0">
            <x v="0"/>
          </reference>
          <reference field="0" count="1" selected="0">
            <x v="8"/>
          </reference>
          <reference field="1" count="1" selected="0">
            <x v="43"/>
          </reference>
        </references>
      </pivotArea>
    </chartFormat>
    <chartFormat chart="0" format="415">
      <pivotArea type="data" outline="0" fieldPosition="0">
        <references count="3">
          <reference field="4294967294" count="1" selected="0">
            <x v="0"/>
          </reference>
          <reference field="0" count="1" selected="0">
            <x v="8"/>
          </reference>
          <reference field="1" count="1" selected="0">
            <x v="44"/>
          </reference>
        </references>
      </pivotArea>
    </chartFormat>
    <chartFormat chart="0" format="416">
      <pivotArea type="data" outline="0" fieldPosition="0">
        <references count="3">
          <reference field="4294967294" count="1" selected="0">
            <x v="0"/>
          </reference>
          <reference field="0" count="1" selected="0">
            <x v="8"/>
          </reference>
          <reference field="1" count="1" selected="0">
            <x v="45"/>
          </reference>
        </references>
      </pivotArea>
    </chartFormat>
    <chartFormat chart="0" format="417">
      <pivotArea type="data" outline="0" fieldPosition="0">
        <references count="3">
          <reference field="4294967294" count="1" selected="0">
            <x v="0"/>
          </reference>
          <reference field="0" count="1" selected="0">
            <x v="8"/>
          </reference>
          <reference field="1" count="1" selected="0">
            <x v="46"/>
          </reference>
        </references>
      </pivotArea>
    </chartFormat>
    <chartFormat chart="0" format="418">
      <pivotArea type="data" outline="0" fieldPosition="0">
        <references count="3">
          <reference field="4294967294" count="1" selected="0">
            <x v="0"/>
          </reference>
          <reference field="0" count="1" selected="0">
            <x v="8"/>
          </reference>
          <reference field="1" count="1" selected="0">
            <x v="47"/>
          </reference>
        </references>
      </pivotArea>
    </chartFormat>
    <chartFormat chart="0" format="419">
      <pivotArea type="data" outline="0" fieldPosition="0">
        <references count="3">
          <reference field="4294967294" count="1" selected="0">
            <x v="0"/>
          </reference>
          <reference field="0" count="1" selected="0">
            <x v="8"/>
          </reference>
          <reference field="1" count="1" selected="0">
            <x v="48"/>
          </reference>
        </references>
      </pivotArea>
    </chartFormat>
    <chartFormat chart="0" format="420">
      <pivotArea type="data" outline="0" fieldPosition="0">
        <references count="3">
          <reference field="4294967294" count="1" selected="0">
            <x v="0"/>
          </reference>
          <reference field="0" count="1" selected="0">
            <x v="8"/>
          </reference>
          <reference field="1" count="1" selected="0">
            <x v="49"/>
          </reference>
        </references>
      </pivotArea>
    </chartFormat>
    <chartFormat chart="0" format="421">
      <pivotArea type="data" outline="0" fieldPosition="0">
        <references count="3">
          <reference field="4294967294" count="1" selected="0">
            <x v="0"/>
          </reference>
          <reference field="0" count="1" selected="0">
            <x v="8"/>
          </reference>
          <reference field="1" count="1" selected="0">
            <x v="50"/>
          </reference>
        </references>
      </pivotArea>
    </chartFormat>
    <chartFormat chart="0" format="422">
      <pivotArea type="data" outline="0" fieldPosition="0">
        <references count="3">
          <reference field="4294967294" count="1" selected="0">
            <x v="0"/>
          </reference>
          <reference field="0" count="1" selected="0">
            <x v="8"/>
          </reference>
          <reference field="1" count="1" selected="0">
            <x v="51"/>
          </reference>
        </references>
      </pivotArea>
    </chartFormat>
    <chartFormat chart="0" format="423">
      <pivotArea type="data" outline="0" fieldPosition="0">
        <references count="3">
          <reference field="4294967294" count="1" selected="0">
            <x v="0"/>
          </reference>
          <reference field="0" count="1" selected="0">
            <x v="8"/>
          </reference>
          <reference field="1" count="1" selected="0">
            <x v="52"/>
          </reference>
        </references>
      </pivotArea>
    </chartFormat>
    <chartFormat chart="0" format="424">
      <pivotArea type="data" outline="0" fieldPosition="0">
        <references count="3">
          <reference field="4294967294" count="1" selected="0">
            <x v="0"/>
          </reference>
          <reference field="0" count="1" selected="0">
            <x v="8"/>
          </reference>
          <reference field="1" count="1" selected="0">
            <x v="53"/>
          </reference>
        </references>
      </pivotArea>
    </chartFormat>
    <chartFormat chart="0" format="425">
      <pivotArea type="data" outline="0" fieldPosition="0">
        <references count="3">
          <reference field="4294967294" count="1" selected="0">
            <x v="0"/>
          </reference>
          <reference field="0" count="1" selected="0">
            <x v="8"/>
          </reference>
          <reference field="1" count="1" selected="0">
            <x v="54"/>
          </reference>
        </references>
      </pivotArea>
    </chartFormat>
    <chartFormat chart="0" format="426">
      <pivotArea type="data" outline="0" fieldPosition="0">
        <references count="3">
          <reference field="4294967294" count="1" selected="0">
            <x v="0"/>
          </reference>
          <reference field="0" count="1" selected="0">
            <x v="8"/>
          </reference>
          <reference field="1" count="1" selected="0">
            <x v="55"/>
          </reference>
        </references>
      </pivotArea>
    </chartFormat>
    <chartFormat chart="0" format="427">
      <pivotArea type="data" outline="0" fieldPosition="0">
        <references count="3">
          <reference field="4294967294" count="1" selected="0">
            <x v="0"/>
          </reference>
          <reference field="0" count="1" selected="0">
            <x v="8"/>
          </reference>
          <reference field="1" count="1" selected="0">
            <x v="56"/>
          </reference>
        </references>
      </pivotArea>
    </chartFormat>
    <chartFormat chart="0" format="428">
      <pivotArea type="data" outline="0" fieldPosition="0">
        <references count="3">
          <reference field="4294967294" count="1" selected="0">
            <x v="0"/>
          </reference>
          <reference field="0" count="1" selected="0">
            <x v="8"/>
          </reference>
          <reference field="1" count="1" selected="0">
            <x v="57"/>
          </reference>
        </references>
      </pivotArea>
    </chartFormat>
    <chartFormat chart="0" format="429">
      <pivotArea type="data" outline="0" fieldPosition="0">
        <references count="3">
          <reference field="4294967294" count="1" selected="0">
            <x v="0"/>
          </reference>
          <reference field="0" count="1" selected="0">
            <x v="8"/>
          </reference>
          <reference field="1" count="1" selected="0">
            <x v="58"/>
          </reference>
        </references>
      </pivotArea>
    </chartFormat>
    <chartFormat chart="0" format="430">
      <pivotArea type="data" outline="0" fieldPosition="0">
        <references count="3">
          <reference field="4294967294" count="1" selected="0">
            <x v="0"/>
          </reference>
          <reference field="0" count="1" selected="0">
            <x v="8"/>
          </reference>
          <reference field="1" count="1" selected="0">
            <x v="59"/>
          </reference>
        </references>
      </pivotArea>
    </chartFormat>
    <chartFormat chart="0" format="431">
      <pivotArea type="data" outline="0" fieldPosition="0">
        <references count="3">
          <reference field="4294967294" count="1" selected="0">
            <x v="0"/>
          </reference>
          <reference field="0" count="1" selected="0">
            <x v="8"/>
          </reference>
          <reference field="1" count="1" selected="0">
            <x v="60"/>
          </reference>
        </references>
      </pivotArea>
    </chartFormat>
    <chartFormat chart="0" format="432">
      <pivotArea type="data" outline="0" fieldPosition="0">
        <references count="3">
          <reference field="4294967294" count="1" selected="0">
            <x v="0"/>
          </reference>
          <reference field="0" count="1" selected="0">
            <x v="8"/>
          </reference>
          <reference field="1" count="1" selected="0">
            <x v="61"/>
          </reference>
        </references>
      </pivotArea>
    </chartFormat>
    <chartFormat chart="0" format="433">
      <pivotArea type="data" outline="0" fieldPosition="0">
        <references count="3">
          <reference field="4294967294" count="1" selected="0">
            <x v="0"/>
          </reference>
          <reference field="0" count="1" selected="0">
            <x v="8"/>
          </reference>
          <reference field="1" count="1" selected="0">
            <x v="62"/>
          </reference>
        </references>
      </pivotArea>
    </chartFormat>
    <chartFormat chart="0" format="434">
      <pivotArea type="data" outline="0" fieldPosition="0">
        <references count="3">
          <reference field="4294967294" count="1" selected="0">
            <x v="0"/>
          </reference>
          <reference field="0" count="1" selected="0">
            <x v="8"/>
          </reference>
          <reference field="1" count="1" selected="0">
            <x v="63"/>
          </reference>
        </references>
      </pivotArea>
    </chartFormat>
    <chartFormat chart="0" format="435">
      <pivotArea type="data" outline="0" fieldPosition="0">
        <references count="3">
          <reference field="4294967294" count="1" selected="0">
            <x v="0"/>
          </reference>
          <reference field="0" count="1" selected="0">
            <x v="8"/>
          </reference>
          <reference field="1" count="1" selected="0">
            <x v="64"/>
          </reference>
        </references>
      </pivotArea>
    </chartFormat>
    <chartFormat chart="0" format="436">
      <pivotArea type="data" outline="0" fieldPosition="0">
        <references count="3">
          <reference field="4294967294" count="1" selected="0">
            <x v="0"/>
          </reference>
          <reference field="0" count="1" selected="0">
            <x v="8"/>
          </reference>
          <reference field="1" count="1" selected="0">
            <x v="65"/>
          </reference>
        </references>
      </pivotArea>
    </chartFormat>
    <chartFormat chart="0" format="437">
      <pivotArea type="data" outline="0" fieldPosition="0">
        <references count="3">
          <reference field="4294967294" count="1" selected="0">
            <x v="0"/>
          </reference>
          <reference field="0" count="1" selected="0">
            <x v="8"/>
          </reference>
          <reference field="1" count="1" selected="0">
            <x v="66"/>
          </reference>
        </references>
      </pivotArea>
    </chartFormat>
    <chartFormat chart="0" format="438">
      <pivotArea type="data" outline="0" fieldPosition="0">
        <references count="3">
          <reference field="4294967294" count="1" selected="0">
            <x v="0"/>
          </reference>
          <reference field="0" count="1" selected="0">
            <x v="8"/>
          </reference>
          <reference field="1" count="1" selected="0">
            <x v="67"/>
          </reference>
        </references>
      </pivotArea>
    </chartFormat>
    <chartFormat chart="0" format="439">
      <pivotArea type="data" outline="0" fieldPosition="0">
        <references count="3">
          <reference field="4294967294" count="1" selected="0">
            <x v="0"/>
          </reference>
          <reference field="0" count="1" selected="0">
            <x v="8"/>
          </reference>
          <reference field="1" count="1" selected="0">
            <x v="68"/>
          </reference>
        </references>
      </pivotArea>
    </chartFormat>
    <chartFormat chart="0" format="440">
      <pivotArea type="data" outline="0" fieldPosition="0">
        <references count="3">
          <reference field="4294967294" count="1" selected="0">
            <x v="0"/>
          </reference>
          <reference field="0" count="1" selected="0">
            <x v="8"/>
          </reference>
          <reference field="1" count="1" selected="0">
            <x v="69"/>
          </reference>
        </references>
      </pivotArea>
    </chartFormat>
    <chartFormat chart="0" format="441">
      <pivotArea type="data" outline="0" fieldPosition="0">
        <references count="3">
          <reference field="4294967294" count="1" selected="0">
            <x v="0"/>
          </reference>
          <reference field="0" count="1" selected="0">
            <x v="8"/>
          </reference>
          <reference field="1" count="1" selected="0">
            <x v="70"/>
          </reference>
        </references>
      </pivotArea>
    </chartFormat>
    <chartFormat chart="0" format="442">
      <pivotArea type="data" outline="0" fieldPosition="0">
        <references count="3">
          <reference field="4294967294" count="1" selected="0">
            <x v="0"/>
          </reference>
          <reference field="0" count="1" selected="0">
            <x v="8"/>
          </reference>
          <reference field="1" count="1" selected="0">
            <x v="71"/>
          </reference>
        </references>
      </pivotArea>
    </chartFormat>
    <chartFormat chart="0" format="443">
      <pivotArea type="data" outline="0" fieldPosition="0">
        <references count="3">
          <reference field="4294967294" count="1" selected="0">
            <x v="0"/>
          </reference>
          <reference field="0" count="1" selected="0">
            <x v="8"/>
          </reference>
          <reference field="1" count="1" selected="0">
            <x v="72"/>
          </reference>
        </references>
      </pivotArea>
    </chartFormat>
    <chartFormat chart="0" format="444">
      <pivotArea type="data" outline="0" fieldPosition="0">
        <references count="3">
          <reference field="4294967294" count="1" selected="0">
            <x v="0"/>
          </reference>
          <reference field="0" count="1" selected="0">
            <x v="8"/>
          </reference>
          <reference field="1" count="1" selected="0">
            <x v="73"/>
          </reference>
        </references>
      </pivotArea>
    </chartFormat>
    <chartFormat chart="0" format="445">
      <pivotArea type="data" outline="0" fieldPosition="0">
        <references count="3">
          <reference field="4294967294" count="1" selected="0">
            <x v="0"/>
          </reference>
          <reference field="0" count="1" selected="0">
            <x v="8"/>
          </reference>
          <reference field="1" count="1" selected="0">
            <x v="74"/>
          </reference>
        </references>
      </pivotArea>
    </chartFormat>
    <chartFormat chart="0" format="446">
      <pivotArea type="data" outline="0" fieldPosition="0">
        <references count="3">
          <reference field="4294967294" count="1" selected="0">
            <x v="0"/>
          </reference>
          <reference field="0" count="1" selected="0">
            <x v="8"/>
          </reference>
          <reference field="1" count="1" selected="0">
            <x v="75"/>
          </reference>
        </references>
      </pivotArea>
    </chartFormat>
    <chartFormat chart="0" format="447">
      <pivotArea type="data" outline="0" fieldPosition="0">
        <references count="3">
          <reference field="4294967294" count="1" selected="0">
            <x v="0"/>
          </reference>
          <reference field="0" count="1" selected="0">
            <x v="8"/>
          </reference>
          <reference field="1" count="1" selected="0">
            <x v="76"/>
          </reference>
        </references>
      </pivotArea>
    </chartFormat>
    <chartFormat chart="0" format="448">
      <pivotArea type="data" outline="0" fieldPosition="0">
        <references count="3">
          <reference field="4294967294" count="1" selected="0">
            <x v="0"/>
          </reference>
          <reference field="0" count="1" selected="0">
            <x v="8"/>
          </reference>
          <reference field="1" count="1" selected="0">
            <x v="77"/>
          </reference>
        </references>
      </pivotArea>
    </chartFormat>
    <chartFormat chart="0" format="449">
      <pivotArea type="data" outline="0" fieldPosition="0">
        <references count="3">
          <reference field="4294967294" count="1" selected="0">
            <x v="0"/>
          </reference>
          <reference field="0" count="1" selected="0">
            <x v="8"/>
          </reference>
          <reference field="1" count="1" selected="0">
            <x v="78"/>
          </reference>
        </references>
      </pivotArea>
    </chartFormat>
    <chartFormat chart="0" format="450">
      <pivotArea type="data" outline="0" fieldPosition="0">
        <references count="3">
          <reference field="4294967294" count="1" selected="0">
            <x v="0"/>
          </reference>
          <reference field="0" count="1" selected="0">
            <x v="9"/>
          </reference>
          <reference field="1" count="1" selected="0">
            <x v="31"/>
          </reference>
        </references>
      </pivotArea>
    </chartFormat>
    <chartFormat chart="0" format="451">
      <pivotArea type="data" outline="0" fieldPosition="0">
        <references count="3">
          <reference field="4294967294" count="1" selected="0">
            <x v="0"/>
          </reference>
          <reference field="0" count="1" selected="0">
            <x v="9"/>
          </reference>
          <reference field="1" count="1" selected="0">
            <x v="32"/>
          </reference>
        </references>
      </pivotArea>
    </chartFormat>
    <chartFormat chart="0" format="452">
      <pivotArea type="data" outline="0" fieldPosition="0">
        <references count="3">
          <reference field="4294967294" count="1" selected="0">
            <x v="0"/>
          </reference>
          <reference field="0" count="1" selected="0">
            <x v="9"/>
          </reference>
          <reference field="1" count="1" selected="0">
            <x v="33"/>
          </reference>
        </references>
      </pivotArea>
    </chartFormat>
    <chartFormat chart="0" format="453">
      <pivotArea type="data" outline="0" fieldPosition="0">
        <references count="3">
          <reference field="4294967294" count="1" selected="0">
            <x v="0"/>
          </reference>
          <reference field="0" count="1" selected="0">
            <x v="9"/>
          </reference>
          <reference field="1" count="1" selected="0">
            <x v="34"/>
          </reference>
        </references>
      </pivotArea>
    </chartFormat>
    <chartFormat chart="0" format="454">
      <pivotArea type="data" outline="0" fieldPosition="0">
        <references count="3">
          <reference field="4294967294" count="1" selected="0">
            <x v="0"/>
          </reference>
          <reference field="0" count="1" selected="0">
            <x v="9"/>
          </reference>
          <reference field="1" count="1" selected="0">
            <x v="35"/>
          </reference>
        </references>
      </pivotArea>
    </chartFormat>
    <chartFormat chart="0" format="455">
      <pivotArea type="data" outline="0" fieldPosition="0">
        <references count="3">
          <reference field="4294967294" count="1" selected="0">
            <x v="0"/>
          </reference>
          <reference field="0" count="1" selected="0">
            <x v="9"/>
          </reference>
          <reference field="1" count="1" selected="0">
            <x v="36"/>
          </reference>
        </references>
      </pivotArea>
    </chartFormat>
    <chartFormat chart="0" format="456">
      <pivotArea type="data" outline="0" fieldPosition="0">
        <references count="3">
          <reference field="4294967294" count="1" selected="0">
            <x v="0"/>
          </reference>
          <reference field="0" count="1" selected="0">
            <x v="9"/>
          </reference>
          <reference field="1" count="1" selected="0">
            <x v="37"/>
          </reference>
        </references>
      </pivotArea>
    </chartFormat>
    <chartFormat chart="0" format="457">
      <pivotArea type="data" outline="0" fieldPosition="0">
        <references count="3">
          <reference field="4294967294" count="1" selected="0">
            <x v="0"/>
          </reference>
          <reference field="0" count="1" selected="0">
            <x v="9"/>
          </reference>
          <reference field="1" count="1" selected="0">
            <x v="38"/>
          </reference>
        </references>
      </pivotArea>
    </chartFormat>
    <chartFormat chart="0" format="458">
      <pivotArea type="data" outline="0" fieldPosition="0">
        <references count="3">
          <reference field="4294967294" count="1" selected="0">
            <x v="0"/>
          </reference>
          <reference field="0" count="1" selected="0">
            <x v="9"/>
          </reference>
          <reference field="1" count="1" selected="0">
            <x v="39"/>
          </reference>
        </references>
      </pivotArea>
    </chartFormat>
    <chartFormat chart="0" format="459">
      <pivotArea type="data" outline="0" fieldPosition="0">
        <references count="3">
          <reference field="4294967294" count="1" selected="0">
            <x v="0"/>
          </reference>
          <reference field="0" count="1" selected="0">
            <x v="9"/>
          </reference>
          <reference field="1" count="1" selected="0">
            <x v="40"/>
          </reference>
        </references>
      </pivotArea>
    </chartFormat>
    <chartFormat chart="0" format="460">
      <pivotArea type="data" outline="0" fieldPosition="0">
        <references count="3">
          <reference field="4294967294" count="1" selected="0">
            <x v="0"/>
          </reference>
          <reference field="0" count="1" selected="0">
            <x v="9"/>
          </reference>
          <reference field="1" count="1" selected="0">
            <x v="41"/>
          </reference>
        </references>
      </pivotArea>
    </chartFormat>
    <chartFormat chart="0" format="461">
      <pivotArea type="data" outline="0" fieldPosition="0">
        <references count="3">
          <reference field="4294967294" count="1" selected="0">
            <x v="0"/>
          </reference>
          <reference field="0" count="1" selected="0">
            <x v="9"/>
          </reference>
          <reference field="1" count="1" selected="0">
            <x v="42"/>
          </reference>
        </references>
      </pivotArea>
    </chartFormat>
    <chartFormat chart="0" format="462">
      <pivotArea type="data" outline="0" fieldPosition="0">
        <references count="3">
          <reference field="4294967294" count="1" selected="0">
            <x v="0"/>
          </reference>
          <reference field="0" count="1" selected="0">
            <x v="9"/>
          </reference>
          <reference field="1" count="1" selected="0">
            <x v="43"/>
          </reference>
        </references>
      </pivotArea>
    </chartFormat>
    <chartFormat chart="0" format="463">
      <pivotArea type="data" outline="0" fieldPosition="0">
        <references count="3">
          <reference field="4294967294" count="1" selected="0">
            <x v="0"/>
          </reference>
          <reference field="0" count="1" selected="0">
            <x v="9"/>
          </reference>
          <reference field="1" count="1" selected="0">
            <x v="44"/>
          </reference>
        </references>
      </pivotArea>
    </chartFormat>
    <chartFormat chart="0" format="464">
      <pivotArea type="data" outline="0" fieldPosition="0">
        <references count="3">
          <reference field="4294967294" count="1" selected="0">
            <x v="0"/>
          </reference>
          <reference field="0" count="1" selected="0">
            <x v="9"/>
          </reference>
          <reference field="1" count="1" selected="0">
            <x v="45"/>
          </reference>
        </references>
      </pivotArea>
    </chartFormat>
    <chartFormat chart="0" format="465">
      <pivotArea type="data" outline="0" fieldPosition="0">
        <references count="3">
          <reference field="4294967294" count="1" selected="0">
            <x v="0"/>
          </reference>
          <reference field="0" count="1" selected="0">
            <x v="9"/>
          </reference>
          <reference field="1" count="1" selected="0">
            <x v="46"/>
          </reference>
        </references>
      </pivotArea>
    </chartFormat>
    <chartFormat chart="0" format="466">
      <pivotArea type="data" outline="0" fieldPosition="0">
        <references count="3">
          <reference field="4294967294" count="1" selected="0">
            <x v="0"/>
          </reference>
          <reference field="0" count="1" selected="0">
            <x v="9"/>
          </reference>
          <reference field="1" count="1" selected="0">
            <x v="47"/>
          </reference>
        </references>
      </pivotArea>
    </chartFormat>
    <chartFormat chart="0" format="467">
      <pivotArea type="data" outline="0" fieldPosition="0">
        <references count="3">
          <reference field="4294967294" count="1" selected="0">
            <x v="0"/>
          </reference>
          <reference field="0" count="1" selected="0">
            <x v="9"/>
          </reference>
          <reference field="1" count="1" selected="0">
            <x v="48"/>
          </reference>
        </references>
      </pivotArea>
    </chartFormat>
    <chartFormat chart="0" format="468">
      <pivotArea type="data" outline="0" fieldPosition="0">
        <references count="3">
          <reference field="4294967294" count="1" selected="0">
            <x v="0"/>
          </reference>
          <reference field="0" count="1" selected="0">
            <x v="9"/>
          </reference>
          <reference field="1" count="1" selected="0">
            <x v="49"/>
          </reference>
        </references>
      </pivotArea>
    </chartFormat>
    <chartFormat chart="0" format="469">
      <pivotArea type="data" outline="0" fieldPosition="0">
        <references count="3">
          <reference field="4294967294" count="1" selected="0">
            <x v="0"/>
          </reference>
          <reference field="0" count="1" selected="0">
            <x v="9"/>
          </reference>
          <reference field="1" count="1" selected="0">
            <x v="50"/>
          </reference>
        </references>
      </pivotArea>
    </chartFormat>
    <chartFormat chart="0" format="470">
      <pivotArea type="data" outline="0" fieldPosition="0">
        <references count="3">
          <reference field="4294967294" count="1" selected="0">
            <x v="0"/>
          </reference>
          <reference field="0" count="1" selected="0">
            <x v="9"/>
          </reference>
          <reference field="1" count="1" selected="0">
            <x v="51"/>
          </reference>
        </references>
      </pivotArea>
    </chartFormat>
    <chartFormat chart="0" format="471">
      <pivotArea type="data" outline="0" fieldPosition="0">
        <references count="3">
          <reference field="4294967294" count="1" selected="0">
            <x v="0"/>
          </reference>
          <reference field="0" count="1" selected="0">
            <x v="9"/>
          </reference>
          <reference field="1" count="1" selected="0">
            <x v="52"/>
          </reference>
        </references>
      </pivotArea>
    </chartFormat>
    <chartFormat chart="0" format="472">
      <pivotArea type="data" outline="0" fieldPosition="0">
        <references count="3">
          <reference field="4294967294" count="1" selected="0">
            <x v="0"/>
          </reference>
          <reference field="0" count="1" selected="0">
            <x v="9"/>
          </reference>
          <reference field="1" count="1" selected="0">
            <x v="53"/>
          </reference>
        </references>
      </pivotArea>
    </chartFormat>
    <chartFormat chart="0" format="473">
      <pivotArea type="data" outline="0" fieldPosition="0">
        <references count="3">
          <reference field="4294967294" count="1" selected="0">
            <x v="0"/>
          </reference>
          <reference field="0" count="1" selected="0">
            <x v="9"/>
          </reference>
          <reference field="1" count="1" selected="0">
            <x v="54"/>
          </reference>
        </references>
      </pivotArea>
    </chartFormat>
    <chartFormat chart="0" format="474">
      <pivotArea type="data" outline="0" fieldPosition="0">
        <references count="3">
          <reference field="4294967294" count="1" selected="0">
            <x v="0"/>
          </reference>
          <reference field="0" count="1" selected="0">
            <x v="9"/>
          </reference>
          <reference field="1" count="1" selected="0">
            <x v="55"/>
          </reference>
        </references>
      </pivotArea>
    </chartFormat>
    <chartFormat chart="0" format="475">
      <pivotArea type="data" outline="0" fieldPosition="0">
        <references count="3">
          <reference field="4294967294" count="1" selected="0">
            <x v="0"/>
          </reference>
          <reference field="0" count="1" selected="0">
            <x v="9"/>
          </reference>
          <reference field="1" count="1" selected="0">
            <x v="56"/>
          </reference>
        </references>
      </pivotArea>
    </chartFormat>
    <chartFormat chart="0" format="476">
      <pivotArea type="data" outline="0" fieldPosition="0">
        <references count="3">
          <reference field="4294967294" count="1" selected="0">
            <x v="0"/>
          </reference>
          <reference field="0" count="1" selected="0">
            <x v="9"/>
          </reference>
          <reference field="1" count="1" selected="0">
            <x v="57"/>
          </reference>
        </references>
      </pivotArea>
    </chartFormat>
    <chartFormat chart="0" format="477">
      <pivotArea type="data" outline="0" fieldPosition="0">
        <references count="3">
          <reference field="4294967294" count="1" selected="0">
            <x v="0"/>
          </reference>
          <reference field="0" count="1" selected="0">
            <x v="9"/>
          </reference>
          <reference field="1" count="1" selected="0">
            <x v="58"/>
          </reference>
        </references>
      </pivotArea>
    </chartFormat>
    <chartFormat chart="0" format="478">
      <pivotArea type="data" outline="0" fieldPosition="0">
        <references count="3">
          <reference field="4294967294" count="1" selected="0">
            <x v="0"/>
          </reference>
          <reference field="0" count="1" selected="0">
            <x v="9"/>
          </reference>
          <reference field="1" count="1" selected="0">
            <x v="59"/>
          </reference>
        </references>
      </pivotArea>
    </chartFormat>
    <chartFormat chart="0" format="479">
      <pivotArea type="data" outline="0" fieldPosition="0">
        <references count="3">
          <reference field="4294967294" count="1" selected="0">
            <x v="0"/>
          </reference>
          <reference field="0" count="1" selected="0">
            <x v="9"/>
          </reference>
          <reference field="1" count="1" selected="0">
            <x v="60"/>
          </reference>
        </references>
      </pivotArea>
    </chartFormat>
    <chartFormat chart="0" format="480">
      <pivotArea type="data" outline="0" fieldPosition="0">
        <references count="3">
          <reference field="4294967294" count="1" selected="0">
            <x v="0"/>
          </reference>
          <reference field="0" count="1" selected="0">
            <x v="9"/>
          </reference>
          <reference field="1" count="1" selected="0">
            <x v="61"/>
          </reference>
        </references>
      </pivotArea>
    </chartFormat>
    <chartFormat chart="0" format="481">
      <pivotArea type="data" outline="0" fieldPosition="0">
        <references count="3">
          <reference field="4294967294" count="1" selected="0">
            <x v="0"/>
          </reference>
          <reference field="0" count="1" selected="0">
            <x v="9"/>
          </reference>
          <reference field="1" count="1" selected="0">
            <x v="62"/>
          </reference>
        </references>
      </pivotArea>
    </chartFormat>
    <chartFormat chart="0" format="482">
      <pivotArea type="data" outline="0" fieldPosition="0">
        <references count="3">
          <reference field="4294967294" count="1" selected="0">
            <x v="0"/>
          </reference>
          <reference field="0" count="1" selected="0">
            <x v="9"/>
          </reference>
          <reference field="1" count="1" selected="0">
            <x v="63"/>
          </reference>
        </references>
      </pivotArea>
    </chartFormat>
    <chartFormat chart="0" format="483">
      <pivotArea type="data" outline="0" fieldPosition="0">
        <references count="3">
          <reference field="4294967294" count="1" selected="0">
            <x v="0"/>
          </reference>
          <reference field="0" count="1" selected="0">
            <x v="9"/>
          </reference>
          <reference field="1" count="1" selected="0">
            <x v="64"/>
          </reference>
        </references>
      </pivotArea>
    </chartFormat>
    <chartFormat chart="0" format="484">
      <pivotArea type="data" outline="0" fieldPosition="0">
        <references count="3">
          <reference field="4294967294" count="1" selected="0">
            <x v="0"/>
          </reference>
          <reference field="0" count="1" selected="0">
            <x v="9"/>
          </reference>
          <reference field="1" count="1" selected="0">
            <x v="65"/>
          </reference>
        </references>
      </pivotArea>
    </chartFormat>
    <chartFormat chart="0" format="485">
      <pivotArea type="data" outline="0" fieldPosition="0">
        <references count="3">
          <reference field="4294967294" count="1" selected="0">
            <x v="0"/>
          </reference>
          <reference field="0" count="1" selected="0">
            <x v="9"/>
          </reference>
          <reference field="1" count="1" selected="0">
            <x v="66"/>
          </reference>
        </references>
      </pivotArea>
    </chartFormat>
    <chartFormat chart="0" format="486">
      <pivotArea type="data" outline="0" fieldPosition="0">
        <references count="3">
          <reference field="4294967294" count="1" selected="0">
            <x v="0"/>
          </reference>
          <reference field="0" count="1" selected="0">
            <x v="9"/>
          </reference>
          <reference field="1" count="1" selected="0">
            <x v="67"/>
          </reference>
        </references>
      </pivotArea>
    </chartFormat>
    <chartFormat chart="0" format="487">
      <pivotArea type="data" outline="0" fieldPosition="0">
        <references count="3">
          <reference field="4294967294" count="1" selected="0">
            <x v="0"/>
          </reference>
          <reference field="0" count="1" selected="0">
            <x v="9"/>
          </reference>
          <reference field="1" count="1" selected="0">
            <x v="68"/>
          </reference>
        </references>
      </pivotArea>
    </chartFormat>
    <chartFormat chart="0" format="488">
      <pivotArea type="data" outline="0" fieldPosition="0">
        <references count="3">
          <reference field="4294967294" count="1" selected="0">
            <x v="0"/>
          </reference>
          <reference field="0" count="1" selected="0">
            <x v="9"/>
          </reference>
          <reference field="1" count="1" selected="0">
            <x v="69"/>
          </reference>
        </references>
      </pivotArea>
    </chartFormat>
    <chartFormat chart="0" format="489">
      <pivotArea type="data" outline="0" fieldPosition="0">
        <references count="3">
          <reference field="4294967294" count="1" selected="0">
            <x v="0"/>
          </reference>
          <reference field="0" count="1" selected="0">
            <x v="9"/>
          </reference>
          <reference field="1" count="1" selected="0">
            <x v="70"/>
          </reference>
        </references>
      </pivotArea>
    </chartFormat>
    <chartFormat chart="0" format="490">
      <pivotArea type="data" outline="0" fieldPosition="0">
        <references count="3">
          <reference field="4294967294" count="1" selected="0">
            <x v="0"/>
          </reference>
          <reference field="0" count="1" selected="0">
            <x v="9"/>
          </reference>
          <reference field="1" count="1" selected="0">
            <x v="71"/>
          </reference>
        </references>
      </pivotArea>
    </chartFormat>
    <chartFormat chart="0" format="491">
      <pivotArea type="data" outline="0" fieldPosition="0">
        <references count="3">
          <reference field="4294967294" count="1" selected="0">
            <x v="0"/>
          </reference>
          <reference field="0" count="1" selected="0">
            <x v="9"/>
          </reference>
          <reference field="1" count="1" selected="0">
            <x v="72"/>
          </reference>
        </references>
      </pivotArea>
    </chartFormat>
    <chartFormat chart="0" format="492">
      <pivotArea type="data" outline="0" fieldPosition="0">
        <references count="3">
          <reference field="4294967294" count="1" selected="0">
            <x v="0"/>
          </reference>
          <reference field="0" count="1" selected="0">
            <x v="9"/>
          </reference>
          <reference field="1" count="1" selected="0">
            <x v="73"/>
          </reference>
        </references>
      </pivotArea>
    </chartFormat>
    <chartFormat chart="0" format="493">
      <pivotArea type="data" outline="0" fieldPosition="0">
        <references count="3">
          <reference field="4294967294" count="1" selected="0">
            <x v="0"/>
          </reference>
          <reference field="0" count="1" selected="0">
            <x v="9"/>
          </reference>
          <reference field="1" count="1" selected="0">
            <x v="74"/>
          </reference>
        </references>
      </pivotArea>
    </chartFormat>
    <chartFormat chart="0" format="494">
      <pivotArea type="data" outline="0" fieldPosition="0">
        <references count="3">
          <reference field="4294967294" count="1" selected="0">
            <x v="0"/>
          </reference>
          <reference field="0" count="1" selected="0">
            <x v="9"/>
          </reference>
          <reference field="1" count="1" selected="0">
            <x v="75"/>
          </reference>
        </references>
      </pivotArea>
    </chartFormat>
    <chartFormat chart="0" format="495">
      <pivotArea type="data" outline="0" fieldPosition="0">
        <references count="3">
          <reference field="4294967294" count="1" selected="0">
            <x v="0"/>
          </reference>
          <reference field="0" count="1" selected="0">
            <x v="9"/>
          </reference>
          <reference field="1" count="1" selected="0">
            <x v="76"/>
          </reference>
        </references>
      </pivotArea>
    </chartFormat>
    <chartFormat chart="0" format="496">
      <pivotArea type="data" outline="0" fieldPosition="0">
        <references count="3">
          <reference field="4294967294" count="1" selected="0">
            <x v="0"/>
          </reference>
          <reference field="0" count="1" selected="0">
            <x v="9"/>
          </reference>
          <reference field="1" count="1" selected="0">
            <x v="77"/>
          </reference>
        </references>
      </pivotArea>
    </chartFormat>
    <chartFormat chart="0" format="497">
      <pivotArea type="data" outline="0" fieldPosition="0">
        <references count="3">
          <reference field="4294967294" count="1" selected="0">
            <x v="0"/>
          </reference>
          <reference field="0" count="1" selected="0">
            <x v="9"/>
          </reference>
          <reference field="1" count="1" selected="0">
            <x v="78"/>
          </reference>
        </references>
      </pivotArea>
    </chartFormat>
    <chartFormat chart="0" format="498">
      <pivotArea type="data" outline="0" fieldPosition="0">
        <references count="3">
          <reference field="4294967294" count="1" selected="0">
            <x v="0"/>
          </reference>
          <reference field="0" count="1" selected="0">
            <x v="10"/>
          </reference>
          <reference field="1" count="1" selected="0">
            <x v="31"/>
          </reference>
        </references>
      </pivotArea>
    </chartFormat>
    <chartFormat chart="0" format="499">
      <pivotArea type="data" outline="0" fieldPosition="0">
        <references count="3">
          <reference field="4294967294" count="1" selected="0">
            <x v="0"/>
          </reference>
          <reference field="0" count="1" selected="0">
            <x v="10"/>
          </reference>
          <reference field="1" count="1" selected="0">
            <x v="32"/>
          </reference>
        </references>
      </pivotArea>
    </chartFormat>
    <chartFormat chart="0" format="500">
      <pivotArea type="data" outline="0" fieldPosition="0">
        <references count="3">
          <reference field="4294967294" count="1" selected="0">
            <x v="0"/>
          </reference>
          <reference field="0" count="1" selected="0">
            <x v="10"/>
          </reference>
          <reference field="1" count="1" selected="0">
            <x v="33"/>
          </reference>
        </references>
      </pivotArea>
    </chartFormat>
    <chartFormat chart="0" format="501">
      <pivotArea type="data" outline="0" fieldPosition="0">
        <references count="3">
          <reference field="4294967294" count="1" selected="0">
            <x v="0"/>
          </reference>
          <reference field="0" count="1" selected="0">
            <x v="10"/>
          </reference>
          <reference field="1" count="1" selected="0">
            <x v="34"/>
          </reference>
        </references>
      </pivotArea>
    </chartFormat>
    <chartFormat chart="0" format="502">
      <pivotArea type="data" outline="0" fieldPosition="0">
        <references count="3">
          <reference field="4294967294" count="1" selected="0">
            <x v="0"/>
          </reference>
          <reference field="0" count="1" selected="0">
            <x v="10"/>
          </reference>
          <reference field="1" count="1" selected="0">
            <x v="35"/>
          </reference>
        </references>
      </pivotArea>
    </chartFormat>
    <chartFormat chart="0" format="503">
      <pivotArea type="data" outline="0" fieldPosition="0">
        <references count="3">
          <reference field="4294967294" count="1" selected="0">
            <x v="0"/>
          </reference>
          <reference field="0" count="1" selected="0">
            <x v="10"/>
          </reference>
          <reference field="1" count="1" selected="0">
            <x v="36"/>
          </reference>
        </references>
      </pivotArea>
    </chartFormat>
    <chartFormat chart="0" format="504">
      <pivotArea type="data" outline="0" fieldPosition="0">
        <references count="3">
          <reference field="4294967294" count="1" selected="0">
            <x v="0"/>
          </reference>
          <reference field="0" count="1" selected="0">
            <x v="10"/>
          </reference>
          <reference field="1" count="1" selected="0">
            <x v="37"/>
          </reference>
        </references>
      </pivotArea>
    </chartFormat>
    <chartFormat chart="0" format="505">
      <pivotArea type="data" outline="0" fieldPosition="0">
        <references count="3">
          <reference field="4294967294" count="1" selected="0">
            <x v="0"/>
          </reference>
          <reference field="0" count="1" selected="0">
            <x v="10"/>
          </reference>
          <reference field="1" count="1" selected="0">
            <x v="38"/>
          </reference>
        </references>
      </pivotArea>
    </chartFormat>
    <chartFormat chart="0" format="506">
      <pivotArea type="data" outline="0" fieldPosition="0">
        <references count="3">
          <reference field="4294967294" count="1" selected="0">
            <x v="0"/>
          </reference>
          <reference field="0" count="1" selected="0">
            <x v="10"/>
          </reference>
          <reference field="1" count="1" selected="0">
            <x v="39"/>
          </reference>
        </references>
      </pivotArea>
    </chartFormat>
    <chartFormat chart="0" format="507">
      <pivotArea type="data" outline="0" fieldPosition="0">
        <references count="3">
          <reference field="4294967294" count="1" selected="0">
            <x v="0"/>
          </reference>
          <reference field="0" count="1" selected="0">
            <x v="10"/>
          </reference>
          <reference field="1" count="1" selected="0">
            <x v="40"/>
          </reference>
        </references>
      </pivotArea>
    </chartFormat>
    <chartFormat chart="0" format="508">
      <pivotArea type="data" outline="0" fieldPosition="0">
        <references count="3">
          <reference field="4294967294" count="1" selected="0">
            <x v="0"/>
          </reference>
          <reference field="0" count="1" selected="0">
            <x v="10"/>
          </reference>
          <reference field="1" count="1" selected="0">
            <x v="41"/>
          </reference>
        </references>
      </pivotArea>
    </chartFormat>
    <chartFormat chart="0" format="509">
      <pivotArea type="data" outline="0" fieldPosition="0">
        <references count="3">
          <reference field="4294967294" count="1" selected="0">
            <x v="0"/>
          </reference>
          <reference field="0" count="1" selected="0">
            <x v="10"/>
          </reference>
          <reference field="1" count="1" selected="0">
            <x v="42"/>
          </reference>
        </references>
      </pivotArea>
    </chartFormat>
    <chartFormat chart="0" format="510">
      <pivotArea type="data" outline="0" fieldPosition="0">
        <references count="3">
          <reference field="4294967294" count="1" selected="0">
            <x v="0"/>
          </reference>
          <reference field="0" count="1" selected="0">
            <x v="10"/>
          </reference>
          <reference field="1" count="1" selected="0">
            <x v="43"/>
          </reference>
        </references>
      </pivotArea>
    </chartFormat>
    <chartFormat chart="0" format="511">
      <pivotArea type="data" outline="0" fieldPosition="0">
        <references count="3">
          <reference field="4294967294" count="1" selected="0">
            <x v="0"/>
          </reference>
          <reference field="0" count="1" selected="0">
            <x v="10"/>
          </reference>
          <reference field="1" count="1" selected="0">
            <x v="44"/>
          </reference>
        </references>
      </pivotArea>
    </chartFormat>
    <chartFormat chart="0" format="512">
      <pivotArea type="data" outline="0" fieldPosition="0">
        <references count="3">
          <reference field="4294967294" count="1" selected="0">
            <x v="0"/>
          </reference>
          <reference field="0" count="1" selected="0">
            <x v="10"/>
          </reference>
          <reference field="1" count="1" selected="0">
            <x v="45"/>
          </reference>
        </references>
      </pivotArea>
    </chartFormat>
    <chartFormat chart="0" format="513">
      <pivotArea type="data" outline="0" fieldPosition="0">
        <references count="3">
          <reference field="4294967294" count="1" selected="0">
            <x v="0"/>
          </reference>
          <reference field="0" count="1" selected="0">
            <x v="10"/>
          </reference>
          <reference field="1" count="1" selected="0">
            <x v="46"/>
          </reference>
        </references>
      </pivotArea>
    </chartFormat>
    <chartFormat chart="0" format="514">
      <pivotArea type="data" outline="0" fieldPosition="0">
        <references count="3">
          <reference field="4294967294" count="1" selected="0">
            <x v="0"/>
          </reference>
          <reference field="0" count="1" selected="0">
            <x v="10"/>
          </reference>
          <reference field="1" count="1" selected="0">
            <x v="47"/>
          </reference>
        </references>
      </pivotArea>
    </chartFormat>
    <chartFormat chart="0" format="515">
      <pivotArea type="data" outline="0" fieldPosition="0">
        <references count="3">
          <reference field="4294967294" count="1" selected="0">
            <x v="0"/>
          </reference>
          <reference field="0" count="1" selected="0">
            <x v="10"/>
          </reference>
          <reference field="1" count="1" selected="0">
            <x v="48"/>
          </reference>
        </references>
      </pivotArea>
    </chartFormat>
    <chartFormat chart="0" format="516">
      <pivotArea type="data" outline="0" fieldPosition="0">
        <references count="3">
          <reference field="4294967294" count="1" selected="0">
            <x v="0"/>
          </reference>
          <reference field="0" count="1" selected="0">
            <x v="10"/>
          </reference>
          <reference field="1" count="1" selected="0">
            <x v="49"/>
          </reference>
        </references>
      </pivotArea>
    </chartFormat>
    <chartFormat chart="0" format="517">
      <pivotArea type="data" outline="0" fieldPosition="0">
        <references count="3">
          <reference field="4294967294" count="1" selected="0">
            <x v="0"/>
          </reference>
          <reference field="0" count="1" selected="0">
            <x v="10"/>
          </reference>
          <reference field="1" count="1" selected="0">
            <x v="50"/>
          </reference>
        </references>
      </pivotArea>
    </chartFormat>
    <chartFormat chart="0" format="518">
      <pivotArea type="data" outline="0" fieldPosition="0">
        <references count="3">
          <reference field="4294967294" count="1" selected="0">
            <x v="0"/>
          </reference>
          <reference field="0" count="1" selected="0">
            <x v="10"/>
          </reference>
          <reference field="1" count="1" selected="0">
            <x v="51"/>
          </reference>
        </references>
      </pivotArea>
    </chartFormat>
    <chartFormat chart="0" format="519">
      <pivotArea type="data" outline="0" fieldPosition="0">
        <references count="3">
          <reference field="4294967294" count="1" selected="0">
            <x v="0"/>
          </reference>
          <reference field="0" count="1" selected="0">
            <x v="10"/>
          </reference>
          <reference field="1" count="1" selected="0">
            <x v="52"/>
          </reference>
        </references>
      </pivotArea>
    </chartFormat>
    <chartFormat chart="0" format="520">
      <pivotArea type="data" outline="0" fieldPosition="0">
        <references count="3">
          <reference field="4294967294" count="1" selected="0">
            <x v="0"/>
          </reference>
          <reference field="0" count="1" selected="0">
            <x v="10"/>
          </reference>
          <reference field="1" count="1" selected="0">
            <x v="53"/>
          </reference>
        </references>
      </pivotArea>
    </chartFormat>
    <chartFormat chart="0" format="521">
      <pivotArea type="data" outline="0" fieldPosition="0">
        <references count="3">
          <reference field="4294967294" count="1" selected="0">
            <x v="0"/>
          </reference>
          <reference field="0" count="1" selected="0">
            <x v="10"/>
          </reference>
          <reference field="1" count="1" selected="0">
            <x v="54"/>
          </reference>
        </references>
      </pivotArea>
    </chartFormat>
    <chartFormat chart="0" format="522">
      <pivotArea type="data" outline="0" fieldPosition="0">
        <references count="3">
          <reference field="4294967294" count="1" selected="0">
            <x v="0"/>
          </reference>
          <reference field="0" count="1" selected="0">
            <x v="10"/>
          </reference>
          <reference field="1" count="1" selected="0">
            <x v="55"/>
          </reference>
        </references>
      </pivotArea>
    </chartFormat>
    <chartFormat chart="0" format="523">
      <pivotArea type="data" outline="0" fieldPosition="0">
        <references count="3">
          <reference field="4294967294" count="1" selected="0">
            <x v="0"/>
          </reference>
          <reference field="0" count="1" selected="0">
            <x v="10"/>
          </reference>
          <reference field="1" count="1" selected="0">
            <x v="56"/>
          </reference>
        </references>
      </pivotArea>
    </chartFormat>
    <chartFormat chart="0" format="524">
      <pivotArea type="data" outline="0" fieldPosition="0">
        <references count="3">
          <reference field="4294967294" count="1" selected="0">
            <x v="0"/>
          </reference>
          <reference field="0" count="1" selected="0">
            <x v="10"/>
          </reference>
          <reference field="1" count="1" selected="0">
            <x v="57"/>
          </reference>
        </references>
      </pivotArea>
    </chartFormat>
    <chartFormat chart="0" format="525">
      <pivotArea type="data" outline="0" fieldPosition="0">
        <references count="3">
          <reference field="4294967294" count="1" selected="0">
            <x v="0"/>
          </reference>
          <reference field="0" count="1" selected="0">
            <x v="10"/>
          </reference>
          <reference field="1" count="1" selected="0">
            <x v="58"/>
          </reference>
        </references>
      </pivotArea>
    </chartFormat>
    <chartFormat chart="0" format="526">
      <pivotArea type="data" outline="0" fieldPosition="0">
        <references count="3">
          <reference field="4294967294" count="1" selected="0">
            <x v="0"/>
          </reference>
          <reference field="0" count="1" selected="0">
            <x v="10"/>
          </reference>
          <reference field="1" count="1" selected="0">
            <x v="59"/>
          </reference>
        </references>
      </pivotArea>
    </chartFormat>
    <chartFormat chart="0" format="527">
      <pivotArea type="data" outline="0" fieldPosition="0">
        <references count="3">
          <reference field="4294967294" count="1" selected="0">
            <x v="0"/>
          </reference>
          <reference field="0" count="1" selected="0">
            <x v="10"/>
          </reference>
          <reference field="1" count="1" selected="0">
            <x v="60"/>
          </reference>
        </references>
      </pivotArea>
    </chartFormat>
    <chartFormat chart="0" format="528">
      <pivotArea type="data" outline="0" fieldPosition="0">
        <references count="3">
          <reference field="4294967294" count="1" selected="0">
            <x v="0"/>
          </reference>
          <reference field="0" count="1" selected="0">
            <x v="10"/>
          </reference>
          <reference field="1" count="1" selected="0">
            <x v="61"/>
          </reference>
        </references>
      </pivotArea>
    </chartFormat>
    <chartFormat chart="0" format="529">
      <pivotArea type="data" outline="0" fieldPosition="0">
        <references count="3">
          <reference field="4294967294" count="1" selected="0">
            <x v="0"/>
          </reference>
          <reference field="0" count="1" selected="0">
            <x v="10"/>
          </reference>
          <reference field="1" count="1" selected="0">
            <x v="62"/>
          </reference>
        </references>
      </pivotArea>
    </chartFormat>
    <chartFormat chart="0" format="530">
      <pivotArea type="data" outline="0" fieldPosition="0">
        <references count="3">
          <reference field="4294967294" count="1" selected="0">
            <x v="0"/>
          </reference>
          <reference field="0" count="1" selected="0">
            <x v="10"/>
          </reference>
          <reference field="1" count="1" selected="0">
            <x v="63"/>
          </reference>
        </references>
      </pivotArea>
    </chartFormat>
    <chartFormat chart="0" format="531">
      <pivotArea type="data" outline="0" fieldPosition="0">
        <references count="3">
          <reference field="4294967294" count="1" selected="0">
            <x v="0"/>
          </reference>
          <reference field="0" count="1" selected="0">
            <x v="10"/>
          </reference>
          <reference field="1" count="1" selected="0">
            <x v="64"/>
          </reference>
        </references>
      </pivotArea>
    </chartFormat>
    <chartFormat chart="0" format="532">
      <pivotArea type="data" outline="0" fieldPosition="0">
        <references count="3">
          <reference field="4294967294" count="1" selected="0">
            <x v="0"/>
          </reference>
          <reference field="0" count="1" selected="0">
            <x v="10"/>
          </reference>
          <reference field="1" count="1" selected="0">
            <x v="65"/>
          </reference>
        </references>
      </pivotArea>
    </chartFormat>
    <chartFormat chart="0" format="533">
      <pivotArea type="data" outline="0" fieldPosition="0">
        <references count="3">
          <reference field="4294967294" count="1" selected="0">
            <x v="0"/>
          </reference>
          <reference field="0" count="1" selected="0">
            <x v="10"/>
          </reference>
          <reference field="1" count="1" selected="0">
            <x v="66"/>
          </reference>
        </references>
      </pivotArea>
    </chartFormat>
    <chartFormat chart="0" format="534">
      <pivotArea type="data" outline="0" fieldPosition="0">
        <references count="3">
          <reference field="4294967294" count="1" selected="0">
            <x v="0"/>
          </reference>
          <reference field="0" count="1" selected="0">
            <x v="10"/>
          </reference>
          <reference field="1" count="1" selected="0">
            <x v="67"/>
          </reference>
        </references>
      </pivotArea>
    </chartFormat>
    <chartFormat chart="0" format="535">
      <pivotArea type="data" outline="0" fieldPosition="0">
        <references count="3">
          <reference field="4294967294" count="1" selected="0">
            <x v="0"/>
          </reference>
          <reference field="0" count="1" selected="0">
            <x v="10"/>
          </reference>
          <reference field="1" count="1" selected="0">
            <x v="68"/>
          </reference>
        </references>
      </pivotArea>
    </chartFormat>
    <chartFormat chart="0" format="536">
      <pivotArea type="data" outline="0" fieldPosition="0">
        <references count="3">
          <reference field="4294967294" count="1" selected="0">
            <x v="0"/>
          </reference>
          <reference field="0" count="1" selected="0">
            <x v="10"/>
          </reference>
          <reference field="1" count="1" selected="0">
            <x v="69"/>
          </reference>
        </references>
      </pivotArea>
    </chartFormat>
    <chartFormat chart="0" format="537">
      <pivotArea type="data" outline="0" fieldPosition="0">
        <references count="3">
          <reference field="4294967294" count="1" selected="0">
            <x v="0"/>
          </reference>
          <reference field="0" count="1" selected="0">
            <x v="10"/>
          </reference>
          <reference field="1" count="1" selected="0">
            <x v="70"/>
          </reference>
        </references>
      </pivotArea>
    </chartFormat>
    <chartFormat chart="0" format="538">
      <pivotArea type="data" outline="0" fieldPosition="0">
        <references count="3">
          <reference field="4294967294" count="1" selected="0">
            <x v="0"/>
          </reference>
          <reference field="0" count="1" selected="0">
            <x v="10"/>
          </reference>
          <reference field="1" count="1" selected="0">
            <x v="71"/>
          </reference>
        </references>
      </pivotArea>
    </chartFormat>
    <chartFormat chart="0" format="539">
      <pivotArea type="data" outline="0" fieldPosition="0">
        <references count="3">
          <reference field="4294967294" count="1" selected="0">
            <x v="0"/>
          </reference>
          <reference field="0" count="1" selected="0">
            <x v="10"/>
          </reference>
          <reference field="1" count="1" selected="0">
            <x v="72"/>
          </reference>
        </references>
      </pivotArea>
    </chartFormat>
    <chartFormat chart="0" format="540">
      <pivotArea type="data" outline="0" fieldPosition="0">
        <references count="3">
          <reference field="4294967294" count="1" selected="0">
            <x v="0"/>
          </reference>
          <reference field="0" count="1" selected="0">
            <x v="10"/>
          </reference>
          <reference field="1" count="1" selected="0">
            <x v="73"/>
          </reference>
        </references>
      </pivotArea>
    </chartFormat>
    <chartFormat chart="0" format="541">
      <pivotArea type="data" outline="0" fieldPosition="0">
        <references count="3">
          <reference field="4294967294" count="1" selected="0">
            <x v="0"/>
          </reference>
          <reference field="0" count="1" selected="0">
            <x v="10"/>
          </reference>
          <reference field="1" count="1" selected="0">
            <x v="74"/>
          </reference>
        </references>
      </pivotArea>
    </chartFormat>
    <chartFormat chart="0" format="542">
      <pivotArea type="data" outline="0" fieldPosition="0">
        <references count="3">
          <reference field="4294967294" count="1" selected="0">
            <x v="0"/>
          </reference>
          <reference field="0" count="1" selected="0">
            <x v="10"/>
          </reference>
          <reference field="1" count="1" selected="0">
            <x v="75"/>
          </reference>
        </references>
      </pivotArea>
    </chartFormat>
    <chartFormat chart="0" format="543">
      <pivotArea type="data" outline="0" fieldPosition="0">
        <references count="3">
          <reference field="4294967294" count="1" selected="0">
            <x v="0"/>
          </reference>
          <reference field="0" count="1" selected="0">
            <x v="10"/>
          </reference>
          <reference field="1" count="1" selected="0">
            <x v="76"/>
          </reference>
        </references>
      </pivotArea>
    </chartFormat>
    <chartFormat chart="0" format="544">
      <pivotArea type="data" outline="0" fieldPosition="0">
        <references count="3">
          <reference field="4294967294" count="1" selected="0">
            <x v="0"/>
          </reference>
          <reference field="0" count="1" selected="0">
            <x v="10"/>
          </reference>
          <reference field="1" count="1" selected="0">
            <x v="77"/>
          </reference>
        </references>
      </pivotArea>
    </chartFormat>
    <chartFormat chart="0" format="545">
      <pivotArea type="data" outline="0" fieldPosition="0">
        <references count="3">
          <reference field="4294967294" count="1" selected="0">
            <x v="0"/>
          </reference>
          <reference field="0" count="1" selected="0">
            <x v="10"/>
          </reference>
          <reference field="1" count="1" selected="0">
            <x v="78"/>
          </reference>
        </references>
      </pivotArea>
    </chartFormat>
    <chartFormat chart="0" format="546">
      <pivotArea type="data" outline="0" fieldPosition="0">
        <references count="3">
          <reference field="4294967294" count="1" selected="0">
            <x v="0"/>
          </reference>
          <reference field="0" count="1" selected="0">
            <x v="11"/>
          </reference>
          <reference field="1" count="1" selected="0">
            <x v="31"/>
          </reference>
        </references>
      </pivotArea>
    </chartFormat>
    <chartFormat chart="0" format="547">
      <pivotArea type="data" outline="0" fieldPosition="0">
        <references count="3">
          <reference field="4294967294" count="1" selected="0">
            <x v="0"/>
          </reference>
          <reference field="0" count="1" selected="0">
            <x v="11"/>
          </reference>
          <reference field="1" count="1" selected="0">
            <x v="32"/>
          </reference>
        </references>
      </pivotArea>
    </chartFormat>
    <chartFormat chart="0" format="548">
      <pivotArea type="data" outline="0" fieldPosition="0">
        <references count="3">
          <reference field="4294967294" count="1" selected="0">
            <x v="0"/>
          </reference>
          <reference field="0" count="1" selected="0">
            <x v="11"/>
          </reference>
          <reference field="1" count="1" selected="0">
            <x v="33"/>
          </reference>
        </references>
      </pivotArea>
    </chartFormat>
    <chartFormat chart="0" format="549">
      <pivotArea type="data" outline="0" fieldPosition="0">
        <references count="3">
          <reference field="4294967294" count="1" selected="0">
            <x v="0"/>
          </reference>
          <reference field="0" count="1" selected="0">
            <x v="11"/>
          </reference>
          <reference field="1" count="1" selected="0">
            <x v="34"/>
          </reference>
        </references>
      </pivotArea>
    </chartFormat>
    <chartFormat chart="0" format="550">
      <pivotArea type="data" outline="0" fieldPosition="0">
        <references count="3">
          <reference field="4294967294" count="1" selected="0">
            <x v="0"/>
          </reference>
          <reference field="0" count="1" selected="0">
            <x v="11"/>
          </reference>
          <reference field="1" count="1" selected="0">
            <x v="63"/>
          </reference>
        </references>
      </pivotArea>
    </chartFormat>
    <chartFormat chart="0" format="551">
      <pivotArea type="data" outline="0" fieldPosition="0">
        <references count="3">
          <reference field="4294967294" count="1" selected="0">
            <x v="0"/>
          </reference>
          <reference field="0" count="1" selected="0">
            <x v="11"/>
          </reference>
          <reference field="1" count="1" selected="0">
            <x v="64"/>
          </reference>
        </references>
      </pivotArea>
    </chartFormat>
    <chartFormat chart="0" format="552">
      <pivotArea type="data" outline="0" fieldPosition="0">
        <references count="3">
          <reference field="4294967294" count="1" selected="0">
            <x v="0"/>
          </reference>
          <reference field="0" count="1" selected="0">
            <x v="11"/>
          </reference>
          <reference field="1" count="1" selected="0">
            <x v="65"/>
          </reference>
        </references>
      </pivotArea>
    </chartFormat>
    <chartFormat chart="0" format="553">
      <pivotArea type="data" outline="0" fieldPosition="0">
        <references count="3">
          <reference field="4294967294" count="1" selected="0">
            <x v="0"/>
          </reference>
          <reference field="0" count="1" selected="0">
            <x v="11"/>
          </reference>
          <reference field="1" count="1" selected="0">
            <x v="66"/>
          </reference>
        </references>
      </pivotArea>
    </chartFormat>
    <chartFormat chart="0" format="554">
      <pivotArea type="data" outline="0" fieldPosition="0">
        <references count="3">
          <reference field="4294967294" count="1" selected="0">
            <x v="0"/>
          </reference>
          <reference field="0" count="1" selected="0">
            <x v="11"/>
          </reference>
          <reference field="1" count="1" selected="0">
            <x v="67"/>
          </reference>
        </references>
      </pivotArea>
    </chartFormat>
    <chartFormat chart="0" format="555">
      <pivotArea type="data" outline="0" fieldPosition="0">
        <references count="3">
          <reference field="4294967294" count="1" selected="0">
            <x v="0"/>
          </reference>
          <reference field="0" count="1" selected="0">
            <x v="11"/>
          </reference>
          <reference field="1" count="1" selected="0">
            <x v="68"/>
          </reference>
        </references>
      </pivotArea>
    </chartFormat>
    <chartFormat chart="0" format="556">
      <pivotArea type="data" outline="0" fieldPosition="0">
        <references count="3">
          <reference field="4294967294" count="1" selected="0">
            <x v="0"/>
          </reference>
          <reference field="0" count="1" selected="0">
            <x v="11"/>
          </reference>
          <reference field="1" count="1" selected="0">
            <x v="69"/>
          </reference>
        </references>
      </pivotArea>
    </chartFormat>
    <chartFormat chart="0" format="557">
      <pivotArea type="data" outline="0" fieldPosition="0">
        <references count="3">
          <reference field="4294967294" count="1" selected="0">
            <x v="0"/>
          </reference>
          <reference field="0" count="1" selected="0">
            <x v="11"/>
          </reference>
          <reference field="1" count="1" selected="0">
            <x v="70"/>
          </reference>
        </references>
      </pivotArea>
    </chartFormat>
    <chartFormat chart="0" format="558">
      <pivotArea type="data" outline="0" fieldPosition="0">
        <references count="3">
          <reference field="4294967294" count="1" selected="0">
            <x v="0"/>
          </reference>
          <reference field="0" count="1" selected="0">
            <x v="11"/>
          </reference>
          <reference field="1" count="1" selected="0">
            <x v="71"/>
          </reference>
        </references>
      </pivotArea>
    </chartFormat>
    <chartFormat chart="0" format="559">
      <pivotArea type="data" outline="0" fieldPosition="0">
        <references count="3">
          <reference field="4294967294" count="1" selected="0">
            <x v="0"/>
          </reference>
          <reference field="0" count="1" selected="0">
            <x v="11"/>
          </reference>
          <reference field="1" count="1" selected="0">
            <x v="72"/>
          </reference>
        </references>
      </pivotArea>
    </chartFormat>
    <chartFormat chart="0" format="560">
      <pivotArea type="data" outline="0" fieldPosition="0">
        <references count="3">
          <reference field="4294967294" count="1" selected="0">
            <x v="0"/>
          </reference>
          <reference field="0" count="1" selected="0">
            <x v="11"/>
          </reference>
          <reference field="1" count="1" selected="0">
            <x v="73"/>
          </reference>
        </references>
      </pivotArea>
    </chartFormat>
    <chartFormat chart="0" format="561">
      <pivotArea type="data" outline="0" fieldPosition="0">
        <references count="3">
          <reference field="4294967294" count="1" selected="0">
            <x v="0"/>
          </reference>
          <reference field="0" count="1" selected="0">
            <x v="11"/>
          </reference>
          <reference field="1" count="1" selected="0">
            <x v="74"/>
          </reference>
        </references>
      </pivotArea>
    </chartFormat>
    <chartFormat chart="0" format="562">
      <pivotArea type="data" outline="0" fieldPosition="0">
        <references count="3">
          <reference field="4294967294" count="1" selected="0">
            <x v="0"/>
          </reference>
          <reference field="0" count="1" selected="0">
            <x v="11"/>
          </reference>
          <reference field="1" count="1" selected="0">
            <x v="75"/>
          </reference>
        </references>
      </pivotArea>
    </chartFormat>
    <chartFormat chart="0" format="563">
      <pivotArea type="data" outline="0" fieldPosition="0">
        <references count="3">
          <reference field="4294967294" count="1" selected="0">
            <x v="0"/>
          </reference>
          <reference field="0" count="1" selected="0">
            <x v="11"/>
          </reference>
          <reference field="1" count="1" selected="0">
            <x v="76"/>
          </reference>
        </references>
      </pivotArea>
    </chartFormat>
    <chartFormat chart="0" format="564">
      <pivotArea type="data" outline="0" fieldPosition="0">
        <references count="3">
          <reference field="4294967294" count="1" selected="0">
            <x v="0"/>
          </reference>
          <reference field="0" count="1" selected="0">
            <x v="11"/>
          </reference>
          <reference field="1" count="1" selected="0">
            <x v="77"/>
          </reference>
        </references>
      </pivotArea>
    </chartFormat>
    <chartFormat chart="0" format="565">
      <pivotArea type="data" outline="0" fieldPosition="0">
        <references count="3">
          <reference field="4294967294" count="1" selected="0">
            <x v="0"/>
          </reference>
          <reference field="0" count="1" selected="0">
            <x v="11"/>
          </reference>
          <reference field="1" count="1" selected="0">
            <x v="78"/>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t.generic_add_data1"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multipleItemSelectionAllowed="1"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t.generic_add_data2"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t.generic_add_data3"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t.generic_add_data4"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t.generic_add_data5"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A7:C11" firstHeaderRow="1" firstDataRow="2" firstDataCol="1" rowPageCount="5" colPageCount="1"/>
  <pivotFields count="12">
    <pivotField axis="axisRow" subtotalTop="0" showAll="0" defaultSubtotal="0">
      <items count="1">
        <item x="0"/>
      </items>
    </pivotField>
    <pivotField axis="axisRow" subtotalTop="0" showAll="0">
      <items count="2">
        <item x="0"/>
        <item t="default"/>
      </items>
    </pivotField>
    <pivotField axis="axisPage" subtotalTop="0" multipleItemSelectionAllowed="1" showAll="0">
      <items count="2">
        <item x="0"/>
        <item t="default"/>
      </items>
    </pivotField>
    <pivotField subtotalTop="0" showAll="0"/>
    <pivotField subtotalTop="0" showAll="0"/>
    <pivotField axis="axisPage" subtotalTop="0" multipleItemSelectionAllowed="1" showAll="0">
      <items count="2">
        <item x="0"/>
        <item t="default"/>
      </items>
    </pivotField>
    <pivotField axis="axisPage" subtotalTop="0" multipleItemSelectionAllowed="1" showAll="0">
      <items count="2">
        <item x="0"/>
        <item t="default"/>
      </items>
    </pivotField>
    <pivotField axis="axisCol" subtotalTop="0" showAll="0">
      <items count="2">
        <item x="0"/>
        <item t="default"/>
      </items>
    </pivotField>
    <pivotField subtotalTop="0" showAll="0"/>
    <pivotField axis="axisPage" subtotalTop="0" multipleItemSelectionAllowed="1" showAll="0">
      <items count="2">
        <item x="0"/>
        <item t="default"/>
      </items>
    </pivotField>
    <pivotField dataField="1" subtotalTop="0" showAll="0"/>
    <pivotField axis="axisPage" subtotalTop="0" multipleItemSelectionAllowed="1" showAll="0">
      <items count="2">
        <item x="0"/>
        <item t="default"/>
      </items>
    </pivotField>
  </pivotFields>
  <rowFields count="2">
    <field x="0"/>
    <field x="1"/>
  </rowFields>
  <rowItems count="3">
    <i>
      <x/>
    </i>
    <i r="1">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t.generic_add_data6"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t.generic_add_data7"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1" baseItem="6"/>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t.generic_add_data8"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t.generic_add_data9"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t.generic_add_data10"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t.generic_add_data11"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t.generic_add_data12"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t.generic_add_data13"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t.generic_add_data14"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1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E00-000000000000}" name="pt.generic_add_data15"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t.generic_add_data16"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t.generic_add_data17"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t.generic_add_data18"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t.generic_add_data19"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t.generic_add_data20"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t.generic_add_data21"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500-000000000000}" name="pt.generic_add_data22"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600-000000000000}" name="pt.generic_add_data23"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2700-000000000000}" name="pt.generic_add_data24"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2800-000000000000}" name="pt.generic_add_data25"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2900-000000000000}" name="pt.generic_add_data26"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2A00-000000000000}" name="pt.generic_add_data27"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2B00-000000000000}" name="pt.generic_add_data28"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2C00-000000000000}" name="pt.generic_add_data29"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2D00-000000000000}" name="pt.generic_add_data30"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_D_N" xr10:uid="{00000000-0013-0000-FFFF-FFFF01000000}" sourceName="Datum D/N">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20">
        <i x="1" s="1"/>
        <i x="2" s="1"/>
        <i x="3" s="1"/>
        <i x="0" s="1" nd="1"/>
        <i x="16" s="1" nd="1"/>
        <i x="17" s="1" nd="1"/>
        <i x="6" s="1" nd="1"/>
        <i x="7" s="1" nd="1"/>
        <i x="10" s="1" nd="1"/>
        <i x="9" s="1" nd="1"/>
        <i x="18" s="1" nd="1"/>
        <i x="19" s="1" nd="1"/>
        <i x="12" s="1" nd="1"/>
        <i x="15" s="1" nd="1"/>
        <i x="13" s="1" nd="1"/>
        <i x="14" s="1" nd="1"/>
        <i x="4" s="1" nd="1"/>
        <i x="5" s="1" nd="1"/>
        <i x="8"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ěna" xr10:uid="{00000000-0013-0000-FFFF-FFFF02000000}" sourceName="Směna">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s>
  <data>
    <tabular pivotCacheId="13">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Čas" xr10:uid="{7E2B94EE-860E-4FD4-9E0E-66CBE0AC0667}" sourceName="Čas">
  <pivotTables>
    <pivotTable tabId="15" name="pt.lvl3_generic_1"/>
    <pivotTable tabId="13" name="pt.inbound_ppot_lvl1"/>
    <pivotTable tabId="14" name="pt.inbound_ppot_lvl2"/>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79">
        <i x="33" s="1"/>
        <i x="34" s="1"/>
        <i x="35" s="1"/>
        <i x="36" s="1"/>
        <i x="37" s="1"/>
        <i x="38" s="1"/>
        <i x="39" s="1"/>
        <i x="40" s="1"/>
        <i x="41" s="1"/>
        <i x="42" s="1"/>
        <i x="43" s="1"/>
        <i x="44" s="1"/>
        <i x="45" s="1"/>
        <i x="46" s="1"/>
        <i x="47" s="1"/>
        <i x="48"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0" s="1" nd="1"/>
        <i x="71" s="1" nd="1"/>
        <i x="64" s="1" nd="1"/>
        <i x="55" s="1" nd="1"/>
        <i x="49" s="1" nd="1"/>
        <i x="73" s="1" nd="1"/>
        <i x="65" s="1" nd="1"/>
        <i x="56" s="1" nd="1"/>
        <i x="50" s="1" nd="1"/>
        <i x="74" s="1" nd="1"/>
        <i x="66" s="1" nd="1"/>
        <i x="57" s="1" nd="1"/>
        <i x="51" s="1" nd="1"/>
        <i x="76" s="1" nd="1"/>
        <i x="67" s="1" nd="1"/>
        <i x="59" s="1" nd="1"/>
        <i x="52" s="1" nd="1"/>
        <i x="78" s="1" nd="1"/>
        <i x="68" s="1" nd="1"/>
        <i x="61" s="1" nd="1"/>
        <i x="53" s="1" nd="1"/>
        <i x="54" s="1" nd="1"/>
        <i x="77" s="1" nd="1"/>
        <i x="69" s="1" nd="1"/>
        <i x="60" s="1" nd="1"/>
        <i x="70" s="1" nd="1"/>
        <i x="62" s="1" nd="1"/>
        <i x="58" s="1" nd="1"/>
        <i x="63" s="1" nd="1"/>
        <i x="72" s="1" nd="1"/>
        <i x="7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D/N" xr10:uid="{00000000-0014-0000-FFFF-FFFF01000000}" cache="Slicer_Datum_D_N" caption="Datum" rowHeight="241300"/>
  <slicer name="Směna" xr10:uid="{00000000-0014-0000-FFFF-FFFF02000000}" cache="Slicer_Směna" caption="Směna" rowHeight="241300"/>
  <slicer name="Čas" xr10:uid="{00DCF1A0-0A3B-4939-BC34-C706865CDFEF}" cache="Slicer_Čas" caption="Ča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0.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1.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2.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23.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5.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26.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7.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28.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30.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31.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3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ivotTable" Target="../pivotTables/pivotTable33.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ivotTable" Target="../pivotTables/pivotTable34.xml"/></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35.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6.xml"/></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37.xml"/></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38.xml"/></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39.xml"/></Relationships>
</file>

<file path=xl/worksheets/_rels/sheet42.xml.rels><?xml version="1.0" encoding="UTF-8" standalone="yes"?>
<Relationships xmlns="http://schemas.openxmlformats.org/package/2006/relationships"><Relationship Id="rId1" Type="http://schemas.openxmlformats.org/officeDocument/2006/relationships/pivotTable" Target="../pivotTables/pivotTable40.xml"/></Relationships>
</file>

<file path=xl/worksheets/_rels/sheet43.xml.rels><?xml version="1.0" encoding="UTF-8" standalone="yes"?>
<Relationships xmlns="http://schemas.openxmlformats.org/package/2006/relationships"><Relationship Id="rId1" Type="http://schemas.openxmlformats.org/officeDocument/2006/relationships/pivotTable" Target="../pivotTables/pivotTable41.xml"/></Relationships>
</file>

<file path=xl/worksheets/_rels/sheet44.xml.rels><?xml version="1.0" encoding="UTF-8" standalone="yes"?>
<Relationships xmlns="http://schemas.openxmlformats.org/package/2006/relationships"><Relationship Id="rId1" Type="http://schemas.openxmlformats.org/officeDocument/2006/relationships/pivotTable" Target="../pivotTables/pivotTable42.xml"/></Relationships>
</file>

<file path=xl/worksheets/_rels/sheet45.xml.rels><?xml version="1.0" encoding="UTF-8" standalone="yes"?>
<Relationships xmlns="http://schemas.openxmlformats.org/package/2006/relationships"><Relationship Id="rId1" Type="http://schemas.openxmlformats.org/officeDocument/2006/relationships/pivotTable" Target="../pivotTables/pivotTable43.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AO262"/>
  <sheetViews>
    <sheetView tabSelected="1" zoomScaleNormal="100" zoomScaleSheetLayoutView="90" workbookViewId="0"/>
  </sheetViews>
  <sheetFormatPr defaultRowHeight="15" outlineLevelRow="2" x14ac:dyDescent="0.25"/>
  <cols>
    <col min="1" max="1" width="15.7109375" style="21" customWidth="1"/>
    <col min="2" max="2" width="11.5703125" style="21" customWidth="1"/>
    <col min="3" max="4" width="9.140625" style="21"/>
    <col min="5" max="5" width="15.7109375" style="21" bestFit="1" customWidth="1"/>
    <col min="6" max="6" width="12.140625" style="21" customWidth="1"/>
    <col min="7" max="11" width="9.140625" style="21"/>
    <col min="12" max="12" width="16.5703125" style="21" bestFit="1" customWidth="1"/>
    <col min="13" max="25" width="9.140625" style="21"/>
    <col min="26" max="26" width="46.140625" style="21" customWidth="1"/>
    <col min="27" max="27" width="32.85546875" style="21" customWidth="1"/>
    <col min="28" max="28" width="16.28515625" style="21" customWidth="1"/>
    <col min="29" max="29" width="9.28515625" style="21" customWidth="1"/>
    <col min="30" max="30" width="9.140625" style="21" customWidth="1"/>
    <col min="31" max="31" width="16.42578125" style="21" customWidth="1"/>
    <col min="32" max="32" width="6" style="21" bestFit="1" customWidth="1"/>
    <col min="33" max="33" width="16.42578125" style="21" customWidth="1"/>
    <col min="34" max="34" width="23.85546875" style="21" bestFit="1" customWidth="1"/>
    <col min="35" max="35" width="16.42578125" style="21" bestFit="1" customWidth="1"/>
    <col min="36" max="37" width="9.140625" style="21"/>
    <col min="38" max="38" width="15.7109375" style="21" customWidth="1"/>
    <col min="39" max="39" width="32.85546875" style="21" customWidth="1"/>
    <col min="40" max="40" width="17.42578125" style="21" customWidth="1"/>
    <col min="41" max="41" width="20.7109375" style="21" customWidth="1"/>
    <col min="42" max="42" width="17.28515625" style="21" bestFit="1" customWidth="1"/>
    <col min="43" max="43" width="5.7109375" style="21" bestFit="1" customWidth="1"/>
    <col min="44" max="44" width="4.28515625" style="21" bestFit="1" customWidth="1"/>
    <col min="45" max="45" width="20.5703125" style="21" bestFit="1" customWidth="1"/>
    <col min="46" max="16384" width="9.140625" style="21"/>
  </cols>
  <sheetData>
    <row r="1" spans="1:41" x14ac:dyDescent="0.2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row>
    <row r="3" spans="1:41" x14ac:dyDescent="0.25">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row>
    <row r="4" spans="1:41" x14ac:dyDescent="0.25">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1:41"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1:41" x14ac:dyDescent="0.25">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1:41" x14ac:dyDescent="0.2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1:41" x14ac:dyDescent="0.25">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9" spans="1:41" x14ac:dyDescent="0.25">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row>
    <row r="10" spans="1:41"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row>
    <row r="11" spans="1:41"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row>
    <row r="12" spans="1:41"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row>
    <row r="13" spans="1:41" ht="15.75" thickBot="1" x14ac:dyDescent="0.3">
      <c r="A13" s="20"/>
      <c r="B13" s="20"/>
      <c r="C13" s="22"/>
      <c r="D13" s="22"/>
      <c r="E13" s="22"/>
      <c r="F13" s="22"/>
      <c r="G13" s="22"/>
      <c r="H13" s="22"/>
      <c r="I13" s="22"/>
      <c r="J13" s="22"/>
      <c r="K13" s="22"/>
      <c r="L13" s="22"/>
      <c r="M13" s="22"/>
      <c r="N13" s="22"/>
      <c r="O13" s="22"/>
      <c r="P13" s="22"/>
      <c r="Q13" s="22"/>
      <c r="R13" s="22"/>
      <c r="S13" s="22"/>
      <c r="T13" s="22"/>
      <c r="U13" s="22"/>
      <c r="V13" s="22"/>
      <c r="W13" s="22"/>
      <c r="X13" s="22"/>
      <c r="Y13" s="22"/>
      <c r="Z13" s="22"/>
      <c r="AA13" s="20"/>
      <c r="AB13" s="20"/>
      <c r="AC13" s="20"/>
      <c r="AD13" s="20"/>
      <c r="AE13" s="20"/>
      <c r="AF13" s="20"/>
      <c r="AG13" s="20"/>
      <c r="AH13" s="20"/>
      <c r="AI13" s="20"/>
      <c r="AJ13" s="20"/>
      <c r="AK13" s="20"/>
      <c r="AL13" s="20"/>
      <c r="AM13" s="20"/>
      <c r="AN13" s="20"/>
      <c r="AO13" s="20"/>
    </row>
    <row r="14" spans="1:41" hidden="1" outlineLevel="1"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row>
    <row r="15" spans="1:41" hidden="1" outlineLevel="1"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row>
    <row r="16" spans="1:41" hidden="1" outlineLevel="1"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row>
    <row r="17" spans="1:41" hidden="1" outlineLevel="1"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row>
    <row r="18" spans="1:41" hidden="1" outlineLevel="1" x14ac:dyDescent="0.25">
      <c r="A18" s="20"/>
      <c r="B18" s="20"/>
      <c r="C18" s="20"/>
      <c r="D18" s="20"/>
      <c r="E18" s="20"/>
      <c r="F18" s="20"/>
      <c r="G18" s="20"/>
      <c r="H18" s="20"/>
      <c r="I18" s="23"/>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row>
    <row r="19" spans="1:41" hidden="1" outlineLevel="1"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row>
    <row r="20" spans="1:41" hidden="1" outlineLevel="1"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row>
    <row r="21" spans="1:41" hidden="1" outlineLevel="1"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row>
    <row r="22" spans="1:41" hidden="1" outlineLevel="1"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row>
    <row r="23" spans="1:41" hidden="1" outlineLevel="1"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row>
    <row r="24" spans="1:41" hidden="1" outlineLevel="1"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row>
    <row r="25" spans="1:41" hidden="1" outlineLevel="1"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row>
    <row r="26" spans="1:41" hidden="1" outlineLevel="1"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row>
    <row r="27" spans="1:41" hidden="1" outlineLevel="1"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row>
    <row r="28" spans="1:41" hidden="1" outlineLevel="1"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row>
    <row r="29" spans="1:41" hidden="1" outlineLevel="1"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row>
    <row r="30" spans="1:41" hidden="1" outlineLevel="1"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row>
    <row r="31" spans="1:41" hidden="1" outlineLevel="1"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row>
    <row r="32" spans="1:41" ht="15.75" hidden="1" outlineLevel="1" thickBot="1" x14ac:dyDescent="0.3">
      <c r="A32" s="20"/>
      <c r="B32" s="20"/>
      <c r="C32" s="22"/>
      <c r="D32" s="22"/>
      <c r="E32" s="22"/>
      <c r="F32" s="22"/>
      <c r="G32" s="22"/>
      <c r="H32" s="22"/>
      <c r="I32" s="22"/>
      <c r="J32" s="22"/>
      <c r="K32" s="22"/>
      <c r="L32" s="22"/>
      <c r="M32" s="22"/>
      <c r="N32" s="22"/>
      <c r="O32" s="22"/>
      <c r="P32" s="22"/>
      <c r="Q32" s="22"/>
      <c r="R32" s="22"/>
      <c r="S32" s="22"/>
      <c r="T32" s="22"/>
      <c r="U32" s="22"/>
      <c r="V32" s="22"/>
      <c r="W32" s="22"/>
      <c r="X32" s="22"/>
      <c r="Y32" s="22"/>
      <c r="Z32" s="22"/>
      <c r="AA32" s="20"/>
      <c r="AB32" s="20"/>
      <c r="AC32" s="20"/>
      <c r="AD32" s="20"/>
      <c r="AE32" s="20"/>
      <c r="AF32" s="20"/>
      <c r="AG32" s="20"/>
      <c r="AH32" s="20"/>
      <c r="AI32" s="20"/>
      <c r="AJ32" s="20"/>
      <c r="AK32" s="20"/>
      <c r="AL32" s="20"/>
      <c r="AM32" s="20"/>
      <c r="AN32" s="20"/>
      <c r="AO32" s="20"/>
    </row>
    <row r="33" spans="1:41" hidden="1" outlineLevel="2" x14ac:dyDescent="0.25">
      <c r="A33" s="20"/>
      <c r="B33" s="20"/>
      <c r="C33" s="24"/>
      <c r="D33" s="24"/>
      <c r="E33" s="24"/>
      <c r="F33" s="24"/>
      <c r="G33" s="24"/>
      <c r="H33" s="24"/>
      <c r="I33" s="24"/>
      <c r="J33" s="24"/>
      <c r="K33" s="24"/>
      <c r="L33" s="24"/>
      <c r="M33" s="24"/>
      <c r="N33" s="24"/>
      <c r="O33" s="24"/>
      <c r="P33" s="24"/>
      <c r="Q33" s="24"/>
      <c r="R33" s="24"/>
      <c r="S33" s="24"/>
      <c r="T33" s="24"/>
      <c r="U33" s="24"/>
      <c r="V33" s="24"/>
      <c r="W33" s="24"/>
      <c r="X33" s="24"/>
      <c r="Y33" s="24"/>
      <c r="Z33" s="24"/>
      <c r="AA33" s="20"/>
      <c r="AB33" s="20"/>
      <c r="AC33" s="20"/>
      <c r="AD33" s="20"/>
      <c r="AE33" s="20"/>
      <c r="AF33" s="20"/>
      <c r="AG33" s="20"/>
      <c r="AH33" s="20"/>
      <c r="AI33" s="20"/>
      <c r="AJ33" s="20"/>
      <c r="AK33" s="20"/>
      <c r="AL33" s="20"/>
      <c r="AM33" s="20"/>
      <c r="AN33" s="20"/>
      <c r="AO33" s="20"/>
    </row>
    <row r="34" spans="1:41" hidden="1" outlineLevel="2" x14ac:dyDescent="0.25">
      <c r="A34" s="20"/>
      <c r="B34" s="20"/>
      <c r="C34" s="24"/>
      <c r="D34" s="24"/>
      <c r="E34" s="24"/>
      <c r="F34" s="24"/>
      <c r="G34" s="24"/>
      <c r="H34" s="24"/>
      <c r="I34" s="24"/>
      <c r="J34" s="24"/>
      <c r="K34" s="24"/>
      <c r="L34" s="24"/>
      <c r="M34" s="24"/>
      <c r="N34" s="24"/>
      <c r="O34" s="24"/>
      <c r="P34" s="24"/>
      <c r="Q34" s="24"/>
      <c r="R34" s="24"/>
      <c r="S34" s="24"/>
      <c r="T34" s="24"/>
      <c r="U34" s="24"/>
      <c r="V34" s="24"/>
      <c r="W34" s="24"/>
      <c r="X34" s="24"/>
      <c r="Y34" s="24"/>
      <c r="Z34" s="24"/>
      <c r="AA34" s="20"/>
      <c r="AB34" s="20"/>
      <c r="AC34" s="20"/>
      <c r="AD34" s="20"/>
      <c r="AE34" s="20"/>
      <c r="AF34" s="20"/>
      <c r="AG34" s="20"/>
      <c r="AH34" s="20"/>
      <c r="AI34" s="20"/>
      <c r="AJ34" s="20"/>
      <c r="AK34" s="20"/>
      <c r="AL34" s="20"/>
      <c r="AM34" s="20"/>
      <c r="AN34" s="20"/>
      <c r="AO34" s="20"/>
    </row>
    <row r="35" spans="1:41" hidden="1" outlineLevel="2" x14ac:dyDescent="0.25">
      <c r="A35" s="20"/>
      <c r="B35" s="20"/>
      <c r="C35" s="24"/>
      <c r="D35" s="24"/>
      <c r="E35" s="24"/>
      <c r="F35" s="24"/>
      <c r="G35" s="24"/>
      <c r="H35" s="24"/>
      <c r="I35" s="24"/>
      <c r="J35" s="24"/>
      <c r="K35" s="24"/>
      <c r="L35" s="24"/>
      <c r="M35" s="24"/>
      <c r="N35" s="24"/>
      <c r="O35" s="24"/>
      <c r="P35" s="24"/>
      <c r="Q35" s="24"/>
      <c r="R35" s="24"/>
      <c r="S35" s="24"/>
      <c r="T35" s="24"/>
      <c r="U35" s="24"/>
      <c r="V35" s="24"/>
      <c r="W35" s="24"/>
      <c r="X35" s="24"/>
      <c r="Y35" s="24"/>
      <c r="Z35" s="24"/>
      <c r="AA35" s="20"/>
      <c r="AB35" s="20"/>
      <c r="AC35" s="20"/>
      <c r="AD35" s="20"/>
      <c r="AE35" s="20"/>
      <c r="AF35" s="20"/>
      <c r="AG35" s="20"/>
      <c r="AH35" s="20"/>
      <c r="AI35" s="20"/>
      <c r="AJ35" s="20"/>
      <c r="AK35" s="20"/>
      <c r="AL35" s="20"/>
      <c r="AM35" s="20"/>
      <c r="AN35" s="20"/>
      <c r="AO35" s="20"/>
    </row>
    <row r="36" spans="1:41" hidden="1" outlineLevel="2" x14ac:dyDescent="0.25">
      <c r="A36" s="20"/>
      <c r="B36" s="20"/>
      <c r="C36" s="24"/>
      <c r="D36" s="24"/>
      <c r="E36" s="24"/>
      <c r="F36" s="24"/>
      <c r="G36" s="24"/>
      <c r="H36" s="24"/>
      <c r="I36" s="24"/>
      <c r="J36" s="24"/>
      <c r="K36" s="24"/>
      <c r="L36" s="24"/>
      <c r="M36" s="24"/>
      <c r="N36" s="24"/>
      <c r="O36" s="24"/>
      <c r="P36" s="24"/>
      <c r="Q36" s="24"/>
      <c r="R36" s="24"/>
      <c r="S36" s="24"/>
      <c r="T36" s="24"/>
      <c r="U36" s="24"/>
      <c r="V36" s="24"/>
      <c r="W36" s="24"/>
      <c r="X36" s="24"/>
      <c r="Y36" s="24"/>
      <c r="Z36" s="24"/>
      <c r="AA36" s="20"/>
      <c r="AB36" s="20"/>
      <c r="AC36" s="20"/>
      <c r="AD36" s="20"/>
      <c r="AE36" s="20"/>
      <c r="AF36" s="20"/>
      <c r="AG36" s="20"/>
      <c r="AH36" s="20"/>
      <c r="AI36" s="20"/>
      <c r="AJ36" s="20"/>
      <c r="AK36" s="20"/>
      <c r="AL36" s="20"/>
      <c r="AM36" s="20"/>
      <c r="AN36" s="20"/>
      <c r="AO36" s="20"/>
    </row>
    <row r="37" spans="1:41" hidden="1" outlineLevel="2" x14ac:dyDescent="0.25">
      <c r="A37" s="20"/>
      <c r="B37" s="20"/>
      <c r="C37" s="24"/>
      <c r="D37" s="24"/>
      <c r="E37" s="24"/>
      <c r="F37" s="24"/>
      <c r="G37" s="24"/>
      <c r="H37" s="24"/>
      <c r="I37" s="24"/>
      <c r="J37" s="24"/>
      <c r="K37" s="24"/>
      <c r="L37" s="24"/>
      <c r="M37" s="24"/>
      <c r="N37" s="24"/>
      <c r="O37" s="24"/>
      <c r="P37" s="24"/>
      <c r="Q37" s="24"/>
      <c r="R37" s="24"/>
      <c r="S37" s="24"/>
      <c r="T37" s="24"/>
      <c r="U37" s="24"/>
      <c r="V37" s="24"/>
      <c r="W37" s="24"/>
      <c r="X37" s="24"/>
      <c r="Y37" s="24"/>
      <c r="Z37" s="24"/>
      <c r="AA37" s="20"/>
      <c r="AB37" s="20"/>
      <c r="AC37" s="20"/>
      <c r="AD37" s="20"/>
      <c r="AE37" s="20"/>
      <c r="AF37" s="20"/>
      <c r="AG37" s="20"/>
      <c r="AH37" s="20"/>
      <c r="AI37" s="20"/>
      <c r="AJ37" s="20"/>
      <c r="AK37" s="20"/>
      <c r="AL37" s="20"/>
      <c r="AM37" s="20"/>
      <c r="AN37" s="20"/>
      <c r="AO37" s="20"/>
    </row>
    <row r="38" spans="1:41" hidden="1" outlineLevel="2" x14ac:dyDescent="0.25">
      <c r="A38" s="20"/>
      <c r="B38" s="20"/>
      <c r="C38" s="24"/>
      <c r="D38" s="24"/>
      <c r="E38" s="24"/>
      <c r="F38" s="24"/>
      <c r="G38" s="24"/>
      <c r="H38" s="24"/>
      <c r="I38" s="24"/>
      <c r="J38" s="24"/>
      <c r="K38" s="24"/>
      <c r="L38" s="24"/>
      <c r="M38" s="24"/>
      <c r="N38" s="24"/>
      <c r="O38" s="24"/>
      <c r="P38" s="24"/>
      <c r="Q38" s="24"/>
      <c r="R38" s="24"/>
      <c r="S38" s="24"/>
      <c r="T38" s="24"/>
      <c r="U38" s="24"/>
      <c r="V38" s="24"/>
      <c r="W38" s="24"/>
      <c r="X38" s="24"/>
      <c r="Y38" s="24"/>
      <c r="Z38" s="24"/>
      <c r="AA38" s="20"/>
      <c r="AB38" s="20"/>
      <c r="AC38" s="20"/>
      <c r="AD38" s="20"/>
      <c r="AE38" s="20"/>
      <c r="AF38" s="20"/>
      <c r="AG38" s="20"/>
      <c r="AH38" s="20"/>
      <c r="AI38" s="20"/>
      <c r="AJ38" s="20"/>
      <c r="AK38" s="20"/>
      <c r="AL38" s="20"/>
      <c r="AM38" s="20"/>
      <c r="AN38" s="20"/>
      <c r="AO38" s="20"/>
    </row>
    <row r="39" spans="1:41" hidden="1" outlineLevel="2" x14ac:dyDescent="0.25">
      <c r="A39" s="20"/>
      <c r="B39" s="20"/>
      <c r="C39" s="24"/>
      <c r="D39" s="24"/>
      <c r="E39" s="24"/>
      <c r="F39" s="24"/>
      <c r="G39" s="24"/>
      <c r="H39" s="24"/>
      <c r="I39" s="24"/>
      <c r="J39" s="24"/>
      <c r="K39" s="24"/>
      <c r="L39" s="24"/>
      <c r="M39" s="24"/>
      <c r="N39" s="24"/>
      <c r="O39" s="24"/>
      <c r="P39" s="24"/>
      <c r="Q39" s="24"/>
      <c r="R39" s="24"/>
      <c r="S39" s="24"/>
      <c r="T39" s="24"/>
      <c r="U39" s="24"/>
      <c r="V39" s="24"/>
      <c r="W39" s="24"/>
      <c r="X39" s="24"/>
      <c r="Y39" s="24"/>
      <c r="Z39" s="24"/>
      <c r="AA39" s="20"/>
      <c r="AB39" s="20"/>
      <c r="AC39" s="20"/>
      <c r="AD39" s="20"/>
      <c r="AE39" s="20"/>
      <c r="AF39" s="20"/>
      <c r="AG39" s="20"/>
      <c r="AH39" s="20"/>
      <c r="AI39" s="20"/>
      <c r="AJ39" s="20"/>
      <c r="AK39" s="20"/>
      <c r="AL39" s="20"/>
      <c r="AM39" s="20"/>
      <c r="AN39" s="20"/>
      <c r="AO39" s="20"/>
    </row>
    <row r="40" spans="1:41" hidden="1" outlineLevel="2" x14ac:dyDescent="0.25">
      <c r="A40" s="20"/>
      <c r="B40" s="20"/>
      <c r="C40" s="24"/>
      <c r="D40" s="24"/>
      <c r="E40" s="24"/>
      <c r="F40" s="24"/>
      <c r="G40" s="24"/>
      <c r="H40" s="24"/>
      <c r="I40" s="24"/>
      <c r="J40" s="24"/>
      <c r="K40" s="24"/>
      <c r="L40" s="24"/>
      <c r="M40" s="24"/>
      <c r="N40" s="24"/>
      <c r="O40" s="24"/>
      <c r="P40" s="24"/>
      <c r="Q40" s="24"/>
      <c r="R40" s="24"/>
      <c r="S40" s="24"/>
      <c r="T40" s="24"/>
      <c r="U40" s="24"/>
      <c r="V40" s="24"/>
      <c r="W40" s="24"/>
      <c r="X40" s="24"/>
      <c r="Y40" s="24"/>
      <c r="Z40" s="24"/>
      <c r="AA40" s="20"/>
      <c r="AB40" s="20"/>
      <c r="AC40" s="20"/>
      <c r="AD40" s="20"/>
      <c r="AE40" s="20"/>
      <c r="AF40" s="20"/>
      <c r="AG40" s="20"/>
      <c r="AH40" s="20"/>
      <c r="AI40" s="20"/>
      <c r="AJ40" s="20"/>
      <c r="AK40" s="20"/>
      <c r="AL40" s="20"/>
      <c r="AM40" s="20"/>
      <c r="AN40" s="20"/>
      <c r="AO40" s="20"/>
    </row>
    <row r="41" spans="1:41" hidden="1" outlineLevel="2" x14ac:dyDescent="0.25">
      <c r="A41" s="20"/>
      <c r="B41" s="20"/>
      <c r="C41" s="24"/>
      <c r="D41" s="24"/>
      <c r="E41" s="24"/>
      <c r="F41" s="24"/>
      <c r="G41" s="24"/>
      <c r="H41" s="24"/>
      <c r="I41" s="24"/>
      <c r="J41" s="24"/>
      <c r="K41" s="24"/>
      <c r="L41" s="24"/>
      <c r="M41" s="24"/>
      <c r="N41" s="24"/>
      <c r="O41" s="24"/>
      <c r="P41" s="24"/>
      <c r="Q41" s="24"/>
      <c r="R41" s="24"/>
      <c r="S41" s="24"/>
      <c r="T41" s="24"/>
      <c r="U41" s="24"/>
      <c r="V41" s="24"/>
      <c r="W41" s="24"/>
      <c r="X41" s="24"/>
      <c r="Y41" s="24"/>
      <c r="Z41" s="24"/>
      <c r="AA41" s="20"/>
      <c r="AB41" s="20"/>
      <c r="AC41" s="20"/>
      <c r="AD41" s="20"/>
      <c r="AE41" s="20"/>
      <c r="AF41" s="20"/>
      <c r="AG41" s="20"/>
      <c r="AH41" s="20"/>
      <c r="AI41" s="20"/>
      <c r="AJ41" s="20"/>
      <c r="AK41" s="20"/>
      <c r="AL41" s="20"/>
      <c r="AM41" s="20"/>
      <c r="AN41" s="20"/>
      <c r="AO41" s="20"/>
    </row>
    <row r="42" spans="1:41" ht="15" hidden="1" customHeight="1" outlineLevel="2" x14ac:dyDescent="0.25">
      <c r="A42" s="20"/>
      <c r="B42" s="20"/>
      <c r="C42" s="24"/>
      <c r="D42" s="24"/>
      <c r="E42" s="24"/>
      <c r="F42" s="24"/>
      <c r="G42" s="24"/>
      <c r="H42" s="24"/>
      <c r="I42" s="24"/>
      <c r="J42" s="24"/>
      <c r="K42" s="24"/>
      <c r="L42" s="24"/>
      <c r="M42" s="24"/>
      <c r="N42" s="24"/>
      <c r="O42" s="24"/>
      <c r="P42" s="24"/>
      <c r="Q42" s="24"/>
      <c r="R42" s="24"/>
      <c r="S42" s="24"/>
      <c r="T42" s="24"/>
      <c r="U42" s="24"/>
      <c r="V42" s="24"/>
      <c r="W42" s="24"/>
      <c r="X42" s="24"/>
      <c r="Y42" s="24"/>
      <c r="Z42" s="24"/>
      <c r="AA42" s="20"/>
      <c r="AB42" s="20"/>
      <c r="AC42" s="20"/>
      <c r="AD42" s="20"/>
      <c r="AE42" s="20"/>
      <c r="AF42" s="20"/>
      <c r="AG42" s="20"/>
      <c r="AH42" s="20"/>
      <c r="AI42" s="20"/>
      <c r="AJ42" s="20"/>
      <c r="AK42" s="20"/>
      <c r="AL42" s="20"/>
      <c r="AM42" s="20"/>
      <c r="AN42" s="20"/>
      <c r="AO42" s="20"/>
    </row>
    <row r="43" spans="1:41" ht="18.75" hidden="1" customHeight="1" outlineLevel="2" x14ac:dyDescent="0.25">
      <c r="A43" s="20"/>
      <c r="B43" s="20"/>
      <c r="C43" s="24"/>
      <c r="D43" s="24"/>
      <c r="E43" s="24"/>
      <c r="F43" s="24"/>
      <c r="G43" s="24"/>
      <c r="H43" s="24"/>
      <c r="I43" s="24"/>
      <c r="J43" s="24"/>
      <c r="K43" s="24"/>
      <c r="L43" s="24"/>
      <c r="M43" s="24"/>
      <c r="N43" s="24"/>
      <c r="O43" s="24"/>
      <c r="P43" s="24"/>
      <c r="Q43" s="24"/>
      <c r="R43" s="24"/>
      <c r="S43" s="24"/>
      <c r="T43" s="24"/>
      <c r="U43" s="24"/>
      <c r="V43" s="24"/>
      <c r="W43" s="24"/>
      <c r="X43" s="24"/>
      <c r="Y43" s="24"/>
      <c r="Z43" s="24"/>
      <c r="AA43" s="20"/>
      <c r="AB43" s="20"/>
      <c r="AC43" s="20"/>
      <c r="AD43" s="20"/>
      <c r="AE43" s="20"/>
      <c r="AF43" s="20"/>
      <c r="AG43" s="20"/>
      <c r="AH43" s="20"/>
      <c r="AI43" s="20"/>
      <c r="AJ43" s="20"/>
      <c r="AK43" s="20"/>
      <c r="AL43" s="20"/>
      <c r="AM43" s="20"/>
      <c r="AN43" s="20"/>
      <c r="AO43" s="20"/>
    </row>
    <row r="44" spans="1:41" hidden="1" outlineLevel="2" x14ac:dyDescent="0.25">
      <c r="A44" s="20"/>
      <c r="B44" s="20"/>
      <c r="C44" s="24"/>
      <c r="D44" s="24"/>
      <c r="E44" s="24"/>
      <c r="F44" s="24"/>
      <c r="G44" s="24"/>
      <c r="H44" s="24"/>
      <c r="I44" s="24"/>
      <c r="J44" s="24"/>
      <c r="K44" s="24"/>
      <c r="L44" s="24"/>
      <c r="M44" s="24"/>
      <c r="N44" s="24"/>
      <c r="O44" s="24"/>
      <c r="P44" s="24"/>
      <c r="Q44" s="24"/>
      <c r="R44" s="24"/>
      <c r="S44" s="24"/>
      <c r="T44" s="24"/>
      <c r="U44" s="24"/>
      <c r="V44" s="24"/>
      <c r="W44" s="24"/>
      <c r="X44" s="24"/>
      <c r="Y44" s="24"/>
      <c r="Z44" s="24"/>
      <c r="AA44" s="20"/>
      <c r="AB44" s="20"/>
      <c r="AC44" s="20"/>
      <c r="AD44" s="20"/>
      <c r="AE44" s="20"/>
      <c r="AF44" s="20"/>
      <c r="AG44" s="20"/>
      <c r="AH44" s="20"/>
      <c r="AI44" s="20"/>
      <c r="AJ44" s="20"/>
      <c r="AK44" s="20"/>
      <c r="AL44" s="20"/>
      <c r="AM44" s="20"/>
      <c r="AN44" s="20"/>
      <c r="AO44" s="20"/>
    </row>
    <row r="45" spans="1:41" hidden="1" outlineLevel="2" x14ac:dyDescent="0.25">
      <c r="A45" s="20"/>
      <c r="B45" s="20"/>
      <c r="C45" s="24"/>
      <c r="D45" s="24"/>
      <c r="E45" s="24"/>
      <c r="F45" s="24"/>
      <c r="G45" s="24"/>
      <c r="H45" s="24"/>
      <c r="I45" s="24"/>
      <c r="J45" s="24"/>
      <c r="K45" s="24"/>
      <c r="L45" s="24"/>
      <c r="M45" s="24"/>
      <c r="N45" s="24"/>
      <c r="O45" s="24"/>
      <c r="P45" s="24"/>
      <c r="Q45" s="24"/>
      <c r="R45" s="24"/>
      <c r="S45" s="24"/>
      <c r="T45" s="24"/>
      <c r="U45" s="24"/>
      <c r="V45" s="24"/>
      <c r="W45" s="24"/>
      <c r="X45" s="24"/>
      <c r="Y45" s="24"/>
      <c r="Z45" s="24"/>
      <c r="AA45" s="20"/>
      <c r="AB45" s="20"/>
      <c r="AC45" s="20"/>
      <c r="AD45" s="20"/>
      <c r="AE45" s="20"/>
      <c r="AF45" s="20"/>
      <c r="AG45" s="20"/>
      <c r="AH45" s="20"/>
      <c r="AI45" s="20"/>
      <c r="AJ45" s="20"/>
      <c r="AK45" s="20"/>
      <c r="AL45" s="20"/>
      <c r="AM45" s="20"/>
      <c r="AN45" s="20"/>
      <c r="AO45" s="20"/>
    </row>
    <row r="46" spans="1:41" hidden="1" outlineLevel="2" x14ac:dyDescent="0.25">
      <c r="A46" s="20"/>
      <c r="B46" s="20"/>
      <c r="C46" s="24"/>
      <c r="D46" s="24"/>
      <c r="E46" s="24"/>
      <c r="F46" s="24"/>
      <c r="G46" s="24"/>
      <c r="H46" s="24"/>
      <c r="I46" s="24"/>
      <c r="J46" s="24"/>
      <c r="K46" s="24"/>
      <c r="L46" s="24"/>
      <c r="M46" s="24"/>
      <c r="N46" s="24"/>
      <c r="O46" s="24"/>
      <c r="P46" s="24"/>
      <c r="Q46" s="24"/>
      <c r="R46" s="24"/>
      <c r="S46" s="24"/>
      <c r="T46" s="24"/>
      <c r="U46" s="24"/>
      <c r="V46" s="24"/>
      <c r="W46" s="24"/>
      <c r="X46" s="24"/>
      <c r="Y46" s="24"/>
      <c r="Z46" s="24"/>
      <c r="AA46" s="20"/>
      <c r="AB46" s="20"/>
      <c r="AC46" s="20"/>
      <c r="AD46" s="20"/>
      <c r="AE46" s="20"/>
      <c r="AF46" s="20"/>
      <c r="AG46" s="20"/>
      <c r="AH46" s="20"/>
      <c r="AI46" s="20"/>
      <c r="AJ46" s="20"/>
      <c r="AK46" s="20"/>
      <c r="AL46" s="20"/>
      <c r="AM46" s="20"/>
      <c r="AN46" s="20"/>
      <c r="AO46" s="20"/>
    </row>
    <row r="47" spans="1:41" hidden="1" outlineLevel="2" x14ac:dyDescent="0.25">
      <c r="A47" s="20"/>
      <c r="B47" s="20"/>
      <c r="C47" s="24"/>
      <c r="D47" s="24"/>
      <c r="E47" s="24"/>
      <c r="F47" s="24"/>
      <c r="G47" s="24"/>
      <c r="H47" s="24"/>
      <c r="I47" s="24"/>
      <c r="J47" s="24"/>
      <c r="K47" s="24"/>
      <c r="L47" s="24"/>
      <c r="M47" s="24"/>
      <c r="N47" s="24"/>
      <c r="O47" s="24"/>
      <c r="P47" s="24"/>
      <c r="Q47" s="24"/>
      <c r="R47" s="24"/>
      <c r="S47" s="24"/>
      <c r="T47" s="24"/>
      <c r="U47" s="24"/>
      <c r="V47" s="24"/>
      <c r="W47" s="24"/>
      <c r="X47" s="24"/>
      <c r="Y47" s="24"/>
      <c r="Z47" s="24"/>
      <c r="AA47" s="20"/>
      <c r="AB47" s="20"/>
      <c r="AC47" s="20"/>
      <c r="AD47" s="20"/>
      <c r="AE47" s="20"/>
      <c r="AF47" s="20"/>
      <c r="AG47" s="20"/>
      <c r="AH47" s="20"/>
      <c r="AI47" s="20"/>
      <c r="AJ47" s="20"/>
      <c r="AK47" s="20"/>
      <c r="AL47" s="20"/>
      <c r="AM47" s="20"/>
      <c r="AN47" s="20"/>
      <c r="AO47" s="20"/>
    </row>
    <row r="48" spans="1:41" hidden="1" outlineLevel="2" x14ac:dyDescent="0.25">
      <c r="A48" s="20"/>
      <c r="B48" s="20"/>
      <c r="C48" s="24"/>
      <c r="D48" s="24"/>
      <c r="E48" s="24"/>
      <c r="F48" s="24"/>
      <c r="G48" s="24"/>
      <c r="H48" s="24"/>
      <c r="I48" s="24"/>
      <c r="J48" s="24"/>
      <c r="K48" s="24"/>
      <c r="L48" s="24"/>
      <c r="M48" s="24"/>
      <c r="N48" s="24"/>
      <c r="O48" s="24"/>
      <c r="P48" s="24"/>
      <c r="Q48" s="24"/>
      <c r="R48" s="24"/>
      <c r="S48" s="24"/>
      <c r="T48" s="24"/>
      <c r="U48" s="24"/>
      <c r="V48" s="24"/>
      <c r="W48" s="24"/>
      <c r="X48" s="24"/>
      <c r="Y48" s="24"/>
      <c r="Z48" s="24"/>
      <c r="AA48" s="20"/>
      <c r="AB48" s="20"/>
      <c r="AC48" s="20"/>
      <c r="AD48" s="20"/>
      <c r="AE48" s="20"/>
      <c r="AF48" s="20"/>
      <c r="AG48" s="20"/>
      <c r="AH48" s="20"/>
      <c r="AI48" s="20"/>
      <c r="AJ48" s="20"/>
      <c r="AK48" s="20"/>
      <c r="AL48" s="20"/>
      <c r="AM48" s="20"/>
      <c r="AN48" s="20"/>
      <c r="AO48" s="20"/>
    </row>
    <row r="49" spans="1:41" hidden="1" outlineLevel="2" x14ac:dyDescent="0.25">
      <c r="A49" s="20"/>
      <c r="B49" s="20"/>
      <c r="C49" s="24"/>
      <c r="D49" s="24"/>
      <c r="E49" s="24"/>
      <c r="F49" s="24"/>
      <c r="G49" s="24"/>
      <c r="H49" s="24"/>
      <c r="I49" s="24"/>
      <c r="J49" s="24"/>
      <c r="K49" s="24"/>
      <c r="L49" s="24"/>
      <c r="M49" s="24"/>
      <c r="N49" s="24"/>
      <c r="O49" s="24"/>
      <c r="P49" s="24"/>
      <c r="Q49" s="24"/>
      <c r="R49" s="24"/>
      <c r="S49" s="24"/>
      <c r="T49" s="24"/>
      <c r="U49" s="24"/>
      <c r="V49" s="24"/>
      <c r="W49" s="24"/>
      <c r="X49" s="24"/>
      <c r="Y49" s="24"/>
      <c r="Z49" s="24"/>
      <c r="AA49" s="20"/>
      <c r="AB49" s="20"/>
      <c r="AC49" s="20"/>
      <c r="AD49" s="20"/>
      <c r="AE49" s="20"/>
      <c r="AF49" s="20"/>
      <c r="AG49" s="20"/>
      <c r="AH49" s="20"/>
      <c r="AI49" s="20"/>
      <c r="AJ49" s="20"/>
      <c r="AK49" s="20"/>
      <c r="AL49" s="20"/>
      <c r="AM49" s="20"/>
      <c r="AN49" s="20"/>
      <c r="AO49" s="20"/>
    </row>
    <row r="50" spans="1:41" hidden="1" outlineLevel="2" x14ac:dyDescent="0.25">
      <c r="A50" s="20"/>
      <c r="B50" s="20"/>
      <c r="C50" s="24"/>
      <c r="D50" s="24"/>
      <c r="E50" s="24"/>
      <c r="F50" s="24"/>
      <c r="G50" s="24"/>
      <c r="H50" s="24"/>
      <c r="I50" s="24"/>
      <c r="J50" s="24"/>
      <c r="K50" s="24"/>
      <c r="L50" s="24"/>
      <c r="M50" s="24"/>
      <c r="N50" s="24"/>
      <c r="O50" s="24"/>
      <c r="P50" s="24"/>
      <c r="Q50" s="24"/>
      <c r="R50" s="24"/>
      <c r="S50" s="24"/>
      <c r="T50" s="24"/>
      <c r="U50" s="24"/>
      <c r="V50" s="24"/>
      <c r="W50" s="24"/>
      <c r="X50" s="24"/>
      <c r="Y50" s="24"/>
      <c r="Z50" s="24"/>
      <c r="AA50" s="20"/>
      <c r="AB50" s="20"/>
      <c r="AC50" s="20"/>
      <c r="AD50" s="20"/>
      <c r="AE50" s="20"/>
      <c r="AF50" s="20"/>
      <c r="AG50" s="20"/>
      <c r="AH50" s="20"/>
      <c r="AI50" s="20"/>
      <c r="AJ50" s="20"/>
      <c r="AK50" s="20"/>
      <c r="AL50" s="20"/>
      <c r="AM50" s="20"/>
      <c r="AN50" s="20"/>
      <c r="AO50" s="20"/>
    </row>
    <row r="51" spans="1:41" hidden="1" outlineLevel="2" x14ac:dyDescent="0.25">
      <c r="A51" s="20"/>
      <c r="B51" s="20"/>
      <c r="C51" s="24"/>
      <c r="D51" s="24"/>
      <c r="E51" s="24"/>
      <c r="F51" s="24"/>
      <c r="G51" s="24"/>
      <c r="H51" s="24"/>
      <c r="I51" s="24"/>
      <c r="J51" s="24"/>
      <c r="K51" s="24"/>
      <c r="L51" s="24"/>
      <c r="M51" s="24"/>
      <c r="N51" s="24"/>
      <c r="O51" s="24"/>
      <c r="P51" s="24"/>
      <c r="Q51" s="24"/>
      <c r="R51" s="24"/>
      <c r="S51" s="24"/>
      <c r="T51" s="24"/>
      <c r="U51" s="24"/>
      <c r="V51" s="24"/>
      <c r="W51" s="24"/>
      <c r="X51" s="24"/>
      <c r="Y51" s="24"/>
      <c r="Z51" s="24"/>
      <c r="AA51" s="20"/>
      <c r="AB51" s="20"/>
      <c r="AC51" s="20"/>
      <c r="AD51" s="20"/>
      <c r="AE51" s="20"/>
      <c r="AF51" s="20"/>
      <c r="AG51" s="20"/>
      <c r="AH51" s="20"/>
      <c r="AI51" s="20"/>
      <c r="AJ51" s="20"/>
      <c r="AK51" s="20"/>
      <c r="AL51" s="20"/>
      <c r="AM51" s="20"/>
      <c r="AN51" s="20"/>
      <c r="AO51" s="20"/>
    </row>
    <row r="52" spans="1:41" hidden="1" outlineLevel="2" x14ac:dyDescent="0.25">
      <c r="A52" s="20"/>
      <c r="B52" s="20"/>
      <c r="C52" s="24"/>
      <c r="D52" s="24"/>
      <c r="E52" s="24"/>
      <c r="F52" s="24"/>
      <c r="G52" s="24"/>
      <c r="H52" s="24"/>
      <c r="I52" s="24"/>
      <c r="J52" s="24"/>
      <c r="K52" s="24"/>
      <c r="L52" s="24"/>
      <c r="M52" s="24"/>
      <c r="N52" s="24"/>
      <c r="O52" s="24"/>
      <c r="P52" s="24"/>
      <c r="Q52" s="24"/>
      <c r="R52" s="24"/>
      <c r="S52" s="24"/>
      <c r="T52" s="24"/>
      <c r="U52" s="24"/>
      <c r="V52" s="24"/>
      <c r="W52" s="24"/>
      <c r="X52" s="24"/>
      <c r="Y52" s="24"/>
      <c r="Z52" s="24"/>
      <c r="AA52" s="20"/>
      <c r="AB52" s="20"/>
      <c r="AC52" s="20"/>
      <c r="AD52" s="20"/>
      <c r="AE52" s="20"/>
      <c r="AF52" s="20"/>
      <c r="AG52" s="20"/>
      <c r="AH52" s="20"/>
      <c r="AI52" s="20"/>
      <c r="AJ52" s="20"/>
      <c r="AK52" s="20"/>
      <c r="AL52" s="20"/>
      <c r="AM52" s="20"/>
      <c r="AN52" s="20"/>
      <c r="AO52" s="20"/>
    </row>
    <row r="53" spans="1:41" hidden="1" outlineLevel="2" x14ac:dyDescent="0.25">
      <c r="A53" s="20"/>
      <c r="B53" s="20"/>
      <c r="C53" s="24"/>
      <c r="D53" s="24"/>
      <c r="E53" s="24"/>
      <c r="F53" s="24"/>
      <c r="G53" s="24"/>
      <c r="H53" s="24"/>
      <c r="I53" s="24"/>
      <c r="J53" s="24"/>
      <c r="K53" s="24"/>
      <c r="L53" s="24"/>
      <c r="M53" s="24"/>
      <c r="N53" s="24"/>
      <c r="O53" s="24"/>
      <c r="P53" s="24"/>
      <c r="Q53" s="24"/>
      <c r="R53" s="24"/>
      <c r="S53" s="24"/>
      <c r="T53" s="24"/>
      <c r="U53" s="24"/>
      <c r="V53" s="24"/>
      <c r="W53" s="24"/>
      <c r="X53" s="24"/>
      <c r="Y53" s="24"/>
      <c r="Z53" s="24"/>
      <c r="AA53" s="20"/>
      <c r="AB53" s="20"/>
      <c r="AC53" s="20"/>
      <c r="AD53" s="20"/>
      <c r="AE53" s="20"/>
      <c r="AF53" s="20"/>
      <c r="AG53" s="20"/>
      <c r="AH53" s="20"/>
      <c r="AI53" s="20"/>
      <c r="AJ53" s="20"/>
      <c r="AK53" s="20"/>
      <c r="AL53" s="20"/>
      <c r="AM53" s="20"/>
      <c r="AN53" s="20"/>
      <c r="AO53" s="20"/>
    </row>
    <row r="54" spans="1:41" hidden="1" outlineLevel="2" x14ac:dyDescent="0.25">
      <c r="A54" s="20"/>
      <c r="B54" s="20"/>
      <c r="C54" s="24"/>
      <c r="D54" s="24"/>
      <c r="E54" s="24"/>
      <c r="F54" s="24"/>
      <c r="G54" s="24"/>
      <c r="H54" s="24"/>
      <c r="I54" s="24"/>
      <c r="J54" s="24"/>
      <c r="K54" s="24"/>
      <c r="L54" s="24"/>
      <c r="M54" s="24"/>
      <c r="N54" s="24"/>
      <c r="O54" s="24"/>
      <c r="P54" s="24"/>
      <c r="Q54" s="24"/>
      <c r="R54" s="24"/>
      <c r="S54" s="24"/>
      <c r="T54" s="24"/>
      <c r="U54" s="24"/>
      <c r="V54" s="24"/>
      <c r="W54" s="24"/>
      <c r="X54" s="24"/>
      <c r="Y54" s="24"/>
      <c r="Z54" s="24"/>
      <c r="AA54" s="20"/>
      <c r="AB54" s="20"/>
      <c r="AC54" s="20"/>
      <c r="AD54" s="20"/>
      <c r="AE54" s="20"/>
      <c r="AF54" s="20"/>
      <c r="AG54" s="20"/>
      <c r="AH54" s="20"/>
      <c r="AI54" s="20"/>
      <c r="AJ54" s="20"/>
      <c r="AK54" s="20"/>
      <c r="AL54" s="20"/>
      <c r="AM54" s="20"/>
      <c r="AN54" s="20"/>
      <c r="AO54" s="20"/>
    </row>
    <row r="55" spans="1:41" hidden="1" outlineLevel="2" x14ac:dyDescent="0.25">
      <c r="A55" s="20"/>
      <c r="B55" s="20"/>
      <c r="C55" s="24"/>
      <c r="D55" s="24"/>
      <c r="E55" s="24"/>
      <c r="F55" s="24"/>
      <c r="G55" s="24"/>
      <c r="H55" s="24"/>
      <c r="I55" s="24"/>
      <c r="J55" s="24"/>
      <c r="K55" s="24"/>
      <c r="L55" s="24"/>
      <c r="M55" s="24"/>
      <c r="N55" s="24"/>
      <c r="O55" s="24"/>
      <c r="P55" s="24"/>
      <c r="Q55" s="24"/>
      <c r="R55" s="24"/>
      <c r="S55" s="24"/>
      <c r="T55" s="24"/>
      <c r="U55" s="24"/>
      <c r="V55" s="24"/>
      <c r="W55" s="24"/>
      <c r="X55" s="24"/>
      <c r="Y55" s="24"/>
      <c r="Z55" s="24"/>
      <c r="AA55" s="20"/>
      <c r="AB55" s="20"/>
      <c r="AC55" s="20"/>
      <c r="AD55" s="20"/>
      <c r="AE55" s="20"/>
      <c r="AF55" s="20"/>
      <c r="AG55" s="20"/>
      <c r="AH55" s="20"/>
      <c r="AI55" s="20"/>
      <c r="AJ55" s="20"/>
      <c r="AK55" s="20"/>
      <c r="AL55" s="20"/>
      <c r="AM55" s="20"/>
      <c r="AN55" s="20"/>
      <c r="AO55" s="20"/>
    </row>
    <row r="56" spans="1:41" hidden="1" outlineLevel="2" x14ac:dyDescent="0.25">
      <c r="A56" s="20"/>
      <c r="B56" s="20"/>
      <c r="C56" s="24"/>
      <c r="D56" s="24"/>
      <c r="E56" s="24"/>
      <c r="F56" s="24"/>
      <c r="G56" s="24"/>
      <c r="H56" s="24"/>
      <c r="I56" s="24"/>
      <c r="J56" s="24"/>
      <c r="K56" s="24"/>
      <c r="L56" s="24"/>
      <c r="M56" s="24"/>
      <c r="N56" s="24"/>
      <c r="O56" s="24"/>
      <c r="P56" s="24"/>
      <c r="Q56" s="24"/>
      <c r="R56" s="24"/>
      <c r="S56" s="24"/>
      <c r="T56" s="24"/>
      <c r="U56" s="24"/>
      <c r="V56" s="24"/>
      <c r="W56" s="24"/>
      <c r="X56" s="24"/>
      <c r="Y56" s="24"/>
      <c r="Z56" s="24"/>
      <c r="AA56" s="20"/>
      <c r="AB56" s="20"/>
      <c r="AC56" s="20"/>
      <c r="AD56" s="20"/>
      <c r="AE56" s="20"/>
      <c r="AF56" s="20"/>
      <c r="AG56" s="20"/>
      <c r="AH56" s="20"/>
      <c r="AI56" s="20"/>
      <c r="AJ56" s="20"/>
      <c r="AK56" s="20"/>
      <c r="AL56" s="20"/>
      <c r="AM56" s="20"/>
      <c r="AN56" s="20"/>
      <c r="AO56" s="20"/>
    </row>
    <row r="57" spans="1:41" hidden="1" outlineLevel="2" x14ac:dyDescent="0.25">
      <c r="A57" s="20"/>
      <c r="B57" s="25"/>
      <c r="C57" s="25"/>
      <c r="D57" s="25"/>
      <c r="E57" s="25"/>
      <c r="F57" s="25"/>
      <c r="G57" s="25"/>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row>
    <row r="58" spans="1:41" hidden="1" outlineLevel="2" x14ac:dyDescent="0.25">
      <c r="A58" s="20"/>
      <c r="B58" s="20"/>
      <c r="C58" s="20"/>
      <c r="D58" s="20"/>
      <c r="E58" s="20"/>
      <c r="F58" s="26"/>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row>
    <row r="59" spans="1:41" hidden="1" outlineLevel="2" x14ac:dyDescent="0.25">
      <c r="A59" s="27"/>
      <c r="B59" s="27"/>
      <c r="C59" s="20"/>
      <c r="D59" s="20"/>
      <c r="E59" s="20"/>
      <c r="F59" s="26"/>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row>
    <row r="60" spans="1:41" hidden="1" outlineLevel="2" x14ac:dyDescent="0.25">
      <c r="A60" s="27"/>
      <c r="B60" s="27"/>
      <c r="C60" s="20"/>
      <c r="D60" s="20"/>
      <c r="E60" s="20"/>
      <c r="F60" s="26"/>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row>
    <row r="61" spans="1:41" hidden="1" outlineLevel="2" x14ac:dyDescent="0.25">
      <c r="A61" s="27"/>
      <c r="B61" s="27"/>
      <c r="C61" s="20"/>
      <c r="D61" s="20"/>
      <c r="E61" s="20"/>
      <c r="F61" s="26"/>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row>
    <row r="62" spans="1:41" hidden="1" outlineLevel="2" x14ac:dyDescent="0.25">
      <c r="A62" s="20"/>
      <c r="B62" s="20"/>
      <c r="C62" s="20"/>
      <c r="D62" s="20"/>
      <c r="E62" s="20"/>
      <c r="F62" s="26"/>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row>
    <row r="63" spans="1:41" hidden="1" outlineLevel="2" x14ac:dyDescent="0.25">
      <c r="A63" s="20"/>
      <c r="B63" s="20"/>
      <c r="C63" s="20"/>
      <c r="D63" s="20"/>
      <c r="E63" s="20"/>
      <c r="F63" s="26"/>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row>
    <row r="64" spans="1:41" hidden="1" outlineLevel="2" x14ac:dyDescent="0.25">
      <c r="A64" s="20"/>
      <c r="B64" s="20"/>
      <c r="C64" s="20"/>
      <c r="D64" s="20"/>
      <c r="E64" s="20"/>
      <c r="F64" s="26"/>
      <c r="G64" s="20"/>
      <c r="H64" s="20"/>
      <c r="I64" s="20"/>
      <c r="J64" s="20"/>
      <c r="K64" s="20"/>
      <c r="L64" s="20"/>
      <c r="M64" s="20"/>
      <c r="N64" s="20"/>
      <c r="O64" s="20"/>
      <c r="P64" s="20"/>
      <c r="Q64" s="20"/>
      <c r="R64" s="20"/>
      <c r="S64" s="20"/>
      <c r="T64" s="20"/>
      <c r="U64" s="20"/>
      <c r="V64" s="20"/>
      <c r="W64" s="20"/>
      <c r="X64" s="28"/>
      <c r="Y64" s="20"/>
      <c r="Z64" s="20"/>
      <c r="AA64" s="20"/>
      <c r="AB64" s="20"/>
      <c r="AC64" s="20"/>
      <c r="AD64" s="20"/>
      <c r="AE64" s="20"/>
      <c r="AF64" s="20"/>
      <c r="AG64" s="20"/>
      <c r="AH64" s="20"/>
      <c r="AI64" s="20"/>
      <c r="AJ64" s="20"/>
      <c r="AK64" s="20"/>
      <c r="AL64" s="20"/>
      <c r="AM64" s="20"/>
      <c r="AN64" s="20"/>
      <c r="AO64" s="20"/>
    </row>
    <row r="65" spans="1:41" hidden="1" outlineLevel="2" x14ac:dyDescent="0.25">
      <c r="A65" s="20"/>
      <c r="B65" s="20"/>
      <c r="C65" s="20"/>
      <c r="D65" s="20"/>
      <c r="E65" s="20"/>
      <c r="F65" s="26"/>
      <c r="G65" s="20"/>
      <c r="H65" s="20"/>
      <c r="I65" s="20"/>
      <c r="J65" s="20"/>
      <c r="K65" s="20"/>
      <c r="L65" s="20"/>
      <c r="M65" s="20"/>
      <c r="N65" s="20"/>
      <c r="O65" s="20"/>
      <c r="P65" s="20"/>
      <c r="Q65" s="20"/>
      <c r="R65" s="20"/>
      <c r="S65" s="20"/>
      <c r="T65" s="20"/>
      <c r="U65" s="20"/>
      <c r="V65" s="20"/>
      <c r="W65" s="20"/>
      <c r="X65" s="28"/>
      <c r="Y65" s="20"/>
      <c r="Z65" s="20"/>
      <c r="AA65" s="20"/>
      <c r="AB65" s="20"/>
      <c r="AC65" s="20"/>
      <c r="AD65" s="20"/>
      <c r="AE65" s="20"/>
      <c r="AF65" s="20"/>
      <c r="AG65" s="20"/>
      <c r="AH65" s="20"/>
      <c r="AI65" s="20"/>
      <c r="AJ65" s="20"/>
      <c r="AK65" s="20"/>
      <c r="AL65" s="20"/>
      <c r="AM65" s="20"/>
      <c r="AN65" s="20"/>
      <c r="AO65" s="20"/>
    </row>
    <row r="66" spans="1:41" hidden="1" outlineLevel="2" x14ac:dyDescent="0.25">
      <c r="A66" s="20"/>
      <c r="B66" s="20"/>
      <c r="C66" s="20"/>
      <c r="D66" s="20"/>
      <c r="E66" s="20"/>
      <c r="F66" s="26"/>
      <c r="G66" s="20"/>
      <c r="H66" s="20"/>
      <c r="I66" s="20"/>
      <c r="J66" s="20"/>
      <c r="K66" s="20"/>
      <c r="L66" s="20"/>
      <c r="M66" s="20"/>
      <c r="N66" s="20"/>
      <c r="O66" s="20"/>
      <c r="P66" s="20"/>
      <c r="Q66" s="20"/>
      <c r="R66" s="20"/>
      <c r="S66" s="20"/>
      <c r="T66" s="20"/>
      <c r="U66" s="20"/>
      <c r="V66" s="20"/>
      <c r="W66" s="20"/>
      <c r="X66" s="28"/>
      <c r="Y66" s="20"/>
      <c r="Z66" s="20"/>
      <c r="AA66" s="20"/>
      <c r="AB66" s="20"/>
      <c r="AC66" s="20"/>
      <c r="AD66" s="20"/>
      <c r="AE66" s="20"/>
      <c r="AF66" s="20"/>
      <c r="AG66" s="20"/>
      <c r="AH66" s="20"/>
      <c r="AI66" s="20"/>
      <c r="AJ66" s="20"/>
      <c r="AK66" s="20"/>
      <c r="AL66" s="20"/>
      <c r="AM66" s="20"/>
      <c r="AN66" s="20"/>
      <c r="AO66" s="20"/>
    </row>
    <row r="67" spans="1:41" hidden="1" outlineLevel="2" x14ac:dyDescent="0.25">
      <c r="A67" s="20"/>
      <c r="B67" s="20"/>
      <c r="C67" s="20"/>
      <c r="D67" s="20"/>
      <c r="E67" s="20"/>
      <c r="F67" s="26"/>
      <c r="G67" s="20"/>
      <c r="H67" s="20"/>
      <c r="I67" s="20"/>
      <c r="J67" s="20"/>
      <c r="K67" s="20"/>
      <c r="L67" s="20"/>
      <c r="M67" s="20"/>
      <c r="N67" s="20"/>
      <c r="O67" s="20"/>
      <c r="P67" s="20"/>
      <c r="Q67" s="20"/>
      <c r="R67" s="20"/>
      <c r="S67" s="20"/>
      <c r="T67" s="20"/>
      <c r="U67" s="20"/>
      <c r="V67" s="20"/>
      <c r="W67" s="20"/>
      <c r="X67" s="28"/>
      <c r="Y67" s="20"/>
      <c r="Z67" s="20"/>
      <c r="AA67" s="20"/>
      <c r="AB67" s="20"/>
      <c r="AC67" s="20"/>
      <c r="AD67" s="20"/>
      <c r="AE67" s="20"/>
      <c r="AF67" s="20"/>
      <c r="AG67" s="20"/>
      <c r="AH67" s="20"/>
      <c r="AI67" s="20"/>
      <c r="AJ67" s="20"/>
      <c r="AK67" s="20"/>
      <c r="AL67" s="20"/>
      <c r="AM67" s="20"/>
      <c r="AN67" s="20"/>
      <c r="AO67" s="20"/>
    </row>
    <row r="68" spans="1:41" hidden="1" outlineLevel="2" x14ac:dyDescent="0.25">
      <c r="A68" s="20"/>
      <c r="B68" s="20"/>
      <c r="C68" s="20"/>
      <c r="D68" s="20"/>
      <c r="E68" s="20"/>
      <c r="F68" s="26"/>
      <c r="G68" s="20"/>
      <c r="H68" s="20"/>
      <c r="I68" s="20"/>
      <c r="J68" s="20"/>
      <c r="K68" s="20"/>
      <c r="L68" s="20"/>
      <c r="M68" s="20"/>
      <c r="N68" s="20"/>
      <c r="O68" s="20"/>
      <c r="P68" s="20"/>
      <c r="Q68" s="20"/>
      <c r="R68" s="20"/>
      <c r="S68" s="20"/>
      <c r="T68" s="20"/>
      <c r="U68" s="20"/>
      <c r="V68" s="20"/>
      <c r="W68" s="20"/>
      <c r="X68" s="28"/>
      <c r="Y68" s="20"/>
      <c r="Z68" s="20"/>
      <c r="AA68" s="20"/>
      <c r="AB68" s="20"/>
      <c r="AC68" s="20"/>
      <c r="AD68" s="20"/>
      <c r="AE68" s="20"/>
      <c r="AF68" s="20"/>
      <c r="AG68" s="20"/>
      <c r="AH68" s="20"/>
      <c r="AI68" s="20"/>
      <c r="AJ68" s="20"/>
      <c r="AK68" s="20"/>
      <c r="AL68" s="20"/>
      <c r="AM68" s="20"/>
      <c r="AN68" s="20"/>
      <c r="AO68" s="20"/>
    </row>
    <row r="69" spans="1:41" hidden="1" outlineLevel="2" x14ac:dyDescent="0.25">
      <c r="A69" s="20"/>
      <c r="B69" s="20"/>
      <c r="C69" s="20"/>
      <c r="D69" s="20"/>
      <c r="E69" s="20"/>
      <c r="F69" s="26"/>
      <c r="G69" s="20"/>
      <c r="H69" s="20"/>
      <c r="I69" s="20"/>
      <c r="J69" s="20"/>
      <c r="K69" s="20"/>
      <c r="L69" s="20"/>
      <c r="M69" s="20"/>
      <c r="N69" s="20"/>
      <c r="O69" s="20"/>
      <c r="P69" s="20"/>
      <c r="Q69" s="20"/>
      <c r="R69" s="20"/>
      <c r="S69" s="20"/>
      <c r="T69" s="20"/>
      <c r="U69" s="20"/>
      <c r="V69" s="20"/>
      <c r="W69" s="20"/>
      <c r="X69" s="28"/>
      <c r="Y69" s="20"/>
      <c r="Z69" s="20"/>
      <c r="AA69" s="20"/>
      <c r="AB69" s="20"/>
      <c r="AC69" s="20"/>
      <c r="AD69" s="20"/>
      <c r="AE69" s="20"/>
      <c r="AF69" s="20"/>
      <c r="AG69" s="20"/>
      <c r="AH69" s="20"/>
      <c r="AI69" s="20"/>
      <c r="AJ69" s="20"/>
      <c r="AK69" s="20"/>
      <c r="AL69" s="20"/>
      <c r="AM69" s="20"/>
      <c r="AN69" s="20"/>
      <c r="AO69" s="20"/>
    </row>
    <row r="70" spans="1:41" hidden="1" outlineLevel="2" x14ac:dyDescent="0.25">
      <c r="A70" s="20"/>
      <c r="B70" s="20"/>
      <c r="C70" s="20"/>
      <c r="D70" s="20"/>
      <c r="E70" s="20"/>
      <c r="F70" s="26"/>
      <c r="G70" s="20"/>
      <c r="H70" s="20"/>
      <c r="I70" s="20"/>
      <c r="J70" s="20"/>
      <c r="K70" s="20"/>
      <c r="L70" s="20"/>
      <c r="M70" s="20"/>
      <c r="N70" s="20"/>
      <c r="O70" s="20"/>
      <c r="P70" s="20"/>
      <c r="Q70" s="20"/>
      <c r="R70" s="20"/>
      <c r="S70" s="20"/>
      <c r="T70" s="20"/>
      <c r="U70" s="20"/>
      <c r="V70" s="20"/>
      <c r="W70" s="20"/>
      <c r="X70" s="28"/>
      <c r="Y70" s="20"/>
      <c r="Z70" s="20"/>
      <c r="AA70" s="20"/>
      <c r="AB70" s="20"/>
      <c r="AC70" s="20"/>
      <c r="AD70" s="20"/>
      <c r="AE70" s="20"/>
      <c r="AF70" s="20"/>
      <c r="AG70" s="20"/>
      <c r="AH70" s="20"/>
      <c r="AI70" s="20"/>
      <c r="AJ70" s="20"/>
      <c r="AK70" s="20"/>
      <c r="AL70" s="20"/>
      <c r="AM70" s="20"/>
      <c r="AN70" s="20"/>
      <c r="AO70" s="20"/>
    </row>
    <row r="71" spans="1:41" hidden="1" outlineLevel="2" x14ac:dyDescent="0.25">
      <c r="A71" s="20"/>
      <c r="B71" s="20"/>
      <c r="C71" s="20"/>
      <c r="D71" s="20"/>
      <c r="E71" s="20"/>
      <c r="F71" s="26"/>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row>
    <row r="72" spans="1:41" hidden="1" outlineLevel="2" x14ac:dyDescent="0.25">
      <c r="A72" s="20"/>
      <c r="B72" s="20"/>
      <c r="C72" s="20"/>
      <c r="D72" s="20"/>
      <c r="E72" s="20"/>
      <c r="F72" s="26"/>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row>
    <row r="73" spans="1:41" hidden="1" outlineLevel="2" x14ac:dyDescent="0.25">
      <c r="A73" s="20"/>
      <c r="B73" s="20"/>
      <c r="C73" s="20"/>
      <c r="D73" s="20"/>
      <c r="E73" s="20"/>
      <c r="F73" s="26"/>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row>
    <row r="74" spans="1:41" hidden="1" outlineLevel="2" x14ac:dyDescent="0.25">
      <c r="A74" s="20"/>
      <c r="B74" s="20"/>
      <c r="C74" s="20"/>
      <c r="D74" s="20"/>
      <c r="E74" s="20"/>
      <c r="F74" s="26"/>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row>
    <row r="75" spans="1:41" hidden="1" outlineLevel="2" x14ac:dyDescent="0.25">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row>
    <row r="76" spans="1:41" hidden="1" outlineLevel="2" x14ac:dyDescent="0.25">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row>
    <row r="77" spans="1:41" hidden="1" outlineLevel="2" x14ac:dyDescent="0.25">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row>
    <row r="78" spans="1:41" hidden="1" outlineLevel="2" x14ac:dyDescent="0.25">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row>
    <row r="79" spans="1:41" hidden="1" outlineLevel="2" x14ac:dyDescent="0.25">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row>
    <row r="80" spans="1:41" hidden="1" outlineLevel="2" x14ac:dyDescent="0.25">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row>
    <row r="81" spans="1:41" hidden="1" outlineLevel="2" x14ac:dyDescent="0.25">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row>
    <row r="82" spans="1:41" hidden="1" outlineLevel="2" x14ac:dyDescent="0.25">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row>
    <row r="83" spans="1:41" hidden="1" outlineLevel="2" x14ac:dyDescent="0.25">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row>
    <row r="84" spans="1:41" ht="0.95" hidden="1" customHeight="1" outlineLevel="2" x14ac:dyDescent="0.25">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row>
    <row r="85" spans="1:41" hidden="1" outlineLevel="2" x14ac:dyDescent="0.25">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row>
    <row r="86" spans="1:41" hidden="1" outlineLevel="2" x14ac:dyDescent="0.25">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row>
    <row r="87" spans="1:41" hidden="1" outlineLevel="2" x14ac:dyDescent="0.25">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row>
    <row r="88" spans="1:41" hidden="1" outlineLevel="2" x14ac:dyDescent="0.25">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row>
    <row r="89" spans="1:41" hidden="1" outlineLevel="2" x14ac:dyDescent="0.25">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row>
    <row r="90" spans="1:41" hidden="1" outlineLevel="2" x14ac:dyDescent="0.25">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c r="AI90" s="20"/>
      <c r="AJ90" s="20"/>
      <c r="AK90" s="20"/>
      <c r="AL90" s="20"/>
      <c r="AM90" s="20"/>
      <c r="AN90" s="20"/>
      <c r="AO90" s="20"/>
    </row>
    <row r="91" spans="1:41" hidden="1" outlineLevel="2" x14ac:dyDescent="0.25">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row>
    <row r="92" spans="1:41" hidden="1" outlineLevel="2" x14ac:dyDescent="0.25">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row>
    <row r="93" spans="1:41" hidden="1" outlineLevel="2" x14ac:dyDescent="0.25">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row>
    <row r="94" spans="1:41" hidden="1" outlineLevel="2" x14ac:dyDescent="0.25">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row>
    <row r="95" spans="1:41" hidden="1" outlineLevel="2" x14ac:dyDescent="0.25">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row>
    <row r="96" spans="1:41" hidden="1" outlineLevel="2" x14ac:dyDescent="0.25">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row>
    <row r="97" spans="1:41" hidden="1" outlineLevel="2" x14ac:dyDescent="0.25">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c r="AI97" s="20"/>
      <c r="AJ97" s="20"/>
      <c r="AK97" s="20"/>
      <c r="AL97" s="20"/>
      <c r="AM97" s="20"/>
      <c r="AN97" s="20"/>
      <c r="AO97" s="20"/>
    </row>
    <row r="98" spans="1:41" hidden="1" outlineLevel="2" x14ac:dyDescent="0.25">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row>
    <row r="99" spans="1:41" hidden="1" outlineLevel="2" x14ac:dyDescent="0.25">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c r="AI99" s="20"/>
      <c r="AJ99" s="20"/>
      <c r="AK99" s="20"/>
      <c r="AL99" s="20"/>
      <c r="AM99" s="20"/>
      <c r="AN99" s="20"/>
      <c r="AO99" s="20"/>
    </row>
    <row r="100" spans="1:41" hidden="1" outlineLevel="2" x14ac:dyDescent="0.25">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20"/>
      <c r="AM100" s="20"/>
      <c r="AN100" s="20"/>
      <c r="AO100" s="20"/>
    </row>
    <row r="101" spans="1:41" hidden="1" outlineLevel="2" x14ac:dyDescent="0.25">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row>
    <row r="102" spans="1:41" hidden="1" outlineLevel="2" x14ac:dyDescent="0.25">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row>
    <row r="103" spans="1:41" hidden="1" outlineLevel="2" x14ac:dyDescent="0.25">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row>
    <row r="104" spans="1:41" hidden="1" outlineLevel="2" x14ac:dyDescent="0.25">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0"/>
      <c r="AB104" s="20"/>
      <c r="AC104" s="20"/>
      <c r="AD104" s="20"/>
      <c r="AE104" s="20"/>
      <c r="AF104" s="20"/>
      <c r="AG104" s="20"/>
      <c r="AH104" s="20"/>
      <c r="AI104" s="20"/>
      <c r="AJ104" s="20"/>
      <c r="AK104" s="20"/>
      <c r="AL104" s="20"/>
      <c r="AM104" s="20"/>
      <c r="AN104" s="20"/>
      <c r="AO104" s="20"/>
    </row>
    <row r="105" spans="1:41" hidden="1" outlineLevel="2" x14ac:dyDescent="0.25">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row>
    <row r="106" spans="1:41" hidden="1" outlineLevel="2" x14ac:dyDescent="0.25">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row>
    <row r="107" spans="1:41" hidden="1" outlineLevel="2" x14ac:dyDescent="0.25">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row>
    <row r="108" spans="1:41" hidden="1" outlineLevel="2" x14ac:dyDescent="0.25">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row>
    <row r="109" spans="1:41" hidden="1" outlineLevel="2" x14ac:dyDescent="0.2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row>
    <row r="110" spans="1:41" hidden="1" outlineLevel="2" x14ac:dyDescent="0.25">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row>
    <row r="111" spans="1:41" hidden="1" outlineLevel="2" x14ac:dyDescent="0.2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row>
    <row r="112" spans="1:41" hidden="1" outlineLevel="2" x14ac:dyDescent="0.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row>
    <row r="113" spans="1:41" hidden="1" outlineLevel="2" x14ac:dyDescent="0.25">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row>
    <row r="114" spans="1:41" hidden="1" outlineLevel="2" x14ac:dyDescent="0.2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row>
    <row r="115" spans="1:41" hidden="1" outlineLevel="2" x14ac:dyDescent="0.2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row>
    <row r="116" spans="1:41" hidden="1" outlineLevel="2" x14ac:dyDescent="0.25">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row>
    <row r="117" spans="1:41" hidden="1" outlineLevel="2" x14ac:dyDescent="0.25">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row>
    <row r="118" spans="1:41" hidden="1" outlineLevel="2" x14ac:dyDescent="0.25">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row>
    <row r="119" spans="1:41" hidden="1" outlineLevel="2" x14ac:dyDescent="0.25">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row>
    <row r="120" spans="1:41" hidden="1" outlineLevel="2" x14ac:dyDescent="0.25">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row>
    <row r="121" spans="1:41" hidden="1" outlineLevel="2" x14ac:dyDescent="0.25">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row>
    <row r="122" spans="1:41" hidden="1" outlineLevel="2" x14ac:dyDescent="0.25">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row>
    <row r="123" spans="1:41" hidden="1" outlineLevel="2" x14ac:dyDescent="0.25">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row>
    <row r="124" spans="1:41" hidden="1" outlineLevel="2" x14ac:dyDescent="0.25">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row>
    <row r="125" spans="1:41" hidden="1" outlineLevel="2" x14ac:dyDescent="0.25">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row>
    <row r="126" spans="1:41" hidden="1" outlineLevel="2" x14ac:dyDescent="0.25">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row>
    <row r="127" spans="1:41" hidden="1" outlineLevel="1" x14ac:dyDescent="0.25">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row>
    <row r="128" spans="1:41" collapsed="1" x14ac:dyDescent="0.25">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row>
    <row r="129" spans="1:41" x14ac:dyDescent="0.25">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row>
    <row r="130" spans="1:41" x14ac:dyDescent="0.25">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row>
    <row r="131" spans="1:41" x14ac:dyDescent="0.25">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row>
    <row r="132" spans="1:41" x14ac:dyDescent="0.25">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row>
    <row r="133" spans="1:41" x14ac:dyDescent="0.25">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row>
    <row r="134" spans="1:41" x14ac:dyDescent="0.25">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row>
    <row r="135" spans="1:41" x14ac:dyDescent="0.25">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row>
    <row r="136" spans="1:41" x14ac:dyDescent="0.25">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row>
    <row r="137" spans="1:41" x14ac:dyDescent="0.25">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row>
    <row r="138" spans="1:41" x14ac:dyDescent="0.25">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row>
    <row r="139" spans="1:41" x14ac:dyDescent="0.25">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row>
    <row r="140" spans="1:41" x14ac:dyDescent="0.25">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row>
    <row r="141" spans="1:41" x14ac:dyDescent="0.25">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row>
    <row r="142" spans="1:41" x14ac:dyDescent="0.25">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row>
    <row r="143" spans="1:41" x14ac:dyDescent="0.25">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row>
    <row r="144" spans="1:41" x14ac:dyDescent="0.25">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row>
    <row r="145" spans="1:41" x14ac:dyDescent="0.25">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row>
    <row r="146" spans="1:41" x14ac:dyDescent="0.25">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row>
    <row r="147" spans="1:41" x14ac:dyDescent="0.25">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row>
    <row r="148" spans="1:41" x14ac:dyDescent="0.25">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row>
    <row r="149" spans="1:41" x14ac:dyDescent="0.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row>
    <row r="150" spans="1:41" x14ac:dyDescent="0.25">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row>
    <row r="151" spans="1:41" x14ac:dyDescent="0.25">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row>
    <row r="152" spans="1:41" x14ac:dyDescent="0.25">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row>
    <row r="153" spans="1:41" x14ac:dyDescent="0.25">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row>
    <row r="154" spans="1:41" x14ac:dyDescent="0.25">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row>
    <row r="155" spans="1:41" x14ac:dyDescent="0.25">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row>
    <row r="156" spans="1:41" x14ac:dyDescent="0.25">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row>
    <row r="157" spans="1:41" x14ac:dyDescent="0.25">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row>
    <row r="158" spans="1:41" x14ac:dyDescent="0.25">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row>
    <row r="159" spans="1:41" x14ac:dyDescent="0.25">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row>
    <row r="160" spans="1:41" x14ac:dyDescent="0.25">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row>
    <row r="161" spans="1:41" x14ac:dyDescent="0.25">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row>
    <row r="162" spans="1:41" x14ac:dyDescent="0.25">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row>
    <row r="163" spans="1:41" x14ac:dyDescent="0.25">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row>
    <row r="164" spans="1:4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row>
    <row r="165" spans="1:41" x14ac:dyDescent="0.25">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row>
    <row r="166" spans="1:41" x14ac:dyDescent="0.25">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row>
    <row r="167" spans="1:41" x14ac:dyDescent="0.25">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row>
    <row r="168" spans="1:41" x14ac:dyDescent="0.25">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row>
    <row r="169" spans="1:41" x14ac:dyDescent="0.25">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row>
    <row r="170" spans="1:41" x14ac:dyDescent="0.2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row>
    <row r="171" spans="1:41" x14ac:dyDescent="0.2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row>
    <row r="172" spans="1:41" x14ac:dyDescent="0.2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row>
    <row r="173" spans="1:41" x14ac:dyDescent="0.2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row>
    <row r="174" spans="1:41" x14ac:dyDescent="0.2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row>
    <row r="175" spans="1:41" x14ac:dyDescent="0.25">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row>
    <row r="176" spans="1:41" x14ac:dyDescent="0.25">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row>
    <row r="177" spans="1:41" x14ac:dyDescent="0.25">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row>
    <row r="178" spans="1:41" x14ac:dyDescent="0.2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row>
    <row r="179" spans="1:41" x14ac:dyDescent="0.2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row>
    <row r="180" spans="1:41" x14ac:dyDescent="0.2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row>
    <row r="181" spans="1:41" x14ac:dyDescent="0.2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row>
    <row r="182" spans="1:41" x14ac:dyDescent="0.25">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row>
    <row r="183" spans="1:41" x14ac:dyDescent="0.25">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row>
    <row r="184" spans="1:41" x14ac:dyDescent="0.25">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row>
    <row r="185" spans="1:41" x14ac:dyDescent="0.25">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row>
    <row r="186" spans="1:41" x14ac:dyDescent="0.25">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row>
    <row r="187" spans="1:41" x14ac:dyDescent="0.2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row>
    <row r="188" spans="1:41" x14ac:dyDescent="0.2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row>
    <row r="189" spans="1:41" x14ac:dyDescent="0.25">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row>
    <row r="190" spans="1:41" x14ac:dyDescent="0.25">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row>
    <row r="191" spans="1:41" x14ac:dyDescent="0.25">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row>
    <row r="192" spans="1:41" x14ac:dyDescent="0.25">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row>
    <row r="193" spans="1:41" x14ac:dyDescent="0.25">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row>
    <row r="194" spans="1:41" x14ac:dyDescent="0.25">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row>
    <row r="195" spans="1:41" x14ac:dyDescent="0.25">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row>
    <row r="196" spans="1:41" x14ac:dyDescent="0.25">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row>
    <row r="197" spans="1:41" x14ac:dyDescent="0.25">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row>
    <row r="198" spans="1:41" x14ac:dyDescent="0.25">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row>
    <row r="199" spans="1:41" x14ac:dyDescent="0.25">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row>
    <row r="200" spans="1:41" x14ac:dyDescent="0.25">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row>
    <row r="201" spans="1:41" x14ac:dyDescent="0.25">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row>
    <row r="202" spans="1:41" x14ac:dyDescent="0.25">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row>
    <row r="203" spans="1:41" x14ac:dyDescent="0.25">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row>
    <row r="204" spans="1:41" x14ac:dyDescent="0.25">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row>
    <row r="205" spans="1:41" x14ac:dyDescent="0.25">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row>
    <row r="206" spans="1:41" x14ac:dyDescent="0.25">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row>
    <row r="207" spans="1:41" x14ac:dyDescent="0.25">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row>
    <row r="208" spans="1:41" x14ac:dyDescent="0.25">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row>
    <row r="209" spans="1:41" x14ac:dyDescent="0.25">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row>
    <row r="210" spans="1:41" x14ac:dyDescent="0.25">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row>
    <row r="211" spans="1:41" x14ac:dyDescent="0.25">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row>
    <row r="212" spans="1:41" x14ac:dyDescent="0.25">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row>
    <row r="213" spans="1:41" x14ac:dyDescent="0.25">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row>
    <row r="214" spans="1:41" x14ac:dyDescent="0.25">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row>
    <row r="215" spans="1:41" x14ac:dyDescent="0.25">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row>
    <row r="216" spans="1:41" x14ac:dyDescent="0.25">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row>
    <row r="217" spans="1:41" x14ac:dyDescent="0.25">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row>
    <row r="218" spans="1:41" x14ac:dyDescent="0.25">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row>
    <row r="219" spans="1:41" x14ac:dyDescent="0.25">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row>
    <row r="220" spans="1:41" x14ac:dyDescent="0.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row>
    <row r="221" spans="1:41" x14ac:dyDescent="0.25">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row>
    <row r="222" spans="1:41" x14ac:dyDescent="0.25">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row>
    <row r="223" spans="1:41" x14ac:dyDescent="0.25">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row>
    <row r="224" spans="1:41" x14ac:dyDescent="0.25">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row>
    <row r="225" spans="1:41" x14ac:dyDescent="0.25">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row>
    <row r="226" spans="1:41" x14ac:dyDescent="0.25">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row>
    <row r="227" spans="1:41" x14ac:dyDescent="0.25">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row>
    <row r="228" spans="1:41" x14ac:dyDescent="0.25">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row>
    <row r="229" spans="1:41" x14ac:dyDescent="0.25">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row>
    <row r="230" spans="1:41" x14ac:dyDescent="0.25">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row>
    <row r="231" spans="1:41" x14ac:dyDescent="0.25">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row>
    <row r="232" spans="1:41" x14ac:dyDescent="0.25">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row>
    <row r="233" spans="1:41" x14ac:dyDescent="0.25">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row>
    <row r="234" spans="1:41" x14ac:dyDescent="0.25">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row>
    <row r="235" spans="1:41" x14ac:dyDescent="0.25">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row>
    <row r="236" spans="1:41" x14ac:dyDescent="0.25">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row>
    <row r="237" spans="1:41" x14ac:dyDescent="0.25">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row>
    <row r="238" spans="1:41" x14ac:dyDescent="0.25">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row>
    <row r="239" spans="1:41" x14ac:dyDescent="0.25">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row>
    <row r="240" spans="1:41" x14ac:dyDescent="0.25">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row>
    <row r="241" spans="1:41" x14ac:dyDescent="0.25">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row>
    <row r="242" spans="1:41" x14ac:dyDescent="0.25">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row>
    <row r="243" spans="1:41" x14ac:dyDescent="0.25">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row>
    <row r="244" spans="1:41" x14ac:dyDescent="0.25">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row>
    <row r="245" spans="1:41" x14ac:dyDescent="0.25">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row>
    <row r="246" spans="1:41" x14ac:dyDescent="0.25">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row>
    <row r="247" spans="1:41" x14ac:dyDescent="0.25">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row>
    <row r="248" spans="1:41" x14ac:dyDescent="0.25">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row>
    <row r="249" spans="1:41" x14ac:dyDescent="0.25">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row>
    <row r="250" spans="1:41" x14ac:dyDescent="0.25">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row>
    <row r="251" spans="1:41" x14ac:dyDescent="0.25">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row>
    <row r="252" spans="1:41" x14ac:dyDescent="0.25">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row>
    <row r="253" spans="1:41" x14ac:dyDescent="0.25">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row>
    <row r="254" spans="1:41" x14ac:dyDescent="0.25">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row>
    <row r="255" spans="1:41" x14ac:dyDescent="0.25">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row>
    <row r="256" spans="1:41" x14ac:dyDescent="0.25">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row>
    <row r="257" spans="1:41" x14ac:dyDescent="0.25">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row>
    <row r="258" spans="1:41" x14ac:dyDescent="0.25">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row>
    <row r="259" spans="1:41" x14ac:dyDescent="0.25">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row>
    <row r="260" spans="1:41" x14ac:dyDescent="0.25">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row>
    <row r="261" spans="1:41" x14ac:dyDescent="0.25">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row>
    <row r="262" spans="1:41" x14ac:dyDescent="0.25">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row>
  </sheetData>
  <dataConsolidate/>
  <pageMargins left="0.7" right="0.7" top="0.78740157499999996" bottom="0.78740157499999996" header="0.3" footer="0.3"/>
  <pageSetup paperSize="9" orientation="portrait" r:id="rId1"/>
  <customProperties>
    <customPr name="_pios_id" r:id="rId2"/>
  </customProperties>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B4:K10"/>
  <sheetViews>
    <sheetView workbookViewId="0">
      <selection activeCell="K10" sqref="K10"/>
    </sheetView>
  </sheetViews>
  <sheetFormatPr defaultRowHeight="15" x14ac:dyDescent="0.25"/>
  <cols>
    <col min="2" max="3" width="9" customWidth="1"/>
    <col min="4" max="4" width="12.140625" bestFit="1" customWidth="1"/>
    <col min="5" max="5" width="15.85546875" bestFit="1" customWidth="1"/>
    <col min="6" max="6" width="14.7109375" bestFit="1" customWidth="1"/>
    <col min="7" max="7" width="14.7109375" customWidth="1"/>
    <col min="8" max="8" width="15.5703125" bestFit="1" customWidth="1"/>
    <col min="9" max="9" width="15.28515625" bestFit="1" customWidth="1"/>
    <col min="10" max="10" width="16.42578125" customWidth="1"/>
    <col min="11" max="11" width="14" bestFit="1" customWidth="1"/>
  </cols>
  <sheetData>
    <row r="4" spans="2:11" x14ac:dyDescent="0.25">
      <c r="B4" s="6"/>
      <c r="C4" s="6" t="s">
        <v>26</v>
      </c>
      <c r="D4" s="6" t="s">
        <v>27</v>
      </c>
      <c r="E4" s="6" t="s">
        <v>28</v>
      </c>
      <c r="F4" s="6" t="s">
        <v>23</v>
      </c>
      <c r="G4" s="6" t="s">
        <v>29</v>
      </c>
      <c r="H4" s="6" t="s">
        <v>21</v>
      </c>
      <c r="I4" s="6" t="s">
        <v>30</v>
      </c>
      <c r="J4" s="6" t="s">
        <v>24</v>
      </c>
      <c r="K4" s="6" t="s">
        <v>25</v>
      </c>
    </row>
    <row r="5" spans="2:11" x14ac:dyDescent="0.25">
      <c r="B5" s="6" t="s">
        <v>31</v>
      </c>
      <c r="C5" s="6">
        <v>0</v>
      </c>
      <c r="D5" s="6">
        <f ca="1">IFERROR((GETPIVOTDATA("Average of Cíl %",pt.inbound_ppot_lvl2!B5,"Budova","A")*100),0)</f>
        <v>80.000000000000497</v>
      </c>
      <c r="E5" s="6">
        <f ca="1">F5-(D5)</f>
        <v>19.999999999999503</v>
      </c>
      <c r="F5" s="6">
        <v>100</v>
      </c>
      <c r="G5" s="6">
        <f ca="1">IFERROR(IFERROR(GETPIVOTDATA("Skutečnost %",pt.inbound_ppot_lvl2!B5,"Budova","A"),0)*100,0)</f>
        <v>88.92866640790993</v>
      </c>
      <c r="H5" s="6">
        <v>1.2</v>
      </c>
      <c r="I5" s="6">
        <f ca="1" xml:space="preserve"> 200-(H5+G5)</f>
        <v>109.87133359209007</v>
      </c>
      <c r="J5" s="16" t="str">
        <f ca="1">CONCATENATE("Skutečnost: ",ROUND(IFERROR(GETPIVOTDATA("Skutečnost %",pt.inbound_ppot_lvl2!B5,"Budova","A"),0)*100,0),"%")</f>
        <v>Skutečnost: 89%</v>
      </c>
      <c r="K5" s="9" t="str">
        <f ca="1">CONCATENATE("Cíl: ",ROUND(F5-E5,0),"%")</f>
        <v>Cíl: 80%</v>
      </c>
    </row>
    <row r="6" spans="2:11" x14ac:dyDescent="0.25">
      <c r="B6" s="6" t="s">
        <v>32</v>
      </c>
      <c r="C6" s="6">
        <v>0</v>
      </c>
      <c r="D6" s="6">
        <f ca="1">IFERROR((GETPIVOTDATA("Average of Cíl %",pt.inbound_ppot_lvl2!B5,"Budova","B")*100),0)</f>
        <v>80.000000000000554</v>
      </c>
      <c r="E6" s="6">
        <f ca="1">F6-(D6)</f>
        <v>19.999999999999446</v>
      </c>
      <c r="F6" s="6">
        <v>100</v>
      </c>
      <c r="G6" s="6">
        <f ca="1">IFERROR(IFERROR(GETPIVOTDATA("Skutečnost %",pt.inbound_ppot_lvl2!B5,"Budova","B"),0)*100,0)</f>
        <v>90.230500990414114</v>
      </c>
      <c r="H6" s="6">
        <v>1.2</v>
      </c>
      <c r="I6" s="6">
        <f ca="1" xml:space="preserve"> 200-(H6+G6)</f>
        <v>108.56949900958588</v>
      </c>
      <c r="J6" s="16" t="str">
        <f ca="1">CONCATENATE("Skutečnost: ",ROUND(IFERROR(GETPIVOTDATA("Skutečnost %",pt.inbound_ppot_lvl2!B6,"Budova","B"),0)*100,0),"%")</f>
        <v>Skutečnost: 90%</v>
      </c>
      <c r="K6" s="9" t="str">
        <f t="shared" ref="K6:K7" ca="1" si="0">CONCATENATE("Cíl: ",ROUND(F6-E6,0),"%")</f>
        <v>Cíl: 80%</v>
      </c>
    </row>
    <row r="7" spans="2:11" x14ac:dyDescent="0.25">
      <c r="B7" s="6" t="s">
        <v>33</v>
      </c>
      <c r="C7" s="6">
        <v>0</v>
      </c>
      <c r="D7" s="6">
        <f ca="1">IFERROR((GETPIVOTDATA("Average of Cíl %",pt.inbound_ppot_lvl2!B5,"Budova","C")*100),0)</f>
        <v>80.00000000000054</v>
      </c>
      <c r="E7" s="6">
        <f ca="1">F7-(D7)</f>
        <v>19.99999999999946</v>
      </c>
      <c r="F7" s="6">
        <v>100</v>
      </c>
      <c r="G7" s="6">
        <f ca="1">IFERROR(IFERROR(GETPIVOTDATA("Skutečnost %",pt.inbound_ppot_lvl2!B5,"Budova","C"),0)*100,0)</f>
        <v>83.413106811478528</v>
      </c>
      <c r="H7" s="6">
        <v>1.2</v>
      </c>
      <c r="I7" s="6">
        <f ca="1" xml:space="preserve"> 200-(H7+G7)</f>
        <v>115.38689318852147</v>
      </c>
      <c r="J7" s="16" t="str">
        <f ca="1">CONCATENATE("Skutečnost: ",ROUND(IFERROR(GETPIVOTDATA("Skutečnost %",pt.inbound_ppot_lvl2!B7,"Budova","C"),0)*100,0),"%")</f>
        <v>Skutečnost: 83%</v>
      </c>
      <c r="K7" s="9" t="str">
        <f t="shared" ca="1" si="0"/>
        <v>Cíl: 80%</v>
      </c>
    </row>
    <row r="8" spans="2:11" x14ac:dyDescent="0.25">
      <c r="B8" s="12"/>
      <c r="C8" s="13" t="s">
        <v>17</v>
      </c>
      <c r="D8" s="13" t="s">
        <v>18</v>
      </c>
      <c r="E8" s="13" t="s">
        <v>19</v>
      </c>
      <c r="F8" s="13" t="s">
        <v>20</v>
      </c>
      <c r="G8" s="13" t="s">
        <v>21</v>
      </c>
      <c r="H8" s="13" t="s">
        <v>22</v>
      </c>
      <c r="I8" s="13" t="s">
        <v>23</v>
      </c>
      <c r="J8" s="13" t="s">
        <v>24</v>
      </c>
      <c r="K8" s="13" t="s">
        <v>25</v>
      </c>
    </row>
    <row r="9" spans="2:11" x14ac:dyDescent="0.25">
      <c r="B9" s="6" t="s">
        <v>9</v>
      </c>
      <c r="C9" s="6">
        <f ca="1">IFERROR(GETPIVOTDATA("Average of Cíl %",pt.inbound_ppot_lvl1!$A$7,"KPI",B9),0)</f>
        <v>0</v>
      </c>
      <c r="D9" s="6">
        <f ca="1">IFERROR(GETPIVOTDATA("Average of Skutečnost %",pt.inbound_ppot_lvl1!$A$7,"KPI",B9),0)</f>
        <v>0</v>
      </c>
      <c r="E9" s="6">
        <f ca="1">IF(D9&gt;C9,C9,D9)</f>
        <v>0</v>
      </c>
      <c r="F9" s="6">
        <f ca="1">IF(D9&lt;C9,C9-D9,0)</f>
        <v>0</v>
      </c>
      <c r="G9" s="6">
        <v>0.02</v>
      </c>
      <c r="H9" s="6">
        <f ca="1">IF(D9&gt;C9,D9-C9,0)</f>
        <v>0</v>
      </c>
      <c r="I9" s="14">
        <f ca="1">1-SUM(E9,F9,G9,H9)</f>
        <v>0.98</v>
      </c>
      <c r="J9" s="9">
        <f ca="1">ROUNDDOWN(D9,2)</f>
        <v>0</v>
      </c>
      <c r="K9" s="6" t="str">
        <f ca="1">CONCATENATE("Cíl: ",ROUNDUP(C9*100,0),"%")</f>
        <v>Cíl: 0%</v>
      </c>
    </row>
    <row r="10" spans="2:11" x14ac:dyDescent="0.25">
      <c r="B10" s="18" t="s">
        <v>66</v>
      </c>
      <c r="C10" s="6">
        <f ca="1">IFERROR(GETPIVOTDATA("Average of Cíl %",pt.inbound_ppot_lvl1!$A$7,"KPI",B10),0)</f>
        <v>0.79999999999998639</v>
      </c>
      <c r="D10" s="6">
        <f ca="1">IFERROR(GETPIVOTDATA("Average of Skutečnost %",pt.inbound_ppot_lvl1!$A$7,"KPI",B10),0)</f>
        <v>0.87466920438745821</v>
      </c>
      <c r="E10" s="6">
        <f ca="1">IF(D10&gt;C10,C10,D10)</f>
        <v>0.79999999999998639</v>
      </c>
      <c r="F10" s="6">
        <f ca="1">IF(D10&lt;C10,C10-D10,0)</f>
        <v>0</v>
      </c>
      <c r="G10" s="6">
        <v>0.02</v>
      </c>
      <c r="H10" s="6">
        <f ca="1">IF(D10&gt;C10,D10-C10,0)</f>
        <v>7.4669204387471821E-2</v>
      </c>
      <c r="I10" s="14">
        <f ca="1">1-SUM(E10,F10,G10,H10)</f>
        <v>0.10533079561254177</v>
      </c>
      <c r="J10" s="9">
        <f ca="1">ROUNDDOWN(D10,2)</f>
        <v>0.87</v>
      </c>
      <c r="K10" s="6" t="str">
        <f ca="1">CONCATENATE("Cíl: ",ROUNDUP(C10*100,0),"%")</f>
        <v>Cíl: 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N37"/>
  <sheetViews>
    <sheetView workbookViewId="0">
      <selection activeCell="G39" sqref="G39"/>
    </sheetView>
  </sheetViews>
  <sheetFormatPr defaultRowHeight="15" x14ac:dyDescent="0.25"/>
  <cols>
    <col min="10" max="10" width="13.140625" bestFit="1" customWidth="1"/>
    <col min="11" max="11" width="9.5703125" bestFit="1" customWidth="1"/>
    <col min="12" max="12" width="19.42578125" bestFit="1" customWidth="1"/>
    <col min="13" max="13" width="13.28515625" bestFit="1" customWidth="1"/>
    <col min="14" max="14" width="15.85546875" bestFit="1" customWidth="1"/>
  </cols>
  <sheetData>
    <row r="1" spans="1:13" x14ac:dyDescent="0.25">
      <c r="A1" t="s">
        <v>49</v>
      </c>
      <c r="B1" t="s">
        <v>50</v>
      </c>
      <c r="C1" t="s">
        <v>51</v>
      </c>
      <c r="D1" t="s">
        <v>52</v>
      </c>
      <c r="E1" t="s">
        <v>47</v>
      </c>
      <c r="F1" t="s">
        <v>42</v>
      </c>
      <c r="G1" t="s">
        <v>39</v>
      </c>
      <c r="I1" t="s">
        <v>0</v>
      </c>
      <c r="J1" t="s">
        <v>34</v>
      </c>
      <c r="K1" t="s">
        <v>53</v>
      </c>
      <c r="L1" t="s">
        <v>3</v>
      </c>
      <c r="M1" t="s">
        <v>54</v>
      </c>
    </row>
    <row r="2" spans="1:13" x14ac:dyDescent="0.25">
      <c r="A2" s="17">
        <v>0.29166666666666669</v>
      </c>
      <c r="B2" s="15">
        <v>30</v>
      </c>
      <c r="C2" s="15">
        <v>30</v>
      </c>
      <c r="D2" s="15">
        <v>30</v>
      </c>
      <c r="E2" s="2">
        <v>0.88</v>
      </c>
      <c r="F2" s="2">
        <v>0.9</v>
      </c>
      <c r="G2" s="2">
        <v>0.91</v>
      </c>
      <c r="I2" s="1">
        <v>42961</v>
      </c>
      <c r="J2" s="11">
        <v>7</v>
      </c>
      <c r="K2" s="2">
        <v>0.9</v>
      </c>
      <c r="L2" s="2">
        <v>0.88</v>
      </c>
      <c r="M2" s="2">
        <v>0.9</v>
      </c>
    </row>
    <row r="3" spans="1:13" x14ac:dyDescent="0.25">
      <c r="A3" s="17">
        <v>0.33333333333333298</v>
      </c>
      <c r="B3" s="15">
        <v>20</v>
      </c>
      <c r="C3" s="15">
        <v>20</v>
      </c>
      <c r="D3" s="15">
        <v>20</v>
      </c>
      <c r="E3" s="2">
        <v>0.88</v>
      </c>
      <c r="F3" s="2">
        <v>0.9</v>
      </c>
      <c r="G3" s="2">
        <v>0.85</v>
      </c>
      <c r="I3" s="1">
        <v>42961</v>
      </c>
      <c r="J3" s="11">
        <v>8</v>
      </c>
      <c r="K3" s="2">
        <v>0.9</v>
      </c>
      <c r="L3" s="2">
        <v>0.88</v>
      </c>
      <c r="M3" s="2">
        <v>0.9</v>
      </c>
    </row>
    <row r="4" spans="1:13" x14ac:dyDescent="0.25">
      <c r="A4" s="17">
        <v>0.375</v>
      </c>
      <c r="B4" s="15">
        <v>27</v>
      </c>
      <c r="C4" s="15">
        <v>27</v>
      </c>
      <c r="D4" s="15">
        <v>27</v>
      </c>
      <c r="E4" s="2">
        <v>0.88</v>
      </c>
      <c r="F4" s="2">
        <v>0.92</v>
      </c>
      <c r="G4" s="2">
        <v>0.96</v>
      </c>
      <c r="I4" s="1">
        <v>42961</v>
      </c>
      <c r="J4" s="11">
        <v>9</v>
      </c>
      <c r="K4" s="2">
        <v>0.91</v>
      </c>
      <c r="L4" s="2">
        <v>0.88</v>
      </c>
      <c r="M4" s="2">
        <v>0.92</v>
      </c>
    </row>
    <row r="5" spans="1:13" x14ac:dyDescent="0.25">
      <c r="A5" s="17">
        <v>0.41666666666666702</v>
      </c>
      <c r="B5" s="15">
        <v>52</v>
      </c>
      <c r="C5" s="15">
        <v>52</v>
      </c>
      <c r="D5" s="15">
        <v>52</v>
      </c>
      <c r="E5" s="2">
        <v>0.88</v>
      </c>
      <c r="F5" s="2">
        <v>0.89</v>
      </c>
      <c r="G5" s="2">
        <v>1</v>
      </c>
      <c r="I5" s="1">
        <v>42961</v>
      </c>
      <c r="J5" s="11">
        <v>10</v>
      </c>
      <c r="K5" s="2">
        <v>0.88</v>
      </c>
      <c r="L5" s="2">
        <v>0.88</v>
      </c>
      <c r="M5" s="2">
        <v>0.89</v>
      </c>
    </row>
    <row r="6" spans="1:13" x14ac:dyDescent="0.25">
      <c r="A6" s="17">
        <v>0.45833333333333298</v>
      </c>
      <c r="B6" s="15">
        <v>34</v>
      </c>
      <c r="C6" s="15">
        <v>34</v>
      </c>
      <c r="D6" s="15">
        <v>34</v>
      </c>
      <c r="E6" s="2">
        <v>0.88</v>
      </c>
      <c r="F6" s="2">
        <v>0.67</v>
      </c>
      <c r="G6" s="2">
        <v>0.59</v>
      </c>
      <c r="I6" s="1">
        <v>42961</v>
      </c>
      <c r="J6" s="11">
        <v>11</v>
      </c>
      <c r="K6" s="2">
        <v>0.5</v>
      </c>
      <c r="L6" s="2">
        <v>0.88</v>
      </c>
      <c r="M6" s="2">
        <v>0.25</v>
      </c>
    </row>
    <row r="7" spans="1:13" x14ac:dyDescent="0.25">
      <c r="A7" s="17">
        <v>0.5</v>
      </c>
      <c r="B7" s="15">
        <v>46</v>
      </c>
      <c r="C7" s="15">
        <v>46</v>
      </c>
      <c r="D7" s="15">
        <v>46</v>
      </c>
      <c r="E7" s="2">
        <v>0.88</v>
      </c>
      <c r="F7" s="2">
        <v>0.72</v>
      </c>
      <c r="G7" s="2">
        <v>0.83</v>
      </c>
      <c r="I7" s="1">
        <v>42961</v>
      </c>
      <c r="J7" s="11">
        <v>12</v>
      </c>
      <c r="K7" s="2">
        <v>0.7</v>
      </c>
      <c r="L7" s="2">
        <v>0.88</v>
      </c>
      <c r="M7" s="2">
        <v>0.81</v>
      </c>
    </row>
    <row r="8" spans="1:13" x14ac:dyDescent="0.25">
      <c r="I8" s="1">
        <v>42961</v>
      </c>
      <c r="J8" s="11">
        <v>13</v>
      </c>
      <c r="K8" s="2">
        <v>0.9</v>
      </c>
      <c r="L8" s="2">
        <v>0.88</v>
      </c>
      <c r="M8" s="2">
        <v>1</v>
      </c>
    </row>
    <row r="9" spans="1:13" x14ac:dyDescent="0.25">
      <c r="A9" t="s">
        <v>49</v>
      </c>
      <c r="B9" t="s">
        <v>55</v>
      </c>
      <c r="C9" t="s">
        <v>56</v>
      </c>
      <c r="D9" t="s">
        <v>40</v>
      </c>
      <c r="E9" t="s">
        <v>41</v>
      </c>
      <c r="I9" s="1">
        <v>42961</v>
      </c>
      <c r="J9" s="11">
        <v>14</v>
      </c>
      <c r="K9" s="2">
        <v>0.92</v>
      </c>
      <c r="L9" s="2">
        <v>0.88</v>
      </c>
      <c r="M9" s="2">
        <v>1.1100000000000001</v>
      </c>
    </row>
    <row r="10" spans="1:13" x14ac:dyDescent="0.25">
      <c r="A10" s="17">
        <v>0.29166666666666669</v>
      </c>
      <c r="B10" s="15">
        <v>30</v>
      </c>
      <c r="C10" s="15">
        <v>30</v>
      </c>
      <c r="D10" s="2">
        <v>0.95</v>
      </c>
      <c r="E10" s="2">
        <v>0.9</v>
      </c>
      <c r="I10" s="1">
        <v>42961</v>
      </c>
      <c r="J10" s="11">
        <v>15</v>
      </c>
      <c r="K10" s="2">
        <v>0.89</v>
      </c>
      <c r="L10" s="2">
        <v>0.88</v>
      </c>
      <c r="M10" s="2">
        <v>0.9</v>
      </c>
    </row>
    <row r="11" spans="1:13" x14ac:dyDescent="0.25">
      <c r="A11" s="17">
        <v>0.33333333333333298</v>
      </c>
      <c r="B11" s="15">
        <v>20</v>
      </c>
      <c r="C11" s="15">
        <v>20</v>
      </c>
      <c r="D11" s="2">
        <v>0.95</v>
      </c>
      <c r="E11" s="2">
        <v>0.9</v>
      </c>
      <c r="I11" s="1">
        <v>42961</v>
      </c>
      <c r="J11" s="11">
        <v>16</v>
      </c>
      <c r="K11" s="2">
        <v>0.9</v>
      </c>
      <c r="L11" s="2">
        <v>0.88</v>
      </c>
      <c r="M11" s="2">
        <v>0.93</v>
      </c>
    </row>
    <row r="12" spans="1:13" x14ac:dyDescent="0.25">
      <c r="A12" s="17">
        <v>0.375</v>
      </c>
      <c r="B12" s="15">
        <v>27</v>
      </c>
      <c r="C12" s="15">
        <v>27</v>
      </c>
      <c r="D12" s="2">
        <v>0.95</v>
      </c>
      <c r="E12" s="2">
        <v>0.92</v>
      </c>
      <c r="I12" s="1">
        <v>42961</v>
      </c>
      <c r="J12" s="11">
        <v>17</v>
      </c>
      <c r="K12" s="2">
        <v>0.91</v>
      </c>
      <c r="L12" s="2">
        <v>0.88</v>
      </c>
      <c r="M12" s="2">
        <v>0.92</v>
      </c>
    </row>
    <row r="13" spans="1:13" x14ac:dyDescent="0.25">
      <c r="A13" s="17">
        <v>0.41666666666666702</v>
      </c>
      <c r="B13" s="15">
        <v>52</v>
      </c>
      <c r="C13" s="15">
        <v>52</v>
      </c>
      <c r="D13" s="2">
        <v>0.95</v>
      </c>
      <c r="E13" s="2">
        <v>0.89</v>
      </c>
      <c r="I13" s="1">
        <v>42961</v>
      </c>
      <c r="J13" s="11">
        <v>18</v>
      </c>
      <c r="K13" s="2">
        <v>0.91</v>
      </c>
      <c r="L13" s="2">
        <v>0.88</v>
      </c>
      <c r="M13" s="2">
        <v>0.92</v>
      </c>
    </row>
    <row r="14" spans="1:13" x14ac:dyDescent="0.25">
      <c r="A14" s="17">
        <v>0.45833333333333298</v>
      </c>
      <c r="B14" s="15">
        <v>34</v>
      </c>
      <c r="C14" s="15">
        <v>34</v>
      </c>
      <c r="D14" s="2">
        <v>0.95</v>
      </c>
      <c r="E14" s="2">
        <v>0.67</v>
      </c>
      <c r="I14" s="1">
        <v>42961</v>
      </c>
      <c r="J14" s="11">
        <v>19</v>
      </c>
      <c r="K14" s="2">
        <v>0.95</v>
      </c>
      <c r="L14" s="2">
        <v>0.88</v>
      </c>
      <c r="M14" s="2">
        <v>0.89</v>
      </c>
    </row>
    <row r="15" spans="1:13" x14ac:dyDescent="0.25">
      <c r="A15" s="17">
        <v>0.5</v>
      </c>
      <c r="B15" s="15">
        <v>46</v>
      </c>
      <c r="C15" s="15">
        <v>46</v>
      </c>
      <c r="D15" s="2">
        <v>0.95</v>
      </c>
      <c r="E15" s="2">
        <v>0.72</v>
      </c>
    </row>
    <row r="16" spans="1:13" x14ac:dyDescent="0.25">
      <c r="A16" s="17">
        <v>0.54166666666666696</v>
      </c>
      <c r="B16" s="15">
        <v>29</v>
      </c>
      <c r="C16" s="15">
        <v>29</v>
      </c>
      <c r="D16" s="2">
        <v>0.95</v>
      </c>
      <c r="E16" s="2">
        <v>0.9</v>
      </c>
    </row>
    <row r="17" spans="1:14" x14ac:dyDescent="0.25">
      <c r="A17" s="17">
        <v>0.58333333333333304</v>
      </c>
      <c r="B17" s="15">
        <v>10</v>
      </c>
      <c r="C17" s="15">
        <v>10</v>
      </c>
      <c r="D17" s="2">
        <v>0.95</v>
      </c>
      <c r="E17" s="2">
        <v>1.05</v>
      </c>
    </row>
    <row r="18" spans="1:14" x14ac:dyDescent="0.25">
      <c r="A18" s="17">
        <v>0.625</v>
      </c>
      <c r="B18" s="15">
        <v>65</v>
      </c>
      <c r="C18" s="15">
        <v>65</v>
      </c>
      <c r="D18" s="2">
        <v>0.95</v>
      </c>
      <c r="E18" s="2">
        <v>0.9</v>
      </c>
      <c r="J18" s="3" t="s">
        <v>0</v>
      </c>
      <c r="K18" s="3" t="s">
        <v>34</v>
      </c>
      <c r="L18" t="s">
        <v>61</v>
      </c>
      <c r="M18" t="s">
        <v>62</v>
      </c>
      <c r="N18" t="s">
        <v>63</v>
      </c>
    </row>
    <row r="19" spans="1:14" x14ac:dyDescent="0.25">
      <c r="A19" s="17">
        <v>0.66666666666666696</v>
      </c>
      <c r="B19" s="15">
        <v>38</v>
      </c>
      <c r="C19" s="15">
        <v>38</v>
      </c>
      <c r="D19" s="2">
        <v>0.95</v>
      </c>
      <c r="E19" s="2">
        <v>0.93</v>
      </c>
      <c r="J19" s="1">
        <v>42961</v>
      </c>
      <c r="K19">
        <v>7</v>
      </c>
      <c r="L19" s="11">
        <v>0.9</v>
      </c>
      <c r="M19" s="11">
        <v>0.88</v>
      </c>
      <c r="N19" s="11">
        <v>0.9</v>
      </c>
    </row>
    <row r="20" spans="1:14" x14ac:dyDescent="0.25">
      <c r="A20" s="17">
        <v>0.70833333333333304</v>
      </c>
      <c r="B20" s="15">
        <v>46</v>
      </c>
      <c r="C20" s="15">
        <v>46</v>
      </c>
      <c r="D20" s="2">
        <v>0.95</v>
      </c>
      <c r="E20" s="2">
        <v>0.92</v>
      </c>
      <c r="K20">
        <v>8</v>
      </c>
      <c r="L20" s="11">
        <v>0.9</v>
      </c>
      <c r="M20" s="11">
        <v>0.88</v>
      </c>
      <c r="N20" s="11">
        <v>0.9</v>
      </c>
    </row>
    <row r="21" spans="1:14" x14ac:dyDescent="0.25">
      <c r="A21" s="17">
        <v>0.75</v>
      </c>
      <c r="B21" s="15">
        <v>23</v>
      </c>
      <c r="C21" s="15">
        <v>23</v>
      </c>
      <c r="D21" s="2">
        <v>0.95</v>
      </c>
      <c r="E21" s="2">
        <v>0.92</v>
      </c>
      <c r="K21">
        <v>9</v>
      </c>
      <c r="L21" s="11">
        <v>0.91</v>
      </c>
      <c r="M21" s="11">
        <v>0.88</v>
      </c>
      <c r="N21" s="11">
        <v>0.92</v>
      </c>
    </row>
    <row r="22" spans="1:14" x14ac:dyDescent="0.25">
      <c r="A22" s="17">
        <v>0.79166666666666696</v>
      </c>
      <c r="B22" s="15">
        <v>42</v>
      </c>
      <c r="C22" s="15">
        <v>42</v>
      </c>
      <c r="D22" s="2">
        <v>0.95</v>
      </c>
      <c r="E22" s="2">
        <v>0.89</v>
      </c>
      <c r="K22">
        <v>10</v>
      </c>
      <c r="L22" s="11">
        <v>0.88</v>
      </c>
      <c r="M22" s="11">
        <v>0.88</v>
      </c>
      <c r="N22" s="11">
        <v>0.89</v>
      </c>
    </row>
    <row r="23" spans="1:14" x14ac:dyDescent="0.25">
      <c r="K23">
        <v>11</v>
      </c>
      <c r="L23" s="11">
        <v>0.5</v>
      </c>
      <c r="M23" s="11">
        <v>0.88</v>
      </c>
      <c r="N23" s="11">
        <v>0.25</v>
      </c>
    </row>
    <row r="24" spans="1:14" x14ac:dyDescent="0.25">
      <c r="A24" t="s">
        <v>34</v>
      </c>
      <c r="B24" t="s">
        <v>58</v>
      </c>
      <c r="C24" t="s">
        <v>57</v>
      </c>
      <c r="K24">
        <v>12</v>
      </c>
      <c r="L24" s="11">
        <v>0.7</v>
      </c>
      <c r="M24" s="11">
        <v>0.88</v>
      </c>
      <c r="N24" s="11">
        <v>0.81</v>
      </c>
    </row>
    <row r="25" spans="1:14" x14ac:dyDescent="0.25">
      <c r="A25" s="17">
        <v>0.29166666666666669</v>
      </c>
      <c r="B25" s="15">
        <v>30</v>
      </c>
      <c r="C25" s="15">
        <v>30</v>
      </c>
      <c r="K25">
        <v>13</v>
      </c>
      <c r="L25" s="11">
        <v>0.9</v>
      </c>
      <c r="M25" s="11">
        <v>0.88</v>
      </c>
      <c r="N25" s="11">
        <v>1</v>
      </c>
    </row>
    <row r="26" spans="1:14" x14ac:dyDescent="0.25">
      <c r="A26" s="17">
        <v>0.33333333333333298</v>
      </c>
      <c r="B26" s="15">
        <v>20</v>
      </c>
      <c r="C26" s="15">
        <v>20</v>
      </c>
      <c r="K26">
        <v>14</v>
      </c>
      <c r="L26" s="11">
        <v>0.92</v>
      </c>
      <c r="M26" s="11">
        <v>0.88</v>
      </c>
      <c r="N26" s="11">
        <v>1.1100000000000001</v>
      </c>
    </row>
    <row r="27" spans="1:14" x14ac:dyDescent="0.25">
      <c r="A27" s="17">
        <v>0.375</v>
      </c>
      <c r="B27" s="15">
        <v>27</v>
      </c>
      <c r="C27" s="15">
        <v>27</v>
      </c>
      <c r="K27">
        <v>15</v>
      </c>
      <c r="L27" s="11">
        <v>0.89</v>
      </c>
      <c r="M27" s="11">
        <v>0.88</v>
      </c>
      <c r="N27" s="11">
        <v>0.9</v>
      </c>
    </row>
    <row r="28" spans="1:14" x14ac:dyDescent="0.25">
      <c r="A28" s="17">
        <v>0.41666666666666702</v>
      </c>
      <c r="B28" s="15">
        <v>52</v>
      </c>
      <c r="C28" s="15">
        <v>52</v>
      </c>
      <c r="K28">
        <v>16</v>
      </c>
      <c r="L28" s="11">
        <v>0.9</v>
      </c>
      <c r="M28" s="11">
        <v>0.88</v>
      </c>
      <c r="N28" s="11">
        <v>0.93</v>
      </c>
    </row>
    <row r="29" spans="1:14" x14ac:dyDescent="0.25">
      <c r="A29" s="17">
        <v>0.45833333333333298</v>
      </c>
      <c r="B29" s="15">
        <v>34</v>
      </c>
      <c r="C29" s="15">
        <v>34</v>
      </c>
      <c r="K29">
        <v>17</v>
      </c>
      <c r="L29" s="11">
        <v>0.91</v>
      </c>
      <c r="M29" s="11">
        <v>0.88</v>
      </c>
      <c r="N29" s="11">
        <v>0.92</v>
      </c>
    </row>
    <row r="30" spans="1:14" x14ac:dyDescent="0.25">
      <c r="A30" s="17">
        <v>0.5</v>
      </c>
      <c r="B30" s="15">
        <v>46</v>
      </c>
      <c r="C30" s="15">
        <v>46</v>
      </c>
      <c r="K30">
        <v>18</v>
      </c>
      <c r="L30" s="11">
        <v>0.91</v>
      </c>
      <c r="M30" s="11">
        <v>0.88</v>
      </c>
      <c r="N30" s="11">
        <v>0.92</v>
      </c>
    </row>
    <row r="31" spans="1:14" x14ac:dyDescent="0.25">
      <c r="A31" s="17">
        <v>0.54166666666666696</v>
      </c>
      <c r="B31" s="15">
        <v>29</v>
      </c>
      <c r="C31" s="15">
        <v>29</v>
      </c>
      <c r="K31">
        <v>19</v>
      </c>
      <c r="L31" s="11">
        <v>0.95</v>
      </c>
      <c r="M31" s="11">
        <v>0.88</v>
      </c>
      <c r="N31" s="11">
        <v>0.89</v>
      </c>
    </row>
    <row r="32" spans="1:14" x14ac:dyDescent="0.25">
      <c r="A32" s="17">
        <v>0.58333333333333304</v>
      </c>
      <c r="B32" s="15">
        <v>10</v>
      </c>
      <c r="C32" s="15">
        <v>10</v>
      </c>
      <c r="J32" s="1" t="s">
        <v>15</v>
      </c>
      <c r="L32" s="11">
        <v>11.17</v>
      </c>
      <c r="M32" s="11">
        <v>11.440000000000003</v>
      </c>
      <c r="N32" s="11">
        <v>11.340000000000002</v>
      </c>
    </row>
    <row r="33" spans="1:14" x14ac:dyDescent="0.25">
      <c r="A33" s="17">
        <v>0.625</v>
      </c>
      <c r="B33" s="15">
        <v>65</v>
      </c>
      <c r="C33" s="15">
        <v>65</v>
      </c>
    </row>
    <row r="34" spans="1:14" x14ac:dyDescent="0.25">
      <c r="A34" s="17">
        <v>0.66666666666666696</v>
      </c>
      <c r="B34" s="15">
        <v>38</v>
      </c>
      <c r="C34" s="15">
        <v>38</v>
      </c>
      <c r="M34" s="11"/>
      <c r="N34" s="11"/>
    </row>
    <row r="35" spans="1:14" x14ac:dyDescent="0.25">
      <c r="A35" s="17">
        <v>0.70833333333333304</v>
      </c>
      <c r="B35" s="15">
        <v>46</v>
      </c>
      <c r="C35" s="15">
        <v>46</v>
      </c>
      <c r="M35" s="11"/>
      <c r="N35" s="11"/>
    </row>
    <row r="36" spans="1:14" x14ac:dyDescent="0.25">
      <c r="A36" s="17">
        <v>0.75</v>
      </c>
      <c r="B36" s="15">
        <v>23</v>
      </c>
      <c r="C36" s="15">
        <v>23</v>
      </c>
      <c r="K36" s="17"/>
      <c r="L36" s="11"/>
      <c r="M36" s="11"/>
      <c r="N36" s="11"/>
    </row>
    <row r="37" spans="1:14" x14ac:dyDescent="0.25">
      <c r="A37" s="17">
        <v>0.79166666666666696</v>
      </c>
      <c r="B37" s="15">
        <v>42</v>
      </c>
      <c r="C37" s="15">
        <v>42</v>
      </c>
      <c r="J37" s="1"/>
      <c r="L37" s="11"/>
      <c r="M37" s="11"/>
      <c r="N37"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8"/>
  <dimension ref="A1:G8"/>
  <sheetViews>
    <sheetView workbookViewId="0">
      <selection activeCell="A6" sqref="A6"/>
    </sheetView>
  </sheetViews>
  <sheetFormatPr defaultRowHeight="15" x14ac:dyDescent="0.25"/>
  <cols>
    <col min="1" max="1" width="18.28515625" bestFit="1" customWidth="1"/>
    <col min="2" max="2" width="21.7109375" bestFit="1" customWidth="1"/>
    <col min="3" max="3" width="19.7109375" bestFit="1" customWidth="1"/>
    <col min="4" max="4" width="23.140625" bestFit="1" customWidth="1"/>
    <col min="5" max="5" width="11.140625" bestFit="1" customWidth="1"/>
    <col min="6" max="6" width="28.85546875" bestFit="1" customWidth="1"/>
    <col min="7" max="8" width="11.28515625" bestFit="1" customWidth="1"/>
    <col min="9" max="9" width="9.85546875" bestFit="1" customWidth="1"/>
    <col min="10" max="10" width="11.28515625" bestFit="1" customWidth="1"/>
    <col min="11" max="11" width="25.7109375" bestFit="1" customWidth="1"/>
    <col min="12" max="12" width="11.28515625" bestFit="1" customWidth="1"/>
  </cols>
  <sheetData>
    <row r="1" spans="1:7" x14ac:dyDescent="0.25">
      <c r="A1" s="3" t="s">
        <v>6</v>
      </c>
      <c r="B1" t="s">
        <v>43</v>
      </c>
    </row>
    <row r="2" spans="1:7" x14ac:dyDescent="0.25">
      <c r="A2" s="3" t="s">
        <v>4</v>
      </c>
      <c r="B2" t="s">
        <v>43</v>
      </c>
    </row>
    <row r="3" spans="1:7" x14ac:dyDescent="0.25">
      <c r="A3" s="3" t="s">
        <v>8</v>
      </c>
      <c r="B3" t="s">
        <v>73</v>
      </c>
    </row>
    <row r="4" spans="1:7" x14ac:dyDescent="0.25">
      <c r="A4" s="3" t="s">
        <v>59</v>
      </c>
      <c r="B4" t="s">
        <v>45</v>
      </c>
    </row>
    <row r="6" spans="1:7" x14ac:dyDescent="0.25">
      <c r="B6" s="3" t="s">
        <v>5</v>
      </c>
    </row>
    <row r="7" spans="1:7" x14ac:dyDescent="0.25">
      <c r="B7" t="s">
        <v>69</v>
      </c>
      <c r="C7" t="s">
        <v>70</v>
      </c>
      <c r="D7" t="s">
        <v>71</v>
      </c>
      <c r="E7" t="s">
        <v>72</v>
      </c>
      <c r="F7" t="s">
        <v>75</v>
      </c>
      <c r="G7" t="s">
        <v>15</v>
      </c>
    </row>
    <row r="8" spans="1:7" x14ac:dyDescent="0.25">
      <c r="A8" t="s">
        <v>46</v>
      </c>
      <c r="B8" s="11">
        <v>1090</v>
      </c>
      <c r="C8" s="11">
        <v>1252</v>
      </c>
      <c r="D8" s="11">
        <v>1319</v>
      </c>
      <c r="E8" s="11">
        <v>1980</v>
      </c>
      <c r="F8" s="11">
        <v>82</v>
      </c>
      <c r="G8" s="11">
        <v>5723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H10"/>
  <sheetViews>
    <sheetView workbookViewId="0">
      <selection activeCell="C9" sqref="C9"/>
    </sheetView>
  </sheetViews>
  <sheetFormatPr defaultRowHeight="15" x14ac:dyDescent="0.25"/>
  <cols>
    <col min="1" max="1" width="13.140625" bestFit="1" customWidth="1"/>
    <col min="2" max="2" width="24.7109375" bestFit="1" customWidth="1"/>
    <col min="3" max="3" width="15.42578125" bestFit="1" customWidth="1"/>
    <col min="4" max="4" width="23.140625" bestFit="1" customWidth="1"/>
    <col min="5" max="5" width="15.42578125" bestFit="1" customWidth="1"/>
    <col min="6" max="6" width="23.140625" bestFit="1" customWidth="1"/>
    <col min="7" max="7" width="15.42578125" bestFit="1" customWidth="1"/>
    <col min="8" max="8" width="28.140625" bestFit="1" customWidth="1"/>
    <col min="9" max="9" width="20.42578125" bestFit="1" customWidth="1"/>
  </cols>
  <sheetData>
    <row r="1" spans="1:8" ht="15.75" thickBot="1" x14ac:dyDescent="0.3">
      <c r="A1" s="3" t="s">
        <v>1</v>
      </c>
      <c r="B1" t="s">
        <v>45</v>
      </c>
    </row>
    <row r="2" spans="1:8" x14ac:dyDescent="0.25">
      <c r="A2" s="3" t="s">
        <v>59</v>
      </c>
      <c r="B2" t="s">
        <v>45</v>
      </c>
      <c r="E2" s="4" t="s">
        <v>10</v>
      </c>
      <c r="F2" s="5" t="s">
        <v>11</v>
      </c>
      <c r="G2" s="6" t="s">
        <v>3</v>
      </c>
      <c r="H2" s="6" t="s">
        <v>12</v>
      </c>
    </row>
    <row r="3" spans="1:8" ht="15.75" thickBot="1" x14ac:dyDescent="0.3">
      <c r="A3" s="3" t="s">
        <v>7</v>
      </c>
      <c r="B3" t="s">
        <v>72</v>
      </c>
      <c r="E3" s="7" t="e">
        <f ca="1">GETPIVOTDATA("Skutečnost %",$A$7)</f>
        <v>#REF!</v>
      </c>
      <c r="F3" s="8" t="e">
        <f ca="1">1-$E$3</f>
        <v>#REF!</v>
      </c>
      <c r="G3" s="9" t="e">
        <f ca="1">GETPIVOTDATA("Average of Cíl %",$A$7)</f>
        <v>#REF!</v>
      </c>
      <c r="H3" s="10" t="e">
        <f ca="1">1-G3</f>
        <v>#REF!</v>
      </c>
    </row>
    <row r="5" spans="1:8" x14ac:dyDescent="0.25">
      <c r="B5" s="3" t="s">
        <v>5</v>
      </c>
    </row>
    <row r="6" spans="1:8" x14ac:dyDescent="0.25">
      <c r="B6" t="s">
        <v>66</v>
      </c>
    </row>
    <row r="7" spans="1:8" x14ac:dyDescent="0.25">
      <c r="A7" s="3" t="s">
        <v>64</v>
      </c>
      <c r="B7" t="s">
        <v>13</v>
      </c>
      <c r="C7" t="s">
        <v>14</v>
      </c>
    </row>
    <row r="8" spans="1:8" x14ac:dyDescent="0.25">
      <c r="A8" s="19" t="s">
        <v>101</v>
      </c>
      <c r="B8" s="11">
        <v>0.87536280251371035</v>
      </c>
      <c r="C8" s="11">
        <v>0.7999999999999986</v>
      </c>
    </row>
    <row r="9" spans="1:8" x14ac:dyDescent="0.25">
      <c r="A9" s="19" t="s">
        <v>76</v>
      </c>
      <c r="B9" s="11">
        <v>0.84829582792554581</v>
      </c>
      <c r="C9" s="11">
        <v>0.79999999999999993</v>
      </c>
    </row>
    <row r="10" spans="1:8" x14ac:dyDescent="0.25">
      <c r="A10" s="19" t="s">
        <v>15</v>
      </c>
      <c r="B10" s="11">
        <v>0.86621066002706504</v>
      </c>
      <c r="C10" s="11">
        <v>0.79999999999999805</v>
      </c>
    </row>
  </sheetData>
  <dataConsolidate/>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H11"/>
  <sheetViews>
    <sheetView workbookViewId="0">
      <selection activeCell="C7" sqref="C7"/>
    </sheetView>
  </sheetViews>
  <sheetFormatPr defaultRowHeight="15" x14ac:dyDescent="0.25"/>
  <cols>
    <col min="2" max="2" width="12.42578125" bestFit="1" customWidth="1"/>
    <col min="3" max="10" width="26.85546875" bestFit="1" customWidth="1"/>
  </cols>
  <sheetData>
    <row r="1" spans="2:8" x14ac:dyDescent="0.25">
      <c r="B1" s="3" t="s">
        <v>6</v>
      </c>
      <c r="C1" t="s">
        <v>68</v>
      </c>
    </row>
    <row r="2" spans="2:8" x14ac:dyDescent="0.25">
      <c r="B2" s="3" t="s">
        <v>4</v>
      </c>
      <c r="C2" t="s">
        <v>66</v>
      </c>
    </row>
    <row r="3" spans="2:8" x14ac:dyDescent="0.25">
      <c r="B3" s="3" t="s">
        <v>7</v>
      </c>
      <c r="C3" t="s">
        <v>72</v>
      </c>
    </row>
    <row r="4" spans="2:8" x14ac:dyDescent="0.25">
      <c r="B4" s="3" t="s">
        <v>59</v>
      </c>
      <c r="C4" t="s">
        <v>45</v>
      </c>
    </row>
    <row r="6" spans="2:8" x14ac:dyDescent="0.25">
      <c r="C6" s="3" t="s">
        <v>8</v>
      </c>
      <c r="D6" s="3" t="s">
        <v>60</v>
      </c>
    </row>
    <row r="7" spans="2:8" x14ac:dyDescent="0.25">
      <c r="C7" t="s">
        <v>67</v>
      </c>
      <c r="E7" t="s">
        <v>73</v>
      </c>
      <c r="G7" t="s">
        <v>74</v>
      </c>
    </row>
    <row r="8" spans="2:8" x14ac:dyDescent="0.25">
      <c r="B8" s="3" t="s">
        <v>0</v>
      </c>
      <c r="C8" t="s">
        <v>13</v>
      </c>
      <c r="D8" t="s">
        <v>14</v>
      </c>
      <c r="E8" t="s">
        <v>13</v>
      </c>
      <c r="F8" t="s">
        <v>14</v>
      </c>
      <c r="G8" t="s">
        <v>13</v>
      </c>
      <c r="H8" t="s">
        <v>14</v>
      </c>
    </row>
    <row r="9" spans="2:8" x14ac:dyDescent="0.25">
      <c r="B9" t="s">
        <v>101</v>
      </c>
      <c r="C9" s="11">
        <v>0.87960247637666999</v>
      </c>
      <c r="D9" s="11">
        <v>0.80000000000000038</v>
      </c>
      <c r="E9" s="11">
        <v>0.89298631516641092</v>
      </c>
      <c r="F9" s="11">
        <v>0.80000000000000038</v>
      </c>
      <c r="G9" s="11">
        <v>0.85406811640620195</v>
      </c>
      <c r="H9" s="11">
        <v>0.80000000000000038</v>
      </c>
    </row>
    <row r="10" spans="2:8" x14ac:dyDescent="0.25">
      <c r="B10" t="s">
        <v>76</v>
      </c>
      <c r="C10" s="11">
        <v>0.96952266483516492</v>
      </c>
      <c r="D10" s="11">
        <v>0.80000000000000016</v>
      </c>
      <c r="E10" s="11">
        <v>0.79404100681525591</v>
      </c>
      <c r="F10" s="11">
        <v>0.80000000000000016</v>
      </c>
      <c r="G10" s="11">
        <v>0.77685901107292865</v>
      </c>
      <c r="H10" s="11">
        <v>0.80000000000000016</v>
      </c>
    </row>
    <row r="11" spans="2:8" x14ac:dyDescent="0.25">
      <c r="B11" t="s">
        <v>15</v>
      </c>
      <c r="C11" s="11">
        <v>0.9102136043625404</v>
      </c>
      <c r="D11" s="11">
        <v>0.79999999999999993</v>
      </c>
      <c r="E11" s="11">
        <v>0.85857055573992203</v>
      </c>
      <c r="F11" s="11">
        <v>0.79999999999999993</v>
      </c>
      <c r="G11" s="11">
        <v>0.82889123423230859</v>
      </c>
      <c r="H11" s="11">
        <v>0.79999999999999993</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1:F56"/>
  <sheetViews>
    <sheetView workbookViewId="0">
      <selection activeCell="B16" sqref="B16"/>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7" width="32.85546875" bestFit="1" customWidth="1"/>
  </cols>
  <sheetData>
    <row r="1" spans="2:6" x14ac:dyDescent="0.25">
      <c r="B1" s="3" t="s">
        <v>6</v>
      </c>
      <c r="C1" t="s">
        <v>68</v>
      </c>
    </row>
    <row r="2" spans="2:6" x14ac:dyDescent="0.25">
      <c r="B2" s="3" t="s">
        <v>4</v>
      </c>
      <c r="C2" t="s">
        <v>66</v>
      </c>
    </row>
    <row r="3" spans="2:6" x14ac:dyDescent="0.25">
      <c r="B3" s="3" t="s">
        <v>7</v>
      </c>
      <c r="C3" t="s">
        <v>69</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0.75</v>
      </c>
      <c r="E10" s="11">
        <v>0.80000000000000016</v>
      </c>
      <c r="F10" s="11">
        <v>0</v>
      </c>
    </row>
    <row r="11" spans="2:6" x14ac:dyDescent="0.25">
      <c r="C11" t="s">
        <v>105</v>
      </c>
      <c r="D11" s="11">
        <v>0.51219512195121952</v>
      </c>
      <c r="E11" s="11">
        <v>0.8</v>
      </c>
      <c r="F11" s="11">
        <v>0</v>
      </c>
    </row>
    <row r="12" spans="2:6" x14ac:dyDescent="0.25">
      <c r="C12" t="s">
        <v>106</v>
      </c>
      <c r="D12" s="11">
        <v>1</v>
      </c>
      <c r="E12" s="11">
        <v>0.8</v>
      </c>
      <c r="F12" s="11">
        <v>0</v>
      </c>
    </row>
    <row r="13" spans="2:6" x14ac:dyDescent="0.25">
      <c r="C13" t="s">
        <v>107</v>
      </c>
      <c r="D13" s="11">
        <v>1</v>
      </c>
      <c r="E13" s="11">
        <v>0.8</v>
      </c>
      <c r="F13" s="11">
        <v>0</v>
      </c>
    </row>
    <row r="14" spans="2:6" x14ac:dyDescent="0.25">
      <c r="C14" t="s">
        <v>108</v>
      </c>
      <c r="D14" s="11">
        <v>0.65097856477166827</v>
      </c>
      <c r="E14" s="11">
        <v>0.80000000000000016</v>
      </c>
      <c r="F14" s="11">
        <v>0</v>
      </c>
    </row>
    <row r="15" spans="2:6" x14ac:dyDescent="0.25">
      <c r="C15" t="s">
        <v>109</v>
      </c>
      <c r="D15" s="11">
        <v>0.41333333333333333</v>
      </c>
      <c r="E15" s="11">
        <v>0.80000000000000016</v>
      </c>
      <c r="F15" s="11">
        <v>0</v>
      </c>
    </row>
    <row r="16" spans="2:6" x14ac:dyDescent="0.25">
      <c r="C16" t="s">
        <v>110</v>
      </c>
      <c r="D16" s="11">
        <v>1</v>
      </c>
      <c r="E16" s="11">
        <v>0.8</v>
      </c>
      <c r="F16" s="11">
        <v>0</v>
      </c>
    </row>
    <row r="17" spans="3:6" x14ac:dyDescent="0.25">
      <c r="C17" t="s">
        <v>111</v>
      </c>
      <c r="D17" s="11">
        <v>0.79166666666666663</v>
      </c>
      <c r="E17" s="11">
        <v>0.80000000000000016</v>
      </c>
      <c r="F17" s="11">
        <v>0</v>
      </c>
    </row>
    <row r="18" spans="3:6" x14ac:dyDescent="0.25">
      <c r="C18" t="s">
        <v>112</v>
      </c>
      <c r="D18" s="11">
        <v>1</v>
      </c>
      <c r="E18" s="11">
        <v>0.8</v>
      </c>
      <c r="F18" s="11">
        <v>0</v>
      </c>
    </row>
    <row r="19" spans="3:6" x14ac:dyDescent="0.25">
      <c r="C19" t="s">
        <v>113</v>
      </c>
      <c r="D19" s="11">
        <v>1</v>
      </c>
      <c r="E19" s="11">
        <v>0.80000000000000016</v>
      </c>
      <c r="F19" s="11">
        <v>0</v>
      </c>
    </row>
    <row r="20" spans="3:6" x14ac:dyDescent="0.25">
      <c r="C20" t="s">
        <v>114</v>
      </c>
      <c r="D20" s="11">
        <v>0.81944444444444453</v>
      </c>
      <c r="E20" s="11">
        <v>0.80000000000000016</v>
      </c>
      <c r="F20" s="11">
        <v>0</v>
      </c>
    </row>
    <row r="21" spans="3:6" x14ac:dyDescent="0.25">
      <c r="C21" t="s">
        <v>115</v>
      </c>
      <c r="D21" s="11">
        <v>0.2857142857142857</v>
      </c>
      <c r="E21" s="11">
        <v>0.8</v>
      </c>
      <c r="F21" s="11">
        <v>0</v>
      </c>
    </row>
    <row r="22" spans="3:6" x14ac:dyDescent="0.25">
      <c r="C22" t="s">
        <v>116</v>
      </c>
      <c r="D22" s="11">
        <v>0.95161290322580649</v>
      </c>
      <c r="E22" s="11">
        <v>0.8</v>
      </c>
      <c r="F22" s="11">
        <v>0</v>
      </c>
    </row>
    <row r="23" spans="3:6" x14ac:dyDescent="0.25">
      <c r="C23" t="s">
        <v>117</v>
      </c>
      <c r="D23" s="11">
        <v>0.9731182795698925</v>
      </c>
      <c r="E23" s="11">
        <v>0.80000000000000016</v>
      </c>
      <c r="F23" s="11">
        <v>0</v>
      </c>
    </row>
    <row r="24" spans="3:6" x14ac:dyDescent="0.25">
      <c r="C24" t="s">
        <v>118</v>
      </c>
      <c r="D24" s="11">
        <v>0.61904761904761907</v>
      </c>
      <c r="E24" s="11">
        <v>0.80000000000000016</v>
      </c>
      <c r="F24" s="11">
        <v>0</v>
      </c>
    </row>
    <row r="25" spans="3:6" x14ac:dyDescent="0.25">
      <c r="C25" t="s">
        <v>119</v>
      </c>
      <c r="D25" s="11">
        <v>0.61111111111111116</v>
      </c>
      <c r="E25" s="11">
        <v>0.80000000000000016</v>
      </c>
      <c r="F25" s="11">
        <v>0</v>
      </c>
    </row>
    <row r="26" spans="3:6" x14ac:dyDescent="0.25">
      <c r="C26" t="s">
        <v>120</v>
      </c>
      <c r="D26" s="11">
        <v>0.9916666666666667</v>
      </c>
      <c r="E26" s="11">
        <v>0.80000000000000016</v>
      </c>
      <c r="F26" s="11">
        <v>0</v>
      </c>
    </row>
    <row r="27" spans="3:6" x14ac:dyDescent="0.25">
      <c r="C27" t="s">
        <v>121</v>
      </c>
      <c r="D27" s="11">
        <v>0.97138047138047146</v>
      </c>
      <c r="E27" s="11">
        <v>0.80000000000000016</v>
      </c>
      <c r="F27" s="11">
        <v>0</v>
      </c>
    </row>
    <row r="28" spans="3:6" x14ac:dyDescent="0.25">
      <c r="C28" t="s">
        <v>77</v>
      </c>
      <c r="D28" s="11">
        <v>0.94444444444444453</v>
      </c>
      <c r="E28" s="11">
        <v>0.80000000000000016</v>
      </c>
      <c r="F28" s="11">
        <v>0</v>
      </c>
    </row>
    <row r="29" spans="3:6" x14ac:dyDescent="0.25">
      <c r="C29" t="s">
        <v>99</v>
      </c>
      <c r="D29" s="11">
        <v>0.24</v>
      </c>
      <c r="E29" s="11">
        <v>0.8</v>
      </c>
      <c r="F29" s="11">
        <v>0</v>
      </c>
    </row>
    <row r="30" spans="3:6" x14ac:dyDescent="0.25">
      <c r="C30" t="s">
        <v>78</v>
      </c>
      <c r="D30" s="11">
        <v>0.66666666666666663</v>
      </c>
      <c r="E30" s="11">
        <v>0.80000000000000016</v>
      </c>
      <c r="F30" s="11">
        <v>0</v>
      </c>
    </row>
    <row r="31" spans="3:6" x14ac:dyDescent="0.25">
      <c r="C31" t="s">
        <v>79</v>
      </c>
      <c r="D31" s="11">
        <v>1</v>
      </c>
      <c r="E31" s="11">
        <v>0.80000000000000016</v>
      </c>
      <c r="F31" s="11">
        <v>0</v>
      </c>
    </row>
    <row r="32" spans="3:6" x14ac:dyDescent="0.25">
      <c r="C32" t="s">
        <v>80</v>
      </c>
      <c r="D32" s="11">
        <v>0.84935897435897445</v>
      </c>
      <c r="E32" s="11">
        <v>0.80000000000000016</v>
      </c>
      <c r="F32" s="11">
        <v>0</v>
      </c>
    </row>
    <row r="33" spans="2:6" x14ac:dyDescent="0.25">
      <c r="C33" t="s">
        <v>81</v>
      </c>
      <c r="D33" s="11">
        <v>0.83333333333333337</v>
      </c>
      <c r="E33" s="11">
        <v>0.80000000000000016</v>
      </c>
      <c r="F33" s="11">
        <v>0</v>
      </c>
    </row>
    <row r="34" spans="2:6" x14ac:dyDescent="0.25">
      <c r="C34" t="s">
        <v>82</v>
      </c>
      <c r="D34" s="11">
        <v>0.87777777777777777</v>
      </c>
      <c r="E34" s="11">
        <v>0.80000000000000016</v>
      </c>
      <c r="F34" s="11">
        <v>0</v>
      </c>
    </row>
    <row r="35" spans="2:6" x14ac:dyDescent="0.25">
      <c r="C35" t="s">
        <v>83</v>
      </c>
      <c r="D35" s="11">
        <v>0.74074074074074081</v>
      </c>
      <c r="E35" s="11">
        <v>0.80000000000000016</v>
      </c>
      <c r="F35" s="11">
        <v>0</v>
      </c>
    </row>
    <row r="36" spans="2:6" x14ac:dyDescent="0.25">
      <c r="C36" t="s">
        <v>84</v>
      </c>
      <c r="D36" s="11">
        <v>1</v>
      </c>
      <c r="E36" s="11">
        <v>0.8</v>
      </c>
      <c r="F36" s="11">
        <v>0</v>
      </c>
    </row>
    <row r="37" spans="2:6" x14ac:dyDescent="0.25">
      <c r="C37" t="s">
        <v>85</v>
      </c>
      <c r="D37" s="11">
        <v>1</v>
      </c>
      <c r="E37" s="11">
        <v>0.80000000000000016</v>
      </c>
      <c r="F37" s="11">
        <v>0</v>
      </c>
    </row>
    <row r="38" spans="2:6" x14ac:dyDescent="0.25">
      <c r="C38" t="s">
        <v>122</v>
      </c>
      <c r="D38" s="11">
        <v>0.84139784946236562</v>
      </c>
      <c r="E38" s="11">
        <v>0.80000000000000016</v>
      </c>
      <c r="F38" s="11">
        <v>0</v>
      </c>
    </row>
    <row r="39" spans="2:6" x14ac:dyDescent="0.25">
      <c r="C39" t="s">
        <v>123</v>
      </c>
      <c r="D39" s="11">
        <v>0.92156862745098034</v>
      </c>
      <c r="E39" s="11">
        <v>0.80000000000000016</v>
      </c>
      <c r="F39" s="11">
        <v>0</v>
      </c>
    </row>
    <row r="40" spans="2:6" x14ac:dyDescent="0.25">
      <c r="B40" t="s">
        <v>76</v>
      </c>
      <c r="C40" t="s">
        <v>86</v>
      </c>
      <c r="D40" s="11">
        <v>0.7857142857142857</v>
      </c>
      <c r="E40" s="11">
        <v>0.8</v>
      </c>
      <c r="F40" s="11">
        <v>0</v>
      </c>
    </row>
    <row r="41" spans="2:6" x14ac:dyDescent="0.25">
      <c r="C41" t="s">
        <v>87</v>
      </c>
      <c r="D41" s="11">
        <v>1</v>
      </c>
      <c r="E41" s="11">
        <v>0.80000000000000016</v>
      </c>
      <c r="F41" s="11">
        <v>0</v>
      </c>
    </row>
    <row r="42" spans="2:6" x14ac:dyDescent="0.25">
      <c r="C42" t="s">
        <v>88</v>
      </c>
      <c r="D42" s="11">
        <v>0.68293211884623728</v>
      </c>
      <c r="E42" s="11">
        <v>0.80000000000000016</v>
      </c>
      <c r="F42" s="11">
        <v>0</v>
      </c>
    </row>
    <row r="43" spans="2:6" x14ac:dyDescent="0.25">
      <c r="C43" t="s">
        <v>89</v>
      </c>
      <c r="D43" s="11">
        <v>0.41666666666666669</v>
      </c>
      <c r="E43" s="11">
        <v>0.80000000000000016</v>
      </c>
      <c r="F43" s="11">
        <v>0</v>
      </c>
    </row>
    <row r="44" spans="2:6" x14ac:dyDescent="0.25">
      <c r="C44" t="s">
        <v>90</v>
      </c>
      <c r="D44" s="11">
        <v>1</v>
      </c>
      <c r="E44" s="11">
        <v>0.8</v>
      </c>
      <c r="F44" s="11">
        <v>0</v>
      </c>
    </row>
    <row r="45" spans="2:6" x14ac:dyDescent="0.25">
      <c r="C45" t="s">
        <v>100</v>
      </c>
      <c r="D45" s="11">
        <v>1</v>
      </c>
      <c r="E45" s="11">
        <v>0.8</v>
      </c>
      <c r="F45" s="11">
        <v>0</v>
      </c>
    </row>
    <row r="46" spans="2:6" x14ac:dyDescent="0.25">
      <c r="C46" t="s">
        <v>91</v>
      </c>
      <c r="D46" s="11">
        <v>1</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2:6" x14ac:dyDescent="0.25">
      <c r="C49" t="s">
        <v>94</v>
      </c>
      <c r="D49" s="11">
        <v>0.98611111111111116</v>
      </c>
      <c r="E49" s="11">
        <v>0.80000000000000016</v>
      </c>
      <c r="F49" s="11">
        <v>0</v>
      </c>
    </row>
    <row r="50" spans="2:6" x14ac:dyDescent="0.25">
      <c r="C50" t="s">
        <v>95</v>
      </c>
      <c r="D50" s="11">
        <v>0.70906432748538017</v>
      </c>
      <c r="E50" s="11">
        <v>0.80000000000000016</v>
      </c>
      <c r="F50" s="11">
        <v>0</v>
      </c>
    </row>
    <row r="51" spans="2:6" x14ac:dyDescent="0.25">
      <c r="C51" t="s">
        <v>96</v>
      </c>
      <c r="D51" s="11">
        <v>0.96969696969696972</v>
      </c>
      <c r="E51" s="11">
        <v>0.80000000000000016</v>
      </c>
      <c r="F51" s="11">
        <v>0</v>
      </c>
    </row>
    <row r="52" spans="2:6" x14ac:dyDescent="0.25">
      <c r="C52" t="s">
        <v>97</v>
      </c>
      <c r="D52" s="11">
        <v>0.93550893550893555</v>
      </c>
      <c r="E52" s="11">
        <v>0.80000000000000016</v>
      </c>
      <c r="F52" s="11">
        <v>0</v>
      </c>
    </row>
    <row r="53" spans="2:6" x14ac:dyDescent="0.25">
      <c r="C53" t="s">
        <v>98</v>
      </c>
      <c r="D53" s="11">
        <v>1</v>
      </c>
      <c r="E53" s="11">
        <v>0.8</v>
      </c>
      <c r="F53" s="11">
        <v>0</v>
      </c>
    </row>
    <row r="54" spans="2:6" x14ac:dyDescent="0.25">
      <c r="C54" t="s">
        <v>124</v>
      </c>
      <c r="D54" s="11">
        <v>0.74489795918367352</v>
      </c>
      <c r="E54" s="11">
        <v>0.8</v>
      </c>
      <c r="F54" s="11">
        <v>0</v>
      </c>
    </row>
    <row r="55" spans="2:6" x14ac:dyDescent="0.25">
      <c r="C55" t="s">
        <v>125</v>
      </c>
      <c r="D55" s="11">
        <v>0.98969072164948457</v>
      </c>
      <c r="E55" s="11">
        <v>0.80000000000000016</v>
      </c>
      <c r="F55" s="11">
        <v>0</v>
      </c>
    </row>
    <row r="56" spans="2:6" x14ac:dyDescent="0.25">
      <c r="B56" t="s">
        <v>15</v>
      </c>
      <c r="D56" s="11">
        <v>0.84741536141344331</v>
      </c>
      <c r="E56" s="11">
        <v>0.79999999999999816</v>
      </c>
      <c r="F56" s="11">
        <v>0</v>
      </c>
    </row>
  </sheetData>
  <dataConsolidate/>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B1:F56"/>
  <sheetViews>
    <sheetView workbookViewId="0">
      <selection activeCell="B4" sqref="B4"/>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70</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0.64031007751937985</v>
      </c>
      <c r="E15" s="11">
        <v>0.80000000000000016</v>
      </c>
      <c r="F15" s="11">
        <v>0</v>
      </c>
    </row>
    <row r="16" spans="2:6" x14ac:dyDescent="0.25">
      <c r="C16" t="s">
        <v>110</v>
      </c>
      <c r="D16" s="11">
        <v>0.16216216216216217</v>
      </c>
      <c r="E16" s="11">
        <v>0.8</v>
      </c>
      <c r="F16" s="11">
        <v>0</v>
      </c>
    </row>
    <row r="17" spans="3:6" x14ac:dyDescent="0.25">
      <c r="C17" t="s">
        <v>111</v>
      </c>
      <c r="D17" s="11">
        <v>0.61471861471861466</v>
      </c>
      <c r="E17" s="11">
        <v>0.80000000000000016</v>
      </c>
      <c r="F17" s="11">
        <v>0</v>
      </c>
    </row>
    <row r="18" spans="3:6" x14ac:dyDescent="0.25">
      <c r="C18" t="s">
        <v>112</v>
      </c>
      <c r="D18" s="11">
        <v>0.55555555555555547</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0.64444444444444449</v>
      </c>
      <c r="E21" s="11">
        <v>0.80000000000000016</v>
      </c>
      <c r="F21" s="11">
        <v>0</v>
      </c>
    </row>
    <row r="22" spans="3:6" x14ac:dyDescent="0.25">
      <c r="C22" t="s">
        <v>116</v>
      </c>
      <c r="D22" s="11">
        <v>0.96114369501466279</v>
      </c>
      <c r="E22" s="11">
        <v>0.8</v>
      </c>
      <c r="F22" s="11">
        <v>0</v>
      </c>
    </row>
    <row r="23" spans="3:6" x14ac:dyDescent="0.25">
      <c r="C23" t="s">
        <v>117</v>
      </c>
      <c r="D23" s="11">
        <v>1</v>
      </c>
      <c r="E23" s="11">
        <v>0.80000000000000016</v>
      </c>
      <c r="F23" s="11">
        <v>0</v>
      </c>
    </row>
    <row r="24" spans="3:6" x14ac:dyDescent="0.25">
      <c r="C24" t="s">
        <v>118</v>
      </c>
      <c r="D24" s="11">
        <v>0.98571428571428577</v>
      </c>
      <c r="E24" s="11">
        <v>0.8</v>
      </c>
      <c r="F24" s="11">
        <v>0</v>
      </c>
    </row>
    <row r="25" spans="3:6" x14ac:dyDescent="0.25">
      <c r="C25" t="s">
        <v>119</v>
      </c>
      <c r="D25" s="11">
        <v>0.90625</v>
      </c>
      <c r="E25" s="11">
        <v>0.8</v>
      </c>
      <c r="F25" s="11">
        <v>0</v>
      </c>
    </row>
    <row r="26" spans="3:6" x14ac:dyDescent="0.25">
      <c r="C26" t="s">
        <v>120</v>
      </c>
      <c r="D26" s="11">
        <v>1</v>
      </c>
      <c r="E26" s="11">
        <v>0.80000000000000016</v>
      </c>
      <c r="F26" s="11">
        <v>0</v>
      </c>
    </row>
    <row r="27" spans="3:6" x14ac:dyDescent="0.25">
      <c r="C27" t="s">
        <v>121</v>
      </c>
      <c r="D27" s="11">
        <v>0.91666666666666663</v>
      </c>
      <c r="E27" s="11">
        <v>0.80000000000000016</v>
      </c>
      <c r="F27" s="11">
        <v>0</v>
      </c>
    </row>
    <row r="28" spans="3:6" x14ac:dyDescent="0.25">
      <c r="C28" t="s">
        <v>77</v>
      </c>
      <c r="D28" s="11">
        <v>0.94444444444444453</v>
      </c>
      <c r="E28" s="11">
        <v>0.80000000000000016</v>
      </c>
      <c r="F28" s="11">
        <v>0</v>
      </c>
    </row>
    <row r="29" spans="3:6" x14ac:dyDescent="0.25">
      <c r="C29" t="s">
        <v>99</v>
      </c>
      <c r="D29" s="11">
        <v>0.5</v>
      </c>
      <c r="E29" s="11">
        <v>0.8</v>
      </c>
      <c r="F29" s="11">
        <v>0</v>
      </c>
    </row>
    <row r="30" spans="3:6" x14ac:dyDescent="0.25">
      <c r="C30" t="s">
        <v>78</v>
      </c>
      <c r="D30" s="11">
        <v>0.73913043478260876</v>
      </c>
      <c r="E30" s="11">
        <v>0.80000000000000016</v>
      </c>
      <c r="F30" s="11">
        <v>0</v>
      </c>
    </row>
    <row r="31" spans="3:6" x14ac:dyDescent="0.25">
      <c r="C31" t="s">
        <v>79</v>
      </c>
      <c r="D31" s="11">
        <v>0.78947368421052633</v>
      </c>
      <c r="E31" s="11">
        <v>0.8</v>
      </c>
      <c r="F31" s="11">
        <v>0</v>
      </c>
    </row>
    <row r="32" spans="3:6" x14ac:dyDescent="0.25">
      <c r="C32" t="s">
        <v>80</v>
      </c>
      <c r="D32" s="11">
        <v>0.93333333333333324</v>
      </c>
      <c r="E32" s="11">
        <v>0.80000000000000016</v>
      </c>
      <c r="F32" s="11">
        <v>0</v>
      </c>
    </row>
    <row r="33" spans="2:6" x14ac:dyDescent="0.25">
      <c r="C33" t="s">
        <v>81</v>
      </c>
      <c r="D33" s="11">
        <v>0.87121212121212122</v>
      </c>
      <c r="E33" s="11">
        <v>0.80000000000000016</v>
      </c>
      <c r="F33" s="11">
        <v>0</v>
      </c>
    </row>
    <row r="34" spans="2:6" x14ac:dyDescent="0.25">
      <c r="C34" t="s">
        <v>82</v>
      </c>
      <c r="D34" s="11">
        <v>0.88235294117647056</v>
      </c>
      <c r="E34" s="11">
        <v>0.80000000000000016</v>
      </c>
      <c r="F34" s="11">
        <v>0</v>
      </c>
    </row>
    <row r="35" spans="2:6" x14ac:dyDescent="0.25">
      <c r="C35" t="s">
        <v>83</v>
      </c>
      <c r="D35" s="11">
        <v>0.88888888888888884</v>
      </c>
      <c r="E35" s="11">
        <v>0.80000000000000016</v>
      </c>
      <c r="F35" s="11">
        <v>0</v>
      </c>
    </row>
    <row r="36" spans="2:6" x14ac:dyDescent="0.25">
      <c r="C36" t="s">
        <v>84</v>
      </c>
      <c r="D36" s="11">
        <v>0.68181818181818188</v>
      </c>
      <c r="E36" s="11">
        <v>0.8</v>
      </c>
      <c r="F36" s="11">
        <v>0</v>
      </c>
    </row>
    <row r="37" spans="2:6" x14ac:dyDescent="0.25">
      <c r="C37" t="s">
        <v>85</v>
      </c>
      <c r="D37" s="11">
        <v>0.88888888888888884</v>
      </c>
      <c r="E37" s="11">
        <v>0.80000000000000016</v>
      </c>
      <c r="F37" s="11">
        <v>0</v>
      </c>
    </row>
    <row r="38" spans="2:6" x14ac:dyDescent="0.25">
      <c r="C38" t="s">
        <v>122</v>
      </c>
      <c r="D38" s="11">
        <v>0.98888888888888893</v>
      </c>
      <c r="E38" s="11">
        <v>0.80000000000000016</v>
      </c>
      <c r="F38" s="11">
        <v>0</v>
      </c>
    </row>
    <row r="39" spans="2:6" x14ac:dyDescent="0.25">
      <c r="C39" t="s">
        <v>123</v>
      </c>
      <c r="D39" s="11">
        <v>0.91304347826086951</v>
      </c>
      <c r="E39" s="11">
        <v>0.80000000000000016</v>
      </c>
      <c r="F39" s="11">
        <v>0</v>
      </c>
    </row>
    <row r="40" spans="2:6" x14ac:dyDescent="0.25">
      <c r="B40" t="s">
        <v>76</v>
      </c>
      <c r="C40" t="s">
        <v>86</v>
      </c>
      <c r="D40" s="11">
        <v>0.77777777777777779</v>
      </c>
      <c r="E40" s="11">
        <v>0.80000000000000016</v>
      </c>
      <c r="F40" s="11">
        <v>0</v>
      </c>
    </row>
    <row r="41" spans="2:6" x14ac:dyDescent="0.25">
      <c r="C41" t="s">
        <v>87</v>
      </c>
      <c r="D41" s="11">
        <v>0.88235294117647056</v>
      </c>
      <c r="E41" s="11">
        <v>0.8</v>
      </c>
      <c r="F41" s="11">
        <v>0</v>
      </c>
    </row>
    <row r="42" spans="2:6" x14ac:dyDescent="0.25">
      <c r="C42" t="s">
        <v>88</v>
      </c>
      <c r="D42" s="11">
        <v>1</v>
      </c>
      <c r="E42" s="11">
        <v>0.8</v>
      </c>
      <c r="F42" s="11">
        <v>0</v>
      </c>
    </row>
    <row r="43" spans="2:6" x14ac:dyDescent="0.25">
      <c r="C43" t="s">
        <v>89</v>
      </c>
      <c r="D43" s="11">
        <v>0.6428571428571429</v>
      </c>
      <c r="E43" s="11">
        <v>0.80000000000000016</v>
      </c>
      <c r="F43" s="11">
        <v>0</v>
      </c>
    </row>
    <row r="44" spans="2:6" x14ac:dyDescent="0.25">
      <c r="C44" t="s">
        <v>90</v>
      </c>
      <c r="D44" s="11">
        <v>0.58333333333333337</v>
      </c>
      <c r="E44" s="11">
        <v>0.8</v>
      </c>
      <c r="F44" s="11">
        <v>0</v>
      </c>
    </row>
    <row r="45" spans="2:6" x14ac:dyDescent="0.25">
      <c r="C45" t="s">
        <v>100</v>
      </c>
      <c r="D45" s="11">
        <v>1</v>
      </c>
      <c r="E45" s="11">
        <v>0.8</v>
      </c>
      <c r="F45" s="11">
        <v>0</v>
      </c>
    </row>
    <row r="46" spans="2:6" x14ac:dyDescent="0.25">
      <c r="C46" t="s">
        <v>91</v>
      </c>
      <c r="D46" s="11">
        <v>0.6</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2:6" x14ac:dyDescent="0.25">
      <c r="C49" t="s">
        <v>94</v>
      </c>
      <c r="D49" s="11">
        <v>1</v>
      </c>
      <c r="E49" s="11">
        <v>0.8</v>
      </c>
      <c r="F49" s="11">
        <v>0</v>
      </c>
    </row>
    <row r="50" spans="2:6" x14ac:dyDescent="0.25">
      <c r="C50" t="s">
        <v>95</v>
      </c>
      <c r="D50" s="11">
        <v>1</v>
      </c>
      <c r="E50" s="11">
        <v>0.80000000000000016</v>
      </c>
      <c r="F50" s="11">
        <v>0</v>
      </c>
    </row>
    <row r="51" spans="2:6" x14ac:dyDescent="0.25">
      <c r="C51" t="s">
        <v>96</v>
      </c>
      <c r="D51" s="11">
        <v>0.97619047619047628</v>
      </c>
      <c r="E51" s="11">
        <v>0.80000000000000016</v>
      </c>
      <c r="F51" s="11">
        <v>0</v>
      </c>
    </row>
    <row r="52" spans="2:6" x14ac:dyDescent="0.25">
      <c r="C52" t="s">
        <v>97</v>
      </c>
      <c r="D52" s="11">
        <v>0.99145299145299148</v>
      </c>
      <c r="E52" s="11">
        <v>0.80000000000000016</v>
      </c>
      <c r="F52" s="11">
        <v>0</v>
      </c>
    </row>
    <row r="53" spans="2:6" x14ac:dyDescent="0.25">
      <c r="C53" t="s">
        <v>98</v>
      </c>
      <c r="D53" s="11">
        <v>1</v>
      </c>
      <c r="E53" s="11">
        <v>0.8</v>
      </c>
      <c r="F53" s="11">
        <v>0</v>
      </c>
    </row>
    <row r="54" spans="2:6" x14ac:dyDescent="0.25">
      <c r="C54" t="s">
        <v>124</v>
      </c>
      <c r="D54" s="11">
        <v>1</v>
      </c>
      <c r="E54" s="11">
        <v>0.8</v>
      </c>
      <c r="F54" s="11">
        <v>0</v>
      </c>
    </row>
    <row r="55" spans="2:6" x14ac:dyDescent="0.25">
      <c r="C55" t="s">
        <v>125</v>
      </c>
      <c r="D55" s="11">
        <v>0.85</v>
      </c>
      <c r="E55" s="11">
        <v>0.80000000000000016</v>
      </c>
      <c r="F55" s="11">
        <v>0</v>
      </c>
    </row>
    <row r="56" spans="2:6" x14ac:dyDescent="0.25">
      <c r="B56" t="s">
        <v>15</v>
      </c>
      <c r="D56" s="11">
        <v>0.87165296829062855</v>
      </c>
      <c r="E56" s="11">
        <v>0.79999999999999816</v>
      </c>
      <c r="F56" s="11">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0"/>
  <dimension ref="B1:F56"/>
  <sheetViews>
    <sheetView workbookViewId="0">
      <selection activeCell="C2" sqref="C2"/>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1</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0.9438339438339437</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86</v>
      </c>
      <c r="D40" s="11">
        <v>0.87179487179487181</v>
      </c>
      <c r="E40" s="11">
        <v>0.80000000000000016</v>
      </c>
      <c r="F40" s="11">
        <v>0</v>
      </c>
    </row>
    <row r="41" spans="2:6" x14ac:dyDescent="0.25">
      <c r="C41" t="s">
        <v>87</v>
      </c>
      <c r="D41" s="11">
        <v>0.92401433691756285</v>
      </c>
      <c r="E41" s="11">
        <v>0.80000000000000016</v>
      </c>
      <c r="F41" s="11">
        <v>0</v>
      </c>
    </row>
    <row r="42" spans="2:6" x14ac:dyDescent="0.25">
      <c r="C42" t="s">
        <v>88</v>
      </c>
      <c r="D42" s="11">
        <v>0.97549019607843146</v>
      </c>
      <c r="E42" s="11">
        <v>0.80000000000000016</v>
      </c>
      <c r="F42" s="11">
        <v>0</v>
      </c>
    </row>
    <row r="43" spans="2:6" x14ac:dyDescent="0.25">
      <c r="C43" t="s">
        <v>89</v>
      </c>
      <c r="D43" s="11">
        <v>0.91299790356394139</v>
      </c>
      <c r="E43" s="11">
        <v>0.80000000000000016</v>
      </c>
      <c r="F43" s="11">
        <v>0</v>
      </c>
    </row>
    <row r="44" spans="2:6" x14ac:dyDescent="0.25">
      <c r="C44" t="s">
        <v>90</v>
      </c>
      <c r="D44" s="11">
        <v>0.34757834757834755</v>
      </c>
      <c r="E44" s="11">
        <v>0.80000000000000016</v>
      </c>
      <c r="F44" s="11">
        <v>0</v>
      </c>
    </row>
    <row r="45" spans="2:6" x14ac:dyDescent="0.25">
      <c r="C45" t="s">
        <v>100</v>
      </c>
      <c r="D45" s="11">
        <v>0.22222222222222221</v>
      </c>
      <c r="E45" s="11">
        <v>0.80000000000000016</v>
      </c>
      <c r="F45" s="11">
        <v>0</v>
      </c>
    </row>
    <row r="46" spans="2:6" x14ac:dyDescent="0.25">
      <c r="C46" t="s">
        <v>91</v>
      </c>
      <c r="D46" s="11">
        <v>0.41904761904761906</v>
      </c>
      <c r="E46" s="11">
        <v>0.80000000000000016</v>
      </c>
      <c r="F46" s="11">
        <v>0</v>
      </c>
    </row>
    <row r="47" spans="2:6" x14ac:dyDescent="0.25">
      <c r="C47" t="s">
        <v>92</v>
      </c>
      <c r="D47" s="11">
        <v>1</v>
      </c>
      <c r="E47" s="11">
        <v>0.80000000000000016</v>
      </c>
      <c r="F47" s="11">
        <v>0</v>
      </c>
    </row>
    <row r="48" spans="2:6" x14ac:dyDescent="0.25">
      <c r="C48" t="s">
        <v>93</v>
      </c>
      <c r="D48" s="11">
        <v>1</v>
      </c>
      <c r="E48" s="11">
        <v>0.8</v>
      </c>
      <c r="F48" s="11">
        <v>0</v>
      </c>
    </row>
    <row r="49" spans="2:6" x14ac:dyDescent="0.25">
      <c r="C49" t="s">
        <v>94</v>
      </c>
      <c r="D49" s="11">
        <v>1</v>
      </c>
      <c r="E49" s="11">
        <v>0.8</v>
      </c>
      <c r="F49" s="11">
        <v>0</v>
      </c>
    </row>
    <row r="50" spans="2:6" x14ac:dyDescent="0.25">
      <c r="C50" t="s">
        <v>95</v>
      </c>
      <c r="D50" s="11">
        <v>1</v>
      </c>
      <c r="E50" s="11">
        <v>0.80000000000000016</v>
      </c>
      <c r="F50" s="11">
        <v>0</v>
      </c>
    </row>
    <row r="51" spans="2:6" x14ac:dyDescent="0.25">
      <c r="C51" t="s">
        <v>96</v>
      </c>
      <c r="D51" s="11">
        <v>1</v>
      </c>
      <c r="E51" s="11">
        <v>0.80000000000000016</v>
      </c>
      <c r="F51" s="11">
        <v>0</v>
      </c>
    </row>
    <row r="52" spans="2:6" x14ac:dyDescent="0.25">
      <c r="C52" t="s">
        <v>97</v>
      </c>
      <c r="D52" s="11">
        <v>1</v>
      </c>
      <c r="E52" s="11">
        <v>0.80000000000000016</v>
      </c>
      <c r="F52" s="11">
        <v>0</v>
      </c>
    </row>
    <row r="53" spans="2:6" x14ac:dyDescent="0.25">
      <c r="C53" t="s">
        <v>98</v>
      </c>
      <c r="D53" s="11">
        <v>1</v>
      </c>
      <c r="E53" s="11">
        <v>0.8</v>
      </c>
      <c r="F53" s="11">
        <v>0</v>
      </c>
    </row>
    <row r="54" spans="2:6" x14ac:dyDescent="0.25">
      <c r="C54" t="s">
        <v>124</v>
      </c>
      <c r="D54" s="11">
        <v>0.95424836601307195</v>
      </c>
      <c r="E54" s="11">
        <v>0.80000000000000016</v>
      </c>
      <c r="F54" s="11">
        <v>0</v>
      </c>
    </row>
    <row r="55" spans="2:6" x14ac:dyDescent="0.25">
      <c r="C55" t="s">
        <v>125</v>
      </c>
      <c r="D55" s="11">
        <v>0.93333333333333324</v>
      </c>
      <c r="E55" s="11">
        <v>0.80000000000000016</v>
      </c>
      <c r="F55" s="11">
        <v>0</v>
      </c>
    </row>
    <row r="56" spans="2:6" x14ac:dyDescent="0.25">
      <c r="B56" t="s">
        <v>15</v>
      </c>
      <c r="D56" s="11">
        <v>0.86880324269568776</v>
      </c>
      <c r="E56" s="11">
        <v>0.79999999999999816</v>
      </c>
      <c r="F56" s="1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dimension ref="B1:F56"/>
  <sheetViews>
    <sheetView workbookViewId="0">
      <selection activeCell="D8" sqref="D8"/>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 min="7" max="10" width="5" bestFit="1" customWidth="1"/>
    <col min="11" max="11" width="4" bestFit="1" customWidth="1"/>
    <col min="12" max="14" width="5" bestFit="1" customWidth="1"/>
    <col min="15" max="15" width="2" bestFit="1" customWidth="1"/>
    <col min="16" max="16" width="7.28515625" bestFit="1" customWidth="1"/>
    <col min="17" max="17" width="11.2851562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1</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0.9438339438339437</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86</v>
      </c>
      <c r="D40" s="11">
        <v>0.87179487179487181</v>
      </c>
      <c r="E40" s="11">
        <v>0.80000000000000016</v>
      </c>
      <c r="F40" s="11">
        <v>0</v>
      </c>
    </row>
    <row r="41" spans="2:6" x14ac:dyDescent="0.25">
      <c r="C41" t="s">
        <v>87</v>
      </c>
      <c r="D41" s="11">
        <v>0.92401433691756285</v>
      </c>
      <c r="E41" s="11">
        <v>0.80000000000000016</v>
      </c>
      <c r="F41" s="11">
        <v>0</v>
      </c>
    </row>
    <row r="42" spans="2:6" x14ac:dyDescent="0.25">
      <c r="C42" t="s">
        <v>88</v>
      </c>
      <c r="D42" s="11">
        <v>0.97549019607843146</v>
      </c>
      <c r="E42" s="11">
        <v>0.80000000000000016</v>
      </c>
      <c r="F42" s="11">
        <v>0</v>
      </c>
    </row>
    <row r="43" spans="2:6" x14ac:dyDescent="0.25">
      <c r="C43" t="s">
        <v>89</v>
      </c>
      <c r="D43" s="11">
        <v>0.91299790356394139</v>
      </c>
      <c r="E43" s="11">
        <v>0.80000000000000016</v>
      </c>
      <c r="F43" s="11">
        <v>0</v>
      </c>
    </row>
    <row r="44" spans="2:6" x14ac:dyDescent="0.25">
      <c r="C44" t="s">
        <v>90</v>
      </c>
      <c r="D44" s="11">
        <v>0.34757834757834755</v>
      </c>
      <c r="E44" s="11">
        <v>0.80000000000000016</v>
      </c>
      <c r="F44" s="11">
        <v>0</v>
      </c>
    </row>
    <row r="45" spans="2:6" x14ac:dyDescent="0.25">
      <c r="C45" t="s">
        <v>100</v>
      </c>
      <c r="D45" s="11">
        <v>0.22222222222222221</v>
      </c>
      <c r="E45" s="11">
        <v>0.80000000000000016</v>
      </c>
      <c r="F45" s="11">
        <v>0</v>
      </c>
    </row>
    <row r="46" spans="2:6" x14ac:dyDescent="0.25">
      <c r="C46" t="s">
        <v>91</v>
      </c>
      <c r="D46" s="11">
        <v>0.41904761904761906</v>
      </c>
      <c r="E46" s="11">
        <v>0.80000000000000016</v>
      </c>
      <c r="F46" s="11">
        <v>0</v>
      </c>
    </row>
    <row r="47" spans="2:6" x14ac:dyDescent="0.25">
      <c r="C47" t="s">
        <v>92</v>
      </c>
      <c r="D47" s="11">
        <v>1</v>
      </c>
      <c r="E47" s="11">
        <v>0.80000000000000016</v>
      </c>
      <c r="F47" s="11">
        <v>0</v>
      </c>
    </row>
    <row r="48" spans="2:6" x14ac:dyDescent="0.25">
      <c r="C48" t="s">
        <v>93</v>
      </c>
      <c r="D48" s="11">
        <v>1</v>
      </c>
      <c r="E48" s="11">
        <v>0.8</v>
      </c>
      <c r="F48" s="11">
        <v>0</v>
      </c>
    </row>
    <row r="49" spans="2:6" x14ac:dyDescent="0.25">
      <c r="C49" t="s">
        <v>94</v>
      </c>
      <c r="D49" s="11">
        <v>1</v>
      </c>
      <c r="E49" s="11">
        <v>0.8</v>
      </c>
      <c r="F49" s="11">
        <v>0</v>
      </c>
    </row>
    <row r="50" spans="2:6" x14ac:dyDescent="0.25">
      <c r="C50" t="s">
        <v>95</v>
      </c>
      <c r="D50" s="11">
        <v>1</v>
      </c>
      <c r="E50" s="11">
        <v>0.80000000000000016</v>
      </c>
      <c r="F50" s="11">
        <v>0</v>
      </c>
    </row>
    <row r="51" spans="2:6" x14ac:dyDescent="0.25">
      <c r="C51" t="s">
        <v>96</v>
      </c>
      <c r="D51" s="11">
        <v>1</v>
      </c>
      <c r="E51" s="11">
        <v>0.80000000000000016</v>
      </c>
      <c r="F51" s="11">
        <v>0</v>
      </c>
    </row>
    <row r="52" spans="2:6" x14ac:dyDescent="0.25">
      <c r="C52" t="s">
        <v>97</v>
      </c>
      <c r="D52" s="11">
        <v>1</v>
      </c>
      <c r="E52" s="11">
        <v>0.80000000000000016</v>
      </c>
      <c r="F52" s="11">
        <v>0</v>
      </c>
    </row>
    <row r="53" spans="2:6" x14ac:dyDescent="0.25">
      <c r="C53" t="s">
        <v>98</v>
      </c>
      <c r="D53" s="11">
        <v>1</v>
      </c>
      <c r="E53" s="11">
        <v>0.8</v>
      </c>
      <c r="F53" s="11">
        <v>0</v>
      </c>
    </row>
    <row r="54" spans="2:6" x14ac:dyDescent="0.25">
      <c r="C54" t="s">
        <v>124</v>
      </c>
      <c r="D54" s="11">
        <v>0.95424836601307195</v>
      </c>
      <c r="E54" s="11">
        <v>0.80000000000000016</v>
      </c>
      <c r="F54" s="11">
        <v>0</v>
      </c>
    </row>
    <row r="55" spans="2:6" x14ac:dyDescent="0.25">
      <c r="C55" t="s">
        <v>125</v>
      </c>
      <c r="D55" s="11">
        <v>0.93333333333333324</v>
      </c>
      <c r="E55" s="11">
        <v>0.80000000000000016</v>
      </c>
      <c r="F55" s="11">
        <v>0</v>
      </c>
    </row>
    <row r="56" spans="2:6" x14ac:dyDescent="0.25">
      <c r="B56" t="s">
        <v>15</v>
      </c>
      <c r="D56" s="11">
        <v>0.86880324269568776</v>
      </c>
      <c r="E56" s="11">
        <v>0.79999999999999816</v>
      </c>
      <c r="F56" s="1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2"/>
  <dimension ref="B1:F9"/>
  <sheetViews>
    <sheetView workbookViewId="0">
      <selection activeCell="C2" sqref="C2"/>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dimension ref="B1:F9"/>
  <sheetViews>
    <sheetView workbookViewId="0">
      <selection activeCell="B3" sqref="B3"/>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dimension ref="B1:F57"/>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2:6" x14ac:dyDescent="0.25">
      <c r="C49" t="s">
        <v>93</v>
      </c>
      <c r="D49" s="11">
        <v>1</v>
      </c>
      <c r="E49" s="11">
        <v>0.79999999999999993</v>
      </c>
      <c r="F49" s="11">
        <v>0</v>
      </c>
    </row>
    <row r="50" spans="2:6" x14ac:dyDescent="0.25">
      <c r="C50" t="s">
        <v>94</v>
      </c>
      <c r="D50" s="11">
        <v>0.99621212121212122</v>
      </c>
      <c r="E50" s="11">
        <v>0.79999999999999993</v>
      </c>
      <c r="F50" s="11">
        <v>0</v>
      </c>
    </row>
    <row r="51" spans="2:6" x14ac:dyDescent="0.25">
      <c r="C51" t="s">
        <v>95</v>
      </c>
      <c r="D51" s="11">
        <v>0.94181286549707599</v>
      </c>
      <c r="E51" s="11">
        <v>0.80000000000000016</v>
      </c>
      <c r="F51" s="11">
        <v>0</v>
      </c>
    </row>
    <row r="52" spans="2:6" x14ac:dyDescent="0.25">
      <c r="C52" t="s">
        <v>96</v>
      </c>
      <c r="D52" s="11">
        <v>0.97952741702741697</v>
      </c>
      <c r="E52" s="11">
        <v>0.79999999999999993</v>
      </c>
      <c r="F52" s="11">
        <v>0</v>
      </c>
    </row>
    <row r="53" spans="2:6" x14ac:dyDescent="0.25">
      <c r="C53" t="s">
        <v>97</v>
      </c>
      <c r="D53" s="11">
        <v>0.98434898434898432</v>
      </c>
      <c r="E53" s="11">
        <v>0.8</v>
      </c>
      <c r="F53" s="11">
        <v>0</v>
      </c>
    </row>
    <row r="54" spans="2:6" x14ac:dyDescent="0.25">
      <c r="C54" t="s">
        <v>98</v>
      </c>
      <c r="D54" s="11">
        <v>1</v>
      </c>
      <c r="E54" s="11">
        <v>0.79999999999999993</v>
      </c>
      <c r="F54" s="11">
        <v>0</v>
      </c>
    </row>
    <row r="55" spans="2:6" x14ac:dyDescent="0.25">
      <c r="C55" t="s">
        <v>124</v>
      </c>
      <c r="D55" s="11">
        <v>0.84100834009493119</v>
      </c>
      <c r="E55" s="11">
        <v>0.79999999999999993</v>
      </c>
      <c r="F55" s="11">
        <v>0</v>
      </c>
    </row>
    <row r="56" spans="2:6" x14ac:dyDescent="0.25">
      <c r="C56" t="s">
        <v>125</v>
      </c>
      <c r="D56" s="11">
        <v>0.92879146503962406</v>
      </c>
      <c r="E56" s="11">
        <v>0.79999999999999993</v>
      </c>
      <c r="F56" s="11">
        <v>0</v>
      </c>
    </row>
    <row r="57" spans="2:6" x14ac:dyDescent="0.25">
      <c r="B57" t="s">
        <v>15</v>
      </c>
      <c r="D57" s="11">
        <v>0.8616596294175658</v>
      </c>
      <c r="E57" s="11">
        <v>0.8000000000000077</v>
      </c>
      <c r="F57" s="11">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5"/>
  <dimension ref="B1:F57"/>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2:6" x14ac:dyDescent="0.25">
      <c r="C49" t="s">
        <v>93</v>
      </c>
      <c r="D49" s="11">
        <v>1</v>
      </c>
      <c r="E49" s="11">
        <v>0.79999999999999993</v>
      </c>
      <c r="F49" s="11">
        <v>0</v>
      </c>
    </row>
    <row r="50" spans="2:6" x14ac:dyDescent="0.25">
      <c r="C50" t="s">
        <v>94</v>
      </c>
      <c r="D50" s="11">
        <v>0.99621212121212122</v>
      </c>
      <c r="E50" s="11">
        <v>0.79999999999999993</v>
      </c>
      <c r="F50" s="11">
        <v>0</v>
      </c>
    </row>
    <row r="51" spans="2:6" x14ac:dyDescent="0.25">
      <c r="C51" t="s">
        <v>95</v>
      </c>
      <c r="D51" s="11">
        <v>0.94181286549707599</v>
      </c>
      <c r="E51" s="11">
        <v>0.80000000000000016</v>
      </c>
      <c r="F51" s="11">
        <v>0</v>
      </c>
    </row>
    <row r="52" spans="2:6" x14ac:dyDescent="0.25">
      <c r="C52" t="s">
        <v>96</v>
      </c>
      <c r="D52" s="11">
        <v>0.97952741702741697</v>
      </c>
      <c r="E52" s="11">
        <v>0.79999999999999993</v>
      </c>
      <c r="F52" s="11">
        <v>0</v>
      </c>
    </row>
    <row r="53" spans="2:6" x14ac:dyDescent="0.25">
      <c r="C53" t="s">
        <v>97</v>
      </c>
      <c r="D53" s="11">
        <v>0.98434898434898432</v>
      </c>
      <c r="E53" s="11">
        <v>0.8</v>
      </c>
      <c r="F53" s="11">
        <v>0</v>
      </c>
    </row>
    <row r="54" spans="2:6" x14ac:dyDescent="0.25">
      <c r="C54" t="s">
        <v>98</v>
      </c>
      <c r="D54" s="11">
        <v>1</v>
      </c>
      <c r="E54" s="11">
        <v>0.79999999999999993</v>
      </c>
      <c r="F54" s="11">
        <v>0</v>
      </c>
    </row>
    <row r="55" spans="2:6" x14ac:dyDescent="0.25">
      <c r="C55" t="s">
        <v>124</v>
      </c>
      <c r="D55" s="11">
        <v>0.84100834009493119</v>
      </c>
      <c r="E55" s="11">
        <v>0.79999999999999993</v>
      </c>
      <c r="F55" s="11">
        <v>0</v>
      </c>
    </row>
    <row r="56" spans="2:6" x14ac:dyDescent="0.25">
      <c r="C56" t="s">
        <v>125</v>
      </c>
      <c r="D56" s="11">
        <v>0.92879146503962406</v>
      </c>
      <c r="E56" s="11">
        <v>0.79999999999999993</v>
      </c>
      <c r="F56" s="11">
        <v>0</v>
      </c>
    </row>
    <row r="57" spans="2:6" x14ac:dyDescent="0.25">
      <c r="B57" t="s">
        <v>15</v>
      </c>
      <c r="D57" s="11">
        <v>0.8616596294175658</v>
      </c>
      <c r="E57" s="11">
        <v>0.8000000000000077</v>
      </c>
      <c r="F57" s="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6"/>
  <dimension ref="B1:F57"/>
  <sheetViews>
    <sheetView workbookViewId="0">
      <selection activeCell="B3" sqref="B3"/>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2:6" x14ac:dyDescent="0.25">
      <c r="C49" t="s">
        <v>93</v>
      </c>
      <c r="D49" s="11">
        <v>1</v>
      </c>
      <c r="E49" s="11">
        <v>0.79999999999999993</v>
      </c>
      <c r="F49" s="11">
        <v>0</v>
      </c>
    </row>
    <row r="50" spans="2:6" x14ac:dyDescent="0.25">
      <c r="C50" t="s">
        <v>94</v>
      </c>
      <c r="D50" s="11">
        <v>0.99621212121212122</v>
      </c>
      <c r="E50" s="11">
        <v>0.79999999999999993</v>
      </c>
      <c r="F50" s="11">
        <v>0</v>
      </c>
    </row>
    <row r="51" spans="2:6" x14ac:dyDescent="0.25">
      <c r="C51" t="s">
        <v>95</v>
      </c>
      <c r="D51" s="11">
        <v>0.94181286549707599</v>
      </c>
      <c r="E51" s="11">
        <v>0.80000000000000016</v>
      </c>
      <c r="F51" s="11">
        <v>0</v>
      </c>
    </row>
    <row r="52" spans="2:6" x14ac:dyDescent="0.25">
      <c r="C52" t="s">
        <v>96</v>
      </c>
      <c r="D52" s="11">
        <v>0.97952741702741697</v>
      </c>
      <c r="E52" s="11">
        <v>0.79999999999999993</v>
      </c>
      <c r="F52" s="11">
        <v>0</v>
      </c>
    </row>
    <row r="53" spans="2:6" x14ac:dyDescent="0.25">
      <c r="C53" t="s">
        <v>97</v>
      </c>
      <c r="D53" s="11">
        <v>0.98434898434898432</v>
      </c>
      <c r="E53" s="11">
        <v>0.8</v>
      </c>
      <c r="F53" s="11">
        <v>0</v>
      </c>
    </row>
    <row r="54" spans="2:6" x14ac:dyDescent="0.25">
      <c r="C54" t="s">
        <v>98</v>
      </c>
      <c r="D54" s="11">
        <v>1</v>
      </c>
      <c r="E54" s="11">
        <v>0.79999999999999993</v>
      </c>
      <c r="F54" s="11">
        <v>0</v>
      </c>
    </row>
    <row r="55" spans="2:6" x14ac:dyDescent="0.25">
      <c r="C55" t="s">
        <v>124</v>
      </c>
      <c r="D55" s="11">
        <v>0.84100834009493119</v>
      </c>
      <c r="E55" s="11">
        <v>0.79999999999999993</v>
      </c>
      <c r="F55" s="11">
        <v>0</v>
      </c>
    </row>
    <row r="56" spans="2:6" x14ac:dyDescent="0.25">
      <c r="C56" t="s">
        <v>125</v>
      </c>
      <c r="D56" s="11">
        <v>0.92879146503962406</v>
      </c>
      <c r="E56" s="11">
        <v>0.79999999999999993</v>
      </c>
      <c r="F56" s="11">
        <v>0</v>
      </c>
    </row>
    <row r="57" spans="2:6" x14ac:dyDescent="0.25">
      <c r="B57" t="s">
        <v>15</v>
      </c>
      <c r="D57" s="11">
        <v>0.8616596294175658</v>
      </c>
      <c r="E57" s="11">
        <v>0.8000000000000077</v>
      </c>
      <c r="F57" s="11">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7"/>
  <dimension ref="B1:F57"/>
  <sheetViews>
    <sheetView workbookViewId="0">
      <selection activeCell="I27" sqref="I27"/>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25.14062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65</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2:6" x14ac:dyDescent="0.25">
      <c r="C49" t="s">
        <v>93</v>
      </c>
      <c r="D49" s="11">
        <v>1</v>
      </c>
      <c r="E49" s="11">
        <v>0.79999999999999993</v>
      </c>
      <c r="F49" s="11">
        <v>0</v>
      </c>
    </row>
    <row r="50" spans="2:6" x14ac:dyDescent="0.25">
      <c r="C50" t="s">
        <v>94</v>
      </c>
      <c r="D50" s="11">
        <v>0.99621212121212122</v>
      </c>
      <c r="E50" s="11">
        <v>0.79999999999999993</v>
      </c>
      <c r="F50" s="11">
        <v>0</v>
      </c>
    </row>
    <row r="51" spans="2:6" x14ac:dyDescent="0.25">
      <c r="C51" t="s">
        <v>95</v>
      </c>
      <c r="D51" s="11">
        <v>0.94181286549707599</v>
      </c>
      <c r="E51" s="11">
        <v>0.80000000000000016</v>
      </c>
      <c r="F51" s="11">
        <v>0</v>
      </c>
    </row>
    <row r="52" spans="2:6" x14ac:dyDescent="0.25">
      <c r="C52" t="s">
        <v>96</v>
      </c>
      <c r="D52" s="11">
        <v>0.97952741702741697</v>
      </c>
      <c r="E52" s="11">
        <v>0.79999999999999993</v>
      </c>
      <c r="F52" s="11">
        <v>0</v>
      </c>
    </row>
    <row r="53" spans="2:6" x14ac:dyDescent="0.25">
      <c r="C53" t="s">
        <v>97</v>
      </c>
      <c r="D53" s="11">
        <v>0.98434898434898432</v>
      </c>
      <c r="E53" s="11">
        <v>0.8</v>
      </c>
      <c r="F53" s="11">
        <v>0</v>
      </c>
    </row>
    <row r="54" spans="2:6" x14ac:dyDescent="0.25">
      <c r="C54" t="s">
        <v>98</v>
      </c>
      <c r="D54" s="11">
        <v>1</v>
      </c>
      <c r="E54" s="11">
        <v>0.79999999999999993</v>
      </c>
      <c r="F54" s="11">
        <v>0</v>
      </c>
    </row>
    <row r="55" spans="2:6" x14ac:dyDescent="0.25">
      <c r="C55" t="s">
        <v>124</v>
      </c>
      <c r="D55" s="11">
        <v>0.84100834009493119</v>
      </c>
      <c r="E55" s="11">
        <v>0.79999999999999993</v>
      </c>
      <c r="F55" s="11">
        <v>0</v>
      </c>
    </row>
    <row r="56" spans="2:6" x14ac:dyDescent="0.25">
      <c r="C56" t="s">
        <v>125</v>
      </c>
      <c r="D56" s="11">
        <v>0.92879146503962406</v>
      </c>
      <c r="E56" s="11">
        <v>0.79999999999999993</v>
      </c>
      <c r="F56" s="11">
        <v>0</v>
      </c>
    </row>
    <row r="57" spans="2:6" x14ac:dyDescent="0.25">
      <c r="B57" t="s">
        <v>15</v>
      </c>
      <c r="D57" s="11">
        <v>0.8616596294175658</v>
      </c>
      <c r="E57" s="11">
        <v>0.8000000000000077</v>
      </c>
      <c r="F57" s="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2:E23"/>
  <sheetViews>
    <sheetView workbookViewId="0">
      <selection activeCell="B8" activeCellId="1" sqref="B2:C6 B8:E11"/>
    </sheetView>
  </sheetViews>
  <sheetFormatPr defaultRowHeight="15" x14ac:dyDescent="0.25"/>
  <cols>
    <col min="1" max="1" width="15.28515625" customWidth="1"/>
    <col min="2" max="2" width="15.28515625" bestFit="1" customWidth="1"/>
    <col min="3" max="3" width="9.5703125" bestFit="1" customWidth="1"/>
    <col min="4" max="4" width="15.85546875" bestFit="1" customWidth="1"/>
    <col min="5" max="5" width="11.28515625" bestFit="1" customWidth="1"/>
    <col min="6" max="6" width="15.85546875" bestFit="1" customWidth="1"/>
    <col min="7" max="7" width="11.28515625" bestFit="1" customWidth="1"/>
    <col min="8" max="8" width="15.85546875" bestFit="1" customWidth="1"/>
    <col min="9" max="9" width="11.28515625" bestFit="1" customWidth="1"/>
    <col min="10" max="10" width="15.85546875" bestFit="1" customWidth="1"/>
    <col min="11" max="11" width="11.28515625" bestFit="1"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2" spans="2:5" x14ac:dyDescent="0.25">
      <c r="B2" s="3" t="s">
        <v>1</v>
      </c>
      <c r="C2" t="s">
        <v>48</v>
      </c>
    </row>
    <row r="3" spans="2:5" x14ac:dyDescent="0.25">
      <c r="B3" s="3" t="s">
        <v>35</v>
      </c>
      <c r="C3" t="s">
        <v>48</v>
      </c>
    </row>
    <row r="4" spans="2:5" x14ac:dyDescent="0.25">
      <c r="B4" s="3" t="s">
        <v>8</v>
      </c>
      <c r="C4" t="s">
        <v>48</v>
      </c>
    </row>
    <row r="5" spans="2:5" x14ac:dyDescent="0.25">
      <c r="B5" s="3" t="s">
        <v>38</v>
      </c>
      <c r="C5" t="s">
        <v>48</v>
      </c>
    </row>
    <row r="6" spans="2:5" x14ac:dyDescent="0.25">
      <c r="B6" s="3" t="s">
        <v>59</v>
      </c>
      <c r="C6" t="s">
        <v>48</v>
      </c>
    </row>
    <row r="8" spans="2:5" x14ac:dyDescent="0.25">
      <c r="B8" s="3" t="s">
        <v>44</v>
      </c>
      <c r="D8" s="3" t="s">
        <v>36</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row r="23" ht="17.25" customHeight="1" x14ac:dyDescent="0.25"/>
  </sheetData>
  <dataConsolidate/>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D23"/>
  <sheetViews>
    <sheetView workbookViewId="0">
      <selection activeCell="B13" sqref="B13"/>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D23"/>
  <sheetViews>
    <sheetView workbookViewId="0">
      <selection activeCell="G32" sqref="G3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C23"/>
  <sheetViews>
    <sheetView workbookViewId="0">
      <selection activeCell="I10" sqref="I10"/>
    </sheetView>
  </sheetViews>
  <sheetFormatPr defaultRowHeight="15" x14ac:dyDescent="0.25"/>
  <cols>
    <col min="1" max="1" width="15.28515625" bestFit="1" customWidth="1"/>
    <col min="2" max="2" width="16.28515625" bestFit="1" customWidth="1"/>
    <col min="3" max="3" width="11.28515625" bestFit="1" customWidth="1"/>
    <col min="4" max="4" width="8.42578125" bestFit="1" customWidth="1"/>
    <col min="5" max="5" width="10.42578125" bestFit="1" customWidth="1"/>
    <col min="6" max="6" width="12.42578125" bestFit="1" customWidth="1"/>
    <col min="7" max="7" width="6" bestFit="1" customWidth="1"/>
    <col min="8" max="8" width="8.140625" bestFit="1" customWidth="1"/>
    <col min="9" max="9" width="11.28515625" bestFit="1" customWidth="1"/>
    <col min="10" max="10" width="10.710937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48</v>
      </c>
    </row>
    <row r="2" spans="1:3" x14ac:dyDescent="0.25">
      <c r="A2" s="3" t="s">
        <v>35</v>
      </c>
      <c r="B2" t="s">
        <v>48</v>
      </c>
    </row>
    <row r="3" spans="1:3" x14ac:dyDescent="0.25">
      <c r="A3" s="3" t="s">
        <v>8</v>
      </c>
      <c r="B3" t="s">
        <v>48</v>
      </c>
    </row>
    <row r="4" spans="1:3" x14ac:dyDescent="0.25">
      <c r="A4" s="3" t="s">
        <v>38</v>
      </c>
      <c r="B4" t="s">
        <v>48</v>
      </c>
    </row>
    <row r="5" spans="1:3" x14ac:dyDescent="0.25">
      <c r="A5" s="3" t="s">
        <v>59</v>
      </c>
      <c r="B5" t="s">
        <v>48</v>
      </c>
    </row>
    <row r="7" spans="1:3" x14ac:dyDescent="0.25">
      <c r="A7" s="3" t="s">
        <v>44</v>
      </c>
      <c r="B7" s="3" t="s">
        <v>5</v>
      </c>
    </row>
    <row r="8" spans="1:3" x14ac:dyDescent="0.25">
      <c r="A8" s="3" t="s">
        <v>64</v>
      </c>
      <c r="B8" t="s">
        <v>48</v>
      </c>
      <c r="C8" t="s">
        <v>15</v>
      </c>
    </row>
    <row r="9" spans="1:3" x14ac:dyDescent="0.25">
      <c r="A9" s="19" t="s">
        <v>48</v>
      </c>
      <c r="B9" s="11"/>
      <c r="C9" s="11"/>
    </row>
    <row r="10" spans="1:3" x14ac:dyDescent="0.25">
      <c r="A10" s="29" t="s">
        <v>48</v>
      </c>
      <c r="B10" s="11">
        <v>0</v>
      </c>
      <c r="C10" s="11">
        <v>0</v>
      </c>
    </row>
    <row r="11" spans="1:3" x14ac:dyDescent="0.25">
      <c r="A11" s="19" t="s">
        <v>15</v>
      </c>
      <c r="B11" s="11">
        <v>0</v>
      </c>
      <c r="C11" s="11">
        <v>0</v>
      </c>
    </row>
    <row r="23" ht="17.25" customHeight="1" x14ac:dyDescent="0.25"/>
  </sheetData>
  <dataConsolidate/>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D23"/>
  <sheetViews>
    <sheetView workbookViewId="0">
      <selection activeCell="A7" sqref="A7"/>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D23"/>
  <sheetViews>
    <sheetView workbookViewId="0">
      <selection activeCell="F15" sqref="F15"/>
    </sheetView>
  </sheetViews>
  <sheetFormatPr defaultRowHeight="15" x14ac:dyDescent="0.25"/>
  <cols>
    <col min="1" max="1" width="16.7109375" bestFit="1" customWidth="1"/>
    <col min="2" max="2" width="9.5703125" bestFit="1" customWidth="1"/>
    <col min="3" max="3" width="15.85546875" bestFit="1" customWidth="1"/>
    <col min="4" max="4" width="11.28515625" bestFit="1" customWidth="1"/>
    <col min="5" max="9" width="15.85546875" bestFit="1" customWidth="1"/>
    <col min="10" max="10" width="11.28515625"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D23"/>
  <sheetViews>
    <sheetView workbookViewId="0">
      <selection activeCell="C14" sqref="C14"/>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D23"/>
  <sheetViews>
    <sheetView workbookViewId="0">
      <selection activeCell="H35" sqref="H35"/>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D23"/>
  <sheetViews>
    <sheetView workbookViewId="0">
      <selection activeCell="B7" sqref="B7"/>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5" width="13.42578125" bestFit="1" customWidth="1"/>
    <col min="6" max="6" width="11.28515625" bestFit="1" customWidth="1"/>
    <col min="7"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D23"/>
  <sheetViews>
    <sheetView workbookViewId="0">
      <selection activeCell="F18" sqref="F18"/>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5.85546875" bestFit="1" customWidth="1"/>
    <col min="18" max="18" width="11.285156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dimension ref="A1:D23"/>
  <sheetViews>
    <sheetView workbookViewId="0">
      <selection activeCell="D9" sqref="D9"/>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1:D23"/>
  <sheetViews>
    <sheetView workbookViewId="0">
      <selection activeCell="J33" sqref="J33"/>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dimension ref="A1:D23"/>
  <sheetViews>
    <sheetView workbookViewId="0">
      <selection activeCell="J30" sqref="J30"/>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D23"/>
  <sheetViews>
    <sheetView workbookViewId="0">
      <selection activeCell="D8" sqref="D8"/>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D23"/>
  <sheetViews>
    <sheetView workbookViewId="0">
      <selection activeCell="B9" sqref="B9"/>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18" width="13.425781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D23"/>
  <sheetViews>
    <sheetView workbookViewId="0"/>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9"/>
  <dimension ref="A1:D23"/>
  <sheetViews>
    <sheetView workbookViewId="0">
      <selection activeCell="F16" sqref="F16"/>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0"/>
  <dimension ref="A1:D23"/>
  <sheetViews>
    <sheetView workbookViewId="0">
      <selection activeCell="K35" sqref="K35"/>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
  <dimension ref="B1:E11"/>
  <sheetViews>
    <sheetView workbookViewId="0">
      <selection activeCell="B10" sqref="B10"/>
    </sheetView>
  </sheetViews>
  <sheetFormatPr defaultRowHeight="15" x14ac:dyDescent="0.25"/>
  <cols>
    <col min="2" max="2" width="15.28515625" bestFit="1" customWidth="1"/>
    <col min="3" max="3" width="9.5703125" bestFit="1" customWidth="1"/>
    <col min="4" max="4" width="12.85546875" bestFit="1" customWidth="1"/>
    <col min="5" max="6" width="11.28515625" bestFit="1" customWidth="1"/>
    <col min="7" max="9" width="13.42578125" bestFit="1" customWidth="1"/>
    <col min="10" max="10" width="11.28515625" customWidth="1"/>
    <col min="12" max="12" width="12.140625" bestFit="1" customWidth="1"/>
    <col min="13" max="13" width="11.28515625" bestFit="1" customWidth="1"/>
  </cols>
  <sheetData>
    <row r="1" spans="2:5" x14ac:dyDescent="0.25">
      <c r="B1" s="3" t="s">
        <v>1</v>
      </c>
      <c r="C1" t="s">
        <v>48</v>
      </c>
    </row>
    <row r="2" spans="2:5" x14ac:dyDescent="0.25">
      <c r="B2" s="3" t="s">
        <v>35</v>
      </c>
      <c r="C2" t="s">
        <v>48</v>
      </c>
    </row>
    <row r="3" spans="2:5" x14ac:dyDescent="0.25">
      <c r="B3" s="3" t="s">
        <v>8</v>
      </c>
      <c r="C3" t="s">
        <v>48</v>
      </c>
    </row>
    <row r="4" spans="2:5" x14ac:dyDescent="0.25">
      <c r="B4" s="3" t="s">
        <v>6</v>
      </c>
      <c r="C4" t="s">
        <v>48</v>
      </c>
    </row>
    <row r="5" spans="2:5" x14ac:dyDescent="0.25">
      <c r="B5" s="3" t="s">
        <v>7</v>
      </c>
      <c r="C5" t="s">
        <v>48</v>
      </c>
    </row>
    <row r="6" spans="2:5" x14ac:dyDescent="0.25">
      <c r="B6" s="3" t="s">
        <v>59</v>
      </c>
      <c r="C6" t="s">
        <v>48</v>
      </c>
    </row>
    <row r="8" spans="2:5" x14ac:dyDescent="0.25">
      <c r="B8" s="3" t="s">
        <v>44</v>
      </c>
      <c r="D8" s="3" t="s">
        <v>38</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D11"/>
  <sheetViews>
    <sheetView workbookViewId="0">
      <selection activeCell="C16" sqref="C1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A1:D11"/>
  <sheetViews>
    <sheetView workbookViewId="0">
      <selection activeCell="A8" sqref="A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D11"/>
  <sheetViews>
    <sheetView workbookViewId="0">
      <selection activeCell="F36" sqref="F3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A1:D11"/>
  <sheetViews>
    <sheetView workbookViewId="0">
      <selection activeCell="D18" sqref="D1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7"/>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8"/>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9"/>
  <dimension ref="A1:D11"/>
  <sheetViews>
    <sheetView workbookViewId="0">
      <selection activeCell="J34" sqref="J3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BCDACB3A4B2774589CFB7BF50EF12EA" ma:contentTypeVersion="" ma:contentTypeDescription="Create a new document." ma:contentTypeScope="" ma:versionID="91fafd3676650f0712f2262a0c4c639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91A41F-9F0C-41D9-A839-8703E0992714}">
  <ds:schemaRefs>
    <ds:schemaRef ds:uri="http://schemas.microsoft.com/sharepoint/v3/contenttype/forms"/>
  </ds:schemaRefs>
</ds:datastoreItem>
</file>

<file path=customXml/itemProps2.xml><?xml version="1.0" encoding="utf-8"?>
<ds:datastoreItem xmlns:ds="http://schemas.openxmlformats.org/officeDocument/2006/customXml" ds:itemID="{D38D8F8F-6D9B-44BD-8FAC-992A4F99AF33}">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8EB27A7-CCDC-4AB0-9FA8-F720A40AC5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dashboard</vt:lpstr>
      <vt:lpstr>data.chart</vt:lpstr>
      <vt:lpstr>legend_chart</vt:lpstr>
      <vt:lpstr>pt.number_of_tasks</vt:lpstr>
      <vt:lpstr>pt.inbound_ppot_lvl1</vt:lpstr>
      <vt:lpstr>pt.inbound_ppot_lvl2</vt:lpstr>
      <vt:lpstr>pt.lvl3_generic_1</vt:lpstr>
      <vt:lpstr>pt.lvl3_generic_2</vt:lpstr>
      <vt:lpstr>pt.lvl3_generic_3</vt:lpstr>
      <vt:lpstr>pt.lvl3_generic_4</vt:lpstr>
      <vt:lpstr>pt.lvl3_generic_5</vt:lpstr>
      <vt:lpstr>pt.lvl3_generic_6</vt:lpstr>
      <vt:lpstr>pt.lvl3_generic_7</vt:lpstr>
      <vt:lpstr>pt.lvl3_generic_8</vt:lpstr>
      <vt:lpstr>pt.lvl3_generic_9</vt:lpstr>
      <vt:lpstr>pt.lvl3_generic_10</vt:lpstr>
      <vt:lpstr>pt.generic_add_data1</vt:lpstr>
      <vt:lpstr>pt.generic_add_data2</vt:lpstr>
      <vt:lpstr>pt.generic_add_data3</vt:lpstr>
      <vt:lpstr>pt.generic_add_data4</vt:lpstr>
      <vt:lpstr>pt.generic_add_data5</vt:lpstr>
      <vt:lpstr>pt.generic_add_data6</vt:lpstr>
      <vt:lpstr>pt.generic_add_data7</vt:lpstr>
      <vt:lpstr>pt.generic_add_data8</vt:lpstr>
      <vt:lpstr>pt.generic_add_data9</vt:lpstr>
      <vt:lpstr>pt.generic_add_data10</vt:lpstr>
      <vt:lpstr>pt.generic_add_data11</vt:lpstr>
      <vt:lpstr>pt.generic_add_data12</vt:lpstr>
      <vt:lpstr>pt.generic_add_data13</vt:lpstr>
      <vt:lpstr>pt.generic_add_data14</vt:lpstr>
      <vt:lpstr>pt.generic_add_data15</vt:lpstr>
      <vt:lpstr>pt.generic_add_data16</vt:lpstr>
      <vt:lpstr>pt.generic_add_data17</vt:lpstr>
      <vt:lpstr>pt.generic_add_data18</vt:lpstr>
      <vt:lpstr>pt.generic_add_data19</vt:lpstr>
      <vt:lpstr>pt.generic_add_data20</vt:lpstr>
      <vt:lpstr>pt.generic_add_data21</vt:lpstr>
      <vt:lpstr>pt.generic_add_data22</vt:lpstr>
      <vt:lpstr>pt.generic_add_data23</vt:lpstr>
      <vt:lpstr>pt.generic_add_data24</vt:lpstr>
      <vt:lpstr>pt.generic_add_data25</vt:lpstr>
      <vt:lpstr>pt.generic_add_data26</vt:lpstr>
      <vt:lpstr>pt.generic_add_data27</vt:lpstr>
      <vt:lpstr>pt.generic_add_data28</vt:lpstr>
      <vt:lpstr>pt.generic_add_data29</vt:lpstr>
      <vt:lpstr>pt.generic_add_data30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2017-12-05T13:50:20Z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0x0101004BCDACB3A4B2774589CFB7BF50EF12EA</vt:lpwstr>
  </property>
</Properties>
</file>